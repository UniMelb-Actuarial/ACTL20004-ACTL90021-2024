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Ex3.xml" ContentType="application/vnd.ms-office.chartex+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bavanzi/Dropbox/Mac (3)/Documents/GitHub/ACTL20004-ACTL90021-2024/xlfiles/"/>
    </mc:Choice>
  </mc:AlternateContent>
  <xr:revisionPtr revIDLastSave="0" documentId="13_ncr:1_{34736F5B-8A85-004A-A391-856930B38CEC}" xr6:coauthVersionLast="47" xr6:coauthVersionMax="47" xr10:uidLastSave="{00000000-0000-0000-0000-000000000000}"/>
  <bookViews>
    <workbookView xWindow="55300" yWindow="1460" windowWidth="29040" windowHeight="15840" activeTab="5" xr2:uid="{B7D3D78A-6740-C744-9570-1357A85CE16F}"/>
  </bookViews>
  <sheets>
    <sheet name="Pokemon data" sheetId="2" r:id="rId1"/>
    <sheet name="FIFA WWC" sheetId="3" r:id="rId2"/>
    <sheet name="M6.1 - Assumed Knowledge" sheetId="1" r:id="rId3"/>
    <sheet name="M6.2 - Pivot table" sheetId="6" r:id="rId4"/>
    <sheet name="M6.2 - Pivot chart" sheetId="8" r:id="rId5"/>
    <sheet name="M6.3 - Dynamic arrays" sheetId="9" r:id="rId6"/>
    <sheet name="M6.4 - Dynamic references" sheetId="12" r:id="rId7"/>
    <sheet name="M6.5 - Dependents" sheetId="5" r:id="rId8"/>
    <sheet name="M6.6 Simulations" sheetId="13" r:id="rId9"/>
    <sheet name="M6.6 Macros and VBA" sheetId="15" r:id="rId10"/>
  </sheets>
  <definedNames>
    <definedName name="_xlchart.v1.0" hidden="1">'M6.6 Simulations'!$B$13</definedName>
    <definedName name="_xlchart.v1.1" hidden="1">'M6.6 Simulations'!$B$14:$B$10013</definedName>
    <definedName name="_xlchart.v1.2" hidden="1">'M6.6 Simulations'!$O$4:$O$10003</definedName>
    <definedName name="_xlchart.v1.3" hidden="1">'M6.6 Simulations'!$X$4:$X$10003</definedName>
    <definedName name="age">'FIFA WWC'!$E$4:$E$139</definedName>
    <definedName name="assists">'FIFA WWC'!$L$4:$L$139</definedName>
    <definedName name="assists_per_90">'FIFA WWC'!$S$4:$S$139</definedName>
    <definedName name="Attacking">'Pokemon data'!$A$2:$A$19</definedName>
    <definedName name="Bug">'Pokemon data'!$M$2:$M$19</definedName>
    <definedName name="Dark">'Pokemon data'!$Q$2:$Q$19</definedName>
    <definedName name="Dragon">'Pokemon data'!$P$2:$P$19</definedName>
    <definedName name="Electric">'Pokemon data'!$E$2:$E$19</definedName>
    <definedName name="Fairy">'Pokemon data'!$S$2:$S$19</definedName>
    <definedName name="FiFA">'FIFA WWC'!$A$3:$V$139</definedName>
    <definedName name="Fighting">'Pokemon data'!$H$2:$H$19</definedName>
    <definedName name="Fire">'Pokemon data'!$C$2:$C$19</definedName>
    <definedName name="Flying">'Pokemon data'!$K$2:$K$19</definedName>
    <definedName name="Ghost">'Pokemon data'!$O$2:$O$19</definedName>
    <definedName name="goals">'FIFA WWC'!$K$4:$K$139</definedName>
    <definedName name="goals_minus_penalty_kicks_per_90">'FIFA WWC'!$U$4:$U$139</definedName>
    <definedName name="goals_per_90">'FIFA WWC'!$R$4:$R$139</definedName>
    <definedName name="goals_plus_assists_minus_penalty_kicks_per_90">'FIFA WWC'!$V$4:$V$139</definedName>
    <definedName name="goals_plus_assists_per_90">'FIFA WWC'!$T$4:$T$139</definedName>
    <definedName name="Grass">'Pokemon data'!$F$2:$F$19</definedName>
    <definedName name="Ground">'Pokemon data'!$J$2:$J$19</definedName>
    <definedName name="Ice">'Pokemon data'!$G$2:$G$19</definedName>
    <definedName name="id">'FIFA WWC'!$A$4:$A$139</definedName>
    <definedName name="loss_ratios">'M6.3 - Dynamic arrays'!$B$188:$B$191</definedName>
    <definedName name="lossratios">'M6.3 - Dynamic arrays'!$C$31:$F$35</definedName>
    <definedName name="matches_played">'FIFA WWC'!$G$4:$G$139</definedName>
    <definedName name="min_playing_time">'FIFA WWC'!$I$4:$I$139</definedName>
    <definedName name="minutes_played_90s">'FIFA WWC'!$J$4:$J$139</definedName>
    <definedName name="monthly_profit">'M6.4 - Dynamic references'!$B$4:$C$16</definedName>
    <definedName name="months">'M6.4 - Dynamic references'!$B$5:$B$16</definedName>
    <definedName name="non_penalty_goals">'FIFA WWC'!$M$4:$M$139</definedName>
    <definedName name="Normal">'Pokemon data'!$B$2:$S$2</definedName>
    <definedName name="penalty_kicks_attempted">'FIFA WWC'!$O$4:$O$139</definedName>
    <definedName name="penalty_kicks_made">'FIFA WWC'!$N$4:$N$139</definedName>
    <definedName name="players">'FIFA WWC'!$D$4:$D$139</definedName>
    <definedName name="Poison">'Pokemon data'!$I$2:$I$19</definedName>
    <definedName name="pokemon">'Pokemon data'!$A$1:$S$19</definedName>
    <definedName name="possesion">'FIFA WWC'!$F$4:$F$139</definedName>
    <definedName name="products">'M6.3 - Dynamic arrays'!$E$197:$E$201</definedName>
    <definedName name="Psychic">'Pokemon data'!$L$2:$L$19</definedName>
    <definedName name="red_cards">'FIFA WWC'!$Q$4:$Q$139</definedName>
    <definedName name="Rock">'Pokemon data'!$N$2:$N$19</definedName>
    <definedName name="Slicer_squad">#N/A</definedName>
    <definedName name="squad">'FIFA WWC'!$B$4:$B$139</definedName>
    <definedName name="starts">'FIFA WWC'!$H$4:$H$139</definedName>
    <definedName name="Steel">'Pokemon data'!$R$2:$R$19</definedName>
    <definedName name="tblProduct">'M6.3 - Dynamic arrays'!$E$196:$E$201</definedName>
    <definedName name="Water">'Pokemon data'!$D$2:$D$19</definedName>
    <definedName name="weekly_profit">'M6.4 - Dynamic references'!$B$38:$G$42</definedName>
    <definedName name="year">'FIFA WWC'!$C$4:$C$139</definedName>
    <definedName name="yellow_cards">'FIFA WWC'!$P$4:$P$139</definedName>
  </definedNames>
  <calcPr calcId="191028"/>
  <pivotCaches>
    <pivotCache cacheId="37"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06" i="9" l="1"/>
  <c r="N205" i="9"/>
  <c r="T198" i="9"/>
  <c r="N199" i="9"/>
  <c r="N200" i="9"/>
  <c r="N201" i="9"/>
  <c r="N198" i="9"/>
  <c r="H198" i="9" a="1"/>
  <c r="H198" i="9" s="1"/>
  <c r="H188" i="9" a="1"/>
  <c r="H188" i="9" s="1"/>
  <c r="H152" i="9" a="1"/>
  <c r="H152" i="9" s="1"/>
  <c r="A152" i="9"/>
  <c r="I33" i="9" a="1"/>
  <c r="I33" i="9" s="1"/>
  <c r="I34" i="9" a="1"/>
  <c r="I34" i="9" s="1"/>
  <c r="I35" i="9" a="1"/>
  <c r="I35" i="9" s="1"/>
  <c r="I32" i="9" a="1"/>
  <c r="I32" i="9" s="1"/>
  <c r="C7" i="9"/>
  <c r="B7" i="9" a="1"/>
  <c r="B7" i="9" s="1"/>
  <c r="B3" i="9" a="1"/>
  <c r="B3" i="9" s="1"/>
  <c r="G160" i="1" a="1"/>
  <c r="G160" i="1" s="1"/>
  <c r="E160" i="1" a="1"/>
  <c r="E160" i="1" s="1"/>
  <c r="A160" i="1" a="1"/>
  <c r="A160" i="1" s="1"/>
  <c r="I18" i="1"/>
  <c r="G18" i="1"/>
  <c r="E18" i="1" a="1"/>
  <c r="E18" i="1" s="1"/>
  <c r="C18" i="1" a="1"/>
  <c r="C18" i="1" s="1"/>
  <c r="A18" i="1" a="1"/>
  <c r="A18" i="1" s="1"/>
  <c r="N9" i="1"/>
  <c r="J9" i="1"/>
  <c r="F9" i="1"/>
  <c r="B9" i="1"/>
  <c r="V4" i="15" a="1"/>
  <c r="V4" i="15" s="1"/>
  <c r="M4" i="15" a="1"/>
  <c r="M4" i="15" s="1"/>
  <c r="B15" i="15" a="1"/>
  <c r="B15" i="15" s="1"/>
  <c r="B4" i="15" a="1"/>
  <c r="B4" i="15" s="1"/>
  <c r="I29" i="12"/>
  <c r="P38" i="12" a="1"/>
  <c r="P38" i="12" s="1"/>
  <c r="AG8" i="13" a="1"/>
  <c r="AG8" i="13" s="1"/>
  <c r="AH8" i="13" s="1" a="1"/>
  <c r="AH8" i="13" s="1"/>
  <c r="AA24" i="13"/>
  <c r="Z24" i="13"/>
  <c r="E34" i="13"/>
  <c r="X4" i="13" a="1"/>
  <c r="X4" i="13" s="1"/>
  <c r="O4" i="13" a="1"/>
  <c r="O4" i="13" s="1"/>
  <c r="B14" i="13" a="1"/>
  <c r="B14" i="13" s="1"/>
  <c r="I5" i="13" a="1"/>
  <c r="I5" i="13" s="1"/>
  <c r="D5" i="13" a="1"/>
  <c r="D5" i="13" s="1"/>
  <c r="B5" i="13"/>
  <c r="P39" i="12" a="1"/>
  <c r="P39" i="12" s="1"/>
  <c r="F11" i="12" a="1"/>
  <c r="F11" i="12" s="1"/>
  <c r="F6" i="12" a="1"/>
  <c r="F6" i="12" s="1"/>
  <c r="R210" i="9" a="1"/>
  <c r="R210" i="9"/>
  <c r="N210" i="9"/>
  <c r="N209" i="9"/>
  <c r="H207" i="9"/>
  <c r="B187" i="9" a="1"/>
  <c r="B187" i="9"/>
  <c r="F176" i="9" a="1"/>
  <c r="F176" i="9" s="1"/>
  <c r="A176" i="9" a="1"/>
  <c r="A176" i="9" s="1"/>
  <c r="A12" i="9" a="1"/>
  <c r="A12" i="9" s="1"/>
  <c r="H37" i="9"/>
  <c r="I37" i="9" s="1" a="1"/>
  <c r="I37" i="9" s="1"/>
  <c r="H32" i="9" a="1"/>
  <c r="H32" i="9" s="1"/>
  <c r="M32" i="9" s="1" a="1"/>
  <c r="M32" i="9" s="1"/>
  <c r="K12" i="9" a="1"/>
  <c r="K12" i="9" s="1"/>
  <c r="H12" i="9" a="1"/>
  <c r="H12" i="9" s="1"/>
  <c r="E153" i="9" s="1"/>
  <c r="C15" i="9" a="1"/>
  <c r="C15" i="9" s="1"/>
  <c r="C16" i="9" a="1"/>
  <c r="C16" i="9" s="1"/>
  <c r="C17" i="9" a="1"/>
  <c r="C17" i="9" s="1"/>
  <c r="C18" i="9" a="1"/>
  <c r="C18" i="9" s="1"/>
  <c r="C19" i="9" a="1"/>
  <c r="C19" i="9" s="1"/>
  <c r="C20" i="9" a="1"/>
  <c r="C20" i="9" s="1"/>
  <c r="C14" i="9" a="1"/>
  <c r="C14" i="9" s="1"/>
  <c r="F198" i="5"/>
  <c r="E40" i="5"/>
  <c r="E46" i="5"/>
  <c r="C196" i="5"/>
  <c r="C194" i="5"/>
  <c r="C190" i="5"/>
  <c r="C188" i="5"/>
  <c r="C184" i="5"/>
  <c r="C182" i="5"/>
  <c r="C181" i="5"/>
  <c r="C179" i="5"/>
  <c r="A151" i="5"/>
  <c r="A144" i="5"/>
  <c r="A142" i="5"/>
  <c r="A141" i="5"/>
  <c r="A137" i="5"/>
  <c r="A136" i="5"/>
  <c r="F133" i="5"/>
  <c r="G133" i="5" s="1"/>
  <c r="H133" i="5" s="1"/>
  <c r="I133" i="5" s="1"/>
  <c r="J133" i="5" s="1"/>
  <c r="K133" i="5" s="1"/>
  <c r="L133" i="5" s="1"/>
  <c r="M133" i="5" s="1"/>
  <c r="N133" i="5" s="1"/>
  <c r="O133" i="5" s="1"/>
  <c r="P133" i="5" s="1"/>
  <c r="Q133" i="5" s="1"/>
  <c r="R133" i="5" s="1"/>
  <c r="E133" i="5"/>
  <c r="D133" i="5"/>
  <c r="C133" i="5"/>
  <c r="A124" i="5"/>
  <c r="A196" i="5" s="1"/>
  <c r="A123" i="5"/>
  <c r="A195" i="5" s="1"/>
  <c r="A122" i="5"/>
  <c r="A121" i="5"/>
  <c r="A193" i="5" s="1"/>
  <c r="A120" i="5"/>
  <c r="A119" i="5"/>
  <c r="A191" i="5" s="1"/>
  <c r="A118" i="5"/>
  <c r="A117" i="5"/>
  <c r="A116" i="5"/>
  <c r="A188" i="5" s="1"/>
  <c r="A115" i="5"/>
  <c r="A114" i="5"/>
  <c r="A186" i="5" s="1"/>
  <c r="A113" i="5"/>
  <c r="A185" i="5" s="1"/>
  <c r="A112" i="5"/>
  <c r="A111" i="5"/>
  <c r="A183" i="5" s="1"/>
  <c r="A110" i="5"/>
  <c r="A182" i="5" s="1"/>
  <c r="A109" i="5"/>
  <c r="A181" i="5" s="1"/>
  <c r="A108" i="5"/>
  <c r="A180" i="5" s="1"/>
  <c r="A107" i="5"/>
  <c r="A179" i="5" s="1"/>
  <c r="F104" i="5"/>
  <c r="G104" i="5" s="1"/>
  <c r="H104" i="5" s="1"/>
  <c r="I104" i="5" s="1"/>
  <c r="J104" i="5" s="1"/>
  <c r="K104" i="5" s="1"/>
  <c r="L104" i="5" s="1"/>
  <c r="M104" i="5" s="1"/>
  <c r="N104" i="5" s="1"/>
  <c r="O104" i="5" s="1"/>
  <c r="P104" i="5" s="1"/>
  <c r="Q104" i="5" s="1"/>
  <c r="R104" i="5" s="1"/>
  <c r="S104" i="5" s="1"/>
  <c r="E104" i="5"/>
  <c r="D104" i="5"/>
  <c r="C104" i="5"/>
  <c r="C100" i="5"/>
  <c r="D99" i="5"/>
  <c r="C99" i="5"/>
  <c r="E98" i="5"/>
  <c r="D98" i="5"/>
  <c r="C98" i="5"/>
  <c r="F97" i="5"/>
  <c r="E97" i="5"/>
  <c r="D97" i="5"/>
  <c r="C97" i="5"/>
  <c r="G96" i="5"/>
  <c r="F96" i="5"/>
  <c r="E96" i="5"/>
  <c r="D96" i="5"/>
  <c r="C96" i="5"/>
  <c r="H95" i="5"/>
  <c r="G95" i="5"/>
  <c r="F95" i="5"/>
  <c r="E95" i="5"/>
  <c r="D95" i="5"/>
  <c r="C95" i="5"/>
  <c r="I94" i="5"/>
  <c r="H94" i="5"/>
  <c r="G94" i="5"/>
  <c r="F94" i="5"/>
  <c r="E94" i="5"/>
  <c r="D94" i="5"/>
  <c r="C94" i="5"/>
  <c r="J93" i="5"/>
  <c r="I93" i="5"/>
  <c r="H93" i="5"/>
  <c r="G93" i="5"/>
  <c r="F93" i="5"/>
  <c r="E93" i="5"/>
  <c r="D93" i="5"/>
  <c r="C93" i="5"/>
  <c r="K92" i="5"/>
  <c r="J92" i="5"/>
  <c r="I92" i="5"/>
  <c r="H92" i="5"/>
  <c r="G92" i="5"/>
  <c r="F92" i="5"/>
  <c r="E92" i="5"/>
  <c r="D92" i="5"/>
  <c r="C92" i="5"/>
  <c r="L91" i="5"/>
  <c r="K91" i="5"/>
  <c r="J91" i="5"/>
  <c r="I91" i="5"/>
  <c r="H91" i="5"/>
  <c r="G91" i="5"/>
  <c r="F91" i="5"/>
  <c r="E91" i="5"/>
  <c r="D91" i="5"/>
  <c r="C91" i="5"/>
  <c r="M90" i="5"/>
  <c r="L90" i="5"/>
  <c r="K90" i="5"/>
  <c r="J90" i="5"/>
  <c r="I90" i="5"/>
  <c r="H90" i="5"/>
  <c r="G90" i="5"/>
  <c r="F90" i="5"/>
  <c r="E90" i="5"/>
  <c r="D90" i="5"/>
  <c r="C90" i="5"/>
  <c r="M89" i="5"/>
  <c r="N89" i="5" s="1"/>
  <c r="L89" i="5"/>
  <c r="K89" i="5"/>
  <c r="J89" i="5"/>
  <c r="I89" i="5"/>
  <c r="H89" i="5"/>
  <c r="G89" i="5"/>
  <c r="F89" i="5"/>
  <c r="E89" i="5"/>
  <c r="D89" i="5"/>
  <c r="C89" i="5"/>
  <c r="M88" i="5"/>
  <c r="N88" i="5" s="1"/>
  <c r="O88" i="5" s="1"/>
  <c r="L88" i="5"/>
  <c r="K88" i="5"/>
  <c r="J88" i="5"/>
  <c r="I88" i="5"/>
  <c r="H88" i="5"/>
  <c r="G88" i="5"/>
  <c r="F88" i="5"/>
  <c r="E88" i="5"/>
  <c r="D88" i="5"/>
  <c r="C88" i="5"/>
  <c r="O87" i="5"/>
  <c r="P87" i="5" s="1"/>
  <c r="N87" i="5"/>
  <c r="M87" i="5"/>
  <c r="L87" i="5"/>
  <c r="K87" i="5"/>
  <c r="J87" i="5"/>
  <c r="I87" i="5"/>
  <c r="H87" i="5"/>
  <c r="G87" i="5"/>
  <c r="F87" i="5"/>
  <c r="E87" i="5"/>
  <c r="D87" i="5"/>
  <c r="C87" i="5"/>
  <c r="Q86" i="5"/>
  <c r="N86" i="5"/>
  <c r="O86" i="5" s="1"/>
  <c r="P86" i="5" s="1"/>
  <c r="M86" i="5"/>
  <c r="L86" i="5"/>
  <c r="K86" i="5"/>
  <c r="J86" i="5"/>
  <c r="I86" i="5"/>
  <c r="H86" i="5"/>
  <c r="G86" i="5"/>
  <c r="F86" i="5"/>
  <c r="E86" i="5"/>
  <c r="D86" i="5"/>
  <c r="C86" i="5"/>
  <c r="P85" i="5"/>
  <c r="Q85" i="5" s="1"/>
  <c r="R85" i="5" s="1"/>
  <c r="O85" i="5"/>
  <c r="N85" i="5"/>
  <c r="M85" i="5"/>
  <c r="L85" i="5"/>
  <c r="K85" i="5"/>
  <c r="J85" i="5"/>
  <c r="I85" i="5"/>
  <c r="H85" i="5"/>
  <c r="G85" i="5"/>
  <c r="F85" i="5"/>
  <c r="E85" i="5"/>
  <c r="D85" i="5"/>
  <c r="C85" i="5"/>
  <c r="O84" i="5"/>
  <c r="P84" i="5" s="1"/>
  <c r="Q84" i="5" s="1"/>
  <c r="R84" i="5" s="1"/>
  <c r="S84" i="5" s="1"/>
  <c r="N84" i="5"/>
  <c r="M84" i="5"/>
  <c r="L84" i="5"/>
  <c r="K84" i="5"/>
  <c r="J84" i="5"/>
  <c r="I84" i="5"/>
  <c r="H84" i="5"/>
  <c r="G84" i="5"/>
  <c r="F84" i="5"/>
  <c r="E84" i="5"/>
  <c r="D84" i="5"/>
  <c r="C84" i="5"/>
  <c r="B84" i="5"/>
  <c r="P74" i="5"/>
  <c r="O74" i="5"/>
  <c r="N74" i="5"/>
  <c r="P73" i="5"/>
  <c r="C195" i="5" s="1"/>
  <c r="N73" i="5"/>
  <c r="P72" i="5"/>
  <c r="N72" i="5"/>
  <c r="O72" i="5" s="1"/>
  <c r="P71" i="5"/>
  <c r="O71" i="5" s="1"/>
  <c r="N71" i="5"/>
  <c r="P70" i="5"/>
  <c r="C192" i="5" s="1"/>
  <c r="N70" i="5"/>
  <c r="O70" i="5" s="1"/>
  <c r="P69" i="5"/>
  <c r="O69" i="5" s="1"/>
  <c r="N69" i="5"/>
  <c r="P68" i="5"/>
  <c r="N68" i="5"/>
  <c r="O68" i="5" s="1"/>
  <c r="P67" i="5"/>
  <c r="C189" i="5" s="1"/>
  <c r="N67" i="5"/>
  <c r="P66" i="5"/>
  <c r="N66" i="5"/>
  <c r="O66" i="5" s="1"/>
  <c r="P65" i="5"/>
  <c r="C187" i="5" s="1"/>
  <c r="N65" i="5"/>
  <c r="P64" i="5"/>
  <c r="C186" i="5" s="1"/>
  <c r="N64" i="5"/>
  <c r="O64" i="5" s="1"/>
  <c r="P63" i="5"/>
  <c r="C185" i="5" s="1"/>
  <c r="N63" i="5"/>
  <c r="P62" i="5"/>
  <c r="O62" i="5"/>
  <c r="N62" i="5"/>
  <c r="P61" i="5"/>
  <c r="C183" i="5" s="1"/>
  <c r="N61" i="5"/>
  <c r="P60" i="5"/>
  <c r="N60" i="5"/>
  <c r="O60" i="5" s="1"/>
  <c r="P59" i="5"/>
  <c r="O59" i="5" s="1"/>
  <c r="N59" i="5"/>
  <c r="P58" i="5"/>
  <c r="C180" i="5" s="1"/>
  <c r="N58" i="5"/>
  <c r="O58" i="5" s="1"/>
  <c r="P57" i="5"/>
  <c r="O57" i="5" s="1"/>
  <c r="N57" i="5"/>
  <c r="C33" i="5"/>
  <c r="B109" i="5" s="1"/>
  <c r="B32" i="5"/>
  <c r="B33" i="5" s="1"/>
  <c r="D31" i="5"/>
  <c r="C107" i="5" s="1"/>
  <c r="C31" i="5"/>
  <c r="B107" i="5" s="1"/>
  <c r="A31" i="5"/>
  <c r="D28" i="5"/>
  <c r="E28" i="5" s="1"/>
  <c r="F28" i="5" s="1"/>
  <c r="G28" i="5" s="1"/>
  <c r="H28" i="5" s="1"/>
  <c r="I28" i="5" s="1"/>
  <c r="J28" i="5" s="1"/>
  <c r="K28" i="5" s="1"/>
  <c r="L28" i="5" s="1"/>
  <c r="M28" i="5" s="1"/>
  <c r="N28" i="5" s="1"/>
  <c r="O28" i="5" s="1"/>
  <c r="P28" i="5" s="1"/>
  <c r="Q28" i="5" s="1"/>
  <c r="R28" i="5" s="1"/>
  <c r="S28" i="5" s="1"/>
  <c r="T28" i="5" s="1"/>
  <c r="A9" i="5"/>
  <c r="A32" i="5" s="1"/>
  <c r="D5" i="5"/>
  <c r="E5" i="5" s="1"/>
  <c r="F5" i="5" s="1"/>
  <c r="G5" i="5" s="1"/>
  <c r="H5" i="5" s="1"/>
  <c r="I5" i="5" s="1"/>
  <c r="J5" i="5" s="1"/>
  <c r="K5" i="5" s="1"/>
  <c r="L5" i="5" s="1"/>
  <c r="M5" i="5" s="1"/>
  <c r="N5" i="5" s="1"/>
  <c r="O5" i="5" s="1"/>
  <c r="P5" i="5" s="1"/>
  <c r="Q5" i="5" s="1"/>
  <c r="R5" i="5" s="1"/>
  <c r="S5" i="5" s="1"/>
  <c r="T5" i="5" s="1"/>
  <c r="T197" i="9"/>
  <c r="F45" i="12"/>
  <c r="I38" i="12" a="1"/>
  <c r="H197" i="9"/>
  <c r="F44" i="12"/>
  <c r="M31" i="9"/>
  <c r="J64" i="12"/>
  <c r="O3" i="13"/>
  <c r="F153" i="9"/>
  <c r="I206" i="9"/>
  <c r="I4" i="13"/>
  <c r="P44" i="12"/>
  <c r="J29" i="12"/>
  <c r="B4" i="13"/>
  <c r="M189" i="9"/>
  <c r="I152" i="9"/>
  <c r="I39" i="12" a="1"/>
  <c r="P45" i="12"/>
  <c r="I207" i="9"/>
  <c r="B152" i="9"/>
  <c r="L12" i="9"/>
  <c r="D14" i="9" a="1"/>
  <c r="D152" i="9"/>
  <c r="H187" i="9"/>
  <c r="L152" i="9"/>
  <c r="J33" i="12"/>
  <c r="I64" i="12" a="1"/>
  <c r="I33" i="12" a="1"/>
  <c r="AG7" i="13"/>
  <c r="H11" i="12"/>
  <c r="R209" i="9"/>
  <c r="B13" i="13"/>
  <c r="G176" i="9"/>
  <c r="D4" i="13"/>
  <c r="B12" i="9"/>
  <c r="X3" i="13"/>
  <c r="N197" i="9"/>
  <c r="J37" i="9"/>
  <c r="O209" i="9"/>
  <c r="B176" i="9"/>
  <c r="I31" i="9"/>
  <c r="I67" i="12" a="1"/>
  <c r="F152" i="9"/>
  <c r="I12" i="9"/>
  <c r="L153" i="9"/>
  <c r="O210" i="9"/>
  <c r="L67" i="12"/>
  <c r="AG6" i="13"/>
  <c r="N204" i="9"/>
  <c r="H6" i="12"/>
  <c r="I64" i="12" l="1"/>
  <c r="I67" i="12"/>
  <c r="I38" i="12"/>
  <c r="I33" i="12"/>
  <c r="I39" i="12"/>
  <c r="M190" i="9" a="1"/>
  <c r="M190" i="9" s="1"/>
  <c r="Z20" i="13"/>
  <c r="AA20" i="13"/>
  <c r="D31" i="13"/>
  <c r="E31" i="13"/>
  <c r="Q20" i="13"/>
  <c r="R20" i="13"/>
  <c r="T199" i="9"/>
  <c r="T200" i="9"/>
  <c r="T201" i="9"/>
  <c r="M35" i="9" a="1"/>
  <c r="M35" i="9" s="1"/>
  <c r="M34" i="9" a="1"/>
  <c r="M34" i="9" s="1"/>
  <c r="M33" i="9" a="1"/>
  <c r="M33" i="9" s="1"/>
  <c r="C152" i="9" a="1"/>
  <c r="C152" i="9" s="1"/>
  <c r="E152" i="9"/>
  <c r="K153" i="9"/>
  <c r="K152" i="9"/>
  <c r="D14" i="9"/>
  <c r="B34" i="5"/>
  <c r="E31" i="5"/>
  <c r="D107" i="5" s="1"/>
  <c r="A10" i="5"/>
  <c r="B135" i="5"/>
  <c r="D32" i="5"/>
  <c r="C108" i="5" s="1"/>
  <c r="A190" i="5"/>
  <c r="A146" i="5"/>
  <c r="A194" i="5"/>
  <c r="A150" i="5"/>
  <c r="A143" i="5"/>
  <c r="A187" i="5"/>
  <c r="C32" i="5"/>
  <c r="B108" i="5" s="1"/>
  <c r="A189" i="5"/>
  <c r="A145" i="5"/>
  <c r="A192" i="5"/>
  <c r="A148" i="5"/>
  <c r="A138" i="5"/>
  <c r="A135" i="5"/>
  <c r="A149" i="5"/>
  <c r="C191" i="5"/>
  <c r="C193" i="5"/>
  <c r="O61" i="5"/>
  <c r="O63" i="5"/>
  <c r="O65" i="5"/>
  <c r="O76" i="5" s="1"/>
  <c r="O67" i="5"/>
  <c r="O73" i="5"/>
  <c r="A147" i="5"/>
  <c r="A140" i="5"/>
  <c r="A184" i="5"/>
  <c r="A139" i="5"/>
  <c r="AK10" i="13" l="1"/>
  <c r="AL10" i="13" s="1"/>
  <c r="AK11" i="13"/>
  <c r="AL11" i="13" s="1"/>
  <c r="AK12" i="13"/>
  <c r="AL12" i="13" s="1"/>
  <c r="A33" i="5"/>
  <c r="A11" i="5"/>
  <c r="C135" i="5"/>
  <c r="B136" i="5"/>
  <c r="B35" i="5"/>
  <c r="F31" i="5"/>
  <c r="E107" i="5" s="1"/>
  <c r="C34" i="5"/>
  <c r="B110" i="5" s="1"/>
  <c r="E32" i="5"/>
  <c r="D108" i="5" s="1"/>
  <c r="C136" i="5" s="1"/>
  <c r="D33" i="5"/>
  <c r="C109" i="5" s="1"/>
  <c r="B137" i="5" l="1"/>
  <c r="A34" i="5"/>
  <c r="A12" i="5"/>
  <c r="D135" i="5"/>
  <c r="B36" i="5"/>
  <c r="E33" i="5"/>
  <c r="D109" i="5" s="1"/>
  <c r="F32" i="5"/>
  <c r="E108" i="5" s="1"/>
  <c r="D136" i="5" s="1"/>
  <c r="G31" i="5"/>
  <c r="F107" i="5" s="1"/>
  <c r="C35" i="5"/>
  <c r="B111" i="5" s="1"/>
  <c r="D34" i="5"/>
  <c r="C110" i="5" s="1"/>
  <c r="B138" i="5" s="1"/>
  <c r="A35" i="5" l="1"/>
  <c r="A13" i="5"/>
  <c r="E135" i="5"/>
  <c r="C137" i="5"/>
  <c r="C36" i="5"/>
  <c r="B112" i="5" s="1"/>
  <c r="F33" i="5"/>
  <c r="E109" i="5" s="1"/>
  <c r="G32" i="5"/>
  <c r="F108" i="5" s="1"/>
  <c r="E136" i="5" s="1"/>
  <c r="E34" i="5"/>
  <c r="D110" i="5" s="1"/>
  <c r="C138" i="5" s="1"/>
  <c r="H31" i="5"/>
  <c r="G107" i="5" s="1"/>
  <c r="B37" i="5"/>
  <c r="D35" i="5"/>
  <c r="C111" i="5" s="1"/>
  <c r="B139" i="5" s="1"/>
  <c r="D137" i="5" l="1"/>
  <c r="A36" i="5"/>
  <c r="A14" i="5"/>
  <c r="F135" i="5"/>
  <c r="B38" i="5"/>
  <c r="D36" i="5"/>
  <c r="C112" i="5" s="1"/>
  <c r="F34" i="5"/>
  <c r="E110" i="5" s="1"/>
  <c r="D138" i="5" s="1"/>
  <c r="I31" i="5"/>
  <c r="H107" i="5" s="1"/>
  <c r="E35" i="5"/>
  <c r="D111" i="5" s="1"/>
  <c r="C139" i="5" s="1"/>
  <c r="G33" i="5"/>
  <c r="F109" i="5" s="1"/>
  <c r="E137" i="5" s="1"/>
  <c r="H32" i="5"/>
  <c r="G108" i="5" s="1"/>
  <c r="F136" i="5" s="1"/>
  <c r="C37" i="5"/>
  <c r="B113" i="5" s="1"/>
  <c r="G135" i="5" l="1"/>
  <c r="A37" i="5"/>
  <c r="A15" i="5"/>
  <c r="B140" i="5"/>
  <c r="G34" i="5"/>
  <c r="F110" i="5" s="1"/>
  <c r="E138" i="5" s="1"/>
  <c r="F35" i="5"/>
  <c r="E111" i="5" s="1"/>
  <c r="D139" i="5" s="1"/>
  <c r="C38" i="5"/>
  <c r="B114" i="5" s="1"/>
  <c r="E36" i="5"/>
  <c r="D112" i="5" s="1"/>
  <c r="C140" i="5" s="1"/>
  <c r="B39" i="5"/>
  <c r="I32" i="5"/>
  <c r="H108" i="5" s="1"/>
  <c r="G136" i="5" s="1"/>
  <c r="H33" i="5"/>
  <c r="G109" i="5" s="1"/>
  <c r="J31" i="5"/>
  <c r="I107" i="5" s="1"/>
  <c r="D37" i="5"/>
  <c r="C113" i="5" s="1"/>
  <c r="B141" i="5" s="1"/>
  <c r="C39" i="5" l="1"/>
  <c r="B115" i="5" s="1"/>
  <c r="D38" i="5"/>
  <c r="C114" i="5" s="1"/>
  <c r="B142" i="5" s="1"/>
  <c r="B40" i="5"/>
  <c r="G35" i="5"/>
  <c r="F111" i="5" s="1"/>
  <c r="E37" i="5"/>
  <c r="D113" i="5" s="1"/>
  <c r="C141" i="5" s="1"/>
  <c r="I33" i="5"/>
  <c r="H109" i="5" s="1"/>
  <c r="G137" i="5" s="1"/>
  <c r="J32" i="5"/>
  <c r="I108" i="5" s="1"/>
  <c r="H136" i="5" s="1"/>
  <c r="H34" i="5"/>
  <c r="G110" i="5" s="1"/>
  <c r="F138" i="5" s="1"/>
  <c r="F36" i="5"/>
  <c r="E112" i="5" s="1"/>
  <c r="K31" i="5"/>
  <c r="J107" i="5" s="1"/>
  <c r="H135" i="5"/>
  <c r="A38" i="5"/>
  <c r="A16" i="5"/>
  <c r="F137" i="5"/>
  <c r="I135" i="5" l="1"/>
  <c r="E139" i="5"/>
  <c r="D140" i="5"/>
  <c r="D39" i="5"/>
  <c r="C115" i="5" s="1"/>
  <c r="B143" i="5" s="1"/>
  <c r="E38" i="5"/>
  <c r="D114" i="5" s="1"/>
  <c r="C142" i="5" s="1"/>
  <c r="C40" i="5"/>
  <c r="B116" i="5" s="1"/>
  <c r="B41" i="5"/>
  <c r="H35" i="5"/>
  <c r="G111" i="5" s="1"/>
  <c r="F37" i="5"/>
  <c r="E113" i="5" s="1"/>
  <c r="D141" i="5" s="1"/>
  <c r="J33" i="5"/>
  <c r="I109" i="5" s="1"/>
  <c r="K32" i="5"/>
  <c r="J108" i="5" s="1"/>
  <c r="I136" i="5" s="1"/>
  <c r="I34" i="5"/>
  <c r="H110" i="5" s="1"/>
  <c r="G138" i="5" s="1"/>
  <c r="L31" i="5"/>
  <c r="K107" i="5" s="1"/>
  <c r="G36" i="5"/>
  <c r="F112" i="5" s="1"/>
  <c r="E140" i="5" s="1"/>
  <c r="A39" i="5"/>
  <c r="A17" i="5"/>
  <c r="J135" i="5" l="1"/>
  <c r="F139" i="5"/>
  <c r="D40" i="5"/>
  <c r="C116" i="5" s="1"/>
  <c r="B144" i="5" s="1"/>
  <c r="G37" i="5"/>
  <c r="F113" i="5" s="1"/>
  <c r="B42" i="5"/>
  <c r="E39" i="5"/>
  <c r="D115" i="5" s="1"/>
  <c r="C143" i="5" s="1"/>
  <c r="H36" i="5"/>
  <c r="G112" i="5" s="1"/>
  <c r="F140" i="5" s="1"/>
  <c r="K33" i="5"/>
  <c r="J109" i="5" s="1"/>
  <c r="I137" i="5" s="1"/>
  <c r="L32" i="5"/>
  <c r="K108" i="5" s="1"/>
  <c r="J136" i="5" s="1"/>
  <c r="C41" i="5"/>
  <c r="B117" i="5" s="1"/>
  <c r="I35" i="5"/>
  <c r="H111" i="5" s="1"/>
  <c r="G139" i="5" s="1"/>
  <c r="J34" i="5"/>
  <c r="I110" i="5" s="1"/>
  <c r="H138" i="5" s="1"/>
  <c r="M31" i="5"/>
  <c r="L107" i="5" s="1"/>
  <c r="F38" i="5"/>
  <c r="E114" i="5" s="1"/>
  <c r="A40" i="5"/>
  <c r="A18" i="5"/>
  <c r="H137" i="5"/>
  <c r="D142" i="5" l="1"/>
  <c r="A41" i="5"/>
  <c r="A19" i="5"/>
  <c r="E141" i="5"/>
  <c r="K135" i="5"/>
  <c r="D41" i="5"/>
  <c r="C117" i="5" s="1"/>
  <c r="B145" i="5" s="1"/>
  <c r="D116" i="5"/>
  <c r="C144" i="5" s="1"/>
  <c r="H37" i="5"/>
  <c r="G113" i="5" s="1"/>
  <c r="F39" i="5"/>
  <c r="E115" i="5" s="1"/>
  <c r="D143" i="5" s="1"/>
  <c r="I36" i="5"/>
  <c r="H112" i="5" s="1"/>
  <c r="G140" i="5" s="1"/>
  <c r="L33" i="5"/>
  <c r="K109" i="5" s="1"/>
  <c r="J137" i="5" s="1"/>
  <c r="M32" i="5"/>
  <c r="L108" i="5" s="1"/>
  <c r="K136" i="5" s="1"/>
  <c r="K34" i="5"/>
  <c r="J110" i="5" s="1"/>
  <c r="I138" i="5" s="1"/>
  <c r="N31" i="5"/>
  <c r="M107" i="5" s="1"/>
  <c r="B43" i="5"/>
  <c r="C42" i="5"/>
  <c r="B118" i="5" s="1"/>
  <c r="G38" i="5"/>
  <c r="F114" i="5" s="1"/>
  <c r="E142" i="5" s="1"/>
  <c r="J35" i="5"/>
  <c r="I111" i="5" s="1"/>
  <c r="H139" i="5" l="1"/>
  <c r="A42" i="5"/>
  <c r="A20" i="5"/>
  <c r="B44" i="5"/>
  <c r="E41" i="5"/>
  <c r="D117" i="5" s="1"/>
  <c r="C43" i="5"/>
  <c r="B119" i="5" s="1"/>
  <c r="G39" i="5"/>
  <c r="F115" i="5" s="1"/>
  <c r="J36" i="5"/>
  <c r="I112" i="5" s="1"/>
  <c r="L34" i="5"/>
  <c r="K110" i="5" s="1"/>
  <c r="H38" i="5"/>
  <c r="G114" i="5" s="1"/>
  <c r="O31" i="5"/>
  <c r="N107" i="5" s="1"/>
  <c r="D42" i="5"/>
  <c r="C118" i="5" s="1"/>
  <c r="I37" i="5"/>
  <c r="H113" i="5" s="1"/>
  <c r="F40" i="5"/>
  <c r="E116" i="5" s="1"/>
  <c r="N32" i="5"/>
  <c r="M108" i="5" s="1"/>
  <c r="K35" i="5"/>
  <c r="J111" i="5" s="1"/>
  <c r="M33" i="5"/>
  <c r="L109" i="5" s="1"/>
  <c r="L135" i="5"/>
  <c r="F141" i="5"/>
  <c r="F142" i="5" l="1"/>
  <c r="D144" i="5"/>
  <c r="L136" i="5"/>
  <c r="I139" i="5"/>
  <c r="D43" i="5"/>
  <c r="C119" i="5" s="1"/>
  <c r="B147" i="5" s="1"/>
  <c r="C44" i="5"/>
  <c r="B120" i="5" s="1"/>
  <c r="M34" i="5"/>
  <c r="L110" i="5" s="1"/>
  <c r="I38" i="5"/>
  <c r="H114" i="5" s="1"/>
  <c r="G142" i="5" s="1"/>
  <c r="B45" i="5"/>
  <c r="L35" i="5"/>
  <c r="K111" i="5" s="1"/>
  <c r="J139" i="5" s="1"/>
  <c r="H39" i="5"/>
  <c r="G115" i="5" s="1"/>
  <c r="P31" i="5"/>
  <c r="O107" i="5" s="1"/>
  <c r="E42" i="5"/>
  <c r="D118" i="5" s="1"/>
  <c r="C146" i="5" s="1"/>
  <c r="G40" i="5"/>
  <c r="F116" i="5" s="1"/>
  <c r="E144" i="5" s="1"/>
  <c r="J37" i="5"/>
  <c r="I113" i="5" s="1"/>
  <c r="H141" i="5" s="1"/>
  <c r="K36" i="5"/>
  <c r="J112" i="5" s="1"/>
  <c r="I140" i="5" s="1"/>
  <c r="N33" i="5"/>
  <c r="M109" i="5" s="1"/>
  <c r="L137" i="5" s="1"/>
  <c r="F41" i="5"/>
  <c r="E117" i="5" s="1"/>
  <c r="D145" i="5" s="1"/>
  <c r="O32" i="5"/>
  <c r="N108" i="5" s="1"/>
  <c r="M136" i="5" s="1"/>
  <c r="J138" i="5"/>
  <c r="H140" i="5"/>
  <c r="A43" i="5"/>
  <c r="A21" i="5"/>
  <c r="G141" i="5"/>
  <c r="E143" i="5"/>
  <c r="B146" i="5"/>
  <c r="K137" i="5"/>
  <c r="M135" i="5"/>
  <c r="C145" i="5"/>
  <c r="N135" i="5" l="1"/>
  <c r="F143" i="5"/>
  <c r="A44" i="5"/>
  <c r="A22" i="5"/>
  <c r="F42" i="5"/>
  <c r="E118" i="5" s="1"/>
  <c r="D146" i="5" s="1"/>
  <c r="I39" i="5"/>
  <c r="H115" i="5" s="1"/>
  <c r="J38" i="5"/>
  <c r="I114" i="5" s="1"/>
  <c r="C45" i="5"/>
  <c r="B121" i="5" s="1"/>
  <c r="M35" i="5"/>
  <c r="L111" i="5" s="1"/>
  <c r="N34" i="5"/>
  <c r="M110" i="5" s="1"/>
  <c r="H40" i="5"/>
  <c r="G116" i="5" s="1"/>
  <c r="F144" i="5" s="1"/>
  <c r="K37" i="5"/>
  <c r="J113" i="5" s="1"/>
  <c r="I141" i="5" s="1"/>
  <c r="L36" i="5"/>
  <c r="K112" i="5" s="1"/>
  <c r="D44" i="5"/>
  <c r="C120" i="5" s="1"/>
  <c r="B148" i="5" s="1"/>
  <c r="O33" i="5"/>
  <c r="N109" i="5" s="1"/>
  <c r="P32" i="5"/>
  <c r="O108" i="5" s="1"/>
  <c r="N136" i="5" s="1"/>
  <c r="B46" i="5"/>
  <c r="E43" i="5"/>
  <c r="D119" i="5" s="1"/>
  <c r="G41" i="5"/>
  <c r="F117" i="5" s="1"/>
  <c r="E145" i="5" s="1"/>
  <c r="Q31" i="5"/>
  <c r="P107" i="5" s="1"/>
  <c r="K138" i="5"/>
  <c r="O135" i="5" l="1"/>
  <c r="J140" i="5"/>
  <c r="H142" i="5"/>
  <c r="C147" i="5"/>
  <c r="G143" i="5"/>
  <c r="B47" i="5"/>
  <c r="G42" i="5"/>
  <c r="F118" i="5" s="1"/>
  <c r="J39" i="5"/>
  <c r="I115" i="5" s="1"/>
  <c r="K38" i="5"/>
  <c r="J114" i="5" s="1"/>
  <c r="I40" i="5"/>
  <c r="H116" i="5" s="1"/>
  <c r="L37" i="5"/>
  <c r="K113" i="5" s="1"/>
  <c r="D45" i="5"/>
  <c r="C121" i="5" s="1"/>
  <c r="N35" i="5"/>
  <c r="M111" i="5" s="1"/>
  <c r="H41" i="5"/>
  <c r="G117" i="5" s="1"/>
  <c r="M36" i="5"/>
  <c r="L112" i="5" s="1"/>
  <c r="E44" i="5"/>
  <c r="D120" i="5" s="1"/>
  <c r="P33" i="5"/>
  <c r="O109" i="5" s="1"/>
  <c r="Q32" i="5"/>
  <c r="P108" i="5" s="1"/>
  <c r="F43" i="5"/>
  <c r="E119" i="5" s="1"/>
  <c r="O34" i="5"/>
  <c r="N110" i="5" s="1"/>
  <c r="R31" i="5"/>
  <c r="Q107" i="5" s="1"/>
  <c r="C46" i="5"/>
  <c r="B122" i="5" s="1"/>
  <c r="L138" i="5"/>
  <c r="A45" i="5"/>
  <c r="A23" i="5"/>
  <c r="M137" i="5"/>
  <c r="K139" i="5"/>
  <c r="N137" i="5" l="1"/>
  <c r="G144" i="5"/>
  <c r="K140" i="5"/>
  <c r="M138" i="5"/>
  <c r="H143" i="5"/>
  <c r="J141" i="5"/>
  <c r="A46" i="5"/>
  <c r="A24" i="5"/>
  <c r="C148" i="5"/>
  <c r="P135" i="5"/>
  <c r="I142" i="5"/>
  <c r="F145" i="5"/>
  <c r="D147" i="5"/>
  <c r="L139" i="5"/>
  <c r="E146" i="5"/>
  <c r="O136" i="5"/>
  <c r="B149" i="5"/>
  <c r="J40" i="5"/>
  <c r="I116" i="5" s="1"/>
  <c r="M37" i="5"/>
  <c r="L113" i="5" s="1"/>
  <c r="C47" i="5"/>
  <c r="B123" i="5" s="1"/>
  <c r="L38" i="5"/>
  <c r="K114" i="5" s="1"/>
  <c r="J142" i="5" s="1"/>
  <c r="I41" i="5"/>
  <c r="H117" i="5" s="1"/>
  <c r="G145" i="5" s="1"/>
  <c r="D46" i="5"/>
  <c r="C122" i="5" s="1"/>
  <c r="G43" i="5"/>
  <c r="F119" i="5" s="1"/>
  <c r="E147" i="5" s="1"/>
  <c r="H42" i="5"/>
  <c r="G118" i="5" s="1"/>
  <c r="F146" i="5" s="1"/>
  <c r="N36" i="5"/>
  <c r="M112" i="5" s="1"/>
  <c r="Q33" i="5"/>
  <c r="P109" i="5" s="1"/>
  <c r="R32" i="5"/>
  <c r="Q108" i="5" s="1"/>
  <c r="P136" i="5" s="1"/>
  <c r="E45" i="5"/>
  <c r="D121" i="5" s="1"/>
  <c r="C149" i="5" s="1"/>
  <c r="B48" i="5"/>
  <c r="F44" i="5"/>
  <c r="E120" i="5" s="1"/>
  <c r="S31" i="5"/>
  <c r="R107" i="5" s="1"/>
  <c r="O35" i="5"/>
  <c r="N111" i="5" s="1"/>
  <c r="K39" i="5"/>
  <c r="J115" i="5" s="1"/>
  <c r="P34" i="5"/>
  <c r="O110" i="5" s="1"/>
  <c r="K157" i="5" l="1"/>
  <c r="C48" i="5"/>
  <c r="B124" i="5" s="1"/>
  <c r="F45" i="5"/>
  <c r="E121" i="5" s="1"/>
  <c r="D160" i="5" s="1"/>
  <c r="D166" i="5" s="1"/>
  <c r="G44" i="5"/>
  <c r="F120" i="5" s="1"/>
  <c r="J41" i="5"/>
  <c r="I117" i="5" s="1"/>
  <c r="H163" i="5" s="1"/>
  <c r="D122" i="5"/>
  <c r="H43" i="5"/>
  <c r="G119" i="5" s="1"/>
  <c r="I42" i="5"/>
  <c r="H118" i="5" s="1"/>
  <c r="O36" i="5"/>
  <c r="N112" i="5" s="1"/>
  <c r="R33" i="5"/>
  <c r="Q109" i="5" s="1"/>
  <c r="S32" i="5"/>
  <c r="R108" i="5" s="1"/>
  <c r="K40" i="5"/>
  <c r="J116" i="5" s="1"/>
  <c r="N37" i="5"/>
  <c r="M113" i="5" s="1"/>
  <c r="Q34" i="5"/>
  <c r="P110" i="5" s="1"/>
  <c r="T31" i="5"/>
  <c r="S107" i="5" s="1"/>
  <c r="P35" i="5"/>
  <c r="O111" i="5" s="1"/>
  <c r="N157" i="5" s="1"/>
  <c r="M38" i="5"/>
  <c r="L114" i="5" s="1"/>
  <c r="D47" i="5"/>
  <c r="C123" i="5" s="1"/>
  <c r="L39" i="5"/>
  <c r="K115" i="5" s="1"/>
  <c r="M139" i="5"/>
  <c r="M157" i="5"/>
  <c r="B150" i="5"/>
  <c r="B160" i="5"/>
  <c r="B166" i="5" s="1"/>
  <c r="C160" i="5"/>
  <c r="C166" i="5" s="1"/>
  <c r="C163" i="5"/>
  <c r="I143" i="5"/>
  <c r="I160" i="5"/>
  <c r="O137" i="5"/>
  <c r="O157" i="5"/>
  <c r="M163" i="5"/>
  <c r="M166" i="5" s="1"/>
  <c r="L140" i="5"/>
  <c r="J163" i="5"/>
  <c r="J166" i="5" s="1"/>
  <c r="H144" i="5"/>
  <c r="H160" i="5"/>
  <c r="H166" i="5" s="1"/>
  <c r="N138" i="5"/>
  <c r="A47" i="5"/>
  <c r="A25" i="5"/>
  <c r="A48" i="5" s="1"/>
  <c r="G163" i="5"/>
  <c r="Q135" i="5"/>
  <c r="Q157" i="5"/>
  <c r="Q166" i="5" s="1"/>
  <c r="D148" i="5"/>
  <c r="K141" i="5"/>
  <c r="K160" i="5"/>
  <c r="D163" i="5"/>
  <c r="P137" i="5" l="1"/>
  <c r="B184" i="5"/>
  <c r="D184" i="5" s="1"/>
  <c r="F184" i="5" s="1"/>
  <c r="I184" i="5" s="1"/>
  <c r="M140" i="5"/>
  <c r="M160" i="5"/>
  <c r="O138" i="5"/>
  <c r="P157" i="5"/>
  <c r="E148" i="5"/>
  <c r="E157" i="5"/>
  <c r="E160" i="5"/>
  <c r="E166" i="5" s="1"/>
  <c r="J143" i="5"/>
  <c r="J160" i="5"/>
  <c r="J157" i="5"/>
  <c r="L141" i="5"/>
  <c r="L163" i="5"/>
  <c r="L166" i="5" s="1"/>
  <c r="L169" i="5" s="1"/>
  <c r="L171" i="5" s="1"/>
  <c r="B186" i="5" s="1"/>
  <c r="D186" i="5" s="1"/>
  <c r="F186" i="5" s="1"/>
  <c r="I186" i="5" s="1"/>
  <c r="L160" i="5"/>
  <c r="O163" i="5"/>
  <c r="O166" i="5" s="1"/>
  <c r="P163" i="5"/>
  <c r="P166" i="5" s="1"/>
  <c r="P169" i="5" s="1"/>
  <c r="P171" i="5" s="1"/>
  <c r="B182" i="5" s="1"/>
  <c r="D182" i="5" s="1"/>
  <c r="F182" i="5" s="1"/>
  <c r="I182" i="5" s="1"/>
  <c r="B151" i="5"/>
  <c r="B157" i="5"/>
  <c r="I144" i="5"/>
  <c r="I157" i="5"/>
  <c r="I163" i="5"/>
  <c r="I166" i="5" s="1"/>
  <c r="C150" i="5"/>
  <c r="C157" i="5"/>
  <c r="N139" i="5"/>
  <c r="B179" i="5"/>
  <c r="D179" i="5" s="1"/>
  <c r="F179" i="5" s="1"/>
  <c r="R135" i="5"/>
  <c r="R157" i="5"/>
  <c r="R166" i="5" s="1"/>
  <c r="R169" i="5" s="1"/>
  <c r="R171" i="5" s="1"/>
  <c r="D149" i="5"/>
  <c r="D157" i="5"/>
  <c r="E163" i="5"/>
  <c r="G146" i="5"/>
  <c r="G157" i="5"/>
  <c r="F147" i="5"/>
  <c r="F157" i="5"/>
  <c r="F163" i="5"/>
  <c r="F160" i="5"/>
  <c r="F166" i="5" s="1"/>
  <c r="B169" i="5" s="1"/>
  <c r="B171" i="5" s="1"/>
  <c r="B196" i="5" s="1"/>
  <c r="D196" i="5" s="1"/>
  <c r="F196" i="5" s="1"/>
  <c r="I196" i="5" s="1"/>
  <c r="G160" i="5"/>
  <c r="G166" i="5" s="1"/>
  <c r="Q169" i="5"/>
  <c r="Q171" i="5" s="1"/>
  <c r="B181" i="5" s="1"/>
  <c r="D181" i="5" s="1"/>
  <c r="F181" i="5" s="1"/>
  <c r="I181" i="5" s="1"/>
  <c r="L157" i="5"/>
  <c r="B163" i="5"/>
  <c r="K142" i="5"/>
  <c r="K163" i="5"/>
  <c r="K166" i="5" s="1"/>
  <c r="J169" i="5" s="1"/>
  <c r="J171" i="5" s="1"/>
  <c r="B188" i="5" s="1"/>
  <c r="D188" i="5" s="1"/>
  <c r="F188" i="5" s="1"/>
  <c r="I188" i="5" s="1"/>
  <c r="B180" i="5"/>
  <c r="D180" i="5" s="1"/>
  <c r="F180" i="5" s="1"/>
  <c r="I180" i="5" s="1"/>
  <c r="Q136" i="5"/>
  <c r="H145" i="5"/>
  <c r="H157" i="5"/>
  <c r="N163" i="5"/>
  <c r="N166" i="5" s="1"/>
  <c r="N169" i="5" s="1"/>
  <c r="N171" i="5" s="1"/>
  <c r="I179" i="5" l="1"/>
  <c r="I169" i="5"/>
  <c r="I171" i="5" s="1"/>
  <c r="B189" i="5" s="1"/>
  <c r="D189" i="5" s="1"/>
  <c r="F189" i="5" s="1"/>
  <c r="I189" i="5" s="1"/>
  <c r="G169" i="5"/>
  <c r="G171" i="5" s="1"/>
  <c r="B191" i="5" s="1"/>
  <c r="D191" i="5" s="1"/>
  <c r="F191" i="5" s="1"/>
  <c r="I191" i="5" s="1"/>
  <c r="C169" i="5"/>
  <c r="C171" i="5" s="1"/>
  <c r="B195" i="5" s="1"/>
  <c r="D195" i="5" s="1"/>
  <c r="F195" i="5" s="1"/>
  <c r="I195" i="5" s="1"/>
  <c r="F169" i="5"/>
  <c r="F171" i="5" s="1"/>
  <c r="B192" i="5" s="1"/>
  <c r="D192" i="5" s="1"/>
  <c r="F192" i="5" s="1"/>
  <c r="I192" i="5" s="1"/>
  <c r="E169" i="5"/>
  <c r="E171" i="5" s="1"/>
  <c r="B193" i="5" s="1"/>
  <c r="D193" i="5" s="1"/>
  <c r="F193" i="5" s="1"/>
  <c r="I193" i="5" s="1"/>
  <c r="M169" i="5"/>
  <c r="M171" i="5" s="1"/>
  <c r="B185" i="5" s="1"/>
  <c r="D185" i="5" s="1"/>
  <c r="F185" i="5" s="1"/>
  <c r="I185" i="5" s="1"/>
  <c r="K169" i="5"/>
  <c r="K171" i="5" s="1"/>
  <c r="B187" i="5" s="1"/>
  <c r="D187" i="5" s="1"/>
  <c r="F187" i="5" s="1"/>
  <c r="I187" i="5" s="1"/>
  <c r="H169" i="5"/>
  <c r="H171" i="5" s="1"/>
  <c r="B190" i="5" s="1"/>
  <c r="D190" i="5" s="1"/>
  <c r="F190" i="5" s="1"/>
  <c r="I190" i="5" s="1"/>
  <c r="O169" i="5"/>
  <c r="O171" i="5" s="1"/>
  <c r="B183" i="5" s="1"/>
  <c r="D183" i="5" s="1"/>
  <c r="F183" i="5" s="1"/>
  <c r="I183" i="5" s="1"/>
  <c r="D169" i="5"/>
  <c r="D171" i="5" s="1"/>
  <c r="B194" i="5" s="1"/>
  <c r="D194" i="5" s="1"/>
  <c r="F194" i="5" s="1"/>
  <c r="I194" i="5" s="1"/>
  <c r="I19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tc={B8DFFE92-4C1F-834A-8B14-DF1C3BAE1D39}</author>
    <author>tc={956F094E-48EA-BD43-A476-97D9B87AF8A6}</author>
  </authors>
  <commentList>
    <comment ref="C16" authorId="0" shapeId="0" xr:uid="{B8DFFE92-4C1F-834A-8B14-DF1C3BAE1D39}">
      <text>
        <t>[Threaded comment]
Your version of Excel allows you to read this threaded comment; however, any edits to it will get removed if the file is opened in a newer version of Excel. Learn more: https://go.microsoft.com/fwlink/?linkid=870924
Comment:
    Note how the formula proceeds to the second condition only if the first is not verified.</t>
      </text>
    </comment>
    <comment ref="E16" authorId="1" shapeId="0" xr:uid="{956F094E-48EA-BD43-A476-97D9B87AF8A6}">
      <text>
        <t>[Threaded comment]
Your version of Excel allows you to read this threaded comment; however, any edits to it will get removed if the file is opened in a newer version of Excel. Learn more: https://go.microsoft.com/fwlink/?linkid=870924
Comment:
    note how the “TRUE” condition at the end (which is always true!!) is a catch all condition (default if none of the preceding conditions are verified)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<sst xmlns="http://schemas.openxmlformats.org/spreadsheetml/2006/main" count="580" uniqueCount="315">
  <si>
    <t>Attacking</t>
  </si>
  <si>
    <t>Normal</t>
  </si>
  <si>
    <t>Fire</t>
  </si>
  <si>
    <t>Water</t>
  </si>
  <si>
    <t>Electric</t>
  </si>
  <si>
    <t>Grass</t>
  </si>
  <si>
    <t>Ice</t>
  </si>
  <si>
    <t>Fighting</t>
  </si>
  <si>
    <t>Poison</t>
  </si>
  <si>
    <t>Ground</t>
  </si>
  <si>
    <t>Flying</t>
  </si>
  <si>
    <t>Psychic</t>
  </si>
  <si>
    <t>Bug</t>
  </si>
  <si>
    <t>Rock</t>
  </si>
  <si>
    <t>Ghost</t>
  </si>
  <si>
    <t>Dragon</t>
  </si>
  <si>
    <t>Dark</t>
  </si>
  <si>
    <t>Steel</t>
  </si>
  <si>
    <t>Fairy</t>
  </si>
  <si>
    <t>Source:</t>
  </si>
  <si>
    <t>https://github.com/zonination/pokemon-chart/blob/master/chart.csv</t>
  </si>
  <si>
    <t>FIFA Women's World Cup Stats (1991 - 2019)</t>
  </si>
  <si>
    <t>id</t>
  </si>
  <si>
    <t>squad</t>
  </si>
  <si>
    <t>year</t>
  </si>
  <si>
    <t>players</t>
  </si>
  <si>
    <t>age</t>
  </si>
  <si>
    <t>possesion</t>
  </si>
  <si>
    <t>matches_played</t>
  </si>
  <si>
    <t>starts</t>
  </si>
  <si>
    <t>min_playing_time</t>
  </si>
  <si>
    <t>minutes_played_90s</t>
  </si>
  <si>
    <t>goals</t>
  </si>
  <si>
    <t>assists</t>
  </si>
  <si>
    <t>non_penalty_goals</t>
  </si>
  <si>
    <t>penalty_kicks_made</t>
  </si>
  <si>
    <t>penalty_kicks_attempted</t>
  </si>
  <si>
    <t>yellow_cards</t>
  </si>
  <si>
    <t>red_cards</t>
  </si>
  <si>
    <t>goals_per_90</t>
  </si>
  <si>
    <t>assists_per_90</t>
  </si>
  <si>
    <t>goals_plus_assists_per_90</t>
  </si>
  <si>
    <t>goals_minus_penalty_kicks_per_90</t>
  </si>
  <si>
    <t>goals_plus_assists_minus_penalty_kicks_per_90</t>
  </si>
  <si>
    <t>Argentina</t>
  </si>
  <si>
    <t>Australia</t>
  </si>
  <si>
    <t>Brazil</t>
  </si>
  <si>
    <t>Cameroon</t>
  </si>
  <si>
    <t>Canada</t>
  </si>
  <si>
    <t>Chile</t>
  </si>
  <si>
    <t>China PR</t>
  </si>
  <si>
    <t>England</t>
  </si>
  <si>
    <t>France</t>
  </si>
  <si>
    <t>Germany</t>
  </si>
  <si>
    <t>Italy</t>
  </si>
  <si>
    <t>Jamaica</t>
  </si>
  <si>
    <t>Japan</t>
  </si>
  <si>
    <t>Korea Rep</t>
  </si>
  <si>
    <t>Netherlands</t>
  </si>
  <si>
    <t>New Zealand</t>
  </si>
  <si>
    <t>Nigeria</t>
  </si>
  <si>
    <t>Norway</t>
  </si>
  <si>
    <t>Scotland</t>
  </si>
  <si>
    <t>South Africa</t>
  </si>
  <si>
    <t>Spain</t>
  </si>
  <si>
    <t>Sweden</t>
  </si>
  <si>
    <t>Thailand</t>
  </si>
  <si>
    <t>USA</t>
  </si>
  <si>
    <t>Colombia</t>
  </si>
  <si>
    <t>Costa Rica</t>
  </si>
  <si>
    <t>C√¥te d'Ivoire</t>
  </si>
  <si>
    <t>Ecuador</t>
  </si>
  <si>
    <t>Mexico</t>
  </si>
  <si>
    <t>Switzerland</t>
  </si>
  <si>
    <t>Equ. Guinea</t>
  </si>
  <si>
    <t>Korea DPR</t>
  </si>
  <si>
    <t>Denmark</t>
  </si>
  <si>
    <t>Ghana</t>
  </si>
  <si>
    <t>Russia</t>
  </si>
  <si>
    <t>Chinese Taipei</t>
  </si>
  <si>
    <t>Absolute and mixed cell references: Chapter 7 EE19, pages 332-342</t>
  </si>
  <si>
    <t>Pull the formula in the top left corner right, and down, over the yellow area. Can you explain the differences?</t>
  </si>
  <si>
    <t>New Excel 2019 functions (IFS, MAXIFS, MINIFS): Chapter 8, pages 381-398</t>
  </si>
  <si>
    <t>Simple if:</t>
  </si>
  <si>
    <t>IFS</t>
  </si>
  <si>
    <t>MAXIFS</t>
  </si>
  <si>
    <t>MINIFS</t>
  </si>
  <si>
    <t>Paste with transpose will achieve the same as transpose:</t>
  </si>
  <si>
    <t>(All)</t>
  </si>
  <si>
    <t>Row Labels</t>
  </si>
  <si>
    <t>Sum of matches_played</t>
  </si>
  <si>
    <t>Sum of goals</t>
  </si>
  <si>
    <t>Grand Total</t>
  </si>
  <si>
    <t>Average of possesion</t>
  </si>
  <si>
    <t>Spilling</t>
  </si>
  <si>
    <t>Hello</t>
  </si>
  <si>
    <t>&lt;-  =LEN(B3:B6)</t>
  </si>
  <si>
    <t xml:space="preserve">World </t>
  </si>
  <si>
    <t>of</t>
  </si>
  <si>
    <t>Actuaries</t>
  </si>
  <si>
    <t>Think in vectors</t>
  </si>
  <si>
    <t>How often is Fire&gt;Water?</t>
  </si>
  <si>
    <t>For which type of pokemon?</t>
  </si>
  <si>
    <t>Loss ratios</t>
  </si>
  <si>
    <t>NSW</t>
  </si>
  <si>
    <t>VIC</t>
  </si>
  <si>
    <t>ACT</t>
  </si>
  <si>
    <t>Motor</t>
  </si>
  <si>
    <t>Liability</t>
  </si>
  <si>
    <t>Life</t>
  </si>
  <si>
    <t>Property</t>
  </si>
  <si>
    <t>The # sign</t>
  </si>
  <si>
    <t xml:space="preserve">Try to change to SEQUENCE(10) and compare sum differences above </t>
  </si>
  <si>
    <t>Some new formulas</t>
  </si>
  <si>
    <t>Which teams played 7 matches?</t>
  </si>
  <si>
    <t>Lookup functions</t>
  </si>
  <si>
    <t>VLOOKUP</t>
  </si>
  <si>
    <t>You can specify a lookup array and find all the corresponding values.</t>
  </si>
  <si>
    <t>Or return multiple columns as previouly shown</t>
  </si>
  <si>
    <t>You can even return multiple rows with different columns!</t>
  </si>
  <si>
    <t>We use 'Products' as the lookup array</t>
  </si>
  <si>
    <t>It must be at the first column of your table</t>
  </si>
  <si>
    <t>-&gt; returning 2nd and 4th column in first row</t>
  </si>
  <si>
    <t>and we select the 4th column to return values.</t>
  </si>
  <si>
    <t>-&gt; 1st and 3rd column in 2nd row</t>
  </si>
  <si>
    <t>-&gt; return N/A if value does not exist.</t>
  </si>
  <si>
    <t>-&gt; 4th and 2nd column in 3rd row</t>
  </si>
  <si>
    <r>
      <rPr>
        <b/>
        <sz val="12"/>
        <color rgb="FFFF0000"/>
        <rFont val="Calibri"/>
        <family val="2"/>
      </rPr>
      <t>XLOOKUP</t>
    </r>
    <r>
      <rPr>
        <sz val="12"/>
        <color rgb="FFFF0000"/>
        <rFont val="Calibri"/>
        <family val="2"/>
      </rPr>
      <t xml:space="preserve"> - We don't have to specify the column number.</t>
    </r>
  </si>
  <si>
    <t>Product</t>
  </si>
  <si>
    <t xml:space="preserve">Specifying return values if not found </t>
  </si>
  <si>
    <r>
      <t xml:space="preserve">MATCH </t>
    </r>
    <r>
      <rPr>
        <sz val="12"/>
        <color rgb="FFFF0000"/>
        <rFont val="Calibri"/>
        <family val="2"/>
        <scheme val="minor"/>
      </rPr>
      <t>- Matching the index of your lookup array</t>
    </r>
  </si>
  <si>
    <t>Combining with INDEX makes it works like a lookup function</t>
  </si>
  <si>
    <t>XLOOKUP does not require your lookup array in your data table</t>
  </si>
  <si>
    <t>However your lookup and return array need to have same length.</t>
  </si>
  <si>
    <t>Travel</t>
  </si>
  <si>
    <t>INDEX</t>
  </si>
  <si>
    <t>INDEX returns the value inside your array with specified index.</t>
  </si>
  <si>
    <t xml:space="preserve">How many goals did Argentina scored? </t>
  </si>
  <si>
    <t>Specifying search mode</t>
  </si>
  <si>
    <t>1: First to last; -1: Last to first</t>
  </si>
  <si>
    <r>
      <rPr>
        <b/>
        <sz val="12"/>
        <color rgb="FFFF0000"/>
        <rFont val="Calibri"/>
        <family val="2"/>
        <scheme val="minor"/>
      </rPr>
      <t>XMATCH</t>
    </r>
    <r>
      <rPr>
        <sz val="12"/>
        <color rgb="FFFF0000"/>
        <rFont val="Calibri"/>
        <family val="2"/>
        <scheme val="minor"/>
      </rPr>
      <t xml:space="preserve"> - allows specified search mode</t>
    </r>
  </si>
  <si>
    <t>allows lookup from the last item.</t>
  </si>
  <si>
    <t>Argentina went to world cup for multiple years.</t>
  </si>
  <si>
    <t>So there will be different number of goals if we search in different order.</t>
  </si>
  <si>
    <t>Dynamic references</t>
  </si>
  <si>
    <t>OFFSET</t>
  </si>
  <si>
    <t>Month</t>
  </si>
  <si>
    <t>Profit</t>
  </si>
  <si>
    <t>Which month?</t>
  </si>
  <si>
    <t>Jan</t>
  </si>
  <si>
    <t>Feb</t>
  </si>
  <si>
    <t>Mar</t>
  </si>
  <si>
    <t>Apr</t>
  </si>
  <si>
    <t>May</t>
  </si>
  <si>
    <t>From</t>
  </si>
  <si>
    <t>To</t>
  </si>
  <si>
    <t>Jun</t>
  </si>
  <si>
    <t>&lt;- try change this</t>
  </si>
  <si>
    <t>Jul</t>
  </si>
  <si>
    <t>You can dynamically reference a specified period!</t>
  </si>
  <si>
    <t>Aug</t>
  </si>
  <si>
    <t>Sep</t>
  </si>
  <si>
    <t>First, select the whole table to offset.</t>
  </si>
  <si>
    <t>Oct</t>
  </si>
  <si>
    <t>Move down 'F10' rows to get to the starting month.</t>
  </si>
  <si>
    <t>Nov</t>
  </si>
  <si>
    <t>You don't need to offset by columns, so 0 as the third argument.</t>
  </si>
  <si>
    <t>Dec</t>
  </si>
  <si>
    <t>Then you select the number of rows between starting and ending mont.</t>
  </si>
  <si>
    <t>And you select 2 columns, which is the original width of your table.</t>
  </si>
  <si>
    <t>ADDRESS</t>
  </si>
  <si>
    <t>find the address of the specified rows and columns</t>
  </si>
  <si>
    <t>What is the address storing the month 'Jan' inside the table?</t>
  </si>
  <si>
    <t>&lt;- We are finding the address at row 26 and column 2, which stores the text 'Jan'.</t>
  </si>
  <si>
    <t>INDIRECT</t>
  </si>
  <si>
    <t>get the value of the address specified in cell</t>
  </si>
  <si>
    <t>What does that address contain?</t>
  </si>
  <si>
    <t>Combining together...</t>
  </si>
  <si>
    <t>You can reference any part of your table!</t>
  </si>
  <si>
    <t>You can do it with OFFSET too!</t>
  </si>
  <si>
    <t xml:space="preserve">To </t>
  </si>
  <si>
    <t>From Week</t>
  </si>
  <si>
    <t>Up to Week</t>
  </si>
  <si>
    <t>&lt;-</t>
  </si>
  <si>
    <t>Change them!</t>
  </si>
  <si>
    <t>-&gt;</t>
  </si>
  <si>
    <t>Week1</t>
  </si>
  <si>
    <t>Week2</t>
  </si>
  <si>
    <t>Week3</t>
  </si>
  <si>
    <t>Week4</t>
  </si>
  <si>
    <t>Get the months-&gt;</t>
  </si>
  <si>
    <t>Get the numbers-&gt;</t>
  </si>
  <si>
    <t>The trick here is similar as INDIRECT(ADDRESS()), we dynamically select the range by adding week numbers.</t>
  </si>
  <si>
    <t>Breakdown:</t>
  </si>
  <si>
    <t>To get the months:</t>
  </si>
  <si>
    <t xml:space="preserve">MATCH(I39,A26:G26,0) </t>
  </si>
  <si>
    <t>Find which column in A26:G26 contains the starting month</t>
  </si>
  <si>
    <t>ADDRESS(38, MATCH(I39,A26:G26,0) )</t>
  </si>
  <si>
    <t>That is the address of the cell inside the table containing the starting month</t>
  </si>
  <si>
    <t>INDIRECT(ADDRESS(..,MATCH()))</t>
  </si>
  <si>
    <t>This gives you the indirect reference to the starting month.</t>
  </si>
  <si>
    <t>The second INDIRECT gives you the indirect reference for the ending month.</t>
  </si>
  <si>
    <t>Combining them will give us the specified months.</t>
  </si>
  <si>
    <t>To get the data:</t>
  </si>
  <si>
    <t>Same as above</t>
  </si>
  <si>
    <t>ADDRESS(38+K39, MATCH(I39,A26:G26,0) )</t>
  </si>
  <si>
    <t>We move down few rows (+K39) based on the starting week</t>
  </si>
  <si>
    <t>This gives you the indirect reference corresponds to the value to the starting month at the starting week.</t>
  </si>
  <si>
    <t>The second INDIRECT gives you the indirect reference for the ending month at the ending week.</t>
  </si>
  <si>
    <t>Note: We need INDIRECT(address):INDIRECT(address) to select the range between two indirect addresses.</t>
  </si>
  <si>
    <t>top left</t>
  </si>
  <si>
    <t>F55</t>
  </si>
  <si>
    <t>bottom right</t>
  </si>
  <si>
    <t>H57</t>
  </si>
  <si>
    <t>Table 3.10</t>
  </si>
  <si>
    <t>Incurred Losses</t>
  </si>
  <si>
    <t>Period</t>
  </si>
  <si>
    <t>Incurred losses to end of development year n=</t>
  </si>
  <si>
    <t>of origin</t>
  </si>
  <si>
    <t>$000</t>
  </si>
  <si>
    <t xml:space="preserve">Inflation </t>
  </si>
  <si>
    <t>Incurred losses, as of 31/12/1995, to end of development year n=</t>
  </si>
  <si>
    <t>factor</t>
  </si>
  <si>
    <t>Table 2.2</t>
  </si>
  <si>
    <t>Forecast Numbers of IBNR Claims</t>
  </si>
  <si>
    <t>Number of claims notified, actual and forecast (bold), in development year</t>
  </si>
  <si>
    <t>Number</t>
  </si>
  <si>
    <t>11 &amp; later</t>
  </si>
  <si>
    <t>to 1995</t>
  </si>
  <si>
    <t>IBNR</t>
  </si>
  <si>
    <t>Total</t>
  </si>
  <si>
    <t>Cumulative reported claim counts</t>
  </si>
  <si>
    <t>Average incurred cost per reported claim, by period of origin and for develop period j=</t>
  </si>
  <si>
    <t>Incurred loss age to age factors</t>
  </si>
  <si>
    <t>Age to age factor from development year n to n+1</t>
  </si>
  <si>
    <t>development year n=</t>
  </si>
  <si>
    <t>Weighted</t>
  </si>
  <si>
    <t>averages:</t>
  </si>
  <si>
    <t>All</t>
  </si>
  <si>
    <t>Last 6</t>
  </si>
  <si>
    <t>experience</t>
  </si>
  <si>
    <t>years</t>
  </si>
  <si>
    <t>Last 3</t>
  </si>
  <si>
    <t>Model(un-</t>
  </si>
  <si>
    <t>smoothed)</t>
  </si>
  <si>
    <t>&lt;- we could decide to set this to 1 to be conservative</t>
  </si>
  <si>
    <t>age-to-</t>
  </si>
  <si>
    <t>ultimate</t>
  </si>
  <si>
    <t>prop-to-ult</t>
  </si>
  <si>
    <t>Paid losses</t>
  </si>
  <si>
    <t>to</t>
  </si>
  <si>
    <t>Out-</t>
  </si>
  <si>
    <t>Incurred</t>
  </si>
  <si>
    <t>Incurred CL/</t>
  </si>
  <si>
    <t>Paid CL</t>
  </si>
  <si>
    <t>Separation</t>
  </si>
  <si>
    <t>Average cost</t>
  </si>
  <si>
    <t xml:space="preserve">Claim </t>
  </si>
  <si>
    <t>Ultimate</t>
  </si>
  <si>
    <t>1995</t>
  </si>
  <si>
    <t>standing</t>
  </si>
  <si>
    <t>CL</t>
  </si>
  <si>
    <t>PPCI</t>
  </si>
  <si>
    <t>unadjusted</t>
  </si>
  <si>
    <t>adjusted</t>
  </si>
  <si>
    <t>method</t>
  </si>
  <si>
    <t>per claim</t>
  </si>
  <si>
    <t>numbers</t>
  </si>
  <si>
    <t>=SUM(F179:F196)</t>
  </si>
  <si>
    <t>this formula is show as text by adding a apostrophe ' in front of it.</t>
  </si>
  <si>
    <t>Basic random functions</t>
  </si>
  <si>
    <t>Simulating different distributions (Continuous)</t>
  </si>
  <si>
    <t>Simulating Discrete RV</t>
  </si>
  <si>
    <t>Weather</t>
  </si>
  <si>
    <t>Probability</t>
  </si>
  <si>
    <t>RAND</t>
  </si>
  <si>
    <t>RANDARRAY</t>
  </si>
  <si>
    <t>Good</t>
  </si>
  <si>
    <t>OK</t>
  </si>
  <si>
    <t>Bad</t>
  </si>
  <si>
    <t>Frequency</t>
  </si>
  <si>
    <t>Empirical Probability</t>
  </si>
  <si>
    <t>Mean</t>
  </si>
  <si>
    <t>SD</t>
  </si>
  <si>
    <t>Var</t>
  </si>
  <si>
    <t>Theoretical</t>
  </si>
  <si>
    <t>Variance</t>
  </si>
  <si>
    <t>Theoretical Variance</t>
  </si>
  <si>
    <t>Record a macro</t>
  </si>
  <si>
    <t>Try running recorded_example1 here!</t>
  </si>
  <si>
    <t>Absolute and relative references in macro</t>
  </si>
  <si>
    <t>Run recorded_absolute_example.</t>
  </si>
  <si>
    <t>Undo everything, select another cell outside the table and run it again. What happens?</t>
  </si>
  <si>
    <t>(You can clear all formatting by Home -&gt; Editing -&gt; Clear -&gt; Clear all formatting)</t>
  </si>
  <si>
    <t>Now click on cell B15 and run recorded_relative example.</t>
  </si>
  <si>
    <t>Click on cell E15 and run it again. What happens?</t>
  </si>
  <si>
    <t>This example shows the difference between absolute and relative referencing in recorded macro.</t>
  </si>
  <si>
    <t>Buttons in macro</t>
  </si>
  <si>
    <t>Try clicking this button!</t>
  </si>
  <si>
    <t>And this shape!</t>
  </si>
  <si>
    <t>Editing a macro</t>
  </si>
  <si>
    <t>Click on any cell between M5:P8. Run recorded_example1_edit.</t>
  </si>
  <si>
    <t>We added new lines, where the font size of the row you selected increases.</t>
  </si>
  <si>
    <t>Added the following lines:</t>
  </si>
  <si>
    <t>Try Here</t>
  </si>
  <si>
    <t>Writing VBA: Conditioning</t>
  </si>
  <si>
    <t>Click on any values under profit and press the button.</t>
  </si>
  <si>
    <t>Here we have three situations with conditioning.</t>
  </si>
  <si>
    <t>Writing VBA: Loop</t>
  </si>
  <si>
    <t>Example: Print numbers from 1 to k, each number n times</t>
  </si>
  <si>
    <t>For Loop</t>
  </si>
  <si>
    <t>While loop version of the previous example.</t>
  </si>
  <si>
    <t>Paste special: Chapter 11, pages 518-530</t>
  </si>
  <si>
    <t>=SUM(LEN(B3#))</t>
  </si>
  <si>
    <t>=SUM(B3#)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</si>
</sst>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0.000"/>
    <numFmt numFmtId="165" formatCode="0.0"/>
    <numFmt numFmtId="166" formatCode="0.0%"/>
    <numFmt numFmtId="167" formatCode="_(* #,##0_);_(* \(#,##0\);_(* &quot;-&quot;??_);_(@_)"/>
  </numFmts>
  <fonts count="22" x14ac:knownFonts="1">
    <font>
      <sz val="12"/>
      <color theme="1"/>
      <name val="Calibri"/>
      <family val="2"/>
      <scheme val="minor"/>
    </font>
    <font>
      <sz val="11"/>
      <color theme="1"/>
      <name val="Calibri"/>
      <family val="2"/>
      <scheme val="minor"/>
    </font>
    <font>
      <b/>
      <sz val="12"/>
      <color theme="1"/>
      <name val="Calibri"/>
      <family val="2"/>
      <scheme val="minor"/>
    </font>
    <font>
      <b/>
      <sz val="12"/>
      <color rgb="FFFF0000"/>
      <name val="Calibri"/>
      <family val="2"/>
      <scheme val="minor"/>
    </font>
    <font>
      <u/>
      <sz val="12"/>
      <color theme="10"/>
      <name val="Calibri"/>
      <family val="2"/>
      <scheme val="minor"/>
    </font>
    <font>
      <sz val="10"/>
      <color rgb="FF000000"/>
      <name val="Arial Unicode MS"/>
      <family val="2"/>
    </font>
    <font>
      <sz val="14"/>
      <color rgb="FF3C4043"/>
      <name val="Arial"/>
      <family val="2"/>
    </font>
    <font>
      <sz val="12"/>
      <color theme="1"/>
      <name val="Calibri"/>
      <family val="2"/>
      <scheme val="minor"/>
    </font>
    <font>
      <b/>
      <sz val="12"/>
      <color rgb="FF000000"/>
      <name val="Arial"/>
      <family val="2"/>
    </font>
    <font>
      <sz val="12"/>
      <color theme="1"/>
      <name val="Arial"/>
      <family val="2"/>
    </font>
    <font>
      <sz val="12"/>
      <color rgb="FF000000"/>
      <name val="Arial"/>
      <family val="2"/>
    </font>
    <font>
      <b/>
      <sz val="12"/>
      <color theme="1"/>
      <name val="Arial"/>
      <family val="2"/>
    </font>
    <font>
      <sz val="12"/>
      <name val="Arial"/>
      <family val="2"/>
    </font>
    <font>
      <sz val="12"/>
      <color rgb="FFFF0000"/>
      <name val="Calibri"/>
      <family val="2"/>
      <scheme val="minor"/>
    </font>
    <font>
      <b/>
      <sz val="12"/>
      <color rgb="FFFF0000"/>
      <name val="Calibri"/>
      <family val="2"/>
    </font>
    <font>
      <sz val="12"/>
      <color rgb="FFFF0000"/>
      <name val="Calibri"/>
      <family val="2"/>
    </font>
    <font>
      <b/>
      <sz val="12"/>
      <color rgb="FFFF0000"/>
      <name val="Calibri"/>
      <family val="2"/>
      <scheme val="minor"/>
    </font>
    <font>
      <sz val="12"/>
      <color rgb="FFFF0000"/>
      <name val="Calibri"/>
      <family val="2"/>
      <scheme val="minor"/>
    </font>
    <font>
      <sz val="12"/>
      <color rgb="FF000000"/>
      <name val="Calibri"/>
      <family val="2"/>
      <scheme val="minor"/>
    </font>
    <font>
      <sz val="11"/>
      <color rgb="FFFF0000"/>
      <name val="Calibri"/>
      <family val="2"/>
      <scheme val="minor"/>
    </font>
    <font>
      <sz val="18"/>
      <color theme="1"/>
      <name val="Calibri"/>
      <family val="2"/>
      <scheme val="minor"/>
    </font>
    <font>
      <sz val="12"/>
      <color rgb="FF000000"/>
      <name val="Calibri"/>
      <family val="2"/>
    </font>
  </fonts>
  <fills count="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rgb="FFFFFF00"/>
        <bgColor rgb="FF000000"/>
      </patternFill>
    </fill>
  </fills>
  <borders count="31">
    <border>
      <left/>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style="thin">
        <color auto="1"/>
      </right>
      <top/>
      <bottom/>
      <diagonal/>
    </border>
    <border>
      <left style="thin">
        <color indexed="64"/>
      </left>
      <right/>
      <top/>
      <bottom/>
      <diagonal/>
    </border>
    <border>
      <left/>
      <right/>
      <top style="thin">
        <color indexed="64"/>
      </top>
      <bottom style="double">
        <color indexed="64"/>
      </bottom>
      <diagonal/>
    </border>
    <border>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applyNumberFormat="0" applyFill="0" applyBorder="0" applyAlignment="0" applyProtection="0"/>
    <xf numFmtId="9" fontId="7" fillId="0" borderId="0" applyFont="0" applyFill="0" applyBorder="0" applyAlignment="0" applyProtection="0"/>
  </cellStyleXfs>
  <cellXfs count="119">
    <xf numFmtId="0" fontId="0" fillId="0" borderId="0" xfId="0"/>
    <xf numFmtId="0" fontId="0" fillId="0" borderId="1" xfId="0" applyBorder="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0" borderId="0" xfId="0" applyFont="1"/>
    <xf numFmtId="0" fontId="3" fillId="0" borderId="0" xfId="0" applyFont="1"/>
    <xf numFmtId="0" fontId="5" fillId="0" borderId="0" xfId="0" applyFont="1"/>
    <xf numFmtId="0" fontId="4" fillId="0" borderId="0" xfId="1"/>
    <xf numFmtId="0" fontId="6" fillId="0" borderId="0" xfId="0" applyFont="1"/>
    <xf numFmtId="0" fontId="8" fillId="0" borderId="0" xfId="0" applyFont="1" applyAlignment="1">
      <alignment horizontal="left"/>
    </xf>
    <xf numFmtId="0" fontId="9" fillId="0" borderId="0" xfId="0" applyFont="1"/>
    <xf numFmtId="0" fontId="10" fillId="0" borderId="0" xfId="0" applyFont="1"/>
    <xf numFmtId="0" fontId="8" fillId="0" borderId="0" xfId="0" applyFont="1" applyAlignment="1">
      <alignment horizontal="center"/>
    </xf>
    <xf numFmtId="0" fontId="11" fillId="0" borderId="0" xfId="0" applyFont="1" applyAlignment="1">
      <alignment horizontal="left"/>
    </xf>
    <xf numFmtId="0" fontId="8" fillId="0" borderId="10" xfId="0" applyFont="1" applyBorder="1"/>
    <xf numFmtId="0" fontId="11" fillId="0" borderId="0" xfId="0" applyFont="1"/>
    <xf numFmtId="0" fontId="8" fillId="0" borderId="10" xfId="0" applyFont="1" applyBorder="1" applyAlignment="1">
      <alignment horizontal="center"/>
    </xf>
    <xf numFmtId="0" fontId="11" fillId="0" borderId="10" xfId="0" applyFont="1" applyBorder="1"/>
    <xf numFmtId="0" fontId="10" fillId="0" borderId="0" xfId="0" applyFont="1" applyAlignment="1">
      <alignment horizontal="center"/>
    </xf>
    <xf numFmtId="41" fontId="10" fillId="0" borderId="0" xfId="0" applyNumberFormat="1" applyFont="1"/>
    <xf numFmtId="164" fontId="10" fillId="0" borderId="11" xfId="0" applyNumberFormat="1" applyFont="1" applyBorder="1"/>
    <xf numFmtId="0" fontId="11" fillId="0" borderId="12" xfId="0" applyFont="1" applyBorder="1"/>
    <xf numFmtId="0" fontId="11" fillId="0" borderId="0" xfId="0" applyFont="1" applyAlignment="1">
      <alignment horizontal="right"/>
    </xf>
    <xf numFmtId="0" fontId="12" fillId="0" borderId="0" xfId="0" applyFont="1"/>
    <xf numFmtId="0" fontId="9" fillId="0" borderId="12" xfId="0" applyFont="1" applyBorder="1"/>
    <xf numFmtId="165" fontId="9" fillId="0" borderId="0" xfId="0" applyNumberFormat="1" applyFont="1"/>
    <xf numFmtId="165" fontId="11" fillId="0" borderId="0" xfId="0" applyNumberFormat="1" applyFont="1"/>
    <xf numFmtId="165" fontId="9" fillId="0" borderId="12" xfId="0" applyNumberFormat="1" applyFont="1" applyBorder="1"/>
    <xf numFmtId="165" fontId="11" fillId="0" borderId="13" xfId="0" applyNumberFormat="1" applyFont="1" applyBorder="1"/>
    <xf numFmtId="0" fontId="10" fillId="0" borderId="0" xfId="0" applyFont="1" applyAlignment="1">
      <alignment horizontal="left"/>
    </xf>
    <xf numFmtId="0" fontId="10" fillId="0" borderId="10" xfId="0" applyFont="1" applyBorder="1" applyAlignment="1">
      <alignment horizontal="center"/>
    </xf>
    <xf numFmtId="0" fontId="10" fillId="0" borderId="10" xfId="0" applyFont="1" applyBorder="1" applyAlignment="1">
      <alignment horizontal="left"/>
    </xf>
    <xf numFmtId="0" fontId="10" fillId="0" borderId="10" xfId="0" applyFont="1" applyBorder="1"/>
    <xf numFmtId="164" fontId="10" fillId="0" borderId="0" xfId="0" applyNumberFormat="1" applyFont="1"/>
    <xf numFmtId="165" fontId="10" fillId="0" borderId="0" xfId="0" applyNumberFormat="1" applyFont="1"/>
    <xf numFmtId="164" fontId="10" fillId="2" borderId="0" xfId="0" applyNumberFormat="1" applyFont="1" applyFill="1"/>
    <xf numFmtId="164" fontId="10" fillId="3" borderId="0" xfId="0" applyNumberFormat="1" applyFont="1" applyFill="1"/>
    <xf numFmtId="164" fontId="10" fillId="4" borderId="0" xfId="0" applyNumberFormat="1" applyFont="1" applyFill="1"/>
    <xf numFmtId="0" fontId="9" fillId="5" borderId="0" xfId="0" applyFont="1" applyFill="1"/>
    <xf numFmtId="0" fontId="9" fillId="0" borderId="0" xfId="0" applyFont="1" applyAlignment="1">
      <alignment horizontal="center"/>
    </xf>
    <xf numFmtId="166" fontId="9" fillId="0" borderId="0" xfId="2" applyNumberFormat="1" applyFont="1"/>
    <xf numFmtId="0" fontId="8" fillId="0" borderId="14" xfId="0" applyFont="1" applyBorder="1" applyAlignment="1">
      <alignment horizontal="center"/>
    </xf>
    <xf numFmtId="0" fontId="8" fillId="0" borderId="1" xfId="0" applyFont="1" applyBorder="1" applyAlignment="1">
      <alignment horizontal="center"/>
    </xf>
    <xf numFmtId="0" fontId="8" fillId="0" borderId="0" xfId="0" applyFont="1"/>
    <xf numFmtId="41" fontId="9" fillId="0" borderId="0" xfId="0" applyNumberFormat="1" applyFont="1"/>
    <xf numFmtId="167" fontId="11" fillId="0" borderId="0" xfId="0" applyNumberFormat="1" applyFont="1"/>
    <xf numFmtId="167" fontId="9" fillId="0" borderId="0" xfId="0" applyNumberFormat="1" applyFont="1"/>
    <xf numFmtId="41" fontId="8" fillId="0" borderId="0" xfId="0" applyNumberFormat="1" applyFont="1"/>
    <xf numFmtId="9" fontId="9" fillId="0" borderId="0" xfId="2" applyFont="1"/>
    <xf numFmtId="43" fontId="9" fillId="0" borderId="0" xfId="0" applyNumberFormat="1" applyFont="1"/>
    <xf numFmtId="41" fontId="8" fillId="0" borderId="10" xfId="0" applyNumberFormat="1" applyFont="1" applyBorder="1"/>
    <xf numFmtId="41" fontId="11" fillId="0" borderId="0" xfId="0" applyNumberFormat="1" applyFont="1"/>
    <xf numFmtId="167" fontId="10" fillId="0" borderId="10" xfId="0" applyNumberFormat="1" applyFont="1" applyBorder="1"/>
    <xf numFmtId="167" fontId="8" fillId="0" borderId="10" xfId="0" applyNumberFormat="1" applyFont="1" applyBorder="1"/>
    <xf numFmtId="0" fontId="9" fillId="0" borderId="0" xfId="0" quotePrefix="1" applyFont="1"/>
    <xf numFmtId="0" fontId="0" fillId="0" borderId="0" xfId="0" pivotButton="1"/>
    <xf numFmtId="0" fontId="0" fillId="0" borderId="0" xfId="0" applyAlignment="1">
      <alignment horizontal="left"/>
    </xf>
    <xf numFmtId="0" fontId="0" fillId="0" borderId="0" xfId="0" quotePrefix="1"/>
    <xf numFmtId="0" fontId="0" fillId="0" borderId="13" xfId="0" applyBorder="1"/>
    <xf numFmtId="0" fontId="0" fillId="0" borderId="10" xfId="0" applyBorder="1"/>
    <xf numFmtId="0" fontId="13" fillId="0" borderId="0" xfId="0" applyFont="1"/>
    <xf numFmtId="164" fontId="0" fillId="0" borderId="0" xfId="0" applyNumberFormat="1"/>
    <xf numFmtId="164" fontId="0" fillId="0" borderId="6" xfId="0" applyNumberFormat="1" applyBorder="1"/>
    <xf numFmtId="164" fontId="0" fillId="0" borderId="8" xfId="0" applyNumberFormat="1" applyBorder="1"/>
    <xf numFmtId="164" fontId="0" fillId="0" borderId="9" xfId="0" applyNumberFormat="1"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14" fillId="0" borderId="0" xfId="0" applyFont="1"/>
    <xf numFmtId="0" fontId="16" fillId="0" borderId="0" xfId="0" applyFont="1"/>
    <xf numFmtId="0" fontId="17" fillId="0" borderId="0" xfId="0" applyFont="1"/>
    <xf numFmtId="0" fontId="18" fillId="0" borderId="0" xfId="0" applyFont="1"/>
    <xf numFmtId="0" fontId="0" fillId="2" borderId="17" xfId="0" applyFill="1" applyBorder="1"/>
    <xf numFmtId="0" fontId="0" fillId="2" borderId="19" xfId="0" applyFill="1" applyBorder="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0" fillId="2" borderId="26" xfId="0" applyFill="1" applyBorder="1"/>
    <xf numFmtId="0" fontId="13" fillId="0" borderId="0" xfId="0" applyFont="1" applyAlignment="1">
      <alignment horizontal="center"/>
    </xf>
    <xf numFmtId="0" fontId="13" fillId="0" borderId="0" xfId="0" applyFont="1" applyAlignment="1">
      <alignment horizontal="right"/>
    </xf>
    <xf numFmtId="0" fontId="0" fillId="5" borderId="0" xfId="0" applyFill="1"/>
    <xf numFmtId="0" fontId="13" fillId="0" borderId="18" xfId="0" applyFont="1" applyBorder="1"/>
    <xf numFmtId="0" fontId="3" fillId="0" borderId="17" xfId="0" applyFont="1" applyBorder="1"/>
    <xf numFmtId="0" fontId="0" fillId="0" borderId="27" xfId="0" applyBorder="1"/>
    <xf numFmtId="0" fontId="0" fillId="0" borderId="28" xfId="0" applyBorder="1"/>
    <xf numFmtId="0" fontId="0" fillId="0" borderId="12" xfId="0" applyBorder="1"/>
    <xf numFmtId="0" fontId="0" fillId="0" borderId="11" xfId="0" applyBorder="1"/>
    <xf numFmtId="0" fontId="0" fillId="0" borderId="29" xfId="0" applyBorder="1"/>
    <xf numFmtId="0" fontId="0" fillId="0" borderId="30" xfId="0" applyBorder="1"/>
    <xf numFmtId="0" fontId="1" fillId="0" borderId="0" xfId="0" applyFont="1" applyAlignment="1">
      <alignment horizontal="right"/>
    </xf>
    <xf numFmtId="0" fontId="19" fillId="0" borderId="0" xfId="0" applyFont="1" applyAlignment="1">
      <alignment horizontal="right"/>
    </xf>
    <xf numFmtId="0" fontId="1" fillId="2" borderId="0" xfId="0" applyFont="1" applyFill="1" applyAlignment="1">
      <alignment horizontal="right"/>
    </xf>
    <xf numFmtId="0" fontId="19" fillId="2" borderId="0" xfId="0" applyFont="1" applyFill="1" applyAlignment="1">
      <alignment horizontal="right"/>
    </xf>
    <xf numFmtId="0" fontId="3" fillId="0" borderId="1" xfId="0" applyFont="1" applyBorder="1"/>
    <xf numFmtId="0" fontId="20" fillId="0" borderId="0" xfId="0" applyFont="1"/>
    <xf numFmtId="0" fontId="20" fillId="0" borderId="11" xfId="0" applyFont="1" applyBorder="1"/>
    <xf numFmtId="0" fontId="20" fillId="0" borderId="12" xfId="0" applyFont="1" applyBorder="1"/>
    <xf numFmtId="0" fontId="20" fillId="2" borderId="0" xfId="0" applyFont="1" applyFill="1"/>
    <xf numFmtId="0" fontId="2" fillId="0" borderId="15" xfId="0" applyFont="1" applyBorder="1"/>
    <xf numFmtId="0" fontId="18" fillId="6" borderId="0" xfId="0" applyFont="1" applyFill="1" applyAlignment="1">
      <alignment wrapText="1"/>
    </xf>
    <xf numFmtId="0" fontId="0" fillId="0" borderId="10" xfId="0" quotePrefix="1" applyBorder="1"/>
  </cellXfs>
  <cellStyles count="3">
    <cellStyle name="Hyperlink" xfId="1" builtinId="8"/>
    <cellStyle name="Normal" xfId="0" builtinId="0"/>
    <cellStyle name="Per cent 2" xfId="2" xr:uid="{905027FE-9333-1A4A-81D0-E99E9246473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[Module6.xlsm]M6.2 - Pivot chart!PivotTable4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'M6.2 - Pivot chart'!$B$3</c:f>
              <c:strCache>
                <c:ptCount val="1"/>
                <c:pt idx="0">
                  <c:v>Sum of matches_played</c:v>
                </c:pt>
              </c:strCache>
            </c:strRef>
          </c:tx>
          <c:spPr>
            <a:solidFill>
              <a:schemeClr val="accent1"/>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chart'!$B$4:$B$11</c:f>
              <c:numCache>
                <c:formatCode>General</c:formatCode>
                <c:ptCount val="7"/>
                <c:pt idx="0">
                  <c:v>3</c:v>
                </c:pt>
                <c:pt idx="1">
                  <c:v>3</c:v>
                </c:pt>
                <c:pt idx="2">
                  <c:v>3</c:v>
                </c:pt>
                <c:pt idx="3">
                  <c:v>4</c:v>
                </c:pt>
                <c:pt idx="4">
                  <c:v>4</c:v>
                </c:pt>
                <c:pt idx="5">
                  <c:v>5</c:v>
                </c:pt>
                <c:pt idx="6">
                  <c:v>4</c:v>
                </c:pt>
              </c:numCache>
            </c:numRef>
          </c:val>
          <c:extLst>
            <c:ext xmlns:c16="http://schemas.microsoft.com/office/drawing/2014/chart" uri="{C3380CC4-5D6E-409C-BE32-E72D297353CC}">
              <c16:uniqueId val="{00000000-DB96-4667-A91C-18020170F659}"/>
            </c:ext>
          </c:extLst>
        </c:ser>
        <c:ser>
          <c:idx val="1"/>
          <c:order val="1"/>
          <c:tx>
            <c:strRef>
              <c:f>'M6.2 - Pivot chart'!$C$3</c:f>
              <c:strCache>
                <c:ptCount val="1"/>
                <c:pt idx="0">
                  <c:v>Sum of goals</c:v>
                </c:pt>
              </c:strCache>
            </c:strRef>
          </c:tx>
          <c:spPr>
            <a:solidFill>
              <a:schemeClr val="accent2"/>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chart'!$C$4:$C$11</c:f>
              <c:numCache>
                <c:formatCode>General</c:formatCode>
                <c:ptCount val="7"/>
                <c:pt idx="0">
                  <c:v>3</c:v>
                </c:pt>
                <c:pt idx="1">
                  <c:v>3</c:v>
                </c:pt>
                <c:pt idx="2">
                  <c:v>3</c:v>
                </c:pt>
                <c:pt idx="3">
                  <c:v>9</c:v>
                </c:pt>
                <c:pt idx="4">
                  <c:v>6</c:v>
                </c:pt>
                <c:pt idx="5">
                  <c:v>5</c:v>
                </c:pt>
                <c:pt idx="6">
                  <c:v>8</c:v>
                </c:pt>
              </c:numCache>
            </c:numRef>
          </c:val>
          <c:extLst>
            <c:ext xmlns:c16="http://schemas.microsoft.com/office/drawing/2014/chart" uri="{C3380CC4-5D6E-409C-BE32-E72D297353CC}">
              <c16:uniqueId val="{00000001-DB96-4667-A91C-18020170F659}"/>
            </c:ext>
          </c:extLst>
        </c:ser>
        <c:dLbls>
          <c:showLegendKey val="0"/>
          <c:showVal val="0"/>
          <c:showCatName val="0"/>
          <c:showSerName val="0"/>
          <c:showPercent val="0"/>
          <c:showBubbleSize val="0"/>
        </c:dLbls>
        <c:gapWidth val="219"/>
        <c:axId val="408426607"/>
        <c:axId val="2039344704"/>
      </c:barChart>
      <c:lineChart>
        <c:grouping val="standard"/>
        <c:varyColors val="0"/>
        <c:ser>
          <c:idx val="2"/>
          <c:order val="2"/>
          <c:tx>
            <c:strRef>
              <c:f>'M6.2 - Pivot chart'!$D$3</c:f>
              <c:strCache>
                <c:ptCount val="1"/>
                <c:pt idx="0">
                  <c:v>Average of possesion</c:v>
                </c:pt>
              </c:strCache>
            </c:strRef>
          </c:tx>
          <c:spPr>
            <a:ln w="28575" cap="rnd">
              <a:solidFill>
                <a:schemeClr val="accent3"/>
              </a:solidFill>
              <a:round/>
            </a:ln>
            <a:effectLst/>
          </c:spPr>
          <c:marker>
            <c:symbol val="none"/>
          </c:marker>
          <c:cat>
            <c:strRef>
              <c:f>'M6.2 - Pivot chart'!$A$4:$A$11</c:f>
              <c:strCache>
                <c:ptCount val="7"/>
                <c:pt idx="0">
                  <c:v>1995</c:v>
                </c:pt>
                <c:pt idx="1">
                  <c:v>1999</c:v>
                </c:pt>
                <c:pt idx="2">
                  <c:v>2003</c:v>
                </c:pt>
                <c:pt idx="3">
                  <c:v>2007</c:v>
                </c:pt>
                <c:pt idx="4">
                  <c:v>2011</c:v>
                </c:pt>
                <c:pt idx="5">
                  <c:v>2015</c:v>
                </c:pt>
                <c:pt idx="6">
                  <c:v>2019</c:v>
                </c:pt>
              </c:strCache>
            </c:strRef>
          </c:cat>
          <c:val>
            <c:numRef>
              <c:f>'M6.2 - Pivot chart'!$D$4:$D$11</c:f>
              <c:numCache>
                <c:formatCode>General</c:formatCode>
                <c:ptCount val="7"/>
                <c:pt idx="2">
                  <c:v>49</c:v>
                </c:pt>
                <c:pt idx="3">
                  <c:v>48.3</c:v>
                </c:pt>
                <c:pt idx="4">
                  <c:v>53.5</c:v>
                </c:pt>
                <c:pt idx="5">
                  <c:v>46.2</c:v>
                </c:pt>
                <c:pt idx="6">
                  <c:v>61.3</c:v>
                </c:pt>
              </c:numCache>
            </c:numRef>
          </c:val>
          <c:smooth val="0"/>
          <c:extLst>
            <c:ext xmlns:c16="http://schemas.microsoft.com/office/drawing/2014/chart" uri="{C3380CC4-5D6E-409C-BE32-E72D297353CC}">
              <c16:uniqueId val="{00000002-DB96-4667-A91C-18020170F659}"/>
            </c:ext>
          </c:extLst>
        </c:ser>
        <c:dLbls>
          <c:showLegendKey val="0"/>
          <c:showVal val="0"/>
          <c:showCatName val="0"/>
          <c:showSerName val="0"/>
          <c:showPercent val="0"/>
          <c:showBubbleSize val="0"/>
        </c:dLbls>
        <c:marker val="1"/>
        <c:smooth val="0"/>
        <c:axId val="2091505488"/>
        <c:axId val="2091503760"/>
      </c:lineChart>
      <c:catAx>
        <c:axId val="40842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44704"/>
        <c:crosses val="autoZero"/>
        <c:auto val="1"/>
        <c:lblAlgn val="ctr"/>
        <c:lblOffset val="100"/>
        <c:noMultiLvlLbl val="0"/>
      </c:catAx>
      <c:valAx>
        <c:axId val="20393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6607"/>
        <c:crosses val="autoZero"/>
        <c:crossBetween val="between"/>
      </c:valAx>
      <c:valAx>
        <c:axId val="2091503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505488"/>
        <c:crosses val="max"/>
        <c:crossBetween val="between"/>
      </c:valAx>
      <c:catAx>
        <c:axId val="2091505488"/>
        <c:scaling>
          <c:orientation val="minMax"/>
        </c:scaling>
        <c:delete val="1"/>
        <c:axPos val="b"/>
        <c:numFmt formatCode="General" sourceLinked="1"/>
        <c:majorTickMark val="out"/>
        <c:minorTickMark val="none"/>
        <c:tickLblPos val="nextTo"/>
        <c:crossAx val="20915037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Simulated U(0,1)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U(0,1)</a:t>
          </a:r>
        </a:p>
      </cx:txPr>
    </cx:title>
    <cx:plotArea>
      <cx:plotAreaRegion>
        <cx:series layoutId="clusteredColumn" uniqueId="{F0B8C912-EE1A-4FB5-9F75-1FD9082BA9B6}">
          <cx:tx>
            <cx:txData>
              <cx:f>_xlchart.v1.0</cx:f>
              <cx:v>=RANDARRAY(10000)</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dataLabels>
          <cx:dataId val="0"/>
          <cx:layoutPr>
            <cx:binning intervalClosed="r">
              <cx:binSize val="0.050000000000000003"/>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max="1000" min="0"/>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Simulated N(0,1)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N(0,1)</a:t>
          </a:r>
        </a:p>
      </cx:txPr>
    </cx:title>
    <cx:plotArea>
      <cx:plotAreaRegion>
        <cx:series layoutId="clusteredColumn" uniqueId="{1692C4DA-5B04-49FA-9E9F-A2137BED9647}">
          <cx:dataId val="0"/>
          <cx:layoutPr>
            <cx:binning intervalClosed="r">
              <cx:binSize val="0.10000000000000001"/>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Simulated Gamma(10,5)</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Gamma(10,5)</a:t>
          </a:r>
        </a:p>
      </cx:txPr>
    </cx:title>
    <cx:plotArea>
      <cx:plotAreaRegion>
        <cx:series layoutId="clusteredColumn" uniqueId="{8445B9F1-82DF-49F7-9362-A52051D3C46F}">
          <cx:dataId val="0"/>
          <cx:layoutPr>
            <cx:binning intervalClosed="r"/>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png"/><Relationship Id="rId5" Type="http://schemas.microsoft.com/office/2007/relationships/hdphoto" Target="../media/hdphoto2.wdp"/><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10</xdr:col>
      <xdr:colOff>431800</xdr:colOff>
      <xdr:row>32</xdr:row>
      <xdr:rowOff>82550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86800" y="6838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88900</xdr:colOff>
      <xdr:row>16</xdr:row>
      <xdr:rowOff>25400</xdr:rowOff>
    </xdr:from>
    <xdr:to>
      <xdr:col>2</xdr:col>
      <xdr:colOff>304800</xdr:colOff>
      <xdr:row>29</xdr:row>
      <xdr:rowOff>3172</xdr:rowOff>
    </xdr:to>
    <mc:AlternateContent xmlns:mc="http://schemas.openxmlformats.org/markup-compatibility/2006" xmlns:a14="http://schemas.microsoft.com/office/drawing/2010/main">
      <mc:Choice Requires="a14">
        <xdr:graphicFrame macro="">
          <xdr:nvGraphicFramePr>
            <xdr:cNvPr id="3" name="squad">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quad"/>
            </a:graphicData>
          </a:graphic>
        </xdr:graphicFrame>
      </mc:Choice>
      <mc:Fallback xmlns="">
        <xdr:sp macro="" textlink="">
          <xdr:nvSpPr>
            <xdr:cNvPr id="0" name=""/>
            <xdr:cNvSpPr>
              <a:spLocks noTextEdit="1"/>
            </xdr:cNvSpPr>
          </xdr:nvSpPr>
          <xdr:spPr>
            <a:xfrm>
              <a:off x="1079500" y="3276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695325</xdr:colOff>
      <xdr:row>0</xdr:row>
      <xdr:rowOff>161925</xdr:rowOff>
    </xdr:from>
    <xdr:to>
      <xdr:col>18</xdr:col>
      <xdr:colOff>203200</xdr:colOff>
      <xdr:row>36</xdr:row>
      <xdr:rowOff>123825</xdr:rowOff>
    </xdr:to>
    <xdr:graphicFrame macro="">
      <xdr:nvGraphicFramePr>
        <xdr:cNvPr id="4" name="圖表 3">
          <a:extLst>
            <a:ext uri="{FF2B5EF4-FFF2-40B4-BE49-F238E27FC236}">
              <a16:creationId xmlns:a16="http://schemas.microsoft.com/office/drawing/2014/main" id="{00000000-0008-0000-0400-000004000000}"/>
            </a:ext>
            <a:ext uri="{147F2762-F138-4A5C-976F-8EAC2B608ADB}">
              <a16:predDERef xmlns:a16="http://schemas.microsoft.com/office/drawing/2014/main" pred="{391C3527-C6FA-3533-7E21-BBB72A6D5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14</xdr:row>
      <xdr:rowOff>0</xdr:rowOff>
    </xdr:from>
    <xdr:to>
      <xdr:col>9</xdr:col>
      <xdr:colOff>466725</xdr:colOff>
      <xdr:row>27</xdr:row>
      <xdr:rowOff>142875</xdr:rowOff>
    </xdr:to>
    <mc:AlternateContent xmlns:mc="http://schemas.openxmlformats.org/markup-compatibility/2006">
      <mc:Choice xmlns:cx1="http://schemas.microsoft.com/office/drawing/2015/9/8/chartex" Requires="cx1">
        <xdr:graphicFrame macro="">
          <xdr:nvGraphicFramePr>
            <xdr:cNvPr id="3" name="圖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028825" y="2844800"/>
              <a:ext cx="449580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114300</xdr:colOff>
      <xdr:row>3</xdr:row>
      <xdr:rowOff>47625</xdr:rowOff>
    </xdr:from>
    <xdr:to>
      <xdr:col>22</xdr:col>
      <xdr:colOff>276225</xdr:colOff>
      <xdr:row>16</xdr:row>
      <xdr:rowOff>190500</xdr:rowOff>
    </xdr:to>
    <mc:AlternateContent xmlns:mc="http://schemas.openxmlformats.org/markup-compatibility/2006">
      <mc:Choice xmlns:cx1="http://schemas.microsoft.com/office/drawing/2015/9/8/chartex" Requires="cx1">
        <xdr:graphicFrame macro="">
          <xdr:nvGraphicFramePr>
            <xdr:cNvPr id="4" name="圖表 3">
              <a:extLst>
                <a:ext uri="{FF2B5EF4-FFF2-40B4-BE49-F238E27FC236}">
                  <a16:creationId xmlns:a16="http://schemas.microsoft.com/office/drawing/2014/main" id="{00000000-0008-0000-0800-000004000000}"/>
                </a:ext>
                <a:ext uri="{147F2762-F138-4A5C-976F-8EAC2B608ADB}">
                  <a16:predDERef xmlns:a16="http://schemas.microsoft.com/office/drawing/2014/main" pred="{6AECB59A-E807-A6CE-27E5-50C505B5B12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223500" y="657225"/>
              <a:ext cx="4873625"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104775</xdr:colOff>
      <xdr:row>3</xdr:row>
      <xdr:rowOff>0</xdr:rowOff>
    </xdr:from>
    <xdr:to>
      <xdr:col>30</xdr:col>
      <xdr:colOff>619125</xdr:colOff>
      <xdr:row>16</xdr:row>
      <xdr:rowOff>142875</xdr:rowOff>
    </xdr:to>
    <mc:AlternateContent xmlns:mc="http://schemas.openxmlformats.org/markup-compatibility/2006">
      <mc:Choice xmlns:cx1="http://schemas.microsoft.com/office/drawing/2015/9/8/chartex" Requires="cx1">
        <xdr:graphicFrame macro="">
          <xdr:nvGraphicFramePr>
            <xdr:cNvPr id="5" name="圖表 4">
              <a:extLst>
                <a:ext uri="{FF2B5EF4-FFF2-40B4-BE49-F238E27FC236}">
                  <a16:creationId xmlns:a16="http://schemas.microsoft.com/office/drawing/2014/main" id="{00000000-0008-0000-0800-000005000000}"/>
                </a:ext>
                <a:ext uri="{147F2762-F138-4A5C-976F-8EAC2B608ADB}">
                  <a16:predDERef xmlns:a16="http://schemas.microsoft.com/office/drawing/2014/main" pred="{E6002B3E-A065-EE2C-8D16-28124F5075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6271875" y="609600"/>
              <a:ext cx="455295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63500</xdr:rowOff>
        </xdr:from>
        <xdr:to>
          <xdr:col>9</xdr:col>
          <xdr:colOff>279400</xdr:colOff>
          <xdr:row>3</xdr:row>
          <xdr:rowOff>101600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7</xdr:col>
      <xdr:colOff>209549</xdr:colOff>
      <xdr:row>5</xdr:row>
      <xdr:rowOff>66676</xdr:rowOff>
    </xdr:from>
    <xdr:to>
      <xdr:col>9</xdr:col>
      <xdr:colOff>314324</xdr:colOff>
      <xdr:row>7</xdr:row>
      <xdr:rowOff>85726</xdr:rowOff>
    </xdr:to>
    <xdr:sp macro="[0]!recorded_example1" textlink="">
      <xdr:nvSpPr>
        <xdr:cNvPr id="2" name="Cube 1">
          <a:extLst>
            <a:ext uri="{FF2B5EF4-FFF2-40B4-BE49-F238E27FC236}">
              <a16:creationId xmlns:a16="http://schemas.microsoft.com/office/drawing/2014/main" id="{00000000-0008-0000-0900-000002000000}"/>
            </a:ext>
          </a:extLst>
        </xdr:cNvPr>
        <xdr:cNvSpPr/>
      </xdr:nvSpPr>
      <xdr:spPr>
        <a:xfrm>
          <a:off x="5048249" y="1266826"/>
          <a:ext cx="1476375" cy="419100"/>
        </a:xfrm>
        <a:prstGeom prst="cub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recorded_example1</a:t>
          </a: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11</xdr:row>
          <xdr:rowOff>50800</xdr:rowOff>
        </xdr:from>
        <xdr:to>
          <xdr:col>16</xdr:col>
          <xdr:colOff>406400</xdr:colOff>
          <xdr:row>12</xdr:row>
          <xdr:rowOff>101600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recorded_example1_edit</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editAs="oneCell">
    <xdr:from>
      <xdr:col>12</xdr:col>
      <xdr:colOff>104776</xdr:colOff>
      <xdr:row>15</xdr:row>
      <xdr:rowOff>133350</xdr:rowOff>
    </xdr:from>
    <xdr:to>
      <xdr:col>18</xdr:col>
      <xdr:colOff>588753</xdr:colOff>
      <xdr:row>24</xdr:row>
      <xdr:rowOff>28575</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 uri="{28A0092B-C50C-407E-A947-70E740481C1C}">
              <a14:useLocalDpi xmlns:a14="http://schemas.microsoft.com/office/drawing/2010/main" val="0"/>
            </a:ext>
          </a:extLst>
        </a:blip>
        <a:stretch>
          <a:fillRect/>
        </a:stretch>
      </xdr:blipFill>
      <xdr:spPr>
        <a:xfrm>
          <a:off x="8372476" y="3324225"/>
          <a:ext cx="4951202" cy="1885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317500</xdr:colOff>
          <xdr:row>12</xdr:row>
          <xdr:rowOff>139700</xdr:rowOff>
        </xdr:from>
        <xdr:to>
          <xdr:col>10</xdr:col>
          <xdr:colOff>520700</xdr:colOff>
          <xdr:row>17</xdr:row>
          <xdr:rowOff>228600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Click here to clear all formats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14</xdr:row>
          <xdr:rowOff>177800</xdr:rowOff>
        </xdr:from>
        <xdr:to>
          <xdr:col>24</xdr:col>
          <xdr:colOff>596900</xdr:colOff>
          <xdr:row>15</xdr:row>
          <xdr:rowOff>127000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9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Good Profit?</a:t>
              </a:r>
            </a:p>
          </xdr:txBody>
        </xdr:sp>
        <xdr:clientData fPrintsWithSheet="0"/>
      </xdr:twoCellAnchor>
    </mc:Choice>
    <mc:Fallback/>
  </mc:AlternateContent>
  <xdr:twoCellAnchor editAs="oneCell">
    <xdr:from>
      <xdr:col>21</xdr:col>
      <xdr:colOff>104776</xdr:colOff>
      <xdr:row>19</xdr:row>
      <xdr:rowOff>95250</xdr:rowOff>
    </xdr:from>
    <xdr:to>
      <xdr:col>25</xdr:col>
      <xdr:colOff>638176</xdr:colOff>
      <xdr:row>30</xdr:row>
      <xdr:rowOff>88476</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897101" y="4276725"/>
          <a:ext cx="3276600" cy="21935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25400</xdr:colOff>
          <xdr:row>16</xdr:row>
          <xdr:rowOff>25400</xdr:rowOff>
        </xdr:from>
        <xdr:to>
          <xdr:col>7</xdr:col>
          <xdr:colOff>596900</xdr:colOff>
          <xdr:row>16</xdr:row>
          <xdr:rowOff>266700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900-00000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Relative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660400</xdr:colOff>
          <xdr:row>14</xdr:row>
          <xdr:rowOff>76200</xdr:rowOff>
        </xdr:from>
        <xdr:to>
          <xdr:col>7</xdr:col>
          <xdr:colOff>673100</xdr:colOff>
          <xdr:row>15</xdr:row>
          <xdr:rowOff>25400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9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Absolute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4</xdr:row>
          <xdr:rowOff>25400</xdr:rowOff>
        </xdr:from>
        <xdr:to>
          <xdr:col>29</xdr:col>
          <xdr:colOff>520700</xdr:colOff>
          <xdr:row>4</xdr:row>
          <xdr:rowOff>266700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a:t>
              </a:r>
            </a:p>
          </xdr:txBody>
        </xdr:sp>
        <xdr:clientData fPrintsWithSheet="0"/>
      </xdr:twoCellAnchor>
    </mc:Choice>
    <mc:Fallback/>
  </mc:AlternateContent>
  <xdr:twoCellAnchor editAs="oneCell">
    <xdr:from>
      <xdr:col>30</xdr:col>
      <xdr:colOff>209550</xdr:colOff>
      <xdr:row>4</xdr:row>
      <xdr:rowOff>38100</xdr:rowOff>
    </xdr:from>
    <xdr:to>
      <xdr:col>35</xdr:col>
      <xdr:colOff>495300</xdr:colOff>
      <xdr:row>14</xdr:row>
      <xdr:rowOff>104102</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tretch>
          <a:fillRect/>
        </a:stretch>
      </xdr:blipFill>
      <xdr:spPr>
        <a:xfrm>
          <a:off x="21174075" y="838200"/>
          <a:ext cx="3714750" cy="235200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37</xdr:col>
          <xdr:colOff>190500</xdr:colOff>
          <xdr:row>4</xdr:row>
          <xdr:rowOff>25400</xdr:rowOff>
        </xdr:from>
        <xdr:to>
          <xdr:col>39</xdr:col>
          <xdr:colOff>292100</xdr:colOff>
          <xdr:row>4</xdr:row>
          <xdr:rowOff>266700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9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 (While)</a:t>
              </a:r>
            </a:p>
          </xdr:txBody>
        </xdr:sp>
        <xdr:clientData fPrintsWithSheet="0"/>
      </xdr:twoCellAnchor>
    </mc:Choice>
    <mc:Fallback/>
  </mc:AlternateContent>
  <xdr:twoCellAnchor editAs="oneCell">
    <xdr:from>
      <xdr:col>39</xdr:col>
      <xdr:colOff>66675</xdr:colOff>
      <xdr:row>5</xdr:row>
      <xdr:rowOff>190500</xdr:rowOff>
    </xdr:from>
    <xdr:to>
      <xdr:col>43</xdr:col>
      <xdr:colOff>638638</xdr:colOff>
      <xdr:row>17</xdr:row>
      <xdr:rowOff>67046</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7203400" y="1285875"/>
          <a:ext cx="3315163" cy="265784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enjamin Avanzi" id="{41D526D4-9D67-3148-83A7-7F4FDCAD8DB6}" userId="S::b.avanzi@unimelb.edu.au::4c1a0c65-cf17-4469-a7d7-15c887ee25b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58.870142939813" createdVersion="8" refreshedVersion="8" minRefreshableVersion="3" recordCount="136" xr:uid="{61FC52FC-B3E2-3643-BB68-795569812EE9}">
  <cacheSource type="worksheet">
    <worksheetSource ref="A3:V139" sheet="FIFA WWC"/>
  </cacheSource>
  <cacheFields count="22">
    <cacheField name="id" numFmtId="0">
      <sharedItems containsSemiMixedTypes="0" containsString="0" containsNumber="1" containsInteger="1" minValue="1" maxValue="136"/>
    </cacheField>
    <cacheField name="squad" numFmtId="0">
      <sharedItems count="36">
        <s v="Argentina"/>
        <s v="Australia"/>
        <s v="Brazil"/>
        <s v="Cameroon"/>
        <s v="Canada"/>
        <s v="Chile"/>
        <s v="China PR"/>
        <s v="England"/>
        <s v="France"/>
        <s v="Germany"/>
        <s v="Italy"/>
        <s v="Jamaica"/>
        <s v="Japan"/>
        <s v="Korea Rep"/>
        <s v="Netherlands"/>
        <s v="New Zealand"/>
        <s v="Nigeria"/>
        <s v="Norway"/>
        <s v="Scotland"/>
        <s v="South Africa"/>
        <s v="Spain"/>
        <s v="Sweden"/>
        <s v="Thailand"/>
        <s v="USA"/>
        <s v="Colombia"/>
        <s v="Costa Rica"/>
        <s v="C√¥te d'Ivoire"/>
        <s v="Ecuador"/>
        <s v="Mexico"/>
        <s v="Switzerland"/>
        <s v="Equ. Guinea"/>
        <s v="Korea DPR"/>
        <s v="Denmark"/>
        <s v="Ghana"/>
        <s v="Russia"/>
        <s v="Chinese Taipei"/>
      </sharedItems>
    </cacheField>
    <cacheField name="year" numFmtId="0">
      <sharedItems containsSemiMixedTypes="0" containsString="0" containsNumber="1" containsInteger="1" minValue="1991" maxValue="2019" count="8">
        <n v="2019"/>
        <n v="2015"/>
        <n v="2011"/>
        <n v="2007"/>
        <n v="2003"/>
        <n v="1999"/>
        <n v="1995"/>
        <n v="1991"/>
      </sharedItems>
    </cacheField>
    <cacheField name="players" numFmtId="0">
      <sharedItems containsSemiMixedTypes="0" containsString="0" containsNumber="1" containsInteger="1" minValue="13" maxValue="23" count="11">
        <n v="18"/>
        <n v="20"/>
        <n v="16"/>
        <n v="17"/>
        <n v="22"/>
        <n v="19"/>
        <n v="21"/>
        <n v="15"/>
        <n v="23"/>
        <n v="14"/>
        <n v="13"/>
      </sharedItems>
    </cacheField>
    <cacheField name="age" numFmtId="0">
      <sharedItems containsSemiMixedTypes="0" containsString="0" containsNumber="1" minValue="18.2" maxValue="29.7"/>
    </cacheField>
    <cacheField name="possesion" numFmtId="0">
      <sharedItems containsString="0" containsBlank="1" containsNumber="1" minValue="30" maxValue="63"/>
    </cacheField>
    <cacheField name="matches_played" numFmtId="0">
      <sharedItems containsSemiMixedTypes="0" containsString="0" containsNumber="1" containsInteger="1" minValue="3" maxValue="7" count="5">
        <n v="3"/>
        <n v="4"/>
        <n v="7"/>
        <n v="5"/>
        <n v="6"/>
      </sharedItems>
    </cacheField>
    <cacheField name="starts" numFmtId="0">
      <sharedItems containsSemiMixedTypes="0" containsString="0" containsNumber="1" containsInteger="1" minValue="33" maxValue="77"/>
    </cacheField>
    <cacheField name="min_playing_time" numFmtId="0">
      <sharedItems containsSemiMixedTypes="0" containsString="0" containsNumber="1" containsInteger="1" minValue="240" maxValue="690"/>
    </cacheField>
    <cacheField name="minutes_played_90s" numFmtId="0">
      <sharedItems containsSemiMixedTypes="0" containsString="0" containsNumber="1" minValue="2.7" maxValue="7.7"/>
    </cacheField>
    <cacheField name="goals" numFmtId="0">
      <sharedItems containsSemiMixedTypes="0" containsString="0" containsNumber="1" containsInteger="1" minValue="0" maxValue="25"/>
    </cacheField>
    <cacheField name="assists" numFmtId="0">
      <sharedItems containsSemiMixedTypes="0" containsString="0" containsNumber="1" containsInteger="1" minValue="0" maxValue="17"/>
    </cacheField>
    <cacheField name="non_penalty_goals" numFmtId="0">
      <sharedItems containsSemiMixedTypes="0" containsString="0" containsNumber="1" containsInteger="1" minValue="0" maxValue="25"/>
    </cacheField>
    <cacheField name="penalty_kicks_made" numFmtId="0">
      <sharedItems containsSemiMixedTypes="0" containsString="0" containsNumber="1" containsInteger="1" minValue="0" maxValue="4"/>
    </cacheField>
    <cacheField name="penalty_kicks_attempted" numFmtId="0">
      <sharedItems containsSemiMixedTypes="0" containsString="0" containsNumber="1" containsInteger="1" minValue="0" maxValue="4"/>
    </cacheField>
    <cacheField name="yellow_cards" numFmtId="0">
      <sharedItems containsString="0" containsBlank="1" containsNumber="1" containsInteger="1" minValue="0" maxValue="8"/>
    </cacheField>
    <cacheField name="red_cards" numFmtId="0">
      <sharedItems containsString="0" containsBlank="1" containsNumber="1" containsInteger="1" minValue="0" maxValue="1"/>
    </cacheField>
    <cacheField name="goals_per_90" numFmtId="0">
      <sharedItems containsSemiMixedTypes="0" containsString="0" containsNumber="1" minValue="0" maxValue="4.6900000000000004"/>
    </cacheField>
    <cacheField name="assists_per_90" numFmtId="0">
      <sharedItems containsSemiMixedTypes="0" containsString="0" containsNumber="1" minValue="0" maxValue="2.4300000000000002"/>
    </cacheField>
    <cacheField name="goals_plus_assists_per_90" numFmtId="0">
      <sharedItems containsSemiMixedTypes="0" containsString="0" containsNumber="1" minValue="0" maxValue="6.75"/>
    </cacheField>
    <cacheField name="goals_minus_penalty_kicks_per_90" numFmtId="0">
      <sharedItems containsSemiMixedTypes="0" containsString="0" containsNumber="1" minValue="0" maxValue="4.5"/>
    </cacheField>
    <cacheField name="goals_plus_assists_minus_penalty_kicks_per_90" numFmtId="0">
      <sharedItems containsSemiMixedTypes="0" containsString="0" containsNumber="1" minValue="0" maxValue="6.56"/>
    </cacheField>
  </cacheFields>
  <extLst>
    <ext xmlns:x14="http://schemas.microsoft.com/office/spreadsheetml/2009/9/main" uri="{725AE2AE-9491-48be-B2B4-4EB974FC3084}">
      <x14:pivotCacheDefinition pivotCacheId="168059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1"/>
    <x v="0"/>
    <x v="0"/>
    <x v="0"/>
    <n v="26.8"/>
    <n v="34.700000000000003"/>
    <x v="0"/>
    <n v="33"/>
    <n v="270"/>
    <n v="3"/>
    <n v="2"/>
    <n v="1"/>
    <n v="1"/>
    <n v="1"/>
    <n v="1"/>
    <n v="3"/>
    <n v="0"/>
    <n v="0.67"/>
    <n v="0.33"/>
    <n v="1"/>
    <n v="0.33"/>
    <n v="0.67"/>
  </r>
  <r>
    <n v="2"/>
    <x v="1"/>
    <x v="0"/>
    <x v="0"/>
    <n v="25.4"/>
    <n v="61.3"/>
    <x v="1"/>
    <n v="44"/>
    <n v="390"/>
    <n v="4.3"/>
    <n v="8"/>
    <n v="4"/>
    <n v="8"/>
    <n v="0"/>
    <n v="1"/>
    <n v="2"/>
    <n v="0"/>
    <n v="1.85"/>
    <n v="0.92"/>
    <n v="2.77"/>
    <n v="1.85"/>
    <n v="2.77"/>
  </r>
  <r>
    <n v="3"/>
    <x v="2"/>
    <x v="0"/>
    <x v="0"/>
    <n v="29.7"/>
    <n v="51.5"/>
    <x v="1"/>
    <n v="44"/>
    <n v="390"/>
    <n v="4.3"/>
    <n v="7"/>
    <n v="3"/>
    <n v="5"/>
    <n v="2"/>
    <n v="3"/>
    <n v="7"/>
    <n v="0"/>
    <n v="1.62"/>
    <n v="0.69"/>
    <n v="2.31"/>
    <n v="1.1499999999999999"/>
    <n v="1.85"/>
  </r>
  <r>
    <n v="4"/>
    <x v="3"/>
    <x v="0"/>
    <x v="1"/>
    <n v="27.7"/>
    <n v="36"/>
    <x v="1"/>
    <n v="44"/>
    <n v="360"/>
    <n v="4"/>
    <n v="3"/>
    <n v="3"/>
    <n v="3"/>
    <n v="0"/>
    <n v="0"/>
    <n v="6"/>
    <n v="0"/>
    <n v="0.75"/>
    <n v="0.75"/>
    <n v="1.5"/>
    <n v="0.75"/>
    <n v="1.5"/>
  </r>
  <r>
    <n v="5"/>
    <x v="4"/>
    <x v="0"/>
    <x v="2"/>
    <n v="27"/>
    <n v="63"/>
    <x v="1"/>
    <n v="44"/>
    <n v="360"/>
    <n v="4"/>
    <n v="4"/>
    <n v="3"/>
    <n v="4"/>
    <n v="0"/>
    <n v="1"/>
    <n v="2"/>
    <n v="0"/>
    <n v="1"/>
    <n v="0.75"/>
    <n v="1.75"/>
    <n v="1"/>
    <n v="1.75"/>
  </r>
  <r>
    <n v="6"/>
    <x v="5"/>
    <x v="0"/>
    <x v="0"/>
    <n v="26.8"/>
    <n v="42"/>
    <x v="0"/>
    <n v="33"/>
    <n v="270"/>
    <n v="3"/>
    <n v="1"/>
    <n v="1"/>
    <n v="1"/>
    <n v="0"/>
    <n v="1"/>
    <n v="5"/>
    <n v="0"/>
    <n v="0.33"/>
    <n v="0.33"/>
    <n v="0.67"/>
    <n v="0.33"/>
    <n v="0.67"/>
  </r>
  <r>
    <n v="7"/>
    <x v="6"/>
    <x v="0"/>
    <x v="3"/>
    <n v="26.6"/>
    <n v="47"/>
    <x v="1"/>
    <n v="44"/>
    <n v="360"/>
    <n v="4"/>
    <n v="1"/>
    <n v="1"/>
    <n v="1"/>
    <n v="0"/>
    <n v="0"/>
    <n v="5"/>
    <n v="0"/>
    <n v="0.25"/>
    <n v="0.25"/>
    <n v="0.5"/>
    <n v="0.25"/>
    <n v="0.5"/>
  </r>
  <r>
    <n v="8"/>
    <x v="7"/>
    <x v="0"/>
    <x v="4"/>
    <n v="27.8"/>
    <n v="60.4"/>
    <x v="2"/>
    <n v="77"/>
    <n v="630"/>
    <n v="7"/>
    <n v="13"/>
    <n v="12"/>
    <n v="12"/>
    <n v="1"/>
    <n v="4"/>
    <n v="1"/>
    <n v="1"/>
    <n v="1.86"/>
    <n v="1.71"/>
    <n v="3.57"/>
    <n v="1.71"/>
    <n v="3.43"/>
  </r>
  <r>
    <n v="9"/>
    <x v="8"/>
    <x v="0"/>
    <x v="3"/>
    <n v="27.8"/>
    <n v="58.8"/>
    <x v="3"/>
    <n v="55"/>
    <n v="480"/>
    <n v="5.3"/>
    <n v="10"/>
    <n v="8"/>
    <n v="8"/>
    <n v="2"/>
    <n v="2"/>
    <n v="2"/>
    <n v="0"/>
    <n v="1.87"/>
    <n v="1.5"/>
    <n v="3.38"/>
    <n v="1.5"/>
    <n v="3"/>
  </r>
  <r>
    <n v="10"/>
    <x v="9"/>
    <x v="0"/>
    <x v="5"/>
    <n v="25.5"/>
    <n v="57.2"/>
    <x v="3"/>
    <n v="55"/>
    <n v="450"/>
    <n v="5"/>
    <n v="10"/>
    <n v="4"/>
    <n v="9"/>
    <n v="1"/>
    <n v="1"/>
    <n v="2"/>
    <n v="0"/>
    <n v="2"/>
    <n v="0.8"/>
    <n v="2.8"/>
    <n v="1.8"/>
    <n v="2.6"/>
  </r>
  <r>
    <n v="11"/>
    <x v="10"/>
    <x v="0"/>
    <x v="3"/>
    <n v="26.5"/>
    <n v="43.4"/>
    <x v="3"/>
    <n v="55"/>
    <n v="450"/>
    <n v="5"/>
    <n v="9"/>
    <n v="6"/>
    <n v="8"/>
    <n v="1"/>
    <n v="1"/>
    <n v="4"/>
    <n v="0"/>
    <n v="1.8"/>
    <n v="1.2"/>
    <n v="3"/>
    <n v="1.6"/>
    <n v="2.8"/>
  </r>
  <r>
    <n v="12"/>
    <x v="11"/>
    <x v="0"/>
    <x v="1"/>
    <n v="22.9"/>
    <n v="36.700000000000003"/>
    <x v="0"/>
    <n v="33"/>
    <n v="270"/>
    <n v="3"/>
    <n v="1"/>
    <n v="1"/>
    <n v="1"/>
    <n v="0"/>
    <n v="0"/>
    <n v="4"/>
    <n v="0"/>
    <n v="0.33"/>
    <n v="0.33"/>
    <n v="0.67"/>
    <n v="0.33"/>
    <n v="0.67"/>
  </r>
  <r>
    <n v="13"/>
    <x v="12"/>
    <x v="0"/>
    <x v="3"/>
    <n v="24.8"/>
    <n v="53.8"/>
    <x v="1"/>
    <n v="44"/>
    <n v="360"/>
    <n v="4"/>
    <n v="3"/>
    <n v="2"/>
    <n v="2"/>
    <n v="1"/>
    <n v="1"/>
    <n v="4"/>
    <n v="0"/>
    <n v="0.75"/>
    <n v="0.5"/>
    <n v="1.25"/>
    <n v="0.5"/>
    <n v="1"/>
  </r>
  <r>
    <n v="14"/>
    <x v="13"/>
    <x v="0"/>
    <x v="5"/>
    <n v="26.9"/>
    <n v="52"/>
    <x v="0"/>
    <n v="33"/>
    <n v="270"/>
    <n v="3"/>
    <n v="1"/>
    <n v="1"/>
    <n v="1"/>
    <n v="0"/>
    <n v="0"/>
    <n v="4"/>
    <n v="0"/>
    <n v="0.33"/>
    <n v="0.33"/>
    <n v="0.67"/>
    <n v="0.33"/>
    <n v="0.67"/>
  </r>
  <r>
    <n v="15"/>
    <x v="14"/>
    <x v="0"/>
    <x v="2"/>
    <n v="26.1"/>
    <n v="57.1"/>
    <x v="2"/>
    <n v="77"/>
    <n v="660"/>
    <n v="7.3"/>
    <n v="11"/>
    <n v="7"/>
    <n v="10"/>
    <n v="1"/>
    <n v="1"/>
    <n v="0"/>
    <n v="0"/>
    <n v="1.5"/>
    <n v="0.95"/>
    <n v="2.4500000000000002"/>
    <n v="1.36"/>
    <n v="2.3199999999999998"/>
  </r>
  <r>
    <n v="16"/>
    <x v="15"/>
    <x v="0"/>
    <x v="3"/>
    <n v="27.6"/>
    <n v="39.299999999999997"/>
    <x v="0"/>
    <n v="33"/>
    <n v="270"/>
    <n v="3"/>
    <n v="0"/>
    <n v="0"/>
    <n v="0"/>
    <n v="0"/>
    <n v="0"/>
    <n v="1"/>
    <n v="0"/>
    <n v="0"/>
    <n v="0"/>
    <n v="0"/>
    <n v="0"/>
    <n v="0"/>
  </r>
  <r>
    <n v="17"/>
    <x v="16"/>
    <x v="0"/>
    <x v="1"/>
    <n v="25.7"/>
    <n v="34.799999999999997"/>
    <x v="1"/>
    <n v="44"/>
    <n v="360"/>
    <n v="4"/>
    <n v="1"/>
    <n v="1"/>
    <n v="1"/>
    <n v="0"/>
    <n v="0"/>
    <n v="6"/>
    <n v="1"/>
    <n v="0.25"/>
    <n v="0.25"/>
    <n v="0.5"/>
    <n v="0.25"/>
    <n v="0.5"/>
  </r>
  <r>
    <n v="18"/>
    <x v="17"/>
    <x v="0"/>
    <x v="3"/>
    <n v="26.8"/>
    <n v="50.2"/>
    <x v="3"/>
    <n v="55"/>
    <n v="480"/>
    <n v="5.3"/>
    <n v="5"/>
    <n v="3"/>
    <n v="3"/>
    <n v="2"/>
    <n v="2"/>
    <n v="1"/>
    <n v="0"/>
    <n v="0.94"/>
    <n v="0.56000000000000005"/>
    <n v="1.5"/>
    <n v="0.56000000000000005"/>
    <n v="1.1299999999999999"/>
  </r>
  <r>
    <n v="19"/>
    <x v="18"/>
    <x v="0"/>
    <x v="5"/>
    <n v="26.4"/>
    <n v="47"/>
    <x v="0"/>
    <n v="33"/>
    <n v="270"/>
    <n v="3"/>
    <n v="5"/>
    <n v="3"/>
    <n v="5"/>
    <n v="0"/>
    <n v="0"/>
    <n v="6"/>
    <n v="0"/>
    <n v="1.67"/>
    <n v="1"/>
    <n v="2.67"/>
    <n v="1.67"/>
    <n v="2.67"/>
  </r>
  <r>
    <n v="20"/>
    <x v="19"/>
    <x v="0"/>
    <x v="5"/>
    <n v="27.5"/>
    <n v="38"/>
    <x v="0"/>
    <n v="33"/>
    <n v="270"/>
    <n v="3"/>
    <n v="1"/>
    <n v="1"/>
    <n v="1"/>
    <n v="0"/>
    <n v="0"/>
    <n v="7"/>
    <n v="1"/>
    <n v="0.33"/>
    <n v="0.33"/>
    <n v="0.67"/>
    <n v="0.33"/>
    <n v="0.67"/>
  </r>
  <r>
    <n v="21"/>
    <x v="20"/>
    <x v="0"/>
    <x v="5"/>
    <n v="25.2"/>
    <n v="62.5"/>
    <x v="1"/>
    <n v="44"/>
    <n v="360"/>
    <n v="4"/>
    <n v="4"/>
    <n v="2"/>
    <n v="2"/>
    <n v="2"/>
    <n v="2"/>
    <n v="1"/>
    <n v="0"/>
    <n v="1"/>
    <n v="0.5"/>
    <n v="1.5"/>
    <n v="0.5"/>
    <n v="1"/>
  </r>
  <r>
    <n v="22"/>
    <x v="21"/>
    <x v="0"/>
    <x v="1"/>
    <n v="28.5"/>
    <n v="48.4"/>
    <x v="2"/>
    <n v="77"/>
    <n v="660"/>
    <n v="7.3"/>
    <n v="12"/>
    <n v="7"/>
    <n v="11"/>
    <n v="1"/>
    <n v="1"/>
    <n v="2"/>
    <n v="0"/>
    <n v="1.64"/>
    <n v="0.95"/>
    <n v="2.59"/>
    <n v="1.5"/>
    <n v="2.4500000000000002"/>
  </r>
  <r>
    <n v="23"/>
    <x v="22"/>
    <x v="0"/>
    <x v="0"/>
    <n v="27.8"/>
    <n v="30"/>
    <x v="0"/>
    <n v="33"/>
    <n v="270"/>
    <n v="3"/>
    <n v="1"/>
    <n v="1"/>
    <n v="1"/>
    <n v="0"/>
    <n v="0"/>
    <n v="5"/>
    <n v="0"/>
    <n v="0.33"/>
    <n v="0.33"/>
    <n v="0.67"/>
    <n v="0.33"/>
    <n v="0.67"/>
  </r>
  <r>
    <n v="24"/>
    <x v="23"/>
    <x v="0"/>
    <x v="6"/>
    <n v="28.8"/>
    <n v="56"/>
    <x v="2"/>
    <n v="77"/>
    <n v="630"/>
    <n v="7"/>
    <n v="25"/>
    <n v="17"/>
    <n v="22"/>
    <n v="3"/>
    <n v="4"/>
    <n v="0"/>
    <n v="0"/>
    <n v="3.57"/>
    <n v="2.4300000000000002"/>
    <n v="6"/>
    <n v="3.14"/>
    <n v="5.57"/>
  </r>
  <r>
    <n v="25"/>
    <x v="1"/>
    <x v="1"/>
    <x v="3"/>
    <n v="23.6"/>
    <n v="46.2"/>
    <x v="3"/>
    <n v="55"/>
    <n v="450"/>
    <n v="5"/>
    <n v="5"/>
    <n v="4"/>
    <n v="5"/>
    <n v="0"/>
    <n v="0"/>
    <n v="0"/>
    <n v="0"/>
    <n v="1"/>
    <n v="0.8"/>
    <n v="1.8"/>
    <n v="1"/>
    <n v="1.8"/>
  </r>
  <r>
    <n v="26"/>
    <x v="2"/>
    <x v="1"/>
    <x v="1"/>
    <n v="27.4"/>
    <n v="59"/>
    <x v="1"/>
    <n v="44"/>
    <n v="360"/>
    <n v="4"/>
    <n v="4"/>
    <n v="1"/>
    <n v="3"/>
    <n v="1"/>
    <n v="1"/>
    <n v="1"/>
    <n v="0"/>
    <n v="1"/>
    <n v="0.25"/>
    <n v="1.25"/>
    <n v="0.75"/>
    <n v="1"/>
  </r>
  <r>
    <n v="27"/>
    <x v="3"/>
    <x v="1"/>
    <x v="3"/>
    <n v="25.1"/>
    <n v="48.8"/>
    <x v="1"/>
    <n v="44"/>
    <n v="360"/>
    <n v="4"/>
    <n v="9"/>
    <n v="5"/>
    <n v="5"/>
    <n v="4"/>
    <n v="4"/>
    <n v="6"/>
    <n v="0"/>
    <n v="2.25"/>
    <n v="1.25"/>
    <n v="3.5"/>
    <n v="1.25"/>
    <n v="2.5"/>
  </r>
  <r>
    <n v="28"/>
    <x v="4"/>
    <x v="1"/>
    <x v="0"/>
    <n v="27.2"/>
    <n v="55"/>
    <x v="3"/>
    <n v="55"/>
    <n v="450"/>
    <n v="5"/>
    <n v="4"/>
    <n v="1"/>
    <n v="3"/>
    <n v="1"/>
    <n v="1"/>
    <n v="3"/>
    <n v="0"/>
    <n v="0.8"/>
    <n v="0.2"/>
    <n v="1"/>
    <n v="0.6"/>
    <n v="0.8"/>
  </r>
  <r>
    <n v="29"/>
    <x v="6"/>
    <x v="1"/>
    <x v="0"/>
    <n v="23.6"/>
    <n v="48.6"/>
    <x v="3"/>
    <n v="55"/>
    <n v="450"/>
    <n v="5"/>
    <n v="4"/>
    <n v="2"/>
    <n v="3"/>
    <n v="1"/>
    <n v="1"/>
    <n v="2"/>
    <n v="0"/>
    <n v="0.8"/>
    <n v="0.4"/>
    <n v="1.2"/>
    <n v="0.6"/>
    <n v="1"/>
  </r>
  <r>
    <n v="30"/>
    <x v="24"/>
    <x v="1"/>
    <x v="0"/>
    <n v="24.3"/>
    <n v="44.3"/>
    <x v="1"/>
    <n v="44"/>
    <n v="360"/>
    <n v="4"/>
    <n v="4"/>
    <n v="4"/>
    <n v="4"/>
    <n v="0"/>
    <n v="0"/>
    <n v="8"/>
    <n v="0"/>
    <n v="1"/>
    <n v="1"/>
    <n v="2"/>
    <n v="1"/>
    <n v="2"/>
  </r>
  <r>
    <n v="31"/>
    <x v="25"/>
    <x v="1"/>
    <x v="7"/>
    <n v="25"/>
    <n v="42.3"/>
    <x v="0"/>
    <n v="33"/>
    <n v="270"/>
    <n v="3"/>
    <n v="3"/>
    <n v="3"/>
    <n v="3"/>
    <n v="0"/>
    <n v="0"/>
    <n v="0"/>
    <n v="0"/>
    <n v="1"/>
    <n v="1"/>
    <n v="2"/>
    <n v="1"/>
    <n v="2"/>
  </r>
  <r>
    <n v="32"/>
    <x v="26"/>
    <x v="1"/>
    <x v="5"/>
    <n v="25"/>
    <n v="45"/>
    <x v="0"/>
    <n v="33"/>
    <n v="270"/>
    <n v="3"/>
    <n v="3"/>
    <n v="0"/>
    <n v="3"/>
    <n v="0"/>
    <n v="0"/>
    <n v="8"/>
    <n v="0"/>
    <n v="1"/>
    <n v="0"/>
    <n v="1"/>
    <n v="1"/>
    <n v="1"/>
  </r>
  <r>
    <n v="33"/>
    <x v="27"/>
    <x v="1"/>
    <x v="5"/>
    <n v="23.4"/>
    <n v="38.700000000000003"/>
    <x v="0"/>
    <n v="33"/>
    <n v="270"/>
    <n v="3"/>
    <n v="1"/>
    <n v="0"/>
    <n v="0"/>
    <n v="1"/>
    <n v="1"/>
    <n v="6"/>
    <n v="1"/>
    <n v="0.33"/>
    <n v="0"/>
    <n v="0.33"/>
    <n v="0"/>
    <n v="0"/>
  </r>
  <r>
    <n v="34"/>
    <x v="7"/>
    <x v="1"/>
    <x v="4"/>
    <n v="27.6"/>
    <n v="48.1"/>
    <x v="2"/>
    <n v="77"/>
    <n v="660"/>
    <n v="7.3"/>
    <n v="10"/>
    <n v="4"/>
    <n v="7"/>
    <n v="3"/>
    <n v="3"/>
    <n v="3"/>
    <n v="0"/>
    <n v="1.36"/>
    <n v="0.55000000000000004"/>
    <n v="1.91"/>
    <n v="0.95"/>
    <n v="1.5"/>
  </r>
  <r>
    <n v="35"/>
    <x v="8"/>
    <x v="1"/>
    <x v="5"/>
    <n v="27.3"/>
    <n v="53.6"/>
    <x v="3"/>
    <n v="55"/>
    <n v="480"/>
    <n v="5.3"/>
    <n v="9"/>
    <n v="7"/>
    <n v="9"/>
    <n v="0"/>
    <n v="0"/>
    <n v="0"/>
    <n v="0"/>
    <n v="1.69"/>
    <n v="1.31"/>
    <n v="3"/>
    <n v="1.69"/>
    <n v="3"/>
  </r>
  <r>
    <n v="36"/>
    <x v="9"/>
    <x v="1"/>
    <x v="6"/>
    <n v="26.9"/>
    <n v="54.7"/>
    <x v="2"/>
    <n v="77"/>
    <n v="690"/>
    <n v="7.7"/>
    <n v="20"/>
    <n v="11"/>
    <n v="18"/>
    <n v="2"/>
    <n v="2"/>
    <n v="1"/>
    <n v="0"/>
    <n v="2.61"/>
    <n v="1.43"/>
    <n v="4.04"/>
    <n v="2.35"/>
    <n v="3.78"/>
  </r>
  <r>
    <n v="37"/>
    <x v="12"/>
    <x v="1"/>
    <x v="8"/>
    <n v="27.9"/>
    <n v="55.1"/>
    <x v="2"/>
    <n v="77"/>
    <n v="630"/>
    <n v="7"/>
    <n v="9"/>
    <n v="5"/>
    <n v="7"/>
    <n v="2"/>
    <n v="2"/>
    <n v="1"/>
    <n v="0"/>
    <n v="1.29"/>
    <n v="0.71"/>
    <n v="2"/>
    <n v="1"/>
    <n v="1.71"/>
  </r>
  <r>
    <n v="38"/>
    <x v="13"/>
    <x v="1"/>
    <x v="5"/>
    <n v="26.1"/>
    <n v="43.8"/>
    <x v="1"/>
    <n v="44"/>
    <n v="360"/>
    <n v="4"/>
    <n v="4"/>
    <n v="3"/>
    <n v="3"/>
    <n v="1"/>
    <n v="1"/>
    <n v="5"/>
    <n v="0"/>
    <n v="1"/>
    <n v="0.75"/>
    <n v="1.75"/>
    <n v="0.75"/>
    <n v="1.5"/>
  </r>
  <r>
    <n v="39"/>
    <x v="28"/>
    <x v="1"/>
    <x v="3"/>
    <n v="24.3"/>
    <n v="52.3"/>
    <x v="0"/>
    <n v="33"/>
    <n v="270"/>
    <n v="3"/>
    <n v="2"/>
    <n v="1"/>
    <n v="2"/>
    <n v="0"/>
    <n v="0"/>
    <n v="4"/>
    <n v="0"/>
    <n v="0.67"/>
    <n v="0.33"/>
    <n v="1"/>
    <n v="0.67"/>
    <n v="1"/>
  </r>
  <r>
    <n v="40"/>
    <x v="14"/>
    <x v="1"/>
    <x v="0"/>
    <n v="24.3"/>
    <n v="49"/>
    <x v="1"/>
    <n v="44"/>
    <n v="360"/>
    <n v="4"/>
    <n v="3"/>
    <n v="3"/>
    <n v="3"/>
    <n v="0"/>
    <n v="0"/>
    <n v="3"/>
    <n v="0"/>
    <n v="0.75"/>
    <n v="0.75"/>
    <n v="1.5"/>
    <n v="0.75"/>
    <n v="1.5"/>
  </r>
  <r>
    <n v="41"/>
    <x v="15"/>
    <x v="1"/>
    <x v="7"/>
    <n v="24.9"/>
    <n v="46.7"/>
    <x v="0"/>
    <n v="33"/>
    <n v="270"/>
    <n v="3"/>
    <n v="2"/>
    <n v="2"/>
    <n v="2"/>
    <n v="0"/>
    <n v="0"/>
    <n v="4"/>
    <n v="0"/>
    <n v="0.67"/>
    <n v="0.67"/>
    <n v="1.33"/>
    <n v="0.67"/>
    <n v="1.33"/>
  </r>
  <r>
    <n v="42"/>
    <x v="16"/>
    <x v="1"/>
    <x v="3"/>
    <n v="24.6"/>
    <n v="48.3"/>
    <x v="0"/>
    <n v="33"/>
    <n v="270"/>
    <n v="3"/>
    <n v="3"/>
    <n v="3"/>
    <n v="3"/>
    <n v="0"/>
    <n v="0"/>
    <n v="6"/>
    <n v="1"/>
    <n v="1"/>
    <n v="1"/>
    <n v="2"/>
    <n v="1"/>
    <n v="2"/>
  </r>
  <r>
    <n v="43"/>
    <x v="17"/>
    <x v="1"/>
    <x v="0"/>
    <n v="26.7"/>
    <n v="54.5"/>
    <x v="1"/>
    <n v="44"/>
    <n v="360"/>
    <n v="4"/>
    <n v="9"/>
    <n v="6"/>
    <n v="9"/>
    <n v="0"/>
    <n v="0"/>
    <n v="1"/>
    <n v="0"/>
    <n v="2.25"/>
    <n v="1.5"/>
    <n v="3.75"/>
    <n v="2.25"/>
    <n v="3.75"/>
  </r>
  <r>
    <n v="44"/>
    <x v="20"/>
    <x v="1"/>
    <x v="3"/>
    <n v="25.3"/>
    <n v="50.7"/>
    <x v="0"/>
    <n v="33"/>
    <n v="270"/>
    <n v="3"/>
    <n v="2"/>
    <n v="2"/>
    <n v="2"/>
    <n v="0"/>
    <n v="0"/>
    <n v="3"/>
    <n v="0"/>
    <n v="0.67"/>
    <n v="0.67"/>
    <n v="1.33"/>
    <n v="0.67"/>
    <n v="1.33"/>
  </r>
  <r>
    <n v="45"/>
    <x v="21"/>
    <x v="1"/>
    <x v="0"/>
    <n v="28.1"/>
    <n v="49.3"/>
    <x v="1"/>
    <n v="44"/>
    <n v="360"/>
    <n v="4"/>
    <n v="4"/>
    <n v="2"/>
    <n v="4"/>
    <n v="0"/>
    <n v="0"/>
    <n v="0"/>
    <n v="0"/>
    <n v="1"/>
    <n v="0.5"/>
    <n v="1.5"/>
    <n v="1"/>
    <n v="1.5"/>
  </r>
  <r>
    <n v="46"/>
    <x v="29"/>
    <x v="1"/>
    <x v="3"/>
    <n v="25"/>
    <n v="55.3"/>
    <x v="1"/>
    <n v="44"/>
    <n v="360"/>
    <n v="4"/>
    <n v="9"/>
    <n v="7"/>
    <n v="8"/>
    <n v="1"/>
    <n v="1"/>
    <n v="4"/>
    <n v="0"/>
    <n v="2.25"/>
    <n v="1.75"/>
    <n v="4"/>
    <n v="2"/>
    <n v="3.75"/>
  </r>
  <r>
    <n v="47"/>
    <x v="22"/>
    <x v="1"/>
    <x v="3"/>
    <n v="25.7"/>
    <n v="40"/>
    <x v="0"/>
    <n v="33"/>
    <n v="270"/>
    <n v="3"/>
    <n v="3"/>
    <n v="3"/>
    <n v="3"/>
    <n v="0"/>
    <n v="0"/>
    <n v="3"/>
    <n v="0"/>
    <n v="1"/>
    <n v="1"/>
    <n v="2"/>
    <n v="1"/>
    <n v="2"/>
  </r>
  <r>
    <n v="48"/>
    <x v="23"/>
    <x v="1"/>
    <x v="1"/>
    <n v="28.4"/>
    <n v="52.9"/>
    <x v="2"/>
    <n v="77"/>
    <n v="630"/>
    <n v="7"/>
    <n v="14"/>
    <n v="7"/>
    <n v="12"/>
    <n v="2"/>
    <n v="2"/>
    <n v="2"/>
    <n v="0"/>
    <n v="2"/>
    <n v="1"/>
    <n v="3"/>
    <n v="1.71"/>
    <n v="2.71"/>
  </r>
  <r>
    <n v="49"/>
    <x v="1"/>
    <x v="2"/>
    <x v="1"/>
    <n v="22.8"/>
    <n v="53.5"/>
    <x v="1"/>
    <n v="44"/>
    <n v="360"/>
    <n v="4"/>
    <n v="6"/>
    <n v="6"/>
    <n v="6"/>
    <n v="0"/>
    <n v="0"/>
    <n v="0"/>
    <n v="0"/>
    <n v="1.5"/>
    <n v="1.5"/>
    <n v="3"/>
    <n v="1.5"/>
    <n v="3"/>
  </r>
  <r>
    <n v="50"/>
    <x v="2"/>
    <x v="2"/>
    <x v="2"/>
    <n v="27"/>
    <n v="53.3"/>
    <x v="1"/>
    <n v="44"/>
    <n v="390"/>
    <n v="4.3"/>
    <n v="9"/>
    <n v="6"/>
    <n v="7"/>
    <n v="2"/>
    <n v="2"/>
    <n v="0"/>
    <n v="0"/>
    <n v="2.08"/>
    <n v="1.38"/>
    <n v="3.46"/>
    <n v="1.62"/>
    <n v="3"/>
  </r>
  <r>
    <n v="51"/>
    <x v="4"/>
    <x v="2"/>
    <x v="5"/>
    <n v="25.9"/>
    <n v="47.3"/>
    <x v="0"/>
    <n v="33"/>
    <n v="270"/>
    <n v="3"/>
    <n v="1"/>
    <n v="0"/>
    <n v="1"/>
    <n v="0"/>
    <n v="0"/>
    <n v="0"/>
    <n v="0"/>
    <n v="0.33"/>
    <n v="0"/>
    <n v="0.33"/>
    <n v="0.33"/>
    <n v="0.33"/>
  </r>
  <r>
    <n v="52"/>
    <x v="24"/>
    <x v="2"/>
    <x v="3"/>
    <n v="22.4"/>
    <n v="49.3"/>
    <x v="0"/>
    <n v="33"/>
    <n v="270"/>
    <n v="3"/>
    <n v="0"/>
    <n v="0"/>
    <n v="0"/>
    <n v="0"/>
    <n v="0"/>
    <n v="0"/>
    <n v="0"/>
    <n v="0"/>
    <n v="0"/>
    <n v="0"/>
    <n v="0"/>
    <n v="0"/>
  </r>
  <r>
    <n v="53"/>
    <x v="7"/>
    <x v="2"/>
    <x v="0"/>
    <n v="26.9"/>
    <n v="49.3"/>
    <x v="1"/>
    <n v="44"/>
    <n v="390"/>
    <n v="4.3"/>
    <n v="6"/>
    <n v="7"/>
    <n v="6"/>
    <n v="0"/>
    <n v="0"/>
    <n v="0"/>
    <n v="0"/>
    <n v="1.38"/>
    <n v="1.62"/>
    <n v="3"/>
    <n v="1.38"/>
    <n v="3"/>
  </r>
  <r>
    <n v="54"/>
    <x v="30"/>
    <x v="2"/>
    <x v="7"/>
    <n v="26.1"/>
    <n v="40.700000000000003"/>
    <x v="0"/>
    <n v="33"/>
    <n v="270"/>
    <n v="3"/>
    <n v="2"/>
    <n v="0"/>
    <n v="2"/>
    <n v="0"/>
    <n v="0"/>
    <m/>
    <m/>
    <n v="0.67"/>
    <n v="0"/>
    <n v="0.67"/>
    <n v="0.67"/>
    <n v="0.67"/>
  </r>
  <r>
    <n v="55"/>
    <x v="8"/>
    <x v="2"/>
    <x v="1"/>
    <n v="26.7"/>
    <n v="52.3"/>
    <x v="4"/>
    <n v="66"/>
    <n v="570"/>
    <n v="6.3"/>
    <n v="10"/>
    <n v="9"/>
    <n v="10"/>
    <n v="0"/>
    <n v="0"/>
    <n v="0"/>
    <n v="0"/>
    <n v="1.58"/>
    <n v="1.42"/>
    <n v="3"/>
    <n v="1.58"/>
    <n v="3"/>
  </r>
  <r>
    <n v="56"/>
    <x v="9"/>
    <x v="2"/>
    <x v="3"/>
    <n v="26.4"/>
    <n v="50"/>
    <x v="1"/>
    <n v="44"/>
    <n v="390"/>
    <n v="4.3"/>
    <n v="7"/>
    <n v="6"/>
    <n v="6"/>
    <n v="1"/>
    <n v="1"/>
    <n v="0"/>
    <n v="0"/>
    <n v="1.62"/>
    <n v="1.38"/>
    <n v="3"/>
    <n v="1.38"/>
    <n v="2.77"/>
  </r>
  <r>
    <n v="57"/>
    <x v="12"/>
    <x v="2"/>
    <x v="0"/>
    <n v="25.4"/>
    <n v="56.5"/>
    <x v="4"/>
    <n v="66"/>
    <n v="600"/>
    <n v="6.7"/>
    <n v="12"/>
    <n v="10"/>
    <n v="12"/>
    <n v="0"/>
    <n v="0"/>
    <n v="0"/>
    <n v="0"/>
    <n v="1.8"/>
    <n v="1.5"/>
    <n v="3.3"/>
    <n v="1.8"/>
    <n v="3.3"/>
  </r>
  <r>
    <n v="58"/>
    <x v="31"/>
    <x v="2"/>
    <x v="3"/>
    <n v="21.1"/>
    <n v="50.7"/>
    <x v="0"/>
    <n v="33"/>
    <n v="270"/>
    <n v="3"/>
    <n v="0"/>
    <n v="0"/>
    <n v="0"/>
    <n v="0"/>
    <n v="0"/>
    <m/>
    <m/>
    <n v="0"/>
    <n v="0"/>
    <n v="0"/>
    <n v="0"/>
    <n v="0"/>
  </r>
  <r>
    <n v="59"/>
    <x v="28"/>
    <x v="2"/>
    <x v="0"/>
    <n v="23.1"/>
    <n v="47.7"/>
    <x v="0"/>
    <n v="33"/>
    <n v="270"/>
    <n v="3"/>
    <n v="3"/>
    <n v="3"/>
    <n v="3"/>
    <n v="0"/>
    <n v="0"/>
    <n v="0"/>
    <n v="0"/>
    <n v="1"/>
    <n v="1"/>
    <n v="2"/>
    <n v="1"/>
    <n v="2"/>
  </r>
  <r>
    <n v="60"/>
    <x v="15"/>
    <x v="2"/>
    <x v="2"/>
    <n v="24.4"/>
    <n v="45.7"/>
    <x v="0"/>
    <n v="33"/>
    <n v="270"/>
    <n v="3"/>
    <n v="4"/>
    <n v="3"/>
    <n v="4"/>
    <n v="0"/>
    <n v="0"/>
    <n v="0"/>
    <n v="0"/>
    <n v="1.33"/>
    <n v="1"/>
    <n v="2.33"/>
    <n v="1.33"/>
    <n v="2.33"/>
  </r>
  <r>
    <n v="61"/>
    <x v="16"/>
    <x v="2"/>
    <x v="3"/>
    <n v="24.3"/>
    <n v="50.7"/>
    <x v="0"/>
    <n v="33"/>
    <n v="270"/>
    <n v="3"/>
    <n v="1"/>
    <n v="0"/>
    <n v="1"/>
    <n v="0"/>
    <n v="0"/>
    <n v="0"/>
    <n v="0"/>
    <n v="0.33"/>
    <n v="0"/>
    <n v="0.33"/>
    <n v="0.33"/>
    <n v="0.33"/>
  </r>
  <r>
    <n v="62"/>
    <x v="17"/>
    <x v="2"/>
    <x v="0"/>
    <n v="24.7"/>
    <n v="50.7"/>
    <x v="0"/>
    <n v="33"/>
    <n v="270"/>
    <n v="3"/>
    <n v="2"/>
    <n v="1"/>
    <n v="2"/>
    <n v="0"/>
    <n v="0"/>
    <n v="0"/>
    <n v="0"/>
    <n v="0.67"/>
    <n v="0.33"/>
    <n v="1"/>
    <n v="0.67"/>
    <n v="1"/>
  </r>
  <r>
    <n v="63"/>
    <x v="21"/>
    <x v="2"/>
    <x v="5"/>
    <n v="28.4"/>
    <n v="45.3"/>
    <x v="4"/>
    <n v="66"/>
    <n v="540"/>
    <n v="6"/>
    <n v="10"/>
    <n v="4"/>
    <n v="9"/>
    <n v="1"/>
    <n v="1"/>
    <n v="0"/>
    <n v="0"/>
    <n v="1.67"/>
    <n v="0.67"/>
    <n v="2.33"/>
    <n v="1.5"/>
    <n v="2.17"/>
  </r>
  <r>
    <n v="64"/>
    <x v="23"/>
    <x v="2"/>
    <x v="0"/>
    <n v="28.3"/>
    <n v="50.5"/>
    <x v="4"/>
    <n v="66"/>
    <n v="600"/>
    <n v="6.7"/>
    <n v="12"/>
    <n v="9"/>
    <n v="12"/>
    <n v="0"/>
    <n v="0"/>
    <n v="0"/>
    <n v="0"/>
    <n v="1.8"/>
    <n v="1.35"/>
    <n v="3.15"/>
    <n v="1.8"/>
    <n v="3.15"/>
  </r>
  <r>
    <n v="65"/>
    <x v="0"/>
    <x v="3"/>
    <x v="5"/>
    <n v="21"/>
    <n v="38.299999999999997"/>
    <x v="0"/>
    <n v="33"/>
    <n v="270"/>
    <n v="3"/>
    <n v="1"/>
    <n v="0"/>
    <n v="1"/>
    <n v="0"/>
    <n v="0"/>
    <m/>
    <m/>
    <n v="0.33"/>
    <n v="0"/>
    <n v="0.33"/>
    <n v="0.33"/>
    <n v="0.33"/>
  </r>
  <r>
    <n v="66"/>
    <x v="1"/>
    <x v="3"/>
    <x v="0"/>
    <n v="24.7"/>
    <n v="48.3"/>
    <x v="1"/>
    <n v="44"/>
    <n v="360"/>
    <n v="4"/>
    <n v="9"/>
    <n v="6"/>
    <n v="9"/>
    <n v="0"/>
    <n v="0"/>
    <m/>
    <m/>
    <n v="2.25"/>
    <n v="1.5"/>
    <n v="3.75"/>
    <n v="2.25"/>
    <n v="3.75"/>
  </r>
  <r>
    <n v="67"/>
    <x v="2"/>
    <x v="3"/>
    <x v="2"/>
    <n v="25.7"/>
    <n v="61.3"/>
    <x v="4"/>
    <n v="66"/>
    <n v="540"/>
    <n v="6"/>
    <n v="16"/>
    <n v="7"/>
    <n v="16"/>
    <n v="0"/>
    <n v="0"/>
    <m/>
    <m/>
    <n v="2.67"/>
    <n v="1.17"/>
    <n v="3.83"/>
    <n v="2.67"/>
    <n v="3.83"/>
  </r>
  <r>
    <n v="68"/>
    <x v="4"/>
    <x v="3"/>
    <x v="0"/>
    <n v="23.8"/>
    <n v="39.299999999999997"/>
    <x v="0"/>
    <n v="33"/>
    <n v="270"/>
    <n v="3"/>
    <n v="7"/>
    <n v="3"/>
    <n v="7"/>
    <n v="0"/>
    <n v="0"/>
    <m/>
    <m/>
    <n v="2.33"/>
    <n v="1"/>
    <n v="3.33"/>
    <n v="2.33"/>
    <n v="3.33"/>
  </r>
  <r>
    <n v="69"/>
    <x v="6"/>
    <x v="3"/>
    <x v="0"/>
    <n v="24.9"/>
    <n v="47.3"/>
    <x v="1"/>
    <n v="44"/>
    <n v="360"/>
    <n v="4"/>
    <n v="5"/>
    <n v="0"/>
    <n v="5"/>
    <n v="0"/>
    <n v="0"/>
    <m/>
    <m/>
    <n v="1.25"/>
    <n v="0"/>
    <n v="1.25"/>
    <n v="1.25"/>
    <n v="1.25"/>
  </r>
  <r>
    <n v="70"/>
    <x v="32"/>
    <x v="3"/>
    <x v="2"/>
    <n v="26.9"/>
    <n v="50.7"/>
    <x v="0"/>
    <n v="33"/>
    <n v="270"/>
    <n v="3"/>
    <n v="4"/>
    <n v="2"/>
    <n v="4"/>
    <n v="0"/>
    <n v="0"/>
    <m/>
    <m/>
    <n v="1.33"/>
    <n v="0.67"/>
    <n v="2"/>
    <n v="1.33"/>
    <n v="2"/>
  </r>
  <r>
    <n v="71"/>
    <x v="7"/>
    <x v="3"/>
    <x v="0"/>
    <n v="24.8"/>
    <n v="52.5"/>
    <x v="1"/>
    <n v="44"/>
    <n v="360"/>
    <n v="4"/>
    <n v="7"/>
    <n v="5"/>
    <n v="5"/>
    <n v="2"/>
    <n v="2"/>
    <m/>
    <m/>
    <n v="1.75"/>
    <n v="1.25"/>
    <n v="3"/>
    <n v="1.25"/>
    <n v="2.5"/>
  </r>
  <r>
    <n v="72"/>
    <x v="9"/>
    <x v="3"/>
    <x v="3"/>
    <n v="26.5"/>
    <n v="49.5"/>
    <x v="4"/>
    <n v="66"/>
    <n v="540"/>
    <n v="6"/>
    <n v="20"/>
    <n v="11"/>
    <n v="19"/>
    <n v="1"/>
    <n v="1"/>
    <m/>
    <m/>
    <n v="3.33"/>
    <n v="1.83"/>
    <n v="5.17"/>
    <n v="3.17"/>
    <n v="5"/>
  </r>
  <r>
    <n v="73"/>
    <x v="33"/>
    <x v="3"/>
    <x v="5"/>
    <n v="24.5"/>
    <n v="52.3"/>
    <x v="0"/>
    <n v="33"/>
    <n v="270"/>
    <n v="3"/>
    <n v="3"/>
    <n v="0"/>
    <n v="2"/>
    <n v="1"/>
    <n v="1"/>
    <m/>
    <m/>
    <n v="1"/>
    <n v="0"/>
    <n v="1"/>
    <n v="0.67"/>
    <n v="0.67"/>
  </r>
  <r>
    <n v="74"/>
    <x v="12"/>
    <x v="3"/>
    <x v="2"/>
    <n v="24.7"/>
    <n v="56"/>
    <x v="0"/>
    <n v="33"/>
    <n v="270"/>
    <n v="3"/>
    <n v="3"/>
    <n v="0"/>
    <n v="3"/>
    <n v="0"/>
    <n v="0"/>
    <m/>
    <m/>
    <n v="1"/>
    <n v="0"/>
    <n v="1"/>
    <n v="1"/>
    <n v="1"/>
  </r>
  <r>
    <n v="75"/>
    <x v="31"/>
    <x v="3"/>
    <x v="7"/>
    <n v="22.8"/>
    <n v="52.8"/>
    <x v="1"/>
    <n v="44"/>
    <n v="360"/>
    <n v="4"/>
    <n v="5"/>
    <n v="1"/>
    <n v="5"/>
    <n v="0"/>
    <n v="0"/>
    <m/>
    <m/>
    <n v="1.25"/>
    <n v="0.25"/>
    <n v="1.5"/>
    <n v="1.25"/>
    <n v="1.5"/>
  </r>
  <r>
    <n v="76"/>
    <x v="15"/>
    <x v="3"/>
    <x v="0"/>
    <n v="24.5"/>
    <n v="39.700000000000003"/>
    <x v="0"/>
    <n v="33"/>
    <n v="270"/>
    <n v="3"/>
    <n v="0"/>
    <n v="0"/>
    <n v="0"/>
    <n v="0"/>
    <n v="0"/>
    <m/>
    <m/>
    <n v="0"/>
    <n v="0"/>
    <n v="0"/>
    <n v="0"/>
    <n v="0"/>
  </r>
  <r>
    <n v="77"/>
    <x v="16"/>
    <x v="3"/>
    <x v="7"/>
    <n v="23.6"/>
    <n v="51"/>
    <x v="0"/>
    <n v="33"/>
    <n v="270"/>
    <n v="3"/>
    <n v="1"/>
    <n v="0"/>
    <n v="1"/>
    <n v="0"/>
    <n v="0"/>
    <m/>
    <m/>
    <n v="0.33"/>
    <n v="0"/>
    <n v="0.33"/>
    <n v="0.33"/>
    <n v="0.33"/>
  </r>
  <r>
    <n v="78"/>
    <x v="17"/>
    <x v="3"/>
    <x v="5"/>
    <n v="26.3"/>
    <n v="53.7"/>
    <x v="4"/>
    <n v="66"/>
    <n v="540"/>
    <n v="6"/>
    <n v="12"/>
    <n v="10"/>
    <n v="11"/>
    <n v="1"/>
    <n v="1"/>
    <m/>
    <m/>
    <n v="2"/>
    <n v="1.67"/>
    <n v="3.67"/>
    <n v="1.83"/>
    <n v="3.5"/>
  </r>
  <r>
    <n v="79"/>
    <x v="21"/>
    <x v="3"/>
    <x v="2"/>
    <n v="26.1"/>
    <n v="49.7"/>
    <x v="0"/>
    <n v="33"/>
    <n v="270"/>
    <n v="3"/>
    <n v="3"/>
    <n v="3"/>
    <n v="3"/>
    <n v="0"/>
    <n v="0"/>
    <m/>
    <m/>
    <n v="1"/>
    <n v="1"/>
    <n v="2"/>
    <n v="1"/>
    <n v="2"/>
  </r>
  <r>
    <n v="80"/>
    <x v="23"/>
    <x v="3"/>
    <x v="0"/>
    <n v="26.7"/>
    <n v="46.5"/>
    <x v="4"/>
    <n v="66"/>
    <n v="540"/>
    <n v="6"/>
    <n v="12"/>
    <n v="3"/>
    <n v="11"/>
    <n v="1"/>
    <n v="1"/>
    <m/>
    <m/>
    <n v="2"/>
    <n v="0.5"/>
    <n v="2.5"/>
    <n v="1.83"/>
    <n v="2.33"/>
  </r>
  <r>
    <n v="81"/>
    <x v="0"/>
    <x v="4"/>
    <x v="2"/>
    <n v="23"/>
    <n v="49"/>
    <x v="0"/>
    <n v="33"/>
    <n v="270"/>
    <n v="3"/>
    <n v="1"/>
    <n v="0"/>
    <n v="1"/>
    <n v="0"/>
    <n v="0"/>
    <m/>
    <m/>
    <n v="0.33"/>
    <n v="0"/>
    <n v="0.33"/>
    <n v="0.33"/>
    <n v="0.33"/>
  </r>
  <r>
    <n v="82"/>
    <x v="1"/>
    <x v="4"/>
    <x v="2"/>
    <n v="23.4"/>
    <n v="49"/>
    <x v="0"/>
    <n v="33"/>
    <n v="270"/>
    <n v="3"/>
    <n v="3"/>
    <n v="0"/>
    <n v="3"/>
    <n v="0"/>
    <n v="0"/>
    <m/>
    <m/>
    <n v="1"/>
    <n v="0"/>
    <n v="1"/>
    <n v="1"/>
    <n v="1"/>
  </r>
  <r>
    <n v="83"/>
    <x v="2"/>
    <x v="4"/>
    <x v="2"/>
    <n v="22.4"/>
    <n v="55"/>
    <x v="1"/>
    <n v="44"/>
    <n v="360"/>
    <n v="4"/>
    <n v="9"/>
    <n v="0"/>
    <n v="9"/>
    <n v="0"/>
    <n v="0"/>
    <m/>
    <m/>
    <n v="2.25"/>
    <n v="0"/>
    <n v="2.25"/>
    <n v="2.25"/>
    <n v="2.25"/>
  </r>
  <r>
    <n v="84"/>
    <x v="4"/>
    <x v="4"/>
    <x v="3"/>
    <n v="22.7"/>
    <n v="41.7"/>
    <x v="4"/>
    <n v="66"/>
    <n v="540"/>
    <n v="6"/>
    <n v="10"/>
    <n v="0"/>
    <n v="10"/>
    <n v="0"/>
    <n v="0"/>
    <m/>
    <m/>
    <n v="1.67"/>
    <n v="0"/>
    <n v="1.67"/>
    <n v="1.67"/>
    <n v="1.67"/>
  </r>
  <r>
    <n v="85"/>
    <x v="6"/>
    <x v="4"/>
    <x v="0"/>
    <n v="27"/>
    <n v="61"/>
    <x v="1"/>
    <n v="44"/>
    <n v="360"/>
    <n v="4"/>
    <n v="3"/>
    <n v="0"/>
    <n v="3"/>
    <n v="0"/>
    <n v="0"/>
    <m/>
    <m/>
    <n v="0.75"/>
    <n v="0"/>
    <n v="0.75"/>
    <n v="0.75"/>
    <n v="0.75"/>
  </r>
  <r>
    <n v="86"/>
    <x v="8"/>
    <x v="4"/>
    <x v="3"/>
    <n v="25.2"/>
    <n v="46.3"/>
    <x v="0"/>
    <n v="33"/>
    <n v="270"/>
    <n v="3"/>
    <n v="2"/>
    <n v="0"/>
    <n v="2"/>
    <n v="0"/>
    <n v="0"/>
    <m/>
    <m/>
    <n v="0.67"/>
    <n v="0"/>
    <n v="0.67"/>
    <n v="0.67"/>
    <n v="0.67"/>
  </r>
  <r>
    <n v="87"/>
    <x v="9"/>
    <x v="4"/>
    <x v="5"/>
    <n v="27"/>
    <n v="51.8"/>
    <x v="4"/>
    <n v="66"/>
    <n v="570"/>
    <n v="6.3"/>
    <n v="25"/>
    <n v="0"/>
    <n v="25"/>
    <n v="0"/>
    <n v="0"/>
    <m/>
    <m/>
    <n v="3.95"/>
    <n v="0"/>
    <n v="3.95"/>
    <n v="3.95"/>
    <n v="3.95"/>
  </r>
  <r>
    <n v="88"/>
    <x v="33"/>
    <x v="4"/>
    <x v="7"/>
    <n v="25.4"/>
    <n v="47.7"/>
    <x v="0"/>
    <n v="33"/>
    <n v="270"/>
    <n v="3"/>
    <n v="2"/>
    <n v="0"/>
    <n v="2"/>
    <n v="0"/>
    <n v="0"/>
    <m/>
    <m/>
    <n v="0.67"/>
    <n v="0"/>
    <n v="0.67"/>
    <n v="0.67"/>
    <n v="0.67"/>
  </r>
  <r>
    <n v="89"/>
    <x v="12"/>
    <x v="4"/>
    <x v="2"/>
    <n v="24.2"/>
    <n v="54.7"/>
    <x v="0"/>
    <n v="33"/>
    <n v="270"/>
    <n v="3"/>
    <n v="7"/>
    <n v="0"/>
    <n v="7"/>
    <n v="0"/>
    <n v="0"/>
    <m/>
    <m/>
    <n v="2.33"/>
    <n v="0"/>
    <n v="2.33"/>
    <n v="2.33"/>
    <n v="2.33"/>
  </r>
  <r>
    <n v="90"/>
    <x v="31"/>
    <x v="4"/>
    <x v="7"/>
    <n v="24.6"/>
    <n v="52.3"/>
    <x v="0"/>
    <n v="33"/>
    <n v="270"/>
    <n v="3"/>
    <n v="3"/>
    <n v="0"/>
    <n v="3"/>
    <n v="0"/>
    <n v="0"/>
    <m/>
    <m/>
    <n v="1"/>
    <n v="0"/>
    <n v="1"/>
    <n v="1"/>
    <n v="1"/>
  </r>
  <r>
    <n v="91"/>
    <x v="13"/>
    <x v="4"/>
    <x v="0"/>
    <n v="22.2"/>
    <n v="48.7"/>
    <x v="0"/>
    <n v="33"/>
    <n v="270"/>
    <n v="3"/>
    <n v="1"/>
    <n v="0"/>
    <n v="1"/>
    <n v="0"/>
    <n v="0"/>
    <m/>
    <m/>
    <n v="0.33"/>
    <n v="0"/>
    <n v="0.33"/>
    <n v="0.33"/>
    <n v="0.33"/>
  </r>
  <r>
    <n v="92"/>
    <x v="16"/>
    <x v="4"/>
    <x v="2"/>
    <n v="24.7"/>
    <n v="51.3"/>
    <x v="0"/>
    <n v="33"/>
    <n v="270"/>
    <n v="3"/>
    <n v="0"/>
    <n v="0"/>
    <n v="0"/>
    <n v="0"/>
    <n v="0"/>
    <m/>
    <m/>
    <n v="0"/>
    <n v="0"/>
    <n v="0"/>
    <n v="0"/>
    <n v="0"/>
  </r>
  <r>
    <n v="93"/>
    <x v="17"/>
    <x v="4"/>
    <x v="2"/>
    <n v="25.3"/>
    <n v="48"/>
    <x v="1"/>
    <n v="44"/>
    <n v="360"/>
    <n v="4"/>
    <n v="10"/>
    <n v="1"/>
    <n v="10"/>
    <n v="0"/>
    <n v="0"/>
    <m/>
    <m/>
    <n v="2.5"/>
    <n v="0.25"/>
    <n v="2.75"/>
    <n v="2.5"/>
    <n v="2.75"/>
  </r>
  <r>
    <n v="94"/>
    <x v="34"/>
    <x v="4"/>
    <x v="3"/>
    <n v="28.1"/>
    <n v="45"/>
    <x v="1"/>
    <n v="44"/>
    <n v="360"/>
    <n v="4"/>
    <n v="5"/>
    <n v="1"/>
    <n v="5"/>
    <n v="0"/>
    <n v="0"/>
    <m/>
    <m/>
    <n v="1.25"/>
    <n v="0.25"/>
    <n v="1.5"/>
    <n v="1.25"/>
    <n v="1.5"/>
  </r>
  <r>
    <n v="95"/>
    <x v="21"/>
    <x v="4"/>
    <x v="0"/>
    <n v="25.9"/>
    <n v="48.2"/>
    <x v="4"/>
    <n v="66"/>
    <n v="570"/>
    <n v="6.3"/>
    <n v="10"/>
    <n v="0"/>
    <n v="10"/>
    <n v="0"/>
    <n v="0"/>
    <m/>
    <m/>
    <n v="1.58"/>
    <n v="0"/>
    <n v="1.58"/>
    <n v="1.58"/>
    <n v="1.58"/>
  </r>
  <r>
    <n v="96"/>
    <x v="23"/>
    <x v="4"/>
    <x v="0"/>
    <n v="28.1"/>
    <n v="52.8"/>
    <x v="4"/>
    <n v="66"/>
    <n v="540"/>
    <n v="6"/>
    <n v="15"/>
    <n v="4"/>
    <n v="15"/>
    <n v="0"/>
    <n v="0"/>
    <m/>
    <m/>
    <n v="2.5"/>
    <n v="0.67"/>
    <n v="3.17"/>
    <n v="2.5"/>
    <n v="3.17"/>
  </r>
  <r>
    <n v="97"/>
    <x v="1"/>
    <x v="5"/>
    <x v="3"/>
    <n v="25"/>
    <m/>
    <x v="0"/>
    <n v="33"/>
    <n v="270"/>
    <n v="3"/>
    <n v="3"/>
    <n v="1"/>
    <n v="3"/>
    <n v="0"/>
    <n v="0"/>
    <m/>
    <m/>
    <n v="1"/>
    <n v="0.33"/>
    <n v="1.33"/>
    <n v="1"/>
    <n v="1.33"/>
  </r>
  <r>
    <n v="98"/>
    <x v="2"/>
    <x v="5"/>
    <x v="7"/>
    <n v="25"/>
    <m/>
    <x v="4"/>
    <n v="66"/>
    <n v="554"/>
    <n v="6.2"/>
    <n v="16"/>
    <n v="10"/>
    <n v="16"/>
    <n v="0"/>
    <n v="0"/>
    <m/>
    <m/>
    <n v="2.6"/>
    <n v="1.62"/>
    <n v="4.22"/>
    <n v="2.6"/>
    <n v="4.22"/>
  </r>
  <r>
    <n v="99"/>
    <x v="4"/>
    <x v="5"/>
    <x v="7"/>
    <n v="25.9"/>
    <m/>
    <x v="0"/>
    <n v="33"/>
    <n v="270"/>
    <n v="3"/>
    <n v="3"/>
    <n v="3"/>
    <n v="3"/>
    <n v="0"/>
    <n v="0"/>
    <m/>
    <m/>
    <n v="1"/>
    <n v="1"/>
    <n v="2"/>
    <n v="1"/>
    <n v="2"/>
  </r>
  <r>
    <n v="100"/>
    <x v="6"/>
    <x v="5"/>
    <x v="9"/>
    <n v="26.6"/>
    <m/>
    <x v="4"/>
    <n v="66"/>
    <n v="570"/>
    <n v="6.3"/>
    <n v="19"/>
    <n v="9"/>
    <n v="18"/>
    <n v="1"/>
    <n v="1"/>
    <m/>
    <m/>
    <n v="3"/>
    <n v="1.42"/>
    <n v="4.42"/>
    <n v="2.84"/>
    <n v="4.26"/>
  </r>
  <r>
    <n v="101"/>
    <x v="32"/>
    <x v="5"/>
    <x v="3"/>
    <n v="25.5"/>
    <m/>
    <x v="0"/>
    <n v="33"/>
    <n v="270"/>
    <n v="3"/>
    <n v="1"/>
    <n v="0"/>
    <n v="1"/>
    <n v="0"/>
    <n v="0"/>
    <m/>
    <m/>
    <n v="0.33"/>
    <n v="0"/>
    <n v="0.33"/>
    <n v="0.33"/>
    <n v="0.33"/>
  </r>
  <r>
    <n v="102"/>
    <x v="9"/>
    <x v="5"/>
    <x v="0"/>
    <n v="24.4"/>
    <m/>
    <x v="1"/>
    <n v="44"/>
    <n v="360"/>
    <n v="4"/>
    <n v="11"/>
    <n v="4"/>
    <n v="11"/>
    <n v="0"/>
    <n v="0"/>
    <m/>
    <m/>
    <n v="2.75"/>
    <n v="1"/>
    <n v="3.75"/>
    <n v="2.75"/>
    <n v="3.75"/>
  </r>
  <r>
    <n v="103"/>
    <x v="33"/>
    <x v="5"/>
    <x v="2"/>
    <n v="23.6"/>
    <m/>
    <x v="0"/>
    <n v="33"/>
    <n v="270"/>
    <n v="3"/>
    <n v="1"/>
    <n v="0"/>
    <n v="1"/>
    <n v="0"/>
    <n v="0"/>
    <m/>
    <m/>
    <n v="0.33"/>
    <n v="0"/>
    <n v="0.33"/>
    <n v="0.33"/>
    <n v="0.33"/>
  </r>
  <r>
    <n v="104"/>
    <x v="10"/>
    <x v="5"/>
    <x v="3"/>
    <n v="26.7"/>
    <m/>
    <x v="0"/>
    <n v="33"/>
    <n v="270"/>
    <n v="3"/>
    <n v="3"/>
    <n v="1"/>
    <n v="3"/>
    <n v="0"/>
    <n v="0"/>
    <m/>
    <m/>
    <n v="1"/>
    <n v="0.33"/>
    <n v="1.33"/>
    <n v="1"/>
    <n v="1.33"/>
  </r>
  <r>
    <n v="105"/>
    <x v="12"/>
    <x v="5"/>
    <x v="7"/>
    <n v="23"/>
    <m/>
    <x v="0"/>
    <n v="33"/>
    <n v="270"/>
    <n v="3"/>
    <n v="1"/>
    <n v="1"/>
    <n v="1"/>
    <n v="0"/>
    <n v="0"/>
    <m/>
    <m/>
    <n v="0.33"/>
    <n v="0.33"/>
    <n v="0.67"/>
    <n v="0.33"/>
    <n v="0.67"/>
  </r>
  <r>
    <n v="106"/>
    <x v="31"/>
    <x v="5"/>
    <x v="2"/>
    <n v="24.5"/>
    <m/>
    <x v="0"/>
    <n v="33"/>
    <n v="270"/>
    <n v="3"/>
    <n v="4"/>
    <n v="2"/>
    <n v="4"/>
    <n v="0"/>
    <n v="0"/>
    <m/>
    <m/>
    <n v="1.33"/>
    <n v="0.67"/>
    <n v="2"/>
    <n v="1.33"/>
    <n v="2"/>
  </r>
  <r>
    <n v="107"/>
    <x v="28"/>
    <x v="5"/>
    <x v="7"/>
    <n v="21.5"/>
    <m/>
    <x v="0"/>
    <n v="33"/>
    <n v="270"/>
    <n v="3"/>
    <n v="1"/>
    <n v="0"/>
    <n v="1"/>
    <n v="0"/>
    <n v="0"/>
    <m/>
    <m/>
    <n v="0.33"/>
    <n v="0"/>
    <n v="0.33"/>
    <n v="0.33"/>
    <n v="0.33"/>
  </r>
  <r>
    <n v="108"/>
    <x v="16"/>
    <x v="5"/>
    <x v="2"/>
    <n v="23.5"/>
    <m/>
    <x v="1"/>
    <n v="44"/>
    <n v="374"/>
    <n v="4.2"/>
    <n v="8"/>
    <n v="3"/>
    <n v="8"/>
    <n v="0"/>
    <n v="0"/>
    <m/>
    <m/>
    <n v="1.93"/>
    <n v="0.72"/>
    <n v="2.65"/>
    <n v="1.93"/>
    <n v="2.65"/>
  </r>
  <r>
    <n v="109"/>
    <x v="17"/>
    <x v="5"/>
    <x v="5"/>
    <n v="25.1"/>
    <m/>
    <x v="4"/>
    <n v="66"/>
    <n v="540"/>
    <n v="6"/>
    <n v="15"/>
    <n v="10"/>
    <n v="15"/>
    <n v="0"/>
    <n v="0"/>
    <m/>
    <m/>
    <n v="2.5"/>
    <n v="1.67"/>
    <n v="4.17"/>
    <n v="2.5"/>
    <n v="4.17"/>
  </r>
  <r>
    <n v="110"/>
    <x v="34"/>
    <x v="5"/>
    <x v="7"/>
    <n v="25.6"/>
    <m/>
    <x v="1"/>
    <n v="44"/>
    <n v="360"/>
    <n v="4"/>
    <n v="10"/>
    <n v="9"/>
    <n v="10"/>
    <n v="0"/>
    <n v="0"/>
    <m/>
    <m/>
    <n v="2.5"/>
    <n v="2.25"/>
    <n v="4.75"/>
    <n v="2.5"/>
    <n v="4.75"/>
  </r>
  <r>
    <n v="111"/>
    <x v="21"/>
    <x v="5"/>
    <x v="3"/>
    <n v="24.6"/>
    <m/>
    <x v="1"/>
    <n v="44"/>
    <n v="360"/>
    <n v="4"/>
    <n v="7"/>
    <n v="5"/>
    <n v="7"/>
    <n v="0"/>
    <n v="0"/>
    <m/>
    <m/>
    <n v="1.75"/>
    <n v="1.25"/>
    <n v="3"/>
    <n v="1.75"/>
    <n v="3"/>
  </r>
  <r>
    <n v="112"/>
    <x v="23"/>
    <x v="5"/>
    <x v="0"/>
    <n v="27.4"/>
    <m/>
    <x v="4"/>
    <n v="66"/>
    <n v="570"/>
    <n v="6.3"/>
    <n v="17"/>
    <n v="15"/>
    <n v="16"/>
    <n v="1"/>
    <n v="1"/>
    <m/>
    <m/>
    <n v="2.68"/>
    <n v="2.37"/>
    <n v="5.05"/>
    <n v="2.5299999999999998"/>
    <n v="4.8899999999999997"/>
  </r>
  <r>
    <n v="113"/>
    <x v="1"/>
    <x v="6"/>
    <x v="3"/>
    <n v="25"/>
    <m/>
    <x v="0"/>
    <n v="33"/>
    <n v="270"/>
    <n v="3"/>
    <n v="3"/>
    <n v="0"/>
    <n v="3"/>
    <n v="0"/>
    <n v="0"/>
    <m/>
    <m/>
    <n v="1"/>
    <n v="0"/>
    <n v="1"/>
    <n v="1"/>
    <n v="1"/>
  </r>
  <r>
    <n v="114"/>
    <x v="2"/>
    <x v="6"/>
    <x v="2"/>
    <n v="27.9"/>
    <m/>
    <x v="0"/>
    <n v="33"/>
    <n v="270"/>
    <n v="3"/>
    <n v="3"/>
    <n v="1"/>
    <n v="3"/>
    <n v="0"/>
    <n v="0"/>
    <m/>
    <m/>
    <n v="1"/>
    <n v="0.33"/>
    <n v="1.33"/>
    <n v="1"/>
    <n v="1.33"/>
  </r>
  <r>
    <n v="115"/>
    <x v="4"/>
    <x v="6"/>
    <x v="7"/>
    <n v="26.2"/>
    <m/>
    <x v="0"/>
    <n v="33"/>
    <n v="270"/>
    <n v="3"/>
    <n v="5"/>
    <n v="0"/>
    <n v="5"/>
    <n v="0"/>
    <n v="0"/>
    <m/>
    <m/>
    <n v="1.67"/>
    <n v="0"/>
    <n v="1.67"/>
    <n v="1.67"/>
    <n v="1.67"/>
  </r>
  <r>
    <n v="116"/>
    <x v="6"/>
    <x v="6"/>
    <x v="2"/>
    <n v="24.3"/>
    <m/>
    <x v="4"/>
    <n v="66"/>
    <n v="570"/>
    <n v="6.3"/>
    <n v="11"/>
    <n v="0"/>
    <n v="11"/>
    <n v="0"/>
    <n v="0"/>
    <m/>
    <m/>
    <n v="1.74"/>
    <n v="0"/>
    <n v="1.74"/>
    <n v="1.74"/>
    <n v="1.74"/>
  </r>
  <r>
    <n v="117"/>
    <x v="32"/>
    <x v="6"/>
    <x v="3"/>
    <n v="21.3"/>
    <m/>
    <x v="1"/>
    <n v="44"/>
    <n v="360"/>
    <n v="4"/>
    <n v="7"/>
    <n v="0"/>
    <n v="7"/>
    <n v="0"/>
    <n v="0"/>
    <m/>
    <m/>
    <n v="1.75"/>
    <n v="0"/>
    <n v="1.75"/>
    <n v="1.75"/>
    <n v="1.75"/>
  </r>
  <r>
    <n v="118"/>
    <x v="7"/>
    <x v="6"/>
    <x v="2"/>
    <n v="27.8"/>
    <m/>
    <x v="1"/>
    <n v="44"/>
    <n v="360"/>
    <n v="4"/>
    <n v="6"/>
    <n v="0"/>
    <n v="6"/>
    <n v="0"/>
    <n v="0"/>
    <m/>
    <m/>
    <n v="1.5"/>
    <n v="0"/>
    <n v="1.5"/>
    <n v="1.5"/>
    <n v="1.5"/>
  </r>
  <r>
    <n v="119"/>
    <x v="9"/>
    <x v="6"/>
    <x v="3"/>
    <n v="25.3"/>
    <m/>
    <x v="4"/>
    <n v="66"/>
    <n v="540"/>
    <n v="6"/>
    <n v="13"/>
    <n v="0"/>
    <n v="13"/>
    <n v="0"/>
    <n v="0"/>
    <m/>
    <m/>
    <n v="2.17"/>
    <n v="0"/>
    <n v="2.17"/>
    <n v="2.17"/>
    <n v="2.17"/>
  </r>
  <r>
    <n v="120"/>
    <x v="12"/>
    <x v="6"/>
    <x v="9"/>
    <n v="22.6"/>
    <m/>
    <x v="1"/>
    <n v="44"/>
    <n v="360"/>
    <n v="4"/>
    <n v="2"/>
    <n v="0"/>
    <n v="2"/>
    <n v="0"/>
    <n v="0"/>
    <m/>
    <m/>
    <n v="0.5"/>
    <n v="0"/>
    <n v="0.5"/>
    <n v="0.5"/>
    <n v="0.5"/>
  </r>
  <r>
    <n v="121"/>
    <x v="16"/>
    <x v="6"/>
    <x v="2"/>
    <n v="20.6"/>
    <m/>
    <x v="0"/>
    <n v="33"/>
    <n v="270"/>
    <n v="3"/>
    <n v="5"/>
    <n v="0"/>
    <n v="5"/>
    <n v="0"/>
    <n v="0"/>
    <m/>
    <m/>
    <n v="1.67"/>
    <n v="0"/>
    <n v="1.67"/>
    <n v="1.67"/>
    <n v="1.67"/>
  </r>
  <r>
    <n v="122"/>
    <x v="17"/>
    <x v="6"/>
    <x v="3"/>
    <n v="24.6"/>
    <m/>
    <x v="4"/>
    <n v="66"/>
    <n v="540"/>
    <n v="6"/>
    <n v="23"/>
    <n v="0"/>
    <n v="23"/>
    <n v="0"/>
    <n v="0"/>
    <m/>
    <m/>
    <n v="3.83"/>
    <n v="0"/>
    <n v="3.83"/>
    <n v="3.83"/>
    <n v="3.83"/>
  </r>
  <r>
    <n v="123"/>
    <x v="21"/>
    <x v="6"/>
    <x v="0"/>
    <n v="27.5"/>
    <m/>
    <x v="1"/>
    <n v="44"/>
    <n v="390"/>
    <n v="4.3"/>
    <n v="6"/>
    <n v="0"/>
    <n v="6"/>
    <n v="0"/>
    <n v="0"/>
    <m/>
    <m/>
    <n v="1.38"/>
    <n v="0"/>
    <n v="1.38"/>
    <n v="1.38"/>
    <n v="1.38"/>
  </r>
  <r>
    <n v="124"/>
    <x v="23"/>
    <x v="6"/>
    <x v="0"/>
    <n v="24.1"/>
    <m/>
    <x v="4"/>
    <n v="66"/>
    <n v="540"/>
    <n v="6"/>
    <n v="15"/>
    <n v="4"/>
    <n v="15"/>
    <n v="0"/>
    <n v="0"/>
    <m/>
    <m/>
    <n v="2.5"/>
    <n v="0.67"/>
    <n v="3.17"/>
    <n v="2.5"/>
    <n v="3.17"/>
  </r>
  <r>
    <n v="125"/>
    <x v="2"/>
    <x v="7"/>
    <x v="3"/>
    <n v="25.7"/>
    <m/>
    <x v="0"/>
    <n v="33"/>
    <n v="240"/>
    <n v="2.7"/>
    <n v="1"/>
    <n v="0"/>
    <n v="1"/>
    <n v="0"/>
    <n v="0"/>
    <m/>
    <m/>
    <n v="0.37"/>
    <n v="0"/>
    <n v="0.37"/>
    <n v="0.37"/>
    <n v="0.37"/>
  </r>
  <r>
    <n v="126"/>
    <x v="6"/>
    <x v="7"/>
    <x v="7"/>
    <n v="22.1"/>
    <m/>
    <x v="1"/>
    <n v="44"/>
    <n v="320"/>
    <n v="3.6"/>
    <n v="10"/>
    <n v="3"/>
    <n v="10"/>
    <n v="0"/>
    <n v="0"/>
    <m/>
    <m/>
    <n v="2.81"/>
    <n v="0.84"/>
    <n v="3.66"/>
    <n v="2.81"/>
    <n v="3.66"/>
  </r>
  <r>
    <n v="127"/>
    <x v="35"/>
    <x v="7"/>
    <x v="2"/>
    <n v="21.2"/>
    <m/>
    <x v="1"/>
    <n v="44"/>
    <n v="320"/>
    <n v="3.6"/>
    <n v="2"/>
    <n v="1"/>
    <n v="2"/>
    <n v="0"/>
    <n v="0"/>
    <m/>
    <m/>
    <n v="0.56000000000000005"/>
    <n v="0.28000000000000003"/>
    <n v="0.84"/>
    <n v="0.56000000000000005"/>
    <n v="0.84"/>
  </r>
  <r>
    <n v="128"/>
    <x v="32"/>
    <x v="7"/>
    <x v="7"/>
    <n v="23.8"/>
    <m/>
    <x v="1"/>
    <n v="44"/>
    <n v="340"/>
    <n v="3.8"/>
    <n v="7"/>
    <n v="5"/>
    <n v="5"/>
    <n v="2"/>
    <n v="2"/>
    <m/>
    <m/>
    <n v="1.85"/>
    <n v="1.32"/>
    <n v="3.18"/>
    <n v="1.32"/>
    <n v="2.65"/>
  </r>
  <r>
    <n v="129"/>
    <x v="9"/>
    <x v="7"/>
    <x v="0"/>
    <n v="23.8"/>
    <m/>
    <x v="4"/>
    <n v="66"/>
    <n v="500"/>
    <n v="5.6"/>
    <n v="13"/>
    <n v="9"/>
    <n v="12"/>
    <n v="1"/>
    <n v="1"/>
    <m/>
    <m/>
    <n v="2.34"/>
    <n v="1.62"/>
    <n v="3.96"/>
    <n v="2.16"/>
    <n v="3.78"/>
  </r>
  <r>
    <n v="130"/>
    <x v="10"/>
    <x v="7"/>
    <x v="3"/>
    <n v="24.2"/>
    <m/>
    <x v="1"/>
    <n v="44"/>
    <n v="340"/>
    <n v="3.8"/>
    <n v="8"/>
    <n v="5"/>
    <n v="8"/>
    <n v="0"/>
    <n v="0"/>
    <m/>
    <m/>
    <n v="2.12"/>
    <n v="1.32"/>
    <n v="3.44"/>
    <n v="2.12"/>
    <n v="3.44"/>
  </r>
  <r>
    <n v="131"/>
    <x v="12"/>
    <x v="7"/>
    <x v="10"/>
    <n v="24.3"/>
    <m/>
    <x v="0"/>
    <n v="33"/>
    <n v="240"/>
    <n v="2.7"/>
    <n v="0"/>
    <n v="0"/>
    <n v="0"/>
    <n v="0"/>
    <n v="0"/>
    <m/>
    <m/>
    <n v="0"/>
    <n v="0"/>
    <n v="0"/>
    <n v="0"/>
    <n v="0"/>
  </r>
  <r>
    <n v="132"/>
    <x v="15"/>
    <x v="7"/>
    <x v="7"/>
    <n v="25.5"/>
    <m/>
    <x v="0"/>
    <n v="33"/>
    <n v="240"/>
    <n v="2.7"/>
    <n v="1"/>
    <n v="1"/>
    <n v="1"/>
    <n v="0"/>
    <n v="0"/>
    <m/>
    <m/>
    <n v="0.37"/>
    <n v="0.37"/>
    <n v="0.75"/>
    <n v="0.37"/>
    <n v="0.75"/>
  </r>
  <r>
    <n v="133"/>
    <x v="16"/>
    <x v="7"/>
    <x v="3"/>
    <n v="18.2"/>
    <m/>
    <x v="0"/>
    <n v="33"/>
    <n v="240"/>
    <n v="2.7"/>
    <n v="0"/>
    <n v="0"/>
    <n v="0"/>
    <n v="0"/>
    <n v="0"/>
    <m/>
    <m/>
    <n v="0"/>
    <n v="0"/>
    <n v="0"/>
    <n v="0"/>
    <n v="0"/>
  </r>
  <r>
    <n v="134"/>
    <x v="17"/>
    <x v="7"/>
    <x v="7"/>
    <n v="24.1"/>
    <m/>
    <x v="4"/>
    <n v="66"/>
    <n v="500"/>
    <n v="5.6"/>
    <n v="13"/>
    <n v="6"/>
    <n v="12"/>
    <n v="1"/>
    <n v="1"/>
    <m/>
    <m/>
    <n v="2.34"/>
    <n v="1.08"/>
    <n v="3.42"/>
    <n v="2.16"/>
    <n v="3.24"/>
  </r>
  <r>
    <n v="135"/>
    <x v="21"/>
    <x v="7"/>
    <x v="0"/>
    <n v="25.4"/>
    <m/>
    <x v="4"/>
    <n v="66"/>
    <n v="480"/>
    <n v="5.3"/>
    <n v="17"/>
    <n v="11"/>
    <n v="16"/>
    <n v="1"/>
    <n v="1"/>
    <m/>
    <m/>
    <n v="3.19"/>
    <n v="2.06"/>
    <n v="5.25"/>
    <n v="3"/>
    <n v="5.0599999999999996"/>
  </r>
  <r>
    <n v="136"/>
    <x v="23"/>
    <x v="7"/>
    <x v="2"/>
    <n v="23"/>
    <m/>
    <x v="4"/>
    <n v="66"/>
    <n v="480"/>
    <n v="5.3"/>
    <n v="25"/>
    <n v="11"/>
    <n v="24"/>
    <n v="1"/>
    <n v="1"/>
    <m/>
    <m/>
    <n v="4.6900000000000004"/>
    <n v="2.06"/>
    <n v="6.75"/>
    <n v="4.5"/>
    <n v="6.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5C0B95-95B2-0B43-AAB5-55D34F086EBC}" name="PivotTable2"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22">
    <pivotField showAll="0"/>
    <pivotField axis="axisRow" showAll="0">
      <items count="37">
        <item x="0"/>
        <item x="1"/>
        <item x="2"/>
        <item x="26"/>
        <item x="3"/>
        <item x="4"/>
        <item x="5"/>
        <item x="6"/>
        <item x="35"/>
        <item x="24"/>
        <item x="25"/>
        <item x="32"/>
        <item x="27"/>
        <item x="7"/>
        <item x="30"/>
        <item x="8"/>
        <item x="9"/>
        <item x="33"/>
        <item x="10"/>
        <item x="11"/>
        <item x="12"/>
        <item x="31"/>
        <item x="13"/>
        <item x="28"/>
        <item x="14"/>
        <item x="15"/>
        <item x="16"/>
        <item x="17"/>
        <item x="34"/>
        <item x="18"/>
        <item x="19"/>
        <item x="20"/>
        <item x="21"/>
        <item x="29"/>
        <item x="22"/>
        <item x="23"/>
        <item t="default"/>
      </items>
    </pivotField>
    <pivotField axis="axisPage" showAll="0">
      <items count="9">
        <item x="7"/>
        <item x="6"/>
        <item x="5"/>
        <item x="4"/>
        <item x="3"/>
        <item x="2"/>
        <item x="1"/>
        <item x="0"/>
        <item t="default"/>
      </items>
    </pivotField>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1"/>
  </pageFields>
  <dataFields count="2">
    <dataField name="Sum of matches_played" fld="6" baseField="0" baseItem="0"/>
    <dataField name="Sum of goal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87B85-2685-1048-B561-3F05CD3B0AA0}" name="PivotTable4"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1" firstHeaderRow="0" firstDataRow="1" firstDataCol="1" rowPageCount="1" colPageCount="1"/>
  <pivotFields count="22">
    <pivotField showAll="0"/>
    <pivotField axis="axisPage" multipleItemSelectionAllowed="1" showAll="0">
      <items count="37">
        <item h="1" x="0"/>
        <item x="1"/>
        <item h="1" x="2"/>
        <item h="1" x="26"/>
        <item h="1" x="3"/>
        <item h="1" x="4"/>
        <item h="1" x="5"/>
        <item h="1" x="6"/>
        <item h="1" x="35"/>
        <item h="1" x="24"/>
        <item h="1" x="25"/>
        <item h="1" x="32"/>
        <item h="1" x="27"/>
        <item h="1" x="7"/>
        <item h="1" x="30"/>
        <item h="1" x="8"/>
        <item h="1" x="9"/>
        <item h="1" x="33"/>
        <item h="1" x="10"/>
        <item h="1" x="11"/>
        <item h="1" x="12"/>
        <item h="1" x="31"/>
        <item h="1" x="13"/>
        <item h="1" x="28"/>
        <item h="1" x="14"/>
        <item h="1" x="15"/>
        <item h="1" x="16"/>
        <item h="1" x="17"/>
        <item h="1" x="34"/>
        <item h="1" x="18"/>
        <item h="1" x="19"/>
        <item h="1" x="20"/>
        <item h="1" x="21"/>
        <item h="1" x="29"/>
        <item h="1" x="22"/>
        <item h="1" x="23"/>
        <item t="default"/>
      </items>
    </pivotField>
    <pivotField axis="axisRow" showAll="0">
      <items count="9">
        <item x="7"/>
        <item x="6"/>
        <item x="5"/>
        <item x="4"/>
        <item x="3"/>
        <item x="2"/>
        <item x="1"/>
        <item x="0"/>
        <item t="default"/>
      </items>
    </pivotField>
    <pivotField showAll="0"/>
    <pivotField showAll="0"/>
    <pivotField dataField="1" showAll="0"/>
    <pivotField dataField="1" showAll="0">
      <items count="6">
        <item x="0"/>
        <item x="1"/>
        <item x="3"/>
        <item x="4"/>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1"/>
    </i>
    <i>
      <x v="2"/>
    </i>
    <i>
      <x v="3"/>
    </i>
    <i>
      <x v="4"/>
    </i>
    <i>
      <x v="5"/>
    </i>
    <i>
      <x v="6"/>
    </i>
    <i>
      <x v="7"/>
    </i>
    <i t="grand">
      <x/>
    </i>
  </rowItems>
  <colFields count="1">
    <field x="-2"/>
  </colFields>
  <colItems count="3">
    <i>
      <x/>
    </i>
    <i i="1">
      <x v="1"/>
    </i>
    <i i="2">
      <x v="2"/>
    </i>
  </colItems>
  <pageFields count="1">
    <pageField fld="1" hier="-1"/>
  </pageFields>
  <dataFields count="3">
    <dataField name="Sum of matches_played" fld="6" baseField="0" baseItem="0"/>
    <dataField name="Sum of goals" fld="10" baseField="0" baseItem="0"/>
    <dataField name="Average of possesion" fld="5" subtotal="average" baseField="0" baseItem="0"/>
  </dataFields>
  <chartFormats count="1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 chart="3"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Matches, goals and possessio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d" xr10:uid="{39507514-BCAA-DE4E-82BE-9CACED3CD5EA}" sourceName="squad">
  <pivotTables>
    <pivotTable tabId="8" name="PivotTable4"/>
  </pivotTables>
  <data>
    <tabular pivotCacheId="1680593638">
      <items count="36">
        <i x="0"/>
        <i x="1" s="1"/>
        <i x="2"/>
        <i x="26"/>
        <i x="3"/>
        <i x="4"/>
        <i x="5"/>
        <i x="6"/>
        <i x="35"/>
        <i x="24"/>
        <i x="25"/>
        <i x="32"/>
        <i x="27"/>
        <i x="7"/>
        <i x="30"/>
        <i x="8"/>
        <i x="9"/>
        <i x="33"/>
        <i x="10"/>
        <i x="11"/>
        <i x="12"/>
        <i x="31"/>
        <i x="13"/>
        <i x="28"/>
        <i x="14"/>
        <i x="15"/>
        <i x="16"/>
        <i x="17"/>
        <i x="34"/>
        <i x="18"/>
        <i x="19"/>
        <i x="20"/>
        <i x="21"/>
        <i x="29"/>
        <i x="22"/>
        <i x="2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quad" xr10:uid="{455DA9B7-5FDA-7249-9F52-1296C7E6A8F7}" cache="Slicer_squad" caption="squad" rowHeight="251883"/>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6" dT="2023-08-17T09:47:37.39" personId="{41D526D4-9D67-3148-83A7-7F4FDCAD8DB6}" id="{B8DFFE92-4C1F-834A-8B14-DF1C3BAE1D39}">
    <text>Note how the formula proceeds to the second condition only if the first is not verified.</text>
  </threadedComment>
  <threadedComment ref="E16" dT="2023-08-17T09:47:37.39" personId="{41D526D4-9D67-3148-83A7-7F4FDCAD8DB6}" id="{956F094E-48EA-BD43-A476-97D9B87AF8A6}">
    <text>note how the “TRUE” condition at the end (which is always true!!) is a catch all condition (default if none of the preceding conditions are verified)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zonination/pokemon-chart/blob/master/chart.csv"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C904-E326-9543-B211-79A5D7A9CA2E}">
  <sheetPr codeName="Sheet1"/>
  <dimension ref="A1:S22"/>
  <sheetViews>
    <sheetView workbookViewId="0">
      <selection activeCell="B25" sqref="B25"/>
    </sheetView>
  </sheetViews>
  <sheetFormatPr baseColWidth="10" defaultColWidth="11" defaultRowHeight="16" x14ac:dyDescent="0.2"/>
  <sheetData>
    <row r="1" spans="1:19" ht="17" x14ac:dyDescent="0.25">
      <c r="A1" s="13"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ht="17" x14ac:dyDescent="0.25">
      <c r="A2" s="13" t="s">
        <v>1</v>
      </c>
      <c r="B2">
        <v>1</v>
      </c>
      <c r="C2">
        <v>1</v>
      </c>
      <c r="D2">
        <v>1</v>
      </c>
      <c r="E2">
        <v>1</v>
      </c>
      <c r="F2">
        <v>1</v>
      </c>
      <c r="G2">
        <v>1</v>
      </c>
      <c r="H2">
        <v>1</v>
      </c>
      <c r="I2">
        <v>1</v>
      </c>
      <c r="J2">
        <v>1</v>
      </c>
      <c r="K2">
        <v>1</v>
      </c>
      <c r="L2">
        <v>1</v>
      </c>
      <c r="M2">
        <v>1</v>
      </c>
      <c r="N2">
        <v>0.5</v>
      </c>
      <c r="O2">
        <v>0</v>
      </c>
      <c r="P2">
        <v>1</v>
      </c>
      <c r="Q2">
        <v>1</v>
      </c>
      <c r="R2">
        <v>0.5</v>
      </c>
      <c r="S2">
        <v>1</v>
      </c>
    </row>
    <row r="3" spans="1:19" ht="17" x14ac:dyDescent="0.25">
      <c r="A3" s="13" t="s">
        <v>2</v>
      </c>
      <c r="B3">
        <v>1</v>
      </c>
      <c r="C3">
        <v>0.5</v>
      </c>
      <c r="D3">
        <v>0.5</v>
      </c>
      <c r="E3">
        <v>1</v>
      </c>
      <c r="F3">
        <v>2</v>
      </c>
      <c r="G3">
        <v>2</v>
      </c>
      <c r="H3">
        <v>1</v>
      </c>
      <c r="I3">
        <v>1</v>
      </c>
      <c r="J3">
        <v>1</v>
      </c>
      <c r="K3">
        <v>1</v>
      </c>
      <c r="L3">
        <v>1</v>
      </c>
      <c r="M3">
        <v>2</v>
      </c>
      <c r="N3">
        <v>0.5</v>
      </c>
      <c r="O3">
        <v>1</v>
      </c>
      <c r="P3">
        <v>0.5</v>
      </c>
      <c r="Q3">
        <v>1</v>
      </c>
      <c r="R3">
        <v>2</v>
      </c>
      <c r="S3">
        <v>1</v>
      </c>
    </row>
    <row r="4" spans="1:19" ht="17" x14ac:dyDescent="0.25">
      <c r="A4" s="13" t="s">
        <v>3</v>
      </c>
      <c r="B4">
        <v>1</v>
      </c>
      <c r="C4">
        <v>2</v>
      </c>
      <c r="D4">
        <v>0.5</v>
      </c>
      <c r="E4">
        <v>1</v>
      </c>
      <c r="F4">
        <v>0.5</v>
      </c>
      <c r="G4">
        <v>1</v>
      </c>
      <c r="H4">
        <v>1</v>
      </c>
      <c r="I4">
        <v>1</v>
      </c>
      <c r="J4">
        <v>2</v>
      </c>
      <c r="K4">
        <v>1</v>
      </c>
      <c r="L4">
        <v>1</v>
      </c>
      <c r="M4">
        <v>1</v>
      </c>
      <c r="N4">
        <v>2</v>
      </c>
      <c r="O4">
        <v>1</v>
      </c>
      <c r="P4">
        <v>0.5</v>
      </c>
      <c r="Q4">
        <v>1</v>
      </c>
      <c r="R4">
        <v>1</v>
      </c>
      <c r="S4">
        <v>1</v>
      </c>
    </row>
    <row r="5" spans="1:19" ht="17" x14ac:dyDescent="0.25">
      <c r="A5" s="13" t="s">
        <v>4</v>
      </c>
      <c r="B5">
        <v>1</v>
      </c>
      <c r="C5">
        <v>1</v>
      </c>
      <c r="D5">
        <v>2</v>
      </c>
      <c r="E5">
        <v>0.5</v>
      </c>
      <c r="F5">
        <v>0.5</v>
      </c>
      <c r="G5">
        <v>1</v>
      </c>
      <c r="H5">
        <v>1</v>
      </c>
      <c r="I5">
        <v>1</v>
      </c>
      <c r="J5">
        <v>0</v>
      </c>
      <c r="K5">
        <v>2</v>
      </c>
      <c r="L5">
        <v>1</v>
      </c>
      <c r="M5">
        <v>1</v>
      </c>
      <c r="N5">
        <v>1</v>
      </c>
      <c r="O5">
        <v>1</v>
      </c>
      <c r="P5">
        <v>0.5</v>
      </c>
      <c r="Q5">
        <v>1</v>
      </c>
      <c r="R5">
        <v>1</v>
      </c>
      <c r="S5">
        <v>1</v>
      </c>
    </row>
    <row r="6" spans="1:19" ht="17" x14ac:dyDescent="0.25">
      <c r="A6" s="13" t="s">
        <v>5</v>
      </c>
      <c r="B6">
        <v>1</v>
      </c>
      <c r="C6">
        <v>0.5</v>
      </c>
      <c r="D6">
        <v>2</v>
      </c>
      <c r="E6">
        <v>1</v>
      </c>
      <c r="F6">
        <v>0.5</v>
      </c>
      <c r="G6">
        <v>1</v>
      </c>
      <c r="H6">
        <v>1</v>
      </c>
      <c r="I6">
        <v>0.5</v>
      </c>
      <c r="J6">
        <v>2</v>
      </c>
      <c r="K6">
        <v>0.5</v>
      </c>
      <c r="L6">
        <v>1</v>
      </c>
      <c r="M6">
        <v>0.5</v>
      </c>
      <c r="N6">
        <v>2</v>
      </c>
      <c r="O6">
        <v>1</v>
      </c>
      <c r="P6">
        <v>0.5</v>
      </c>
      <c r="Q6">
        <v>1</v>
      </c>
      <c r="R6">
        <v>0.5</v>
      </c>
      <c r="S6">
        <v>1</v>
      </c>
    </row>
    <row r="7" spans="1:19" ht="17" x14ac:dyDescent="0.25">
      <c r="A7" s="13" t="s">
        <v>6</v>
      </c>
      <c r="B7">
        <v>1</v>
      </c>
      <c r="C7">
        <v>0.5</v>
      </c>
      <c r="D7">
        <v>0.5</v>
      </c>
      <c r="E7">
        <v>1</v>
      </c>
      <c r="F7">
        <v>2</v>
      </c>
      <c r="G7">
        <v>0.5</v>
      </c>
      <c r="H7">
        <v>1</v>
      </c>
      <c r="I7">
        <v>1</v>
      </c>
      <c r="J7">
        <v>2</v>
      </c>
      <c r="K7">
        <v>2</v>
      </c>
      <c r="L7">
        <v>1</v>
      </c>
      <c r="M7">
        <v>1</v>
      </c>
      <c r="N7">
        <v>1</v>
      </c>
      <c r="O7">
        <v>1</v>
      </c>
      <c r="P7">
        <v>2</v>
      </c>
      <c r="Q7">
        <v>1</v>
      </c>
      <c r="R7">
        <v>0.5</v>
      </c>
      <c r="S7">
        <v>1</v>
      </c>
    </row>
    <row r="8" spans="1:19" ht="17" x14ac:dyDescent="0.25">
      <c r="A8" s="13" t="s">
        <v>7</v>
      </c>
      <c r="B8">
        <v>2</v>
      </c>
      <c r="C8">
        <v>1</v>
      </c>
      <c r="D8">
        <v>1</v>
      </c>
      <c r="E8">
        <v>1</v>
      </c>
      <c r="F8">
        <v>1</v>
      </c>
      <c r="G8">
        <v>2</v>
      </c>
      <c r="H8">
        <v>1</v>
      </c>
      <c r="I8">
        <v>0.5</v>
      </c>
      <c r="J8">
        <v>1</v>
      </c>
      <c r="K8">
        <v>0.5</v>
      </c>
      <c r="L8">
        <v>0.5</v>
      </c>
      <c r="M8">
        <v>0.5</v>
      </c>
      <c r="N8">
        <v>2</v>
      </c>
      <c r="O8">
        <v>0</v>
      </c>
      <c r="P8">
        <v>1</v>
      </c>
      <c r="Q8">
        <v>2</v>
      </c>
      <c r="R8">
        <v>2</v>
      </c>
      <c r="S8">
        <v>0.5</v>
      </c>
    </row>
    <row r="9" spans="1:19" ht="17" x14ac:dyDescent="0.25">
      <c r="A9" s="13" t="s">
        <v>8</v>
      </c>
      <c r="B9">
        <v>1</v>
      </c>
      <c r="C9">
        <v>1</v>
      </c>
      <c r="D9">
        <v>1</v>
      </c>
      <c r="E9">
        <v>1</v>
      </c>
      <c r="F9">
        <v>2</v>
      </c>
      <c r="G9">
        <v>1</v>
      </c>
      <c r="H9">
        <v>1</v>
      </c>
      <c r="I9">
        <v>0.5</v>
      </c>
      <c r="J9">
        <v>0.5</v>
      </c>
      <c r="K9">
        <v>1</v>
      </c>
      <c r="L9">
        <v>1</v>
      </c>
      <c r="M9">
        <v>1</v>
      </c>
      <c r="N9">
        <v>0.5</v>
      </c>
      <c r="O9">
        <v>0.5</v>
      </c>
      <c r="P9">
        <v>1</v>
      </c>
      <c r="Q9">
        <v>1</v>
      </c>
      <c r="R9">
        <v>0</v>
      </c>
      <c r="S9">
        <v>2</v>
      </c>
    </row>
    <row r="10" spans="1:19" ht="17" x14ac:dyDescent="0.25">
      <c r="A10" s="13" t="s">
        <v>9</v>
      </c>
      <c r="B10">
        <v>1</v>
      </c>
      <c r="C10">
        <v>2</v>
      </c>
      <c r="D10">
        <v>1</v>
      </c>
      <c r="E10">
        <v>2</v>
      </c>
      <c r="F10">
        <v>0.5</v>
      </c>
      <c r="G10">
        <v>1</v>
      </c>
      <c r="H10">
        <v>1</v>
      </c>
      <c r="I10">
        <v>2</v>
      </c>
      <c r="J10">
        <v>1</v>
      </c>
      <c r="K10">
        <v>0</v>
      </c>
      <c r="L10">
        <v>1</v>
      </c>
      <c r="M10">
        <v>0.5</v>
      </c>
      <c r="N10">
        <v>2</v>
      </c>
      <c r="O10">
        <v>1</v>
      </c>
      <c r="P10">
        <v>1</v>
      </c>
      <c r="Q10">
        <v>1</v>
      </c>
      <c r="R10">
        <v>2</v>
      </c>
      <c r="S10">
        <v>1</v>
      </c>
    </row>
    <row r="11" spans="1:19" ht="17" x14ac:dyDescent="0.25">
      <c r="A11" s="13" t="s">
        <v>10</v>
      </c>
      <c r="B11">
        <v>1</v>
      </c>
      <c r="C11">
        <v>1</v>
      </c>
      <c r="D11">
        <v>1</v>
      </c>
      <c r="E11">
        <v>0.5</v>
      </c>
      <c r="F11">
        <v>2</v>
      </c>
      <c r="G11">
        <v>1</v>
      </c>
      <c r="H11">
        <v>2</v>
      </c>
      <c r="I11">
        <v>1</v>
      </c>
      <c r="J11">
        <v>1</v>
      </c>
      <c r="K11">
        <v>1</v>
      </c>
      <c r="L11">
        <v>1</v>
      </c>
      <c r="M11">
        <v>2</v>
      </c>
      <c r="N11">
        <v>0.5</v>
      </c>
      <c r="O11">
        <v>1</v>
      </c>
      <c r="P11">
        <v>1</v>
      </c>
      <c r="Q11">
        <v>1</v>
      </c>
      <c r="R11">
        <v>0.5</v>
      </c>
      <c r="S11">
        <v>1</v>
      </c>
    </row>
    <row r="12" spans="1:19" ht="17" x14ac:dyDescent="0.25">
      <c r="A12" s="13" t="s">
        <v>11</v>
      </c>
      <c r="B12">
        <v>1</v>
      </c>
      <c r="C12">
        <v>1</v>
      </c>
      <c r="D12">
        <v>1</v>
      </c>
      <c r="E12">
        <v>1</v>
      </c>
      <c r="F12">
        <v>1</v>
      </c>
      <c r="G12">
        <v>1</v>
      </c>
      <c r="H12">
        <v>2</v>
      </c>
      <c r="I12">
        <v>2</v>
      </c>
      <c r="J12">
        <v>1</v>
      </c>
      <c r="K12">
        <v>1</v>
      </c>
      <c r="L12">
        <v>0.5</v>
      </c>
      <c r="M12">
        <v>1</v>
      </c>
      <c r="N12">
        <v>1</v>
      </c>
      <c r="O12">
        <v>1</v>
      </c>
      <c r="P12">
        <v>1</v>
      </c>
      <c r="Q12">
        <v>0</v>
      </c>
      <c r="R12">
        <v>0.5</v>
      </c>
      <c r="S12">
        <v>1</v>
      </c>
    </row>
    <row r="13" spans="1:19" ht="17" x14ac:dyDescent="0.25">
      <c r="A13" s="13" t="s">
        <v>12</v>
      </c>
      <c r="B13">
        <v>1</v>
      </c>
      <c r="C13">
        <v>0.5</v>
      </c>
      <c r="D13">
        <v>1</v>
      </c>
      <c r="E13">
        <v>1</v>
      </c>
      <c r="F13">
        <v>2</v>
      </c>
      <c r="G13">
        <v>1</v>
      </c>
      <c r="H13">
        <v>0.5</v>
      </c>
      <c r="I13">
        <v>0.5</v>
      </c>
      <c r="J13">
        <v>1</v>
      </c>
      <c r="K13">
        <v>0.5</v>
      </c>
      <c r="L13">
        <v>2</v>
      </c>
      <c r="M13">
        <v>1</v>
      </c>
      <c r="N13">
        <v>1</v>
      </c>
      <c r="O13">
        <v>0.5</v>
      </c>
      <c r="P13">
        <v>1</v>
      </c>
      <c r="Q13">
        <v>2</v>
      </c>
      <c r="R13">
        <v>0.5</v>
      </c>
      <c r="S13">
        <v>0.5</v>
      </c>
    </row>
    <row r="14" spans="1:19" ht="17" x14ac:dyDescent="0.25">
      <c r="A14" s="13" t="s">
        <v>13</v>
      </c>
      <c r="B14">
        <v>1</v>
      </c>
      <c r="C14">
        <v>2</v>
      </c>
      <c r="D14">
        <v>1</v>
      </c>
      <c r="E14">
        <v>1</v>
      </c>
      <c r="F14">
        <v>1</v>
      </c>
      <c r="G14">
        <v>2</v>
      </c>
      <c r="H14">
        <v>0.5</v>
      </c>
      <c r="I14">
        <v>1</v>
      </c>
      <c r="J14">
        <v>0.5</v>
      </c>
      <c r="K14">
        <v>2</v>
      </c>
      <c r="L14">
        <v>1</v>
      </c>
      <c r="M14">
        <v>2</v>
      </c>
      <c r="N14">
        <v>1</v>
      </c>
      <c r="O14">
        <v>1</v>
      </c>
      <c r="P14">
        <v>1</v>
      </c>
      <c r="Q14">
        <v>1</v>
      </c>
      <c r="R14">
        <v>0.5</v>
      </c>
      <c r="S14">
        <v>1</v>
      </c>
    </row>
    <row r="15" spans="1:19" ht="17" x14ac:dyDescent="0.25">
      <c r="A15" s="13" t="s">
        <v>14</v>
      </c>
      <c r="B15">
        <v>0</v>
      </c>
      <c r="C15">
        <v>1</v>
      </c>
      <c r="D15">
        <v>1</v>
      </c>
      <c r="E15">
        <v>1</v>
      </c>
      <c r="F15">
        <v>1</v>
      </c>
      <c r="G15">
        <v>1</v>
      </c>
      <c r="H15">
        <v>1</v>
      </c>
      <c r="I15">
        <v>1</v>
      </c>
      <c r="J15">
        <v>1</v>
      </c>
      <c r="K15">
        <v>1</v>
      </c>
      <c r="L15">
        <v>2</v>
      </c>
      <c r="M15">
        <v>1</v>
      </c>
      <c r="N15">
        <v>1</v>
      </c>
      <c r="O15">
        <v>2</v>
      </c>
      <c r="P15">
        <v>1</v>
      </c>
      <c r="Q15">
        <v>0.5</v>
      </c>
      <c r="R15">
        <v>1</v>
      </c>
      <c r="S15">
        <v>1</v>
      </c>
    </row>
    <row r="16" spans="1:19" ht="17" x14ac:dyDescent="0.25">
      <c r="A16" s="13" t="s">
        <v>15</v>
      </c>
      <c r="B16">
        <v>1</v>
      </c>
      <c r="C16">
        <v>1</v>
      </c>
      <c r="D16">
        <v>1</v>
      </c>
      <c r="E16">
        <v>1</v>
      </c>
      <c r="F16">
        <v>1</v>
      </c>
      <c r="G16">
        <v>1</v>
      </c>
      <c r="H16">
        <v>1</v>
      </c>
      <c r="I16">
        <v>1</v>
      </c>
      <c r="J16">
        <v>1</v>
      </c>
      <c r="K16">
        <v>1</v>
      </c>
      <c r="L16">
        <v>1</v>
      </c>
      <c r="M16">
        <v>1</v>
      </c>
      <c r="N16">
        <v>1</v>
      </c>
      <c r="O16">
        <v>1</v>
      </c>
      <c r="P16">
        <v>2</v>
      </c>
      <c r="Q16">
        <v>1</v>
      </c>
      <c r="R16">
        <v>0.5</v>
      </c>
      <c r="S16">
        <v>0</v>
      </c>
    </row>
    <row r="17" spans="1:19" ht="17" x14ac:dyDescent="0.25">
      <c r="A17" s="13" t="s">
        <v>16</v>
      </c>
      <c r="B17">
        <v>1</v>
      </c>
      <c r="C17">
        <v>1</v>
      </c>
      <c r="D17">
        <v>1</v>
      </c>
      <c r="E17">
        <v>1</v>
      </c>
      <c r="F17">
        <v>1</v>
      </c>
      <c r="G17">
        <v>1</v>
      </c>
      <c r="H17">
        <v>0.5</v>
      </c>
      <c r="I17">
        <v>1</v>
      </c>
      <c r="J17">
        <v>1</v>
      </c>
      <c r="K17">
        <v>1</v>
      </c>
      <c r="L17">
        <v>2</v>
      </c>
      <c r="M17">
        <v>1</v>
      </c>
      <c r="N17">
        <v>1</v>
      </c>
      <c r="O17">
        <v>2</v>
      </c>
      <c r="P17">
        <v>1</v>
      </c>
      <c r="Q17">
        <v>0.5</v>
      </c>
      <c r="R17">
        <v>1</v>
      </c>
      <c r="S17">
        <v>0.5</v>
      </c>
    </row>
    <row r="18" spans="1:19" ht="17" x14ac:dyDescent="0.25">
      <c r="A18" s="13" t="s">
        <v>17</v>
      </c>
      <c r="B18">
        <v>1</v>
      </c>
      <c r="C18">
        <v>0.5</v>
      </c>
      <c r="D18">
        <v>0.5</v>
      </c>
      <c r="E18">
        <v>0.5</v>
      </c>
      <c r="F18">
        <v>1</v>
      </c>
      <c r="G18">
        <v>2</v>
      </c>
      <c r="H18">
        <v>1</v>
      </c>
      <c r="I18">
        <v>1</v>
      </c>
      <c r="J18">
        <v>1</v>
      </c>
      <c r="K18">
        <v>1</v>
      </c>
      <c r="L18">
        <v>1</v>
      </c>
      <c r="M18">
        <v>1</v>
      </c>
      <c r="N18">
        <v>2</v>
      </c>
      <c r="O18">
        <v>1</v>
      </c>
      <c r="P18">
        <v>1</v>
      </c>
      <c r="Q18">
        <v>1</v>
      </c>
      <c r="R18">
        <v>0.5</v>
      </c>
      <c r="S18">
        <v>2</v>
      </c>
    </row>
    <row r="19" spans="1:19" ht="17" x14ac:dyDescent="0.25">
      <c r="A19" s="13" t="s">
        <v>18</v>
      </c>
      <c r="B19">
        <v>1</v>
      </c>
      <c r="C19">
        <v>0.5</v>
      </c>
      <c r="D19">
        <v>1</v>
      </c>
      <c r="E19">
        <v>1</v>
      </c>
      <c r="F19">
        <v>1</v>
      </c>
      <c r="G19">
        <v>1</v>
      </c>
      <c r="H19">
        <v>2</v>
      </c>
      <c r="I19">
        <v>0.5</v>
      </c>
      <c r="J19">
        <v>1</v>
      </c>
      <c r="K19">
        <v>1</v>
      </c>
      <c r="L19">
        <v>1</v>
      </c>
      <c r="M19">
        <v>1</v>
      </c>
      <c r="N19">
        <v>1</v>
      </c>
      <c r="O19">
        <v>1</v>
      </c>
      <c r="P19">
        <v>2</v>
      </c>
      <c r="Q19">
        <v>2</v>
      </c>
      <c r="R19">
        <v>0.5</v>
      </c>
      <c r="S19">
        <v>1</v>
      </c>
    </row>
    <row r="22" spans="1:19" ht="17" x14ac:dyDescent="0.25">
      <c r="A22" s="13" t="s">
        <v>19</v>
      </c>
      <c r="B22" s="14" t="s">
        <v>20</v>
      </c>
    </row>
  </sheetData>
  <hyperlinks>
    <hyperlink ref="B22" r:id="rId1" xr:uid="{86729434-85F6-AA47-8D13-C198526A04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9C1C-D30A-8A45-AEF3-1A6BD10676CA}">
  <sheetPr codeName="Sheet2"/>
  <dimension ref="A1:V139"/>
  <sheetViews>
    <sheetView workbookViewId="0">
      <selection activeCell="B84" sqref="B84"/>
    </sheetView>
  </sheetViews>
  <sheetFormatPr baseColWidth="10" defaultColWidth="11" defaultRowHeight="16" x14ac:dyDescent="0.2"/>
  <sheetData>
    <row r="1" spans="1:22" ht="18" x14ac:dyDescent="0.2">
      <c r="A1" s="15" t="s">
        <v>21</v>
      </c>
    </row>
    <row r="3" spans="1:22" x14ac:dyDescent="0.2">
      <c r="A3" t="s">
        <v>22</v>
      </c>
      <c r="B3" t="s">
        <v>23</v>
      </c>
      <c r="C3" t="s">
        <v>24</v>
      </c>
      <c r="D3" t="s">
        <v>25</v>
      </c>
      <c r="E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row>
    <row r="4" spans="1:22" x14ac:dyDescent="0.2">
      <c r="A4">
        <v>1</v>
      </c>
      <c r="B4" t="s">
        <v>44</v>
      </c>
      <c r="C4">
        <v>2019</v>
      </c>
      <c r="D4">
        <v>18</v>
      </c>
      <c r="E4">
        <v>26.8</v>
      </c>
      <c r="F4">
        <v>34.700000000000003</v>
      </c>
      <c r="G4">
        <v>3</v>
      </c>
      <c r="H4">
        <v>33</v>
      </c>
      <c r="I4">
        <v>270</v>
      </c>
      <c r="J4">
        <v>3</v>
      </c>
      <c r="K4">
        <v>2</v>
      </c>
      <c r="L4">
        <v>1</v>
      </c>
      <c r="M4">
        <v>1</v>
      </c>
      <c r="N4">
        <v>1</v>
      </c>
      <c r="O4">
        <v>1</v>
      </c>
      <c r="P4">
        <v>3</v>
      </c>
      <c r="Q4">
        <v>0</v>
      </c>
      <c r="R4">
        <v>0.67</v>
      </c>
      <c r="S4">
        <v>0.33</v>
      </c>
      <c r="T4">
        <v>1</v>
      </c>
      <c r="U4">
        <v>0.33</v>
      </c>
      <c r="V4">
        <v>0.67</v>
      </c>
    </row>
    <row r="5" spans="1:22" x14ac:dyDescent="0.2">
      <c r="A5">
        <v>2</v>
      </c>
      <c r="B5" t="s">
        <v>45</v>
      </c>
      <c r="C5">
        <v>2019</v>
      </c>
      <c r="D5">
        <v>18</v>
      </c>
      <c r="E5">
        <v>25.4</v>
      </c>
      <c r="F5">
        <v>61.3</v>
      </c>
      <c r="G5">
        <v>4</v>
      </c>
      <c r="H5">
        <v>44</v>
      </c>
      <c r="I5">
        <v>390</v>
      </c>
      <c r="J5">
        <v>4.3</v>
      </c>
      <c r="K5">
        <v>8</v>
      </c>
      <c r="L5">
        <v>4</v>
      </c>
      <c r="M5">
        <v>8</v>
      </c>
      <c r="N5">
        <v>0</v>
      </c>
      <c r="O5">
        <v>1</v>
      </c>
      <c r="P5">
        <v>2</v>
      </c>
      <c r="Q5">
        <v>0</v>
      </c>
      <c r="R5">
        <v>1.85</v>
      </c>
      <c r="S5">
        <v>0.92</v>
      </c>
      <c r="T5">
        <v>2.77</v>
      </c>
      <c r="U5">
        <v>1.85</v>
      </c>
      <c r="V5">
        <v>2.77</v>
      </c>
    </row>
    <row r="6" spans="1:22" x14ac:dyDescent="0.2">
      <c r="A6">
        <v>3</v>
      </c>
      <c r="B6" t="s">
        <v>46</v>
      </c>
      <c r="C6">
        <v>2019</v>
      </c>
      <c r="D6">
        <v>18</v>
      </c>
      <c r="E6">
        <v>29.7</v>
      </c>
      <c r="F6">
        <v>51.5</v>
      </c>
      <c r="G6">
        <v>4</v>
      </c>
      <c r="H6">
        <v>44</v>
      </c>
      <c r="I6">
        <v>390</v>
      </c>
      <c r="J6">
        <v>4.3</v>
      </c>
      <c r="K6">
        <v>7</v>
      </c>
      <c r="L6">
        <v>3</v>
      </c>
      <c r="M6">
        <v>5</v>
      </c>
      <c r="N6">
        <v>2</v>
      </c>
      <c r="O6">
        <v>3</v>
      </c>
      <c r="P6">
        <v>7</v>
      </c>
      <c r="Q6">
        <v>0</v>
      </c>
      <c r="R6">
        <v>1.62</v>
      </c>
      <c r="S6">
        <v>0.69</v>
      </c>
      <c r="T6">
        <v>2.31</v>
      </c>
      <c r="U6">
        <v>1.1499999999999999</v>
      </c>
      <c r="V6">
        <v>1.85</v>
      </c>
    </row>
    <row r="7" spans="1:22" x14ac:dyDescent="0.2">
      <c r="A7">
        <v>4</v>
      </c>
      <c r="B7" t="s">
        <v>47</v>
      </c>
      <c r="C7">
        <v>2019</v>
      </c>
      <c r="D7">
        <v>20</v>
      </c>
      <c r="E7">
        <v>27.7</v>
      </c>
      <c r="F7">
        <v>36</v>
      </c>
      <c r="G7">
        <v>4</v>
      </c>
      <c r="H7">
        <v>44</v>
      </c>
      <c r="I7">
        <v>360</v>
      </c>
      <c r="J7">
        <v>4</v>
      </c>
      <c r="K7">
        <v>3</v>
      </c>
      <c r="L7">
        <v>3</v>
      </c>
      <c r="M7">
        <v>3</v>
      </c>
      <c r="N7">
        <v>0</v>
      </c>
      <c r="O7">
        <v>0</v>
      </c>
      <c r="P7">
        <v>6</v>
      </c>
      <c r="Q7">
        <v>0</v>
      </c>
      <c r="R7">
        <v>0.75</v>
      </c>
      <c r="S7">
        <v>0.75</v>
      </c>
      <c r="T7">
        <v>1.5</v>
      </c>
      <c r="U7">
        <v>0.75</v>
      </c>
      <c r="V7">
        <v>1.5</v>
      </c>
    </row>
    <row r="8" spans="1:22" x14ac:dyDescent="0.2">
      <c r="A8">
        <v>5</v>
      </c>
      <c r="B8" t="s">
        <v>48</v>
      </c>
      <c r="C8">
        <v>2019</v>
      </c>
      <c r="D8">
        <v>16</v>
      </c>
      <c r="E8">
        <v>27</v>
      </c>
      <c r="F8">
        <v>63</v>
      </c>
      <c r="G8">
        <v>4</v>
      </c>
      <c r="H8">
        <v>44</v>
      </c>
      <c r="I8">
        <v>360</v>
      </c>
      <c r="J8">
        <v>4</v>
      </c>
      <c r="K8">
        <v>4</v>
      </c>
      <c r="L8">
        <v>3</v>
      </c>
      <c r="M8">
        <v>4</v>
      </c>
      <c r="N8">
        <v>0</v>
      </c>
      <c r="O8">
        <v>1</v>
      </c>
      <c r="P8">
        <v>2</v>
      </c>
      <c r="Q8">
        <v>0</v>
      </c>
      <c r="R8">
        <v>1</v>
      </c>
      <c r="S8">
        <v>0.75</v>
      </c>
      <c r="T8">
        <v>1.75</v>
      </c>
      <c r="U8">
        <v>1</v>
      </c>
      <c r="V8">
        <v>1.75</v>
      </c>
    </row>
    <row r="9" spans="1:22" x14ac:dyDescent="0.2">
      <c r="A9">
        <v>6</v>
      </c>
      <c r="B9" t="s">
        <v>49</v>
      </c>
      <c r="C9">
        <v>2019</v>
      </c>
      <c r="D9">
        <v>18</v>
      </c>
      <c r="E9">
        <v>26.8</v>
      </c>
      <c r="F9">
        <v>42</v>
      </c>
      <c r="G9">
        <v>3</v>
      </c>
      <c r="H9">
        <v>33</v>
      </c>
      <c r="I9">
        <v>270</v>
      </c>
      <c r="J9">
        <v>3</v>
      </c>
      <c r="K9">
        <v>1</v>
      </c>
      <c r="L9">
        <v>1</v>
      </c>
      <c r="M9">
        <v>1</v>
      </c>
      <c r="N9">
        <v>0</v>
      </c>
      <c r="O9">
        <v>1</v>
      </c>
      <c r="P9">
        <v>5</v>
      </c>
      <c r="Q9">
        <v>0</v>
      </c>
      <c r="R9">
        <v>0.33</v>
      </c>
      <c r="S9">
        <v>0.33</v>
      </c>
      <c r="T9">
        <v>0.67</v>
      </c>
      <c r="U9">
        <v>0.33</v>
      </c>
      <c r="V9">
        <v>0.67</v>
      </c>
    </row>
    <row r="10" spans="1:22" x14ac:dyDescent="0.2">
      <c r="A10">
        <v>7</v>
      </c>
      <c r="B10" t="s">
        <v>50</v>
      </c>
      <c r="C10">
        <v>2019</v>
      </c>
      <c r="D10">
        <v>17</v>
      </c>
      <c r="E10">
        <v>26.6</v>
      </c>
      <c r="F10">
        <v>47</v>
      </c>
      <c r="G10">
        <v>4</v>
      </c>
      <c r="H10">
        <v>44</v>
      </c>
      <c r="I10">
        <v>360</v>
      </c>
      <c r="J10">
        <v>4</v>
      </c>
      <c r="K10">
        <v>1</v>
      </c>
      <c r="L10">
        <v>1</v>
      </c>
      <c r="M10">
        <v>1</v>
      </c>
      <c r="N10">
        <v>0</v>
      </c>
      <c r="O10">
        <v>0</v>
      </c>
      <c r="P10">
        <v>5</v>
      </c>
      <c r="Q10">
        <v>0</v>
      </c>
      <c r="R10">
        <v>0.25</v>
      </c>
      <c r="S10">
        <v>0.25</v>
      </c>
      <c r="T10">
        <v>0.5</v>
      </c>
      <c r="U10">
        <v>0.25</v>
      </c>
      <c r="V10">
        <v>0.5</v>
      </c>
    </row>
    <row r="11" spans="1:22" x14ac:dyDescent="0.2">
      <c r="A11">
        <v>8</v>
      </c>
      <c r="B11" t="s">
        <v>51</v>
      </c>
      <c r="C11">
        <v>2019</v>
      </c>
      <c r="D11">
        <v>22</v>
      </c>
      <c r="E11">
        <v>27.8</v>
      </c>
      <c r="F11">
        <v>60.4</v>
      </c>
      <c r="G11">
        <v>7</v>
      </c>
      <c r="H11">
        <v>77</v>
      </c>
      <c r="I11">
        <v>630</v>
      </c>
      <c r="J11">
        <v>7</v>
      </c>
      <c r="K11">
        <v>13</v>
      </c>
      <c r="L11">
        <v>12</v>
      </c>
      <c r="M11">
        <v>12</v>
      </c>
      <c r="N11">
        <v>1</v>
      </c>
      <c r="O11">
        <v>4</v>
      </c>
      <c r="P11">
        <v>1</v>
      </c>
      <c r="Q11">
        <v>1</v>
      </c>
      <c r="R11">
        <v>1.86</v>
      </c>
      <c r="S11">
        <v>1.71</v>
      </c>
      <c r="T11">
        <v>3.57</v>
      </c>
      <c r="U11">
        <v>1.71</v>
      </c>
      <c r="V11">
        <v>3.43</v>
      </c>
    </row>
    <row r="12" spans="1:22" x14ac:dyDescent="0.2">
      <c r="A12">
        <v>9</v>
      </c>
      <c r="B12" t="s">
        <v>52</v>
      </c>
      <c r="C12">
        <v>2019</v>
      </c>
      <c r="D12">
        <v>17</v>
      </c>
      <c r="E12">
        <v>27.8</v>
      </c>
      <c r="F12">
        <v>58.8</v>
      </c>
      <c r="G12">
        <v>5</v>
      </c>
      <c r="H12">
        <v>55</v>
      </c>
      <c r="I12">
        <v>480</v>
      </c>
      <c r="J12">
        <v>5.3</v>
      </c>
      <c r="K12">
        <v>10</v>
      </c>
      <c r="L12">
        <v>8</v>
      </c>
      <c r="M12">
        <v>8</v>
      </c>
      <c r="N12">
        <v>2</v>
      </c>
      <c r="O12">
        <v>2</v>
      </c>
      <c r="P12">
        <v>2</v>
      </c>
      <c r="Q12">
        <v>0</v>
      </c>
      <c r="R12">
        <v>1.87</v>
      </c>
      <c r="S12">
        <v>1.5</v>
      </c>
      <c r="T12">
        <v>3.38</v>
      </c>
      <c r="U12">
        <v>1.5</v>
      </c>
      <c r="V12">
        <v>3</v>
      </c>
    </row>
    <row r="13" spans="1:22" x14ac:dyDescent="0.2">
      <c r="A13">
        <v>10</v>
      </c>
      <c r="B13" t="s">
        <v>53</v>
      </c>
      <c r="C13">
        <v>2019</v>
      </c>
      <c r="D13">
        <v>19</v>
      </c>
      <c r="E13">
        <v>25.5</v>
      </c>
      <c r="F13">
        <v>57.2</v>
      </c>
      <c r="G13">
        <v>5</v>
      </c>
      <c r="H13">
        <v>55</v>
      </c>
      <c r="I13">
        <v>450</v>
      </c>
      <c r="J13">
        <v>5</v>
      </c>
      <c r="K13">
        <v>10</v>
      </c>
      <c r="L13">
        <v>4</v>
      </c>
      <c r="M13">
        <v>9</v>
      </c>
      <c r="N13">
        <v>1</v>
      </c>
      <c r="O13">
        <v>1</v>
      </c>
      <c r="P13">
        <v>2</v>
      </c>
      <c r="Q13">
        <v>0</v>
      </c>
      <c r="R13">
        <v>2</v>
      </c>
      <c r="S13">
        <v>0.8</v>
      </c>
      <c r="T13">
        <v>2.8</v>
      </c>
      <c r="U13">
        <v>1.8</v>
      </c>
      <c r="V13">
        <v>2.6</v>
      </c>
    </row>
    <row r="14" spans="1:22" x14ac:dyDescent="0.2">
      <c r="A14">
        <v>11</v>
      </c>
      <c r="B14" t="s">
        <v>54</v>
      </c>
      <c r="C14">
        <v>2019</v>
      </c>
      <c r="D14">
        <v>17</v>
      </c>
      <c r="E14">
        <v>26.5</v>
      </c>
      <c r="F14">
        <v>43.4</v>
      </c>
      <c r="G14">
        <v>5</v>
      </c>
      <c r="H14">
        <v>55</v>
      </c>
      <c r="I14">
        <v>450</v>
      </c>
      <c r="J14">
        <v>5</v>
      </c>
      <c r="K14">
        <v>9</v>
      </c>
      <c r="L14">
        <v>6</v>
      </c>
      <c r="M14">
        <v>8</v>
      </c>
      <c r="N14">
        <v>1</v>
      </c>
      <c r="O14">
        <v>1</v>
      </c>
      <c r="P14">
        <v>4</v>
      </c>
      <c r="Q14">
        <v>0</v>
      </c>
      <c r="R14">
        <v>1.8</v>
      </c>
      <c r="S14">
        <v>1.2</v>
      </c>
      <c r="T14">
        <v>3</v>
      </c>
      <c r="U14">
        <v>1.6</v>
      </c>
      <c r="V14">
        <v>2.8</v>
      </c>
    </row>
    <row r="15" spans="1:22" x14ac:dyDescent="0.2">
      <c r="A15">
        <v>12</v>
      </c>
      <c r="B15" t="s">
        <v>55</v>
      </c>
      <c r="C15">
        <v>2019</v>
      </c>
      <c r="D15">
        <v>20</v>
      </c>
      <c r="E15">
        <v>22.9</v>
      </c>
      <c r="F15">
        <v>36.700000000000003</v>
      </c>
      <c r="G15">
        <v>3</v>
      </c>
      <c r="H15">
        <v>33</v>
      </c>
      <c r="I15">
        <v>270</v>
      </c>
      <c r="J15">
        <v>3</v>
      </c>
      <c r="K15">
        <v>1</v>
      </c>
      <c r="L15">
        <v>1</v>
      </c>
      <c r="M15">
        <v>1</v>
      </c>
      <c r="N15">
        <v>0</v>
      </c>
      <c r="O15">
        <v>0</v>
      </c>
      <c r="P15">
        <v>4</v>
      </c>
      <c r="Q15">
        <v>0</v>
      </c>
      <c r="R15">
        <v>0.33</v>
      </c>
      <c r="S15">
        <v>0.33</v>
      </c>
      <c r="T15">
        <v>0.67</v>
      </c>
      <c r="U15">
        <v>0.33</v>
      </c>
      <c r="V15">
        <v>0.67</v>
      </c>
    </row>
    <row r="16" spans="1:22" x14ac:dyDescent="0.2">
      <c r="A16">
        <v>13</v>
      </c>
      <c r="B16" t="s">
        <v>56</v>
      </c>
      <c r="C16">
        <v>2019</v>
      </c>
      <c r="D16">
        <v>17</v>
      </c>
      <c r="E16">
        <v>24.8</v>
      </c>
      <c r="F16">
        <v>53.8</v>
      </c>
      <c r="G16">
        <v>4</v>
      </c>
      <c r="H16">
        <v>44</v>
      </c>
      <c r="I16">
        <v>360</v>
      </c>
      <c r="J16">
        <v>4</v>
      </c>
      <c r="K16">
        <v>3</v>
      </c>
      <c r="L16">
        <v>2</v>
      </c>
      <c r="M16">
        <v>2</v>
      </c>
      <c r="N16">
        <v>1</v>
      </c>
      <c r="O16">
        <v>1</v>
      </c>
      <c r="P16">
        <v>4</v>
      </c>
      <c r="Q16">
        <v>0</v>
      </c>
      <c r="R16">
        <v>0.75</v>
      </c>
      <c r="S16">
        <v>0.5</v>
      </c>
      <c r="T16">
        <v>1.25</v>
      </c>
      <c r="U16">
        <v>0.5</v>
      </c>
      <c r="V16">
        <v>1</v>
      </c>
    </row>
    <row r="17" spans="1:22" x14ac:dyDescent="0.2">
      <c r="A17">
        <v>14</v>
      </c>
      <c r="B17" t="s">
        <v>57</v>
      </c>
      <c r="C17">
        <v>2019</v>
      </c>
      <c r="D17">
        <v>19</v>
      </c>
      <c r="E17">
        <v>26.9</v>
      </c>
      <c r="F17">
        <v>52</v>
      </c>
      <c r="G17">
        <v>3</v>
      </c>
      <c r="H17">
        <v>33</v>
      </c>
      <c r="I17">
        <v>270</v>
      </c>
      <c r="J17">
        <v>3</v>
      </c>
      <c r="K17">
        <v>1</v>
      </c>
      <c r="L17">
        <v>1</v>
      </c>
      <c r="M17">
        <v>1</v>
      </c>
      <c r="N17">
        <v>0</v>
      </c>
      <c r="O17">
        <v>0</v>
      </c>
      <c r="P17">
        <v>4</v>
      </c>
      <c r="Q17">
        <v>0</v>
      </c>
      <c r="R17">
        <v>0.33</v>
      </c>
      <c r="S17">
        <v>0.33</v>
      </c>
      <c r="T17">
        <v>0.67</v>
      </c>
      <c r="U17">
        <v>0.33</v>
      </c>
      <c r="V17">
        <v>0.67</v>
      </c>
    </row>
    <row r="18" spans="1:22" x14ac:dyDescent="0.2">
      <c r="A18">
        <v>15</v>
      </c>
      <c r="B18" t="s">
        <v>58</v>
      </c>
      <c r="C18">
        <v>2019</v>
      </c>
      <c r="D18">
        <v>16</v>
      </c>
      <c r="E18">
        <v>26.1</v>
      </c>
      <c r="F18">
        <v>57.1</v>
      </c>
      <c r="G18">
        <v>7</v>
      </c>
      <c r="H18">
        <v>77</v>
      </c>
      <c r="I18">
        <v>660</v>
      </c>
      <c r="J18">
        <v>7.3</v>
      </c>
      <c r="K18">
        <v>11</v>
      </c>
      <c r="L18">
        <v>7</v>
      </c>
      <c r="M18">
        <v>10</v>
      </c>
      <c r="N18">
        <v>1</v>
      </c>
      <c r="O18">
        <v>1</v>
      </c>
      <c r="P18">
        <v>0</v>
      </c>
      <c r="Q18">
        <v>0</v>
      </c>
      <c r="R18">
        <v>1.5</v>
      </c>
      <c r="S18">
        <v>0.95</v>
      </c>
      <c r="T18">
        <v>2.4500000000000002</v>
      </c>
      <c r="U18">
        <v>1.36</v>
      </c>
      <c r="V18">
        <v>2.3199999999999998</v>
      </c>
    </row>
    <row r="19" spans="1:22" x14ac:dyDescent="0.2">
      <c r="A19">
        <v>16</v>
      </c>
      <c r="B19" t="s">
        <v>59</v>
      </c>
      <c r="C19">
        <v>2019</v>
      </c>
      <c r="D19">
        <v>17</v>
      </c>
      <c r="E19">
        <v>27.6</v>
      </c>
      <c r="F19">
        <v>39.299999999999997</v>
      </c>
      <c r="G19">
        <v>3</v>
      </c>
      <c r="H19">
        <v>33</v>
      </c>
      <c r="I19">
        <v>270</v>
      </c>
      <c r="J19">
        <v>3</v>
      </c>
      <c r="K19">
        <v>0</v>
      </c>
      <c r="L19">
        <v>0</v>
      </c>
      <c r="M19">
        <v>0</v>
      </c>
      <c r="N19">
        <v>0</v>
      </c>
      <c r="O19">
        <v>0</v>
      </c>
      <c r="P19">
        <v>1</v>
      </c>
      <c r="Q19">
        <v>0</v>
      </c>
      <c r="R19">
        <v>0</v>
      </c>
      <c r="S19">
        <v>0</v>
      </c>
      <c r="T19">
        <v>0</v>
      </c>
      <c r="U19">
        <v>0</v>
      </c>
      <c r="V19">
        <v>0</v>
      </c>
    </row>
    <row r="20" spans="1:22" x14ac:dyDescent="0.2">
      <c r="A20">
        <v>17</v>
      </c>
      <c r="B20" t="s">
        <v>60</v>
      </c>
      <c r="C20">
        <v>2019</v>
      </c>
      <c r="D20">
        <v>20</v>
      </c>
      <c r="E20">
        <v>25.7</v>
      </c>
      <c r="F20">
        <v>34.799999999999997</v>
      </c>
      <c r="G20">
        <v>4</v>
      </c>
      <c r="H20">
        <v>44</v>
      </c>
      <c r="I20">
        <v>360</v>
      </c>
      <c r="J20">
        <v>4</v>
      </c>
      <c r="K20">
        <v>1</v>
      </c>
      <c r="L20">
        <v>1</v>
      </c>
      <c r="M20">
        <v>1</v>
      </c>
      <c r="N20">
        <v>0</v>
      </c>
      <c r="O20">
        <v>0</v>
      </c>
      <c r="P20">
        <v>6</v>
      </c>
      <c r="Q20">
        <v>1</v>
      </c>
      <c r="R20">
        <v>0.25</v>
      </c>
      <c r="S20">
        <v>0.25</v>
      </c>
      <c r="T20">
        <v>0.5</v>
      </c>
      <c r="U20">
        <v>0.25</v>
      </c>
      <c r="V20">
        <v>0.5</v>
      </c>
    </row>
    <row r="21" spans="1:22" x14ac:dyDescent="0.2">
      <c r="A21">
        <v>18</v>
      </c>
      <c r="B21" t="s">
        <v>61</v>
      </c>
      <c r="C21">
        <v>2019</v>
      </c>
      <c r="D21">
        <v>17</v>
      </c>
      <c r="E21">
        <v>26.8</v>
      </c>
      <c r="F21">
        <v>50.2</v>
      </c>
      <c r="G21">
        <v>5</v>
      </c>
      <c r="H21">
        <v>55</v>
      </c>
      <c r="I21">
        <v>480</v>
      </c>
      <c r="J21">
        <v>5.3</v>
      </c>
      <c r="K21">
        <v>5</v>
      </c>
      <c r="L21">
        <v>3</v>
      </c>
      <c r="M21">
        <v>3</v>
      </c>
      <c r="N21">
        <v>2</v>
      </c>
      <c r="O21">
        <v>2</v>
      </c>
      <c r="P21">
        <v>1</v>
      </c>
      <c r="Q21">
        <v>0</v>
      </c>
      <c r="R21">
        <v>0.94</v>
      </c>
      <c r="S21">
        <v>0.56000000000000005</v>
      </c>
      <c r="T21">
        <v>1.5</v>
      </c>
      <c r="U21">
        <v>0.56000000000000005</v>
      </c>
      <c r="V21">
        <v>1.1299999999999999</v>
      </c>
    </row>
    <row r="22" spans="1:22" x14ac:dyDescent="0.2">
      <c r="A22">
        <v>19</v>
      </c>
      <c r="B22" t="s">
        <v>62</v>
      </c>
      <c r="C22">
        <v>2019</v>
      </c>
      <c r="D22">
        <v>19</v>
      </c>
      <c r="E22">
        <v>26.4</v>
      </c>
      <c r="F22">
        <v>47</v>
      </c>
      <c r="G22">
        <v>3</v>
      </c>
      <c r="H22">
        <v>33</v>
      </c>
      <c r="I22">
        <v>270</v>
      </c>
      <c r="J22">
        <v>3</v>
      </c>
      <c r="K22">
        <v>5</v>
      </c>
      <c r="L22">
        <v>3</v>
      </c>
      <c r="M22">
        <v>5</v>
      </c>
      <c r="N22">
        <v>0</v>
      </c>
      <c r="O22">
        <v>0</v>
      </c>
      <c r="P22">
        <v>6</v>
      </c>
      <c r="Q22">
        <v>0</v>
      </c>
      <c r="R22">
        <v>1.67</v>
      </c>
      <c r="S22">
        <v>1</v>
      </c>
      <c r="T22">
        <v>2.67</v>
      </c>
      <c r="U22">
        <v>1.67</v>
      </c>
      <c r="V22">
        <v>2.67</v>
      </c>
    </row>
    <row r="23" spans="1:22" x14ac:dyDescent="0.2">
      <c r="A23">
        <v>20</v>
      </c>
      <c r="B23" t="s">
        <v>63</v>
      </c>
      <c r="C23">
        <v>2019</v>
      </c>
      <c r="D23">
        <v>19</v>
      </c>
      <c r="E23">
        <v>27.5</v>
      </c>
      <c r="F23">
        <v>38</v>
      </c>
      <c r="G23">
        <v>3</v>
      </c>
      <c r="H23">
        <v>33</v>
      </c>
      <c r="I23">
        <v>270</v>
      </c>
      <c r="J23">
        <v>3</v>
      </c>
      <c r="K23">
        <v>1</v>
      </c>
      <c r="L23">
        <v>1</v>
      </c>
      <c r="M23">
        <v>1</v>
      </c>
      <c r="N23">
        <v>0</v>
      </c>
      <c r="O23">
        <v>0</v>
      </c>
      <c r="P23">
        <v>7</v>
      </c>
      <c r="Q23">
        <v>1</v>
      </c>
      <c r="R23">
        <v>0.33</v>
      </c>
      <c r="S23">
        <v>0.33</v>
      </c>
      <c r="T23">
        <v>0.67</v>
      </c>
      <c r="U23">
        <v>0.33</v>
      </c>
      <c r="V23">
        <v>0.67</v>
      </c>
    </row>
    <row r="24" spans="1:22" x14ac:dyDescent="0.2">
      <c r="A24">
        <v>21</v>
      </c>
      <c r="B24" t="s">
        <v>64</v>
      </c>
      <c r="C24">
        <v>2019</v>
      </c>
      <c r="D24">
        <v>19</v>
      </c>
      <c r="E24">
        <v>25.2</v>
      </c>
      <c r="F24">
        <v>62.5</v>
      </c>
      <c r="G24">
        <v>4</v>
      </c>
      <c r="H24">
        <v>44</v>
      </c>
      <c r="I24">
        <v>360</v>
      </c>
      <c r="J24">
        <v>4</v>
      </c>
      <c r="K24">
        <v>4</v>
      </c>
      <c r="L24">
        <v>2</v>
      </c>
      <c r="M24">
        <v>2</v>
      </c>
      <c r="N24">
        <v>2</v>
      </c>
      <c r="O24">
        <v>2</v>
      </c>
      <c r="P24">
        <v>1</v>
      </c>
      <c r="Q24">
        <v>0</v>
      </c>
      <c r="R24">
        <v>1</v>
      </c>
      <c r="S24">
        <v>0.5</v>
      </c>
      <c r="T24">
        <v>1.5</v>
      </c>
      <c r="U24">
        <v>0.5</v>
      </c>
      <c r="V24">
        <v>1</v>
      </c>
    </row>
    <row r="25" spans="1:22" x14ac:dyDescent="0.2">
      <c r="A25">
        <v>22</v>
      </c>
      <c r="B25" t="s">
        <v>65</v>
      </c>
      <c r="C25">
        <v>2019</v>
      </c>
      <c r="D25">
        <v>20</v>
      </c>
      <c r="E25">
        <v>28.5</v>
      </c>
      <c r="F25">
        <v>48.4</v>
      </c>
      <c r="G25">
        <v>7</v>
      </c>
      <c r="H25">
        <v>77</v>
      </c>
      <c r="I25">
        <v>660</v>
      </c>
      <c r="J25">
        <v>7.3</v>
      </c>
      <c r="K25">
        <v>12</v>
      </c>
      <c r="L25">
        <v>7</v>
      </c>
      <c r="M25">
        <v>11</v>
      </c>
      <c r="N25">
        <v>1</v>
      </c>
      <c r="O25">
        <v>1</v>
      </c>
      <c r="P25">
        <v>2</v>
      </c>
      <c r="Q25">
        <v>0</v>
      </c>
      <c r="R25">
        <v>1.64</v>
      </c>
      <c r="S25">
        <v>0.95</v>
      </c>
      <c r="T25">
        <v>2.59</v>
      </c>
      <c r="U25">
        <v>1.5</v>
      </c>
      <c r="V25">
        <v>2.4500000000000002</v>
      </c>
    </row>
    <row r="26" spans="1:22" x14ac:dyDescent="0.2">
      <c r="A26">
        <v>23</v>
      </c>
      <c r="B26" t="s">
        <v>66</v>
      </c>
      <c r="C26">
        <v>2019</v>
      </c>
      <c r="D26">
        <v>18</v>
      </c>
      <c r="E26">
        <v>27.8</v>
      </c>
      <c r="F26">
        <v>30</v>
      </c>
      <c r="G26">
        <v>3</v>
      </c>
      <c r="H26">
        <v>33</v>
      </c>
      <c r="I26">
        <v>270</v>
      </c>
      <c r="J26">
        <v>3</v>
      </c>
      <c r="K26">
        <v>1</v>
      </c>
      <c r="L26">
        <v>1</v>
      </c>
      <c r="M26">
        <v>1</v>
      </c>
      <c r="N26">
        <v>0</v>
      </c>
      <c r="O26">
        <v>0</v>
      </c>
      <c r="P26">
        <v>5</v>
      </c>
      <c r="Q26">
        <v>0</v>
      </c>
      <c r="R26">
        <v>0.33</v>
      </c>
      <c r="S26">
        <v>0.33</v>
      </c>
      <c r="T26">
        <v>0.67</v>
      </c>
      <c r="U26">
        <v>0.33</v>
      </c>
      <c r="V26">
        <v>0.67</v>
      </c>
    </row>
    <row r="27" spans="1:22" x14ac:dyDescent="0.2">
      <c r="A27">
        <v>24</v>
      </c>
      <c r="B27" t="s">
        <v>67</v>
      </c>
      <c r="C27">
        <v>2019</v>
      </c>
      <c r="D27">
        <v>21</v>
      </c>
      <c r="E27">
        <v>28.8</v>
      </c>
      <c r="F27">
        <v>56</v>
      </c>
      <c r="G27">
        <v>7</v>
      </c>
      <c r="H27">
        <v>77</v>
      </c>
      <c r="I27">
        <v>630</v>
      </c>
      <c r="J27">
        <v>7</v>
      </c>
      <c r="K27">
        <v>25</v>
      </c>
      <c r="L27">
        <v>17</v>
      </c>
      <c r="M27">
        <v>22</v>
      </c>
      <c r="N27">
        <v>3</v>
      </c>
      <c r="O27">
        <v>4</v>
      </c>
      <c r="P27">
        <v>0</v>
      </c>
      <c r="Q27">
        <v>0</v>
      </c>
      <c r="R27">
        <v>3.57</v>
      </c>
      <c r="S27">
        <v>2.4300000000000002</v>
      </c>
      <c r="T27">
        <v>6</v>
      </c>
      <c r="U27">
        <v>3.14</v>
      </c>
      <c r="V27">
        <v>5.57</v>
      </c>
    </row>
    <row r="28" spans="1:22" x14ac:dyDescent="0.2">
      <c r="A28">
        <v>25</v>
      </c>
      <c r="B28" t="s">
        <v>45</v>
      </c>
      <c r="C28">
        <v>2015</v>
      </c>
      <c r="D28">
        <v>17</v>
      </c>
      <c r="E28">
        <v>23.6</v>
      </c>
      <c r="F28">
        <v>46.2</v>
      </c>
      <c r="G28">
        <v>5</v>
      </c>
      <c r="H28">
        <v>55</v>
      </c>
      <c r="I28">
        <v>450</v>
      </c>
      <c r="J28">
        <v>5</v>
      </c>
      <c r="K28">
        <v>5</v>
      </c>
      <c r="L28">
        <v>4</v>
      </c>
      <c r="M28">
        <v>5</v>
      </c>
      <c r="N28">
        <v>0</v>
      </c>
      <c r="O28">
        <v>0</v>
      </c>
      <c r="P28">
        <v>0</v>
      </c>
      <c r="Q28">
        <v>0</v>
      </c>
      <c r="R28">
        <v>1</v>
      </c>
      <c r="S28">
        <v>0.8</v>
      </c>
      <c r="T28">
        <v>1.8</v>
      </c>
      <c r="U28">
        <v>1</v>
      </c>
      <c r="V28">
        <v>1.8</v>
      </c>
    </row>
    <row r="29" spans="1:22" x14ac:dyDescent="0.2">
      <c r="A29">
        <v>26</v>
      </c>
      <c r="B29" t="s">
        <v>46</v>
      </c>
      <c r="C29">
        <v>2015</v>
      </c>
      <c r="D29">
        <v>20</v>
      </c>
      <c r="E29">
        <v>27.4</v>
      </c>
      <c r="F29">
        <v>59</v>
      </c>
      <c r="G29">
        <v>4</v>
      </c>
      <c r="H29">
        <v>44</v>
      </c>
      <c r="I29">
        <v>360</v>
      </c>
      <c r="J29">
        <v>4</v>
      </c>
      <c r="K29">
        <v>4</v>
      </c>
      <c r="L29">
        <v>1</v>
      </c>
      <c r="M29">
        <v>3</v>
      </c>
      <c r="N29">
        <v>1</v>
      </c>
      <c r="O29">
        <v>1</v>
      </c>
      <c r="P29">
        <v>1</v>
      </c>
      <c r="Q29">
        <v>0</v>
      </c>
      <c r="R29">
        <v>1</v>
      </c>
      <c r="S29">
        <v>0.25</v>
      </c>
      <c r="T29">
        <v>1.25</v>
      </c>
      <c r="U29">
        <v>0.75</v>
      </c>
      <c r="V29">
        <v>1</v>
      </c>
    </row>
    <row r="30" spans="1:22" x14ac:dyDescent="0.2">
      <c r="A30">
        <v>27</v>
      </c>
      <c r="B30" t="s">
        <v>47</v>
      </c>
      <c r="C30">
        <v>2015</v>
      </c>
      <c r="D30">
        <v>17</v>
      </c>
      <c r="E30">
        <v>25.1</v>
      </c>
      <c r="F30">
        <v>48.8</v>
      </c>
      <c r="G30">
        <v>4</v>
      </c>
      <c r="H30">
        <v>44</v>
      </c>
      <c r="I30">
        <v>360</v>
      </c>
      <c r="J30">
        <v>4</v>
      </c>
      <c r="K30">
        <v>9</v>
      </c>
      <c r="L30">
        <v>5</v>
      </c>
      <c r="M30">
        <v>5</v>
      </c>
      <c r="N30">
        <v>4</v>
      </c>
      <c r="O30">
        <v>4</v>
      </c>
      <c r="P30">
        <v>6</v>
      </c>
      <c r="Q30">
        <v>0</v>
      </c>
      <c r="R30">
        <v>2.25</v>
      </c>
      <c r="S30">
        <v>1.25</v>
      </c>
      <c r="T30">
        <v>3.5</v>
      </c>
      <c r="U30">
        <v>1.25</v>
      </c>
      <c r="V30">
        <v>2.5</v>
      </c>
    </row>
    <row r="31" spans="1:22" x14ac:dyDescent="0.2">
      <c r="A31">
        <v>28</v>
      </c>
      <c r="B31" t="s">
        <v>48</v>
      </c>
      <c r="C31">
        <v>2015</v>
      </c>
      <c r="D31">
        <v>18</v>
      </c>
      <c r="E31">
        <v>27.2</v>
      </c>
      <c r="F31">
        <v>55</v>
      </c>
      <c r="G31">
        <v>5</v>
      </c>
      <c r="H31">
        <v>55</v>
      </c>
      <c r="I31">
        <v>450</v>
      </c>
      <c r="J31">
        <v>5</v>
      </c>
      <c r="K31">
        <v>4</v>
      </c>
      <c r="L31">
        <v>1</v>
      </c>
      <c r="M31">
        <v>3</v>
      </c>
      <c r="N31">
        <v>1</v>
      </c>
      <c r="O31">
        <v>1</v>
      </c>
      <c r="P31">
        <v>3</v>
      </c>
      <c r="Q31">
        <v>0</v>
      </c>
      <c r="R31">
        <v>0.8</v>
      </c>
      <c r="S31">
        <v>0.2</v>
      </c>
      <c r="T31">
        <v>1</v>
      </c>
      <c r="U31">
        <v>0.6</v>
      </c>
      <c r="V31">
        <v>0.8</v>
      </c>
    </row>
    <row r="32" spans="1:22" x14ac:dyDescent="0.2">
      <c r="A32">
        <v>29</v>
      </c>
      <c r="B32" t="s">
        <v>50</v>
      </c>
      <c r="C32">
        <v>2015</v>
      </c>
      <c r="D32">
        <v>18</v>
      </c>
      <c r="E32">
        <v>23.6</v>
      </c>
      <c r="F32">
        <v>48.6</v>
      </c>
      <c r="G32">
        <v>5</v>
      </c>
      <c r="H32">
        <v>55</v>
      </c>
      <c r="I32">
        <v>450</v>
      </c>
      <c r="J32">
        <v>5</v>
      </c>
      <c r="K32">
        <v>4</v>
      </c>
      <c r="L32">
        <v>2</v>
      </c>
      <c r="M32">
        <v>3</v>
      </c>
      <c r="N32">
        <v>1</v>
      </c>
      <c r="O32">
        <v>1</v>
      </c>
      <c r="P32">
        <v>2</v>
      </c>
      <c r="Q32">
        <v>0</v>
      </c>
      <c r="R32">
        <v>0.8</v>
      </c>
      <c r="S32">
        <v>0.4</v>
      </c>
      <c r="T32">
        <v>1.2</v>
      </c>
      <c r="U32">
        <v>0.6</v>
      </c>
      <c r="V32">
        <v>1</v>
      </c>
    </row>
    <row r="33" spans="1:22" x14ac:dyDescent="0.2">
      <c r="A33">
        <v>30</v>
      </c>
      <c r="B33" t="s">
        <v>68</v>
      </c>
      <c r="C33">
        <v>2015</v>
      </c>
      <c r="D33">
        <v>18</v>
      </c>
      <c r="E33">
        <v>24.3</v>
      </c>
      <c r="F33">
        <v>44.3</v>
      </c>
      <c r="G33">
        <v>4</v>
      </c>
      <c r="H33">
        <v>44</v>
      </c>
      <c r="I33">
        <v>360</v>
      </c>
      <c r="J33">
        <v>4</v>
      </c>
      <c r="K33">
        <v>4</v>
      </c>
      <c r="L33">
        <v>4</v>
      </c>
      <c r="M33">
        <v>4</v>
      </c>
      <c r="N33">
        <v>0</v>
      </c>
      <c r="O33">
        <v>0</v>
      </c>
      <c r="P33">
        <v>8</v>
      </c>
      <c r="Q33">
        <v>0</v>
      </c>
      <c r="R33">
        <v>1</v>
      </c>
      <c r="S33">
        <v>1</v>
      </c>
      <c r="T33">
        <v>2</v>
      </c>
      <c r="U33">
        <v>1</v>
      </c>
      <c r="V33">
        <v>2</v>
      </c>
    </row>
    <row r="34" spans="1:22" x14ac:dyDescent="0.2">
      <c r="A34">
        <v>31</v>
      </c>
      <c r="B34" t="s">
        <v>69</v>
      </c>
      <c r="C34">
        <v>2015</v>
      </c>
      <c r="D34">
        <v>15</v>
      </c>
      <c r="E34">
        <v>25</v>
      </c>
      <c r="F34">
        <v>42.3</v>
      </c>
      <c r="G34">
        <v>3</v>
      </c>
      <c r="H34">
        <v>33</v>
      </c>
      <c r="I34">
        <v>270</v>
      </c>
      <c r="J34">
        <v>3</v>
      </c>
      <c r="K34">
        <v>3</v>
      </c>
      <c r="L34">
        <v>3</v>
      </c>
      <c r="M34">
        <v>3</v>
      </c>
      <c r="N34">
        <v>0</v>
      </c>
      <c r="O34">
        <v>0</v>
      </c>
      <c r="P34">
        <v>0</v>
      </c>
      <c r="Q34">
        <v>0</v>
      </c>
      <c r="R34">
        <v>1</v>
      </c>
      <c r="S34">
        <v>1</v>
      </c>
      <c r="T34">
        <v>2</v>
      </c>
      <c r="U34">
        <v>1</v>
      </c>
      <c r="V34">
        <v>2</v>
      </c>
    </row>
    <row r="35" spans="1:22" x14ac:dyDescent="0.2">
      <c r="A35">
        <v>32</v>
      </c>
      <c r="B35" t="s">
        <v>70</v>
      </c>
      <c r="C35">
        <v>2015</v>
      </c>
      <c r="D35">
        <v>19</v>
      </c>
      <c r="E35">
        <v>25</v>
      </c>
      <c r="F35">
        <v>45</v>
      </c>
      <c r="G35">
        <v>3</v>
      </c>
      <c r="H35">
        <v>33</v>
      </c>
      <c r="I35">
        <v>270</v>
      </c>
      <c r="J35">
        <v>3</v>
      </c>
      <c r="K35">
        <v>3</v>
      </c>
      <c r="L35">
        <v>0</v>
      </c>
      <c r="M35">
        <v>3</v>
      </c>
      <c r="N35">
        <v>0</v>
      </c>
      <c r="O35">
        <v>0</v>
      </c>
      <c r="P35">
        <v>8</v>
      </c>
      <c r="Q35">
        <v>0</v>
      </c>
      <c r="R35">
        <v>1</v>
      </c>
      <c r="S35">
        <v>0</v>
      </c>
      <c r="T35">
        <v>1</v>
      </c>
      <c r="U35">
        <v>1</v>
      </c>
      <c r="V35">
        <v>1</v>
      </c>
    </row>
    <row r="36" spans="1:22" x14ac:dyDescent="0.2">
      <c r="A36">
        <v>33</v>
      </c>
      <c r="B36" t="s">
        <v>71</v>
      </c>
      <c r="C36">
        <v>2015</v>
      </c>
      <c r="D36">
        <v>19</v>
      </c>
      <c r="E36">
        <v>23.4</v>
      </c>
      <c r="F36">
        <v>38.700000000000003</v>
      </c>
      <c r="G36">
        <v>3</v>
      </c>
      <c r="H36">
        <v>33</v>
      </c>
      <c r="I36">
        <v>270</v>
      </c>
      <c r="J36">
        <v>3</v>
      </c>
      <c r="K36">
        <v>1</v>
      </c>
      <c r="L36">
        <v>0</v>
      </c>
      <c r="M36">
        <v>0</v>
      </c>
      <c r="N36">
        <v>1</v>
      </c>
      <c r="O36">
        <v>1</v>
      </c>
      <c r="P36">
        <v>6</v>
      </c>
      <c r="Q36">
        <v>1</v>
      </c>
      <c r="R36">
        <v>0.33</v>
      </c>
      <c r="S36">
        <v>0</v>
      </c>
      <c r="T36">
        <v>0.33</v>
      </c>
      <c r="U36">
        <v>0</v>
      </c>
      <c r="V36">
        <v>0</v>
      </c>
    </row>
    <row r="37" spans="1:22" x14ac:dyDescent="0.2">
      <c r="A37">
        <v>34</v>
      </c>
      <c r="B37" t="s">
        <v>51</v>
      </c>
      <c r="C37">
        <v>2015</v>
      </c>
      <c r="D37">
        <v>22</v>
      </c>
      <c r="E37">
        <v>27.6</v>
      </c>
      <c r="F37">
        <v>48.1</v>
      </c>
      <c r="G37">
        <v>7</v>
      </c>
      <c r="H37">
        <v>77</v>
      </c>
      <c r="I37">
        <v>660</v>
      </c>
      <c r="J37">
        <v>7.3</v>
      </c>
      <c r="K37">
        <v>10</v>
      </c>
      <c r="L37">
        <v>4</v>
      </c>
      <c r="M37">
        <v>7</v>
      </c>
      <c r="N37">
        <v>3</v>
      </c>
      <c r="O37">
        <v>3</v>
      </c>
      <c r="P37">
        <v>3</v>
      </c>
      <c r="Q37">
        <v>0</v>
      </c>
      <c r="R37">
        <v>1.36</v>
      </c>
      <c r="S37">
        <v>0.55000000000000004</v>
      </c>
      <c r="T37">
        <v>1.91</v>
      </c>
      <c r="U37">
        <v>0.95</v>
      </c>
      <c r="V37">
        <v>1.5</v>
      </c>
    </row>
    <row r="38" spans="1:22" x14ac:dyDescent="0.2">
      <c r="A38">
        <v>35</v>
      </c>
      <c r="B38" t="s">
        <v>52</v>
      </c>
      <c r="C38">
        <v>2015</v>
      </c>
      <c r="D38">
        <v>19</v>
      </c>
      <c r="E38">
        <v>27.3</v>
      </c>
      <c r="F38">
        <v>53.6</v>
      </c>
      <c r="G38">
        <v>5</v>
      </c>
      <c r="H38">
        <v>55</v>
      </c>
      <c r="I38">
        <v>480</v>
      </c>
      <c r="J38">
        <v>5.3</v>
      </c>
      <c r="K38">
        <v>9</v>
      </c>
      <c r="L38">
        <v>7</v>
      </c>
      <c r="M38">
        <v>9</v>
      </c>
      <c r="N38">
        <v>0</v>
      </c>
      <c r="O38">
        <v>0</v>
      </c>
      <c r="P38">
        <v>0</v>
      </c>
      <c r="Q38">
        <v>0</v>
      </c>
      <c r="R38">
        <v>1.69</v>
      </c>
      <c r="S38">
        <v>1.31</v>
      </c>
      <c r="T38">
        <v>3</v>
      </c>
      <c r="U38">
        <v>1.69</v>
      </c>
      <c r="V38">
        <v>3</v>
      </c>
    </row>
    <row r="39" spans="1:22" x14ac:dyDescent="0.2">
      <c r="A39">
        <v>36</v>
      </c>
      <c r="B39" t="s">
        <v>53</v>
      </c>
      <c r="C39">
        <v>2015</v>
      </c>
      <c r="D39">
        <v>21</v>
      </c>
      <c r="E39">
        <v>26.9</v>
      </c>
      <c r="F39">
        <v>54.7</v>
      </c>
      <c r="G39">
        <v>7</v>
      </c>
      <c r="H39">
        <v>77</v>
      </c>
      <c r="I39">
        <v>690</v>
      </c>
      <c r="J39">
        <v>7.7</v>
      </c>
      <c r="K39">
        <v>20</v>
      </c>
      <c r="L39">
        <v>11</v>
      </c>
      <c r="M39">
        <v>18</v>
      </c>
      <c r="N39">
        <v>2</v>
      </c>
      <c r="O39">
        <v>2</v>
      </c>
      <c r="P39">
        <v>1</v>
      </c>
      <c r="Q39">
        <v>0</v>
      </c>
      <c r="R39">
        <v>2.61</v>
      </c>
      <c r="S39">
        <v>1.43</v>
      </c>
      <c r="T39">
        <v>4.04</v>
      </c>
      <c r="U39">
        <v>2.35</v>
      </c>
      <c r="V39">
        <v>3.78</v>
      </c>
    </row>
    <row r="40" spans="1:22" x14ac:dyDescent="0.2">
      <c r="A40">
        <v>37</v>
      </c>
      <c r="B40" t="s">
        <v>56</v>
      </c>
      <c r="C40">
        <v>2015</v>
      </c>
      <c r="D40">
        <v>23</v>
      </c>
      <c r="E40">
        <v>27.9</v>
      </c>
      <c r="F40">
        <v>55.1</v>
      </c>
      <c r="G40">
        <v>7</v>
      </c>
      <c r="H40">
        <v>77</v>
      </c>
      <c r="I40">
        <v>630</v>
      </c>
      <c r="J40">
        <v>7</v>
      </c>
      <c r="K40">
        <v>9</v>
      </c>
      <c r="L40">
        <v>5</v>
      </c>
      <c r="M40">
        <v>7</v>
      </c>
      <c r="N40">
        <v>2</v>
      </c>
      <c r="O40">
        <v>2</v>
      </c>
      <c r="P40">
        <v>1</v>
      </c>
      <c r="Q40">
        <v>0</v>
      </c>
      <c r="R40">
        <v>1.29</v>
      </c>
      <c r="S40">
        <v>0.71</v>
      </c>
      <c r="T40">
        <v>2</v>
      </c>
      <c r="U40">
        <v>1</v>
      </c>
      <c r="V40">
        <v>1.71</v>
      </c>
    </row>
    <row r="41" spans="1:22" x14ac:dyDescent="0.2">
      <c r="A41">
        <v>38</v>
      </c>
      <c r="B41" t="s">
        <v>57</v>
      </c>
      <c r="C41">
        <v>2015</v>
      </c>
      <c r="D41">
        <v>19</v>
      </c>
      <c r="E41">
        <v>26.1</v>
      </c>
      <c r="F41">
        <v>43.8</v>
      </c>
      <c r="G41">
        <v>4</v>
      </c>
      <c r="H41">
        <v>44</v>
      </c>
      <c r="I41">
        <v>360</v>
      </c>
      <c r="J41">
        <v>4</v>
      </c>
      <c r="K41">
        <v>4</v>
      </c>
      <c r="L41">
        <v>3</v>
      </c>
      <c r="M41">
        <v>3</v>
      </c>
      <c r="N41">
        <v>1</v>
      </c>
      <c r="O41">
        <v>1</v>
      </c>
      <c r="P41">
        <v>5</v>
      </c>
      <c r="Q41">
        <v>0</v>
      </c>
      <c r="R41">
        <v>1</v>
      </c>
      <c r="S41">
        <v>0.75</v>
      </c>
      <c r="T41">
        <v>1.75</v>
      </c>
      <c r="U41">
        <v>0.75</v>
      </c>
      <c r="V41">
        <v>1.5</v>
      </c>
    </row>
    <row r="42" spans="1:22" x14ac:dyDescent="0.2">
      <c r="A42">
        <v>39</v>
      </c>
      <c r="B42" t="s">
        <v>72</v>
      </c>
      <c r="C42">
        <v>2015</v>
      </c>
      <c r="D42">
        <v>17</v>
      </c>
      <c r="E42">
        <v>24.3</v>
      </c>
      <c r="F42">
        <v>52.3</v>
      </c>
      <c r="G42">
        <v>3</v>
      </c>
      <c r="H42">
        <v>33</v>
      </c>
      <c r="I42">
        <v>270</v>
      </c>
      <c r="J42">
        <v>3</v>
      </c>
      <c r="K42">
        <v>2</v>
      </c>
      <c r="L42">
        <v>1</v>
      </c>
      <c r="M42">
        <v>2</v>
      </c>
      <c r="N42">
        <v>0</v>
      </c>
      <c r="O42">
        <v>0</v>
      </c>
      <c r="P42">
        <v>4</v>
      </c>
      <c r="Q42">
        <v>0</v>
      </c>
      <c r="R42">
        <v>0.67</v>
      </c>
      <c r="S42">
        <v>0.33</v>
      </c>
      <c r="T42">
        <v>1</v>
      </c>
      <c r="U42">
        <v>0.67</v>
      </c>
      <c r="V42">
        <v>1</v>
      </c>
    </row>
    <row r="43" spans="1:22" x14ac:dyDescent="0.2">
      <c r="A43">
        <v>40</v>
      </c>
      <c r="B43" t="s">
        <v>58</v>
      </c>
      <c r="C43">
        <v>2015</v>
      </c>
      <c r="D43">
        <v>18</v>
      </c>
      <c r="E43">
        <v>24.3</v>
      </c>
      <c r="F43">
        <v>49</v>
      </c>
      <c r="G43">
        <v>4</v>
      </c>
      <c r="H43">
        <v>44</v>
      </c>
      <c r="I43">
        <v>360</v>
      </c>
      <c r="J43">
        <v>4</v>
      </c>
      <c r="K43">
        <v>3</v>
      </c>
      <c r="L43">
        <v>3</v>
      </c>
      <c r="M43">
        <v>3</v>
      </c>
      <c r="N43">
        <v>0</v>
      </c>
      <c r="O43">
        <v>0</v>
      </c>
      <c r="P43">
        <v>3</v>
      </c>
      <c r="Q43">
        <v>0</v>
      </c>
      <c r="R43">
        <v>0.75</v>
      </c>
      <c r="S43">
        <v>0.75</v>
      </c>
      <c r="T43">
        <v>1.5</v>
      </c>
      <c r="U43">
        <v>0.75</v>
      </c>
      <c r="V43">
        <v>1.5</v>
      </c>
    </row>
    <row r="44" spans="1:22" x14ac:dyDescent="0.2">
      <c r="A44">
        <v>41</v>
      </c>
      <c r="B44" t="s">
        <v>59</v>
      </c>
      <c r="C44">
        <v>2015</v>
      </c>
      <c r="D44">
        <v>15</v>
      </c>
      <c r="E44">
        <v>24.9</v>
      </c>
      <c r="F44">
        <v>46.7</v>
      </c>
      <c r="G44">
        <v>3</v>
      </c>
      <c r="H44">
        <v>33</v>
      </c>
      <c r="I44">
        <v>270</v>
      </c>
      <c r="J44">
        <v>3</v>
      </c>
      <c r="K44">
        <v>2</v>
      </c>
      <c r="L44">
        <v>2</v>
      </c>
      <c r="M44">
        <v>2</v>
      </c>
      <c r="N44">
        <v>0</v>
      </c>
      <c r="O44">
        <v>0</v>
      </c>
      <c r="P44">
        <v>4</v>
      </c>
      <c r="Q44">
        <v>0</v>
      </c>
      <c r="R44">
        <v>0.67</v>
      </c>
      <c r="S44">
        <v>0.67</v>
      </c>
      <c r="T44">
        <v>1.33</v>
      </c>
      <c r="U44">
        <v>0.67</v>
      </c>
      <c r="V44">
        <v>1.33</v>
      </c>
    </row>
    <row r="45" spans="1:22" x14ac:dyDescent="0.2">
      <c r="A45">
        <v>42</v>
      </c>
      <c r="B45" t="s">
        <v>60</v>
      </c>
      <c r="C45">
        <v>2015</v>
      </c>
      <c r="D45">
        <v>17</v>
      </c>
      <c r="E45">
        <v>24.6</v>
      </c>
      <c r="F45">
        <v>48.3</v>
      </c>
      <c r="G45">
        <v>3</v>
      </c>
      <c r="H45">
        <v>33</v>
      </c>
      <c r="I45">
        <v>270</v>
      </c>
      <c r="J45">
        <v>3</v>
      </c>
      <c r="K45">
        <v>3</v>
      </c>
      <c r="L45">
        <v>3</v>
      </c>
      <c r="M45">
        <v>3</v>
      </c>
      <c r="N45">
        <v>0</v>
      </c>
      <c r="O45">
        <v>0</v>
      </c>
      <c r="P45">
        <v>6</v>
      </c>
      <c r="Q45">
        <v>1</v>
      </c>
      <c r="R45">
        <v>1</v>
      </c>
      <c r="S45">
        <v>1</v>
      </c>
      <c r="T45">
        <v>2</v>
      </c>
      <c r="U45">
        <v>1</v>
      </c>
      <c r="V45">
        <v>2</v>
      </c>
    </row>
    <row r="46" spans="1:22" x14ac:dyDescent="0.2">
      <c r="A46">
        <v>43</v>
      </c>
      <c r="B46" t="s">
        <v>61</v>
      </c>
      <c r="C46">
        <v>2015</v>
      </c>
      <c r="D46">
        <v>18</v>
      </c>
      <c r="E46">
        <v>26.7</v>
      </c>
      <c r="F46">
        <v>54.5</v>
      </c>
      <c r="G46">
        <v>4</v>
      </c>
      <c r="H46">
        <v>44</v>
      </c>
      <c r="I46">
        <v>360</v>
      </c>
      <c r="J46">
        <v>4</v>
      </c>
      <c r="K46">
        <v>9</v>
      </c>
      <c r="L46">
        <v>6</v>
      </c>
      <c r="M46">
        <v>9</v>
      </c>
      <c r="N46">
        <v>0</v>
      </c>
      <c r="O46">
        <v>0</v>
      </c>
      <c r="P46">
        <v>1</v>
      </c>
      <c r="Q46">
        <v>0</v>
      </c>
      <c r="R46">
        <v>2.25</v>
      </c>
      <c r="S46">
        <v>1.5</v>
      </c>
      <c r="T46">
        <v>3.75</v>
      </c>
      <c r="U46">
        <v>2.25</v>
      </c>
      <c r="V46">
        <v>3.75</v>
      </c>
    </row>
    <row r="47" spans="1:22" x14ac:dyDescent="0.2">
      <c r="A47">
        <v>44</v>
      </c>
      <c r="B47" t="s">
        <v>64</v>
      </c>
      <c r="C47">
        <v>2015</v>
      </c>
      <c r="D47">
        <v>17</v>
      </c>
      <c r="E47">
        <v>25.3</v>
      </c>
      <c r="F47">
        <v>50.7</v>
      </c>
      <c r="G47">
        <v>3</v>
      </c>
      <c r="H47">
        <v>33</v>
      </c>
      <c r="I47">
        <v>270</v>
      </c>
      <c r="J47">
        <v>3</v>
      </c>
      <c r="K47">
        <v>2</v>
      </c>
      <c r="L47">
        <v>2</v>
      </c>
      <c r="M47">
        <v>2</v>
      </c>
      <c r="N47">
        <v>0</v>
      </c>
      <c r="O47">
        <v>0</v>
      </c>
      <c r="P47">
        <v>3</v>
      </c>
      <c r="Q47">
        <v>0</v>
      </c>
      <c r="R47">
        <v>0.67</v>
      </c>
      <c r="S47">
        <v>0.67</v>
      </c>
      <c r="T47">
        <v>1.33</v>
      </c>
      <c r="U47">
        <v>0.67</v>
      </c>
      <c r="V47">
        <v>1.33</v>
      </c>
    </row>
    <row r="48" spans="1:22" x14ac:dyDescent="0.2">
      <c r="A48">
        <v>45</v>
      </c>
      <c r="B48" t="s">
        <v>65</v>
      </c>
      <c r="C48">
        <v>2015</v>
      </c>
      <c r="D48">
        <v>18</v>
      </c>
      <c r="E48">
        <v>28.1</v>
      </c>
      <c r="F48">
        <v>49.3</v>
      </c>
      <c r="G48">
        <v>4</v>
      </c>
      <c r="H48">
        <v>44</v>
      </c>
      <c r="I48">
        <v>360</v>
      </c>
      <c r="J48">
        <v>4</v>
      </c>
      <c r="K48">
        <v>4</v>
      </c>
      <c r="L48">
        <v>2</v>
      </c>
      <c r="M48">
        <v>4</v>
      </c>
      <c r="N48">
        <v>0</v>
      </c>
      <c r="O48">
        <v>0</v>
      </c>
      <c r="P48">
        <v>0</v>
      </c>
      <c r="Q48">
        <v>0</v>
      </c>
      <c r="R48">
        <v>1</v>
      </c>
      <c r="S48">
        <v>0.5</v>
      </c>
      <c r="T48">
        <v>1.5</v>
      </c>
      <c r="U48">
        <v>1</v>
      </c>
      <c r="V48">
        <v>1.5</v>
      </c>
    </row>
    <row r="49" spans="1:22" x14ac:dyDescent="0.2">
      <c r="A49">
        <v>46</v>
      </c>
      <c r="B49" t="s">
        <v>73</v>
      </c>
      <c r="C49">
        <v>2015</v>
      </c>
      <c r="D49">
        <v>17</v>
      </c>
      <c r="E49">
        <v>25</v>
      </c>
      <c r="F49">
        <v>55.3</v>
      </c>
      <c r="G49">
        <v>4</v>
      </c>
      <c r="H49">
        <v>44</v>
      </c>
      <c r="I49">
        <v>360</v>
      </c>
      <c r="J49">
        <v>4</v>
      </c>
      <c r="K49">
        <v>9</v>
      </c>
      <c r="L49">
        <v>7</v>
      </c>
      <c r="M49">
        <v>8</v>
      </c>
      <c r="N49">
        <v>1</v>
      </c>
      <c r="O49">
        <v>1</v>
      </c>
      <c r="P49">
        <v>4</v>
      </c>
      <c r="Q49">
        <v>0</v>
      </c>
      <c r="R49">
        <v>2.25</v>
      </c>
      <c r="S49">
        <v>1.75</v>
      </c>
      <c r="T49">
        <v>4</v>
      </c>
      <c r="U49">
        <v>2</v>
      </c>
      <c r="V49">
        <v>3.75</v>
      </c>
    </row>
    <row r="50" spans="1:22" x14ac:dyDescent="0.2">
      <c r="A50">
        <v>47</v>
      </c>
      <c r="B50" t="s">
        <v>66</v>
      </c>
      <c r="C50">
        <v>2015</v>
      </c>
      <c r="D50">
        <v>17</v>
      </c>
      <c r="E50">
        <v>25.7</v>
      </c>
      <c r="F50">
        <v>40</v>
      </c>
      <c r="G50">
        <v>3</v>
      </c>
      <c r="H50">
        <v>33</v>
      </c>
      <c r="I50">
        <v>270</v>
      </c>
      <c r="J50">
        <v>3</v>
      </c>
      <c r="K50">
        <v>3</v>
      </c>
      <c r="L50">
        <v>3</v>
      </c>
      <c r="M50">
        <v>3</v>
      </c>
      <c r="N50">
        <v>0</v>
      </c>
      <c r="O50">
        <v>0</v>
      </c>
      <c r="P50">
        <v>3</v>
      </c>
      <c r="Q50">
        <v>0</v>
      </c>
      <c r="R50">
        <v>1</v>
      </c>
      <c r="S50">
        <v>1</v>
      </c>
      <c r="T50">
        <v>2</v>
      </c>
      <c r="U50">
        <v>1</v>
      </c>
      <c r="V50">
        <v>2</v>
      </c>
    </row>
    <row r="51" spans="1:22" x14ac:dyDescent="0.2">
      <c r="A51">
        <v>48</v>
      </c>
      <c r="B51" t="s">
        <v>67</v>
      </c>
      <c r="C51">
        <v>2015</v>
      </c>
      <c r="D51">
        <v>20</v>
      </c>
      <c r="E51">
        <v>28.4</v>
      </c>
      <c r="F51">
        <v>52.9</v>
      </c>
      <c r="G51">
        <v>7</v>
      </c>
      <c r="H51">
        <v>77</v>
      </c>
      <c r="I51">
        <v>630</v>
      </c>
      <c r="J51">
        <v>7</v>
      </c>
      <c r="K51">
        <v>14</v>
      </c>
      <c r="L51">
        <v>7</v>
      </c>
      <c r="M51">
        <v>12</v>
      </c>
      <c r="N51">
        <v>2</v>
      </c>
      <c r="O51">
        <v>2</v>
      </c>
      <c r="P51">
        <v>2</v>
      </c>
      <c r="Q51">
        <v>0</v>
      </c>
      <c r="R51">
        <v>2</v>
      </c>
      <c r="S51">
        <v>1</v>
      </c>
      <c r="T51">
        <v>3</v>
      </c>
      <c r="U51">
        <v>1.71</v>
      </c>
      <c r="V51">
        <v>2.71</v>
      </c>
    </row>
    <row r="52" spans="1:22" x14ac:dyDescent="0.2">
      <c r="A52">
        <v>49</v>
      </c>
      <c r="B52" t="s">
        <v>45</v>
      </c>
      <c r="C52">
        <v>2011</v>
      </c>
      <c r="D52">
        <v>20</v>
      </c>
      <c r="E52">
        <v>22.8</v>
      </c>
      <c r="F52">
        <v>53.5</v>
      </c>
      <c r="G52">
        <v>4</v>
      </c>
      <c r="H52">
        <v>44</v>
      </c>
      <c r="I52">
        <v>360</v>
      </c>
      <c r="J52">
        <v>4</v>
      </c>
      <c r="K52">
        <v>6</v>
      </c>
      <c r="L52">
        <v>6</v>
      </c>
      <c r="M52">
        <v>6</v>
      </c>
      <c r="N52">
        <v>0</v>
      </c>
      <c r="O52">
        <v>0</v>
      </c>
      <c r="P52">
        <v>0</v>
      </c>
      <c r="Q52">
        <v>0</v>
      </c>
      <c r="R52">
        <v>1.5</v>
      </c>
      <c r="S52">
        <v>1.5</v>
      </c>
      <c r="T52">
        <v>3</v>
      </c>
      <c r="U52">
        <v>1.5</v>
      </c>
      <c r="V52">
        <v>3</v>
      </c>
    </row>
    <row r="53" spans="1:22" x14ac:dyDescent="0.2">
      <c r="A53">
        <v>50</v>
      </c>
      <c r="B53" t="s">
        <v>46</v>
      </c>
      <c r="C53">
        <v>2011</v>
      </c>
      <c r="D53">
        <v>16</v>
      </c>
      <c r="E53">
        <v>27</v>
      </c>
      <c r="F53">
        <v>53.3</v>
      </c>
      <c r="G53">
        <v>4</v>
      </c>
      <c r="H53">
        <v>44</v>
      </c>
      <c r="I53">
        <v>390</v>
      </c>
      <c r="J53">
        <v>4.3</v>
      </c>
      <c r="K53">
        <v>9</v>
      </c>
      <c r="L53">
        <v>6</v>
      </c>
      <c r="M53">
        <v>7</v>
      </c>
      <c r="N53">
        <v>2</v>
      </c>
      <c r="O53">
        <v>2</v>
      </c>
      <c r="P53">
        <v>0</v>
      </c>
      <c r="Q53">
        <v>0</v>
      </c>
      <c r="R53">
        <v>2.08</v>
      </c>
      <c r="S53">
        <v>1.38</v>
      </c>
      <c r="T53">
        <v>3.46</v>
      </c>
      <c r="U53">
        <v>1.62</v>
      </c>
      <c r="V53">
        <v>3</v>
      </c>
    </row>
    <row r="54" spans="1:22" x14ac:dyDescent="0.2">
      <c r="A54">
        <v>51</v>
      </c>
      <c r="B54" t="s">
        <v>48</v>
      </c>
      <c r="C54">
        <v>2011</v>
      </c>
      <c r="D54">
        <v>19</v>
      </c>
      <c r="E54">
        <v>25.9</v>
      </c>
      <c r="F54">
        <v>47.3</v>
      </c>
      <c r="G54">
        <v>3</v>
      </c>
      <c r="H54">
        <v>33</v>
      </c>
      <c r="I54">
        <v>270</v>
      </c>
      <c r="J54">
        <v>3</v>
      </c>
      <c r="K54">
        <v>1</v>
      </c>
      <c r="L54">
        <v>0</v>
      </c>
      <c r="M54">
        <v>1</v>
      </c>
      <c r="N54">
        <v>0</v>
      </c>
      <c r="O54">
        <v>0</v>
      </c>
      <c r="P54">
        <v>0</v>
      </c>
      <c r="Q54">
        <v>0</v>
      </c>
      <c r="R54">
        <v>0.33</v>
      </c>
      <c r="S54">
        <v>0</v>
      </c>
      <c r="T54">
        <v>0.33</v>
      </c>
      <c r="U54">
        <v>0.33</v>
      </c>
      <c r="V54">
        <v>0.33</v>
      </c>
    </row>
    <row r="55" spans="1:22" x14ac:dyDescent="0.2">
      <c r="A55">
        <v>52</v>
      </c>
      <c r="B55" t="s">
        <v>68</v>
      </c>
      <c r="C55">
        <v>2011</v>
      </c>
      <c r="D55">
        <v>17</v>
      </c>
      <c r="E55">
        <v>22.4</v>
      </c>
      <c r="F55">
        <v>49.3</v>
      </c>
      <c r="G55">
        <v>3</v>
      </c>
      <c r="H55">
        <v>33</v>
      </c>
      <c r="I55">
        <v>270</v>
      </c>
      <c r="J55">
        <v>3</v>
      </c>
      <c r="K55">
        <v>0</v>
      </c>
      <c r="L55">
        <v>0</v>
      </c>
      <c r="M55">
        <v>0</v>
      </c>
      <c r="N55">
        <v>0</v>
      </c>
      <c r="O55">
        <v>0</v>
      </c>
      <c r="P55">
        <v>0</v>
      </c>
      <c r="Q55">
        <v>0</v>
      </c>
      <c r="R55">
        <v>0</v>
      </c>
      <c r="S55">
        <v>0</v>
      </c>
      <c r="T55">
        <v>0</v>
      </c>
      <c r="U55">
        <v>0</v>
      </c>
      <c r="V55">
        <v>0</v>
      </c>
    </row>
    <row r="56" spans="1:22" x14ac:dyDescent="0.2">
      <c r="A56">
        <v>53</v>
      </c>
      <c r="B56" t="s">
        <v>51</v>
      </c>
      <c r="C56">
        <v>2011</v>
      </c>
      <c r="D56">
        <v>18</v>
      </c>
      <c r="E56">
        <v>26.9</v>
      </c>
      <c r="F56">
        <v>49.3</v>
      </c>
      <c r="G56">
        <v>4</v>
      </c>
      <c r="H56">
        <v>44</v>
      </c>
      <c r="I56">
        <v>390</v>
      </c>
      <c r="J56">
        <v>4.3</v>
      </c>
      <c r="K56">
        <v>6</v>
      </c>
      <c r="L56">
        <v>7</v>
      </c>
      <c r="M56">
        <v>6</v>
      </c>
      <c r="N56">
        <v>0</v>
      </c>
      <c r="O56">
        <v>0</v>
      </c>
      <c r="P56">
        <v>0</v>
      </c>
      <c r="Q56">
        <v>0</v>
      </c>
      <c r="R56">
        <v>1.38</v>
      </c>
      <c r="S56">
        <v>1.62</v>
      </c>
      <c r="T56">
        <v>3</v>
      </c>
      <c r="U56">
        <v>1.38</v>
      </c>
      <c r="V56">
        <v>3</v>
      </c>
    </row>
    <row r="57" spans="1:22" x14ac:dyDescent="0.2">
      <c r="A57">
        <v>54</v>
      </c>
      <c r="B57" t="s">
        <v>74</v>
      </c>
      <c r="C57">
        <v>2011</v>
      </c>
      <c r="D57">
        <v>15</v>
      </c>
      <c r="E57">
        <v>26.1</v>
      </c>
      <c r="F57">
        <v>40.700000000000003</v>
      </c>
      <c r="G57">
        <v>3</v>
      </c>
      <c r="H57">
        <v>33</v>
      </c>
      <c r="I57">
        <v>270</v>
      </c>
      <c r="J57">
        <v>3</v>
      </c>
      <c r="K57">
        <v>2</v>
      </c>
      <c r="L57">
        <v>0</v>
      </c>
      <c r="M57">
        <v>2</v>
      </c>
      <c r="N57">
        <v>0</v>
      </c>
      <c r="O57">
        <v>0</v>
      </c>
      <c r="R57">
        <v>0.67</v>
      </c>
      <c r="S57">
        <v>0</v>
      </c>
      <c r="T57">
        <v>0.67</v>
      </c>
      <c r="U57">
        <v>0.67</v>
      </c>
      <c r="V57">
        <v>0.67</v>
      </c>
    </row>
    <row r="58" spans="1:22" x14ac:dyDescent="0.2">
      <c r="A58">
        <v>55</v>
      </c>
      <c r="B58" t="s">
        <v>52</v>
      </c>
      <c r="C58">
        <v>2011</v>
      </c>
      <c r="D58">
        <v>20</v>
      </c>
      <c r="E58">
        <v>26.7</v>
      </c>
      <c r="F58">
        <v>52.3</v>
      </c>
      <c r="G58">
        <v>6</v>
      </c>
      <c r="H58">
        <v>66</v>
      </c>
      <c r="I58">
        <v>570</v>
      </c>
      <c r="J58">
        <v>6.3</v>
      </c>
      <c r="K58">
        <v>10</v>
      </c>
      <c r="L58">
        <v>9</v>
      </c>
      <c r="M58">
        <v>10</v>
      </c>
      <c r="N58">
        <v>0</v>
      </c>
      <c r="O58">
        <v>0</v>
      </c>
      <c r="P58">
        <v>0</v>
      </c>
      <c r="Q58">
        <v>0</v>
      </c>
      <c r="R58">
        <v>1.58</v>
      </c>
      <c r="S58">
        <v>1.42</v>
      </c>
      <c r="T58">
        <v>3</v>
      </c>
      <c r="U58">
        <v>1.58</v>
      </c>
      <c r="V58">
        <v>3</v>
      </c>
    </row>
    <row r="59" spans="1:22" x14ac:dyDescent="0.2">
      <c r="A59">
        <v>56</v>
      </c>
      <c r="B59" t="s">
        <v>53</v>
      </c>
      <c r="C59">
        <v>2011</v>
      </c>
      <c r="D59">
        <v>17</v>
      </c>
      <c r="E59">
        <v>26.4</v>
      </c>
      <c r="F59">
        <v>50</v>
      </c>
      <c r="G59">
        <v>4</v>
      </c>
      <c r="H59">
        <v>44</v>
      </c>
      <c r="I59">
        <v>390</v>
      </c>
      <c r="J59">
        <v>4.3</v>
      </c>
      <c r="K59">
        <v>7</v>
      </c>
      <c r="L59">
        <v>6</v>
      </c>
      <c r="M59">
        <v>6</v>
      </c>
      <c r="N59">
        <v>1</v>
      </c>
      <c r="O59">
        <v>1</v>
      </c>
      <c r="P59">
        <v>0</v>
      </c>
      <c r="Q59">
        <v>0</v>
      </c>
      <c r="R59">
        <v>1.62</v>
      </c>
      <c r="S59">
        <v>1.38</v>
      </c>
      <c r="T59">
        <v>3</v>
      </c>
      <c r="U59">
        <v>1.38</v>
      </c>
      <c r="V59">
        <v>2.77</v>
      </c>
    </row>
    <row r="60" spans="1:22" x14ac:dyDescent="0.2">
      <c r="A60">
        <v>57</v>
      </c>
      <c r="B60" t="s">
        <v>56</v>
      </c>
      <c r="C60">
        <v>2011</v>
      </c>
      <c r="D60">
        <v>18</v>
      </c>
      <c r="E60">
        <v>25.4</v>
      </c>
      <c r="F60">
        <v>56.5</v>
      </c>
      <c r="G60">
        <v>6</v>
      </c>
      <c r="H60">
        <v>66</v>
      </c>
      <c r="I60">
        <v>600</v>
      </c>
      <c r="J60">
        <v>6.7</v>
      </c>
      <c r="K60">
        <v>12</v>
      </c>
      <c r="L60">
        <v>10</v>
      </c>
      <c r="M60">
        <v>12</v>
      </c>
      <c r="N60">
        <v>0</v>
      </c>
      <c r="O60">
        <v>0</v>
      </c>
      <c r="P60">
        <v>0</v>
      </c>
      <c r="Q60">
        <v>0</v>
      </c>
      <c r="R60">
        <v>1.8</v>
      </c>
      <c r="S60">
        <v>1.5</v>
      </c>
      <c r="T60">
        <v>3.3</v>
      </c>
      <c r="U60">
        <v>1.8</v>
      </c>
      <c r="V60">
        <v>3.3</v>
      </c>
    </row>
    <row r="61" spans="1:22" x14ac:dyDescent="0.2">
      <c r="A61">
        <v>58</v>
      </c>
      <c r="B61" t="s">
        <v>75</v>
      </c>
      <c r="C61">
        <v>2011</v>
      </c>
      <c r="D61">
        <v>17</v>
      </c>
      <c r="E61">
        <v>21.1</v>
      </c>
      <c r="F61">
        <v>50.7</v>
      </c>
      <c r="G61">
        <v>3</v>
      </c>
      <c r="H61">
        <v>33</v>
      </c>
      <c r="I61">
        <v>270</v>
      </c>
      <c r="J61">
        <v>3</v>
      </c>
      <c r="K61">
        <v>0</v>
      </c>
      <c r="L61">
        <v>0</v>
      </c>
      <c r="M61">
        <v>0</v>
      </c>
      <c r="N61">
        <v>0</v>
      </c>
      <c r="O61">
        <v>0</v>
      </c>
      <c r="R61">
        <v>0</v>
      </c>
      <c r="S61">
        <v>0</v>
      </c>
      <c r="T61">
        <v>0</v>
      </c>
      <c r="U61">
        <v>0</v>
      </c>
      <c r="V61">
        <v>0</v>
      </c>
    </row>
    <row r="62" spans="1:22" x14ac:dyDescent="0.2">
      <c r="A62">
        <v>59</v>
      </c>
      <c r="B62" t="s">
        <v>72</v>
      </c>
      <c r="C62">
        <v>2011</v>
      </c>
      <c r="D62">
        <v>18</v>
      </c>
      <c r="E62">
        <v>23.1</v>
      </c>
      <c r="F62">
        <v>47.7</v>
      </c>
      <c r="G62">
        <v>3</v>
      </c>
      <c r="H62">
        <v>33</v>
      </c>
      <c r="I62">
        <v>270</v>
      </c>
      <c r="J62">
        <v>3</v>
      </c>
      <c r="K62">
        <v>3</v>
      </c>
      <c r="L62">
        <v>3</v>
      </c>
      <c r="M62">
        <v>3</v>
      </c>
      <c r="N62">
        <v>0</v>
      </c>
      <c r="O62">
        <v>0</v>
      </c>
      <c r="P62">
        <v>0</v>
      </c>
      <c r="Q62">
        <v>0</v>
      </c>
      <c r="R62">
        <v>1</v>
      </c>
      <c r="S62">
        <v>1</v>
      </c>
      <c r="T62">
        <v>2</v>
      </c>
      <c r="U62">
        <v>1</v>
      </c>
      <c r="V62">
        <v>2</v>
      </c>
    </row>
    <row r="63" spans="1:22" x14ac:dyDescent="0.2">
      <c r="A63">
        <v>60</v>
      </c>
      <c r="B63" t="s">
        <v>59</v>
      </c>
      <c r="C63">
        <v>2011</v>
      </c>
      <c r="D63">
        <v>16</v>
      </c>
      <c r="E63">
        <v>24.4</v>
      </c>
      <c r="F63">
        <v>45.7</v>
      </c>
      <c r="G63">
        <v>3</v>
      </c>
      <c r="H63">
        <v>33</v>
      </c>
      <c r="I63">
        <v>270</v>
      </c>
      <c r="J63">
        <v>3</v>
      </c>
      <c r="K63">
        <v>4</v>
      </c>
      <c r="L63">
        <v>3</v>
      </c>
      <c r="M63">
        <v>4</v>
      </c>
      <c r="N63">
        <v>0</v>
      </c>
      <c r="O63">
        <v>0</v>
      </c>
      <c r="P63">
        <v>0</v>
      </c>
      <c r="Q63">
        <v>0</v>
      </c>
      <c r="R63">
        <v>1.33</v>
      </c>
      <c r="S63">
        <v>1</v>
      </c>
      <c r="T63">
        <v>2.33</v>
      </c>
      <c r="U63">
        <v>1.33</v>
      </c>
      <c r="V63">
        <v>2.33</v>
      </c>
    </row>
    <row r="64" spans="1:22" x14ac:dyDescent="0.2">
      <c r="A64">
        <v>61</v>
      </c>
      <c r="B64" t="s">
        <v>60</v>
      </c>
      <c r="C64">
        <v>2011</v>
      </c>
      <c r="D64">
        <v>17</v>
      </c>
      <c r="E64">
        <v>24.3</v>
      </c>
      <c r="F64">
        <v>50.7</v>
      </c>
      <c r="G64">
        <v>3</v>
      </c>
      <c r="H64">
        <v>33</v>
      </c>
      <c r="I64">
        <v>270</v>
      </c>
      <c r="J64">
        <v>3</v>
      </c>
      <c r="K64">
        <v>1</v>
      </c>
      <c r="L64">
        <v>0</v>
      </c>
      <c r="M64">
        <v>1</v>
      </c>
      <c r="N64">
        <v>0</v>
      </c>
      <c r="O64">
        <v>0</v>
      </c>
      <c r="P64">
        <v>0</v>
      </c>
      <c r="Q64">
        <v>0</v>
      </c>
      <c r="R64">
        <v>0.33</v>
      </c>
      <c r="S64">
        <v>0</v>
      </c>
      <c r="T64">
        <v>0.33</v>
      </c>
      <c r="U64">
        <v>0.33</v>
      </c>
      <c r="V64">
        <v>0.33</v>
      </c>
    </row>
    <row r="65" spans="1:22" x14ac:dyDescent="0.2">
      <c r="A65">
        <v>62</v>
      </c>
      <c r="B65" t="s">
        <v>61</v>
      </c>
      <c r="C65">
        <v>2011</v>
      </c>
      <c r="D65">
        <v>18</v>
      </c>
      <c r="E65">
        <v>24.7</v>
      </c>
      <c r="F65">
        <v>50.7</v>
      </c>
      <c r="G65">
        <v>3</v>
      </c>
      <c r="H65">
        <v>33</v>
      </c>
      <c r="I65">
        <v>270</v>
      </c>
      <c r="J65">
        <v>3</v>
      </c>
      <c r="K65">
        <v>2</v>
      </c>
      <c r="L65">
        <v>1</v>
      </c>
      <c r="M65">
        <v>2</v>
      </c>
      <c r="N65">
        <v>0</v>
      </c>
      <c r="O65">
        <v>0</v>
      </c>
      <c r="P65">
        <v>0</v>
      </c>
      <c r="Q65">
        <v>0</v>
      </c>
      <c r="R65">
        <v>0.67</v>
      </c>
      <c r="S65">
        <v>0.33</v>
      </c>
      <c r="T65">
        <v>1</v>
      </c>
      <c r="U65">
        <v>0.67</v>
      </c>
      <c r="V65">
        <v>1</v>
      </c>
    </row>
    <row r="66" spans="1:22" x14ac:dyDescent="0.2">
      <c r="A66">
        <v>63</v>
      </c>
      <c r="B66" t="s">
        <v>65</v>
      </c>
      <c r="C66">
        <v>2011</v>
      </c>
      <c r="D66">
        <v>19</v>
      </c>
      <c r="E66">
        <v>28.4</v>
      </c>
      <c r="F66">
        <v>45.3</v>
      </c>
      <c r="G66">
        <v>6</v>
      </c>
      <c r="H66">
        <v>66</v>
      </c>
      <c r="I66">
        <v>540</v>
      </c>
      <c r="J66">
        <v>6</v>
      </c>
      <c r="K66">
        <v>10</v>
      </c>
      <c r="L66">
        <v>4</v>
      </c>
      <c r="M66">
        <v>9</v>
      </c>
      <c r="N66">
        <v>1</v>
      </c>
      <c r="O66">
        <v>1</v>
      </c>
      <c r="P66">
        <v>0</v>
      </c>
      <c r="Q66">
        <v>0</v>
      </c>
      <c r="R66">
        <v>1.67</v>
      </c>
      <c r="S66">
        <v>0.67</v>
      </c>
      <c r="T66">
        <v>2.33</v>
      </c>
      <c r="U66">
        <v>1.5</v>
      </c>
      <c r="V66">
        <v>2.17</v>
      </c>
    </row>
    <row r="67" spans="1:22" x14ac:dyDescent="0.2">
      <c r="A67">
        <v>64</v>
      </c>
      <c r="B67" t="s">
        <v>67</v>
      </c>
      <c r="C67">
        <v>2011</v>
      </c>
      <c r="D67">
        <v>18</v>
      </c>
      <c r="E67">
        <v>28.3</v>
      </c>
      <c r="F67">
        <v>50.5</v>
      </c>
      <c r="G67">
        <v>6</v>
      </c>
      <c r="H67">
        <v>66</v>
      </c>
      <c r="I67">
        <v>600</v>
      </c>
      <c r="J67">
        <v>6.7</v>
      </c>
      <c r="K67">
        <v>12</v>
      </c>
      <c r="L67">
        <v>9</v>
      </c>
      <c r="M67">
        <v>12</v>
      </c>
      <c r="N67">
        <v>0</v>
      </c>
      <c r="O67">
        <v>0</v>
      </c>
      <c r="P67">
        <v>0</v>
      </c>
      <c r="Q67">
        <v>0</v>
      </c>
      <c r="R67">
        <v>1.8</v>
      </c>
      <c r="S67">
        <v>1.35</v>
      </c>
      <c r="T67">
        <v>3.15</v>
      </c>
      <c r="U67">
        <v>1.8</v>
      </c>
      <c r="V67">
        <v>3.15</v>
      </c>
    </row>
    <row r="68" spans="1:22" x14ac:dyDescent="0.2">
      <c r="A68">
        <v>65</v>
      </c>
      <c r="B68" t="s">
        <v>44</v>
      </c>
      <c r="C68">
        <v>2007</v>
      </c>
      <c r="D68">
        <v>19</v>
      </c>
      <c r="E68">
        <v>21</v>
      </c>
      <c r="F68">
        <v>38.299999999999997</v>
      </c>
      <c r="G68">
        <v>3</v>
      </c>
      <c r="H68">
        <v>33</v>
      </c>
      <c r="I68">
        <v>270</v>
      </c>
      <c r="J68">
        <v>3</v>
      </c>
      <c r="K68">
        <v>1</v>
      </c>
      <c r="L68">
        <v>0</v>
      </c>
      <c r="M68">
        <v>1</v>
      </c>
      <c r="N68">
        <v>0</v>
      </c>
      <c r="O68">
        <v>0</v>
      </c>
      <c r="R68">
        <v>0.33</v>
      </c>
      <c r="S68">
        <v>0</v>
      </c>
      <c r="T68">
        <v>0.33</v>
      </c>
      <c r="U68">
        <v>0.33</v>
      </c>
      <c r="V68">
        <v>0.33</v>
      </c>
    </row>
    <row r="69" spans="1:22" x14ac:dyDescent="0.2">
      <c r="A69">
        <v>66</v>
      </c>
      <c r="B69" t="s">
        <v>45</v>
      </c>
      <c r="C69">
        <v>2007</v>
      </c>
      <c r="D69">
        <v>18</v>
      </c>
      <c r="E69">
        <v>24.7</v>
      </c>
      <c r="F69">
        <v>48.3</v>
      </c>
      <c r="G69">
        <v>4</v>
      </c>
      <c r="H69">
        <v>44</v>
      </c>
      <c r="I69">
        <v>360</v>
      </c>
      <c r="J69">
        <v>4</v>
      </c>
      <c r="K69">
        <v>9</v>
      </c>
      <c r="L69">
        <v>6</v>
      </c>
      <c r="M69">
        <v>9</v>
      </c>
      <c r="N69">
        <v>0</v>
      </c>
      <c r="O69">
        <v>0</v>
      </c>
      <c r="R69">
        <v>2.25</v>
      </c>
      <c r="S69">
        <v>1.5</v>
      </c>
      <c r="T69">
        <v>3.75</v>
      </c>
      <c r="U69">
        <v>2.25</v>
      </c>
      <c r="V69">
        <v>3.75</v>
      </c>
    </row>
    <row r="70" spans="1:22" x14ac:dyDescent="0.2">
      <c r="A70">
        <v>67</v>
      </c>
      <c r="B70" t="s">
        <v>46</v>
      </c>
      <c r="C70">
        <v>2007</v>
      </c>
      <c r="D70">
        <v>16</v>
      </c>
      <c r="E70">
        <v>25.7</v>
      </c>
      <c r="F70">
        <v>61.3</v>
      </c>
      <c r="G70">
        <v>6</v>
      </c>
      <c r="H70">
        <v>66</v>
      </c>
      <c r="I70">
        <v>540</v>
      </c>
      <c r="J70">
        <v>6</v>
      </c>
      <c r="K70">
        <v>16</v>
      </c>
      <c r="L70">
        <v>7</v>
      </c>
      <c r="M70">
        <v>16</v>
      </c>
      <c r="N70">
        <v>0</v>
      </c>
      <c r="O70">
        <v>0</v>
      </c>
      <c r="R70">
        <v>2.67</v>
      </c>
      <c r="S70">
        <v>1.17</v>
      </c>
      <c r="T70">
        <v>3.83</v>
      </c>
      <c r="U70">
        <v>2.67</v>
      </c>
      <c r="V70">
        <v>3.83</v>
      </c>
    </row>
    <row r="71" spans="1:22" x14ac:dyDescent="0.2">
      <c r="A71">
        <v>68</v>
      </c>
      <c r="B71" t="s">
        <v>48</v>
      </c>
      <c r="C71">
        <v>2007</v>
      </c>
      <c r="D71">
        <v>18</v>
      </c>
      <c r="E71">
        <v>23.8</v>
      </c>
      <c r="F71">
        <v>39.299999999999997</v>
      </c>
      <c r="G71">
        <v>3</v>
      </c>
      <c r="H71">
        <v>33</v>
      </c>
      <c r="I71">
        <v>270</v>
      </c>
      <c r="J71">
        <v>3</v>
      </c>
      <c r="K71">
        <v>7</v>
      </c>
      <c r="L71">
        <v>3</v>
      </c>
      <c r="M71">
        <v>7</v>
      </c>
      <c r="N71">
        <v>0</v>
      </c>
      <c r="O71">
        <v>0</v>
      </c>
      <c r="R71">
        <v>2.33</v>
      </c>
      <c r="S71">
        <v>1</v>
      </c>
      <c r="T71">
        <v>3.33</v>
      </c>
      <c r="U71">
        <v>2.33</v>
      </c>
      <c r="V71">
        <v>3.33</v>
      </c>
    </row>
    <row r="72" spans="1:22" x14ac:dyDescent="0.2">
      <c r="A72">
        <v>69</v>
      </c>
      <c r="B72" t="s">
        <v>50</v>
      </c>
      <c r="C72">
        <v>2007</v>
      </c>
      <c r="D72">
        <v>18</v>
      </c>
      <c r="E72">
        <v>24.9</v>
      </c>
      <c r="F72">
        <v>47.3</v>
      </c>
      <c r="G72">
        <v>4</v>
      </c>
      <c r="H72">
        <v>44</v>
      </c>
      <c r="I72">
        <v>360</v>
      </c>
      <c r="J72">
        <v>4</v>
      </c>
      <c r="K72">
        <v>5</v>
      </c>
      <c r="L72">
        <v>0</v>
      </c>
      <c r="M72">
        <v>5</v>
      </c>
      <c r="N72">
        <v>0</v>
      </c>
      <c r="O72">
        <v>0</v>
      </c>
      <c r="R72">
        <v>1.25</v>
      </c>
      <c r="S72">
        <v>0</v>
      </c>
      <c r="T72">
        <v>1.25</v>
      </c>
      <c r="U72">
        <v>1.25</v>
      </c>
      <c r="V72">
        <v>1.25</v>
      </c>
    </row>
    <row r="73" spans="1:22" x14ac:dyDescent="0.2">
      <c r="A73">
        <v>70</v>
      </c>
      <c r="B73" t="s">
        <v>76</v>
      </c>
      <c r="C73">
        <v>2007</v>
      </c>
      <c r="D73">
        <v>16</v>
      </c>
      <c r="E73">
        <v>26.9</v>
      </c>
      <c r="F73">
        <v>50.7</v>
      </c>
      <c r="G73">
        <v>3</v>
      </c>
      <c r="H73">
        <v>33</v>
      </c>
      <c r="I73">
        <v>270</v>
      </c>
      <c r="J73">
        <v>3</v>
      </c>
      <c r="K73">
        <v>4</v>
      </c>
      <c r="L73">
        <v>2</v>
      </c>
      <c r="M73">
        <v>4</v>
      </c>
      <c r="N73">
        <v>0</v>
      </c>
      <c r="O73">
        <v>0</v>
      </c>
      <c r="R73">
        <v>1.33</v>
      </c>
      <c r="S73">
        <v>0.67</v>
      </c>
      <c r="T73">
        <v>2</v>
      </c>
      <c r="U73">
        <v>1.33</v>
      </c>
      <c r="V73">
        <v>2</v>
      </c>
    </row>
    <row r="74" spans="1:22" x14ac:dyDescent="0.2">
      <c r="A74">
        <v>71</v>
      </c>
      <c r="B74" t="s">
        <v>51</v>
      </c>
      <c r="C74">
        <v>2007</v>
      </c>
      <c r="D74">
        <v>18</v>
      </c>
      <c r="E74">
        <v>24.8</v>
      </c>
      <c r="F74">
        <v>52.5</v>
      </c>
      <c r="G74">
        <v>4</v>
      </c>
      <c r="H74">
        <v>44</v>
      </c>
      <c r="I74">
        <v>360</v>
      </c>
      <c r="J74">
        <v>4</v>
      </c>
      <c r="K74">
        <v>7</v>
      </c>
      <c r="L74">
        <v>5</v>
      </c>
      <c r="M74">
        <v>5</v>
      </c>
      <c r="N74">
        <v>2</v>
      </c>
      <c r="O74">
        <v>2</v>
      </c>
      <c r="R74">
        <v>1.75</v>
      </c>
      <c r="S74">
        <v>1.25</v>
      </c>
      <c r="T74">
        <v>3</v>
      </c>
      <c r="U74">
        <v>1.25</v>
      </c>
      <c r="V74">
        <v>2.5</v>
      </c>
    </row>
    <row r="75" spans="1:22" x14ac:dyDescent="0.2">
      <c r="A75">
        <v>72</v>
      </c>
      <c r="B75" t="s">
        <v>53</v>
      </c>
      <c r="C75">
        <v>2007</v>
      </c>
      <c r="D75">
        <v>17</v>
      </c>
      <c r="E75">
        <v>26.5</v>
      </c>
      <c r="F75">
        <v>49.5</v>
      </c>
      <c r="G75">
        <v>6</v>
      </c>
      <c r="H75">
        <v>66</v>
      </c>
      <c r="I75">
        <v>540</v>
      </c>
      <c r="J75">
        <v>6</v>
      </c>
      <c r="K75">
        <v>20</v>
      </c>
      <c r="L75">
        <v>11</v>
      </c>
      <c r="M75">
        <v>19</v>
      </c>
      <c r="N75">
        <v>1</v>
      </c>
      <c r="O75">
        <v>1</v>
      </c>
      <c r="R75">
        <v>3.33</v>
      </c>
      <c r="S75">
        <v>1.83</v>
      </c>
      <c r="T75">
        <v>5.17</v>
      </c>
      <c r="U75">
        <v>3.17</v>
      </c>
      <c r="V75">
        <v>5</v>
      </c>
    </row>
    <row r="76" spans="1:22" x14ac:dyDescent="0.2">
      <c r="A76">
        <v>73</v>
      </c>
      <c r="B76" t="s">
        <v>77</v>
      </c>
      <c r="C76">
        <v>2007</v>
      </c>
      <c r="D76">
        <v>19</v>
      </c>
      <c r="E76">
        <v>24.5</v>
      </c>
      <c r="F76">
        <v>52.3</v>
      </c>
      <c r="G76">
        <v>3</v>
      </c>
      <c r="H76">
        <v>33</v>
      </c>
      <c r="I76">
        <v>270</v>
      </c>
      <c r="J76">
        <v>3</v>
      </c>
      <c r="K76">
        <v>3</v>
      </c>
      <c r="L76">
        <v>0</v>
      </c>
      <c r="M76">
        <v>2</v>
      </c>
      <c r="N76">
        <v>1</v>
      </c>
      <c r="O76">
        <v>1</v>
      </c>
      <c r="R76">
        <v>1</v>
      </c>
      <c r="S76">
        <v>0</v>
      </c>
      <c r="T76">
        <v>1</v>
      </c>
      <c r="U76">
        <v>0.67</v>
      </c>
      <c r="V76">
        <v>0.67</v>
      </c>
    </row>
    <row r="77" spans="1:22" x14ac:dyDescent="0.2">
      <c r="A77">
        <v>74</v>
      </c>
      <c r="B77" t="s">
        <v>56</v>
      </c>
      <c r="C77">
        <v>2007</v>
      </c>
      <c r="D77">
        <v>16</v>
      </c>
      <c r="E77">
        <v>24.7</v>
      </c>
      <c r="F77">
        <v>56</v>
      </c>
      <c r="G77">
        <v>3</v>
      </c>
      <c r="H77">
        <v>33</v>
      </c>
      <c r="I77">
        <v>270</v>
      </c>
      <c r="J77">
        <v>3</v>
      </c>
      <c r="K77">
        <v>3</v>
      </c>
      <c r="L77">
        <v>0</v>
      </c>
      <c r="M77">
        <v>3</v>
      </c>
      <c r="N77">
        <v>0</v>
      </c>
      <c r="O77">
        <v>0</v>
      </c>
      <c r="R77">
        <v>1</v>
      </c>
      <c r="S77">
        <v>0</v>
      </c>
      <c r="T77">
        <v>1</v>
      </c>
      <c r="U77">
        <v>1</v>
      </c>
      <c r="V77">
        <v>1</v>
      </c>
    </row>
    <row r="78" spans="1:22" x14ac:dyDescent="0.2">
      <c r="A78">
        <v>75</v>
      </c>
      <c r="B78" t="s">
        <v>75</v>
      </c>
      <c r="C78">
        <v>2007</v>
      </c>
      <c r="D78">
        <v>15</v>
      </c>
      <c r="E78">
        <v>22.8</v>
      </c>
      <c r="F78">
        <v>52.8</v>
      </c>
      <c r="G78">
        <v>4</v>
      </c>
      <c r="H78">
        <v>44</v>
      </c>
      <c r="I78">
        <v>360</v>
      </c>
      <c r="J78">
        <v>4</v>
      </c>
      <c r="K78">
        <v>5</v>
      </c>
      <c r="L78">
        <v>1</v>
      </c>
      <c r="M78">
        <v>5</v>
      </c>
      <c r="N78">
        <v>0</v>
      </c>
      <c r="O78">
        <v>0</v>
      </c>
      <c r="R78">
        <v>1.25</v>
      </c>
      <c r="S78">
        <v>0.25</v>
      </c>
      <c r="T78">
        <v>1.5</v>
      </c>
      <c r="U78">
        <v>1.25</v>
      </c>
      <c r="V78">
        <v>1.5</v>
      </c>
    </row>
    <row r="79" spans="1:22" x14ac:dyDescent="0.2">
      <c r="A79">
        <v>76</v>
      </c>
      <c r="B79" t="s">
        <v>59</v>
      </c>
      <c r="C79">
        <v>2007</v>
      </c>
      <c r="D79">
        <v>18</v>
      </c>
      <c r="E79">
        <v>24.5</v>
      </c>
      <c r="F79">
        <v>39.700000000000003</v>
      </c>
      <c r="G79">
        <v>3</v>
      </c>
      <c r="H79">
        <v>33</v>
      </c>
      <c r="I79">
        <v>270</v>
      </c>
      <c r="J79">
        <v>3</v>
      </c>
      <c r="K79">
        <v>0</v>
      </c>
      <c r="L79">
        <v>0</v>
      </c>
      <c r="M79">
        <v>0</v>
      </c>
      <c r="N79">
        <v>0</v>
      </c>
      <c r="O79">
        <v>0</v>
      </c>
      <c r="R79">
        <v>0</v>
      </c>
      <c r="S79">
        <v>0</v>
      </c>
      <c r="T79">
        <v>0</v>
      </c>
      <c r="U79">
        <v>0</v>
      </c>
      <c r="V79">
        <v>0</v>
      </c>
    </row>
    <row r="80" spans="1:22" x14ac:dyDescent="0.2">
      <c r="A80">
        <v>77</v>
      </c>
      <c r="B80" t="s">
        <v>60</v>
      </c>
      <c r="C80">
        <v>2007</v>
      </c>
      <c r="D80">
        <v>15</v>
      </c>
      <c r="E80">
        <v>23.6</v>
      </c>
      <c r="F80">
        <v>51</v>
      </c>
      <c r="G80">
        <v>3</v>
      </c>
      <c r="H80">
        <v>33</v>
      </c>
      <c r="I80">
        <v>270</v>
      </c>
      <c r="J80">
        <v>3</v>
      </c>
      <c r="K80">
        <v>1</v>
      </c>
      <c r="L80">
        <v>0</v>
      </c>
      <c r="M80">
        <v>1</v>
      </c>
      <c r="N80">
        <v>0</v>
      </c>
      <c r="O80">
        <v>0</v>
      </c>
      <c r="R80">
        <v>0.33</v>
      </c>
      <c r="S80">
        <v>0</v>
      </c>
      <c r="T80">
        <v>0.33</v>
      </c>
      <c r="U80">
        <v>0.33</v>
      </c>
      <c r="V80">
        <v>0.33</v>
      </c>
    </row>
    <row r="81" spans="1:22" x14ac:dyDescent="0.2">
      <c r="A81">
        <v>78</v>
      </c>
      <c r="B81" t="s">
        <v>61</v>
      </c>
      <c r="C81">
        <v>2007</v>
      </c>
      <c r="D81">
        <v>19</v>
      </c>
      <c r="E81">
        <v>26.3</v>
      </c>
      <c r="F81">
        <v>53.7</v>
      </c>
      <c r="G81">
        <v>6</v>
      </c>
      <c r="H81">
        <v>66</v>
      </c>
      <c r="I81">
        <v>540</v>
      </c>
      <c r="J81">
        <v>6</v>
      </c>
      <c r="K81">
        <v>12</v>
      </c>
      <c r="L81">
        <v>10</v>
      </c>
      <c r="M81">
        <v>11</v>
      </c>
      <c r="N81">
        <v>1</v>
      </c>
      <c r="O81">
        <v>1</v>
      </c>
      <c r="R81">
        <v>2</v>
      </c>
      <c r="S81">
        <v>1.67</v>
      </c>
      <c r="T81">
        <v>3.67</v>
      </c>
      <c r="U81">
        <v>1.83</v>
      </c>
      <c r="V81">
        <v>3.5</v>
      </c>
    </row>
    <row r="82" spans="1:22" x14ac:dyDescent="0.2">
      <c r="A82">
        <v>79</v>
      </c>
      <c r="B82" t="s">
        <v>65</v>
      </c>
      <c r="C82">
        <v>2007</v>
      </c>
      <c r="D82">
        <v>16</v>
      </c>
      <c r="E82">
        <v>26.1</v>
      </c>
      <c r="F82">
        <v>49.7</v>
      </c>
      <c r="G82">
        <v>3</v>
      </c>
      <c r="H82">
        <v>33</v>
      </c>
      <c r="I82">
        <v>270</v>
      </c>
      <c r="J82">
        <v>3</v>
      </c>
      <c r="K82">
        <v>3</v>
      </c>
      <c r="L82">
        <v>3</v>
      </c>
      <c r="M82">
        <v>3</v>
      </c>
      <c r="N82">
        <v>0</v>
      </c>
      <c r="O82">
        <v>0</v>
      </c>
      <c r="R82">
        <v>1</v>
      </c>
      <c r="S82">
        <v>1</v>
      </c>
      <c r="T82">
        <v>2</v>
      </c>
      <c r="U82">
        <v>1</v>
      </c>
      <c r="V82">
        <v>2</v>
      </c>
    </row>
    <row r="83" spans="1:22" x14ac:dyDescent="0.2">
      <c r="A83">
        <v>80</v>
      </c>
      <c r="B83" t="s">
        <v>67</v>
      </c>
      <c r="C83">
        <v>2007</v>
      </c>
      <c r="D83">
        <v>18</v>
      </c>
      <c r="E83">
        <v>26.7</v>
      </c>
      <c r="F83">
        <v>46.5</v>
      </c>
      <c r="G83">
        <v>6</v>
      </c>
      <c r="H83">
        <v>66</v>
      </c>
      <c r="I83">
        <v>540</v>
      </c>
      <c r="J83">
        <v>6</v>
      </c>
      <c r="K83">
        <v>12</v>
      </c>
      <c r="L83">
        <v>3</v>
      </c>
      <c r="M83">
        <v>11</v>
      </c>
      <c r="N83">
        <v>1</v>
      </c>
      <c r="O83">
        <v>1</v>
      </c>
      <c r="R83">
        <v>2</v>
      </c>
      <c r="S83">
        <v>0.5</v>
      </c>
      <c r="T83">
        <v>2.5</v>
      </c>
      <c r="U83">
        <v>1.83</v>
      </c>
      <c r="V83">
        <v>2.33</v>
      </c>
    </row>
    <row r="84" spans="1:22" x14ac:dyDescent="0.2">
      <c r="A84">
        <v>81</v>
      </c>
      <c r="B84" t="s">
        <v>44</v>
      </c>
      <c r="C84">
        <v>2003</v>
      </c>
      <c r="D84">
        <v>16</v>
      </c>
      <c r="E84">
        <v>23</v>
      </c>
      <c r="F84">
        <v>49</v>
      </c>
      <c r="G84">
        <v>3</v>
      </c>
      <c r="H84">
        <v>33</v>
      </c>
      <c r="I84">
        <v>270</v>
      </c>
      <c r="J84">
        <v>3</v>
      </c>
      <c r="K84">
        <v>1</v>
      </c>
      <c r="L84">
        <v>0</v>
      </c>
      <c r="M84">
        <v>1</v>
      </c>
      <c r="N84">
        <v>0</v>
      </c>
      <c r="O84">
        <v>0</v>
      </c>
      <c r="R84">
        <v>0.33</v>
      </c>
      <c r="S84">
        <v>0</v>
      </c>
      <c r="T84">
        <v>0.33</v>
      </c>
      <c r="U84">
        <v>0.33</v>
      </c>
      <c r="V84">
        <v>0.33</v>
      </c>
    </row>
    <row r="85" spans="1:22" x14ac:dyDescent="0.2">
      <c r="A85">
        <v>82</v>
      </c>
      <c r="B85" t="s">
        <v>45</v>
      </c>
      <c r="C85">
        <v>2003</v>
      </c>
      <c r="D85">
        <v>16</v>
      </c>
      <c r="E85">
        <v>23.4</v>
      </c>
      <c r="F85">
        <v>49</v>
      </c>
      <c r="G85">
        <v>3</v>
      </c>
      <c r="H85">
        <v>33</v>
      </c>
      <c r="I85">
        <v>270</v>
      </c>
      <c r="J85">
        <v>3</v>
      </c>
      <c r="K85">
        <v>3</v>
      </c>
      <c r="L85">
        <v>0</v>
      </c>
      <c r="M85">
        <v>3</v>
      </c>
      <c r="N85">
        <v>0</v>
      </c>
      <c r="O85">
        <v>0</v>
      </c>
      <c r="R85">
        <v>1</v>
      </c>
      <c r="S85">
        <v>0</v>
      </c>
      <c r="T85">
        <v>1</v>
      </c>
      <c r="U85">
        <v>1</v>
      </c>
      <c r="V85">
        <v>1</v>
      </c>
    </row>
    <row r="86" spans="1:22" x14ac:dyDescent="0.2">
      <c r="A86">
        <v>83</v>
      </c>
      <c r="B86" t="s">
        <v>46</v>
      </c>
      <c r="C86">
        <v>2003</v>
      </c>
      <c r="D86">
        <v>16</v>
      </c>
      <c r="E86">
        <v>22.4</v>
      </c>
      <c r="F86">
        <v>55</v>
      </c>
      <c r="G86">
        <v>4</v>
      </c>
      <c r="H86">
        <v>44</v>
      </c>
      <c r="I86">
        <v>360</v>
      </c>
      <c r="J86">
        <v>4</v>
      </c>
      <c r="K86">
        <v>9</v>
      </c>
      <c r="L86">
        <v>0</v>
      </c>
      <c r="M86">
        <v>9</v>
      </c>
      <c r="N86">
        <v>0</v>
      </c>
      <c r="O86">
        <v>0</v>
      </c>
      <c r="R86">
        <v>2.25</v>
      </c>
      <c r="S86">
        <v>0</v>
      </c>
      <c r="T86">
        <v>2.25</v>
      </c>
      <c r="U86">
        <v>2.25</v>
      </c>
      <c r="V86">
        <v>2.25</v>
      </c>
    </row>
    <row r="87" spans="1:22" x14ac:dyDescent="0.2">
      <c r="A87">
        <v>84</v>
      </c>
      <c r="B87" t="s">
        <v>48</v>
      </c>
      <c r="C87">
        <v>2003</v>
      </c>
      <c r="D87">
        <v>17</v>
      </c>
      <c r="E87">
        <v>22.7</v>
      </c>
      <c r="F87">
        <v>41.7</v>
      </c>
      <c r="G87">
        <v>6</v>
      </c>
      <c r="H87">
        <v>66</v>
      </c>
      <c r="I87">
        <v>540</v>
      </c>
      <c r="J87">
        <v>6</v>
      </c>
      <c r="K87">
        <v>10</v>
      </c>
      <c r="L87">
        <v>0</v>
      </c>
      <c r="M87">
        <v>10</v>
      </c>
      <c r="N87">
        <v>0</v>
      </c>
      <c r="O87">
        <v>0</v>
      </c>
      <c r="R87">
        <v>1.67</v>
      </c>
      <c r="S87">
        <v>0</v>
      </c>
      <c r="T87">
        <v>1.67</v>
      </c>
      <c r="U87">
        <v>1.67</v>
      </c>
      <c r="V87">
        <v>1.67</v>
      </c>
    </row>
    <row r="88" spans="1:22" x14ac:dyDescent="0.2">
      <c r="A88">
        <v>85</v>
      </c>
      <c r="B88" t="s">
        <v>50</v>
      </c>
      <c r="C88">
        <v>2003</v>
      </c>
      <c r="D88">
        <v>18</v>
      </c>
      <c r="E88">
        <v>27</v>
      </c>
      <c r="F88">
        <v>61</v>
      </c>
      <c r="G88">
        <v>4</v>
      </c>
      <c r="H88">
        <v>44</v>
      </c>
      <c r="I88">
        <v>360</v>
      </c>
      <c r="J88">
        <v>4</v>
      </c>
      <c r="K88">
        <v>3</v>
      </c>
      <c r="L88">
        <v>0</v>
      </c>
      <c r="M88">
        <v>3</v>
      </c>
      <c r="N88">
        <v>0</v>
      </c>
      <c r="O88">
        <v>0</v>
      </c>
      <c r="R88">
        <v>0.75</v>
      </c>
      <c r="S88">
        <v>0</v>
      </c>
      <c r="T88">
        <v>0.75</v>
      </c>
      <c r="U88">
        <v>0.75</v>
      </c>
      <c r="V88">
        <v>0.75</v>
      </c>
    </row>
    <row r="89" spans="1:22" x14ac:dyDescent="0.2">
      <c r="A89">
        <v>86</v>
      </c>
      <c r="B89" t="s">
        <v>52</v>
      </c>
      <c r="C89">
        <v>2003</v>
      </c>
      <c r="D89">
        <v>17</v>
      </c>
      <c r="E89">
        <v>25.2</v>
      </c>
      <c r="F89">
        <v>46.3</v>
      </c>
      <c r="G89">
        <v>3</v>
      </c>
      <c r="H89">
        <v>33</v>
      </c>
      <c r="I89">
        <v>270</v>
      </c>
      <c r="J89">
        <v>3</v>
      </c>
      <c r="K89">
        <v>2</v>
      </c>
      <c r="L89">
        <v>0</v>
      </c>
      <c r="M89">
        <v>2</v>
      </c>
      <c r="N89">
        <v>0</v>
      </c>
      <c r="O89">
        <v>0</v>
      </c>
      <c r="R89">
        <v>0.67</v>
      </c>
      <c r="S89">
        <v>0</v>
      </c>
      <c r="T89">
        <v>0.67</v>
      </c>
      <c r="U89">
        <v>0.67</v>
      </c>
      <c r="V89">
        <v>0.67</v>
      </c>
    </row>
    <row r="90" spans="1:22" x14ac:dyDescent="0.2">
      <c r="A90">
        <v>87</v>
      </c>
      <c r="B90" t="s">
        <v>53</v>
      </c>
      <c r="C90">
        <v>2003</v>
      </c>
      <c r="D90">
        <v>19</v>
      </c>
      <c r="E90">
        <v>27</v>
      </c>
      <c r="F90">
        <v>51.8</v>
      </c>
      <c r="G90">
        <v>6</v>
      </c>
      <c r="H90">
        <v>66</v>
      </c>
      <c r="I90">
        <v>570</v>
      </c>
      <c r="J90">
        <v>6.3</v>
      </c>
      <c r="K90">
        <v>25</v>
      </c>
      <c r="L90">
        <v>0</v>
      </c>
      <c r="M90">
        <v>25</v>
      </c>
      <c r="N90">
        <v>0</v>
      </c>
      <c r="O90">
        <v>0</v>
      </c>
      <c r="R90">
        <v>3.95</v>
      </c>
      <c r="S90">
        <v>0</v>
      </c>
      <c r="T90">
        <v>3.95</v>
      </c>
      <c r="U90">
        <v>3.95</v>
      </c>
      <c r="V90">
        <v>3.95</v>
      </c>
    </row>
    <row r="91" spans="1:22" x14ac:dyDescent="0.2">
      <c r="A91">
        <v>88</v>
      </c>
      <c r="B91" t="s">
        <v>77</v>
      </c>
      <c r="C91">
        <v>2003</v>
      </c>
      <c r="D91">
        <v>15</v>
      </c>
      <c r="E91">
        <v>25.4</v>
      </c>
      <c r="F91">
        <v>47.7</v>
      </c>
      <c r="G91">
        <v>3</v>
      </c>
      <c r="H91">
        <v>33</v>
      </c>
      <c r="I91">
        <v>270</v>
      </c>
      <c r="J91">
        <v>3</v>
      </c>
      <c r="K91">
        <v>2</v>
      </c>
      <c r="L91">
        <v>0</v>
      </c>
      <c r="M91">
        <v>2</v>
      </c>
      <c r="N91">
        <v>0</v>
      </c>
      <c r="O91">
        <v>0</v>
      </c>
      <c r="R91">
        <v>0.67</v>
      </c>
      <c r="S91">
        <v>0</v>
      </c>
      <c r="T91">
        <v>0.67</v>
      </c>
      <c r="U91">
        <v>0.67</v>
      </c>
      <c r="V91">
        <v>0.67</v>
      </c>
    </row>
    <row r="92" spans="1:22" x14ac:dyDescent="0.2">
      <c r="A92">
        <v>89</v>
      </c>
      <c r="B92" t="s">
        <v>56</v>
      </c>
      <c r="C92">
        <v>2003</v>
      </c>
      <c r="D92">
        <v>16</v>
      </c>
      <c r="E92">
        <v>24.2</v>
      </c>
      <c r="F92">
        <v>54.7</v>
      </c>
      <c r="G92">
        <v>3</v>
      </c>
      <c r="H92">
        <v>33</v>
      </c>
      <c r="I92">
        <v>270</v>
      </c>
      <c r="J92">
        <v>3</v>
      </c>
      <c r="K92">
        <v>7</v>
      </c>
      <c r="L92">
        <v>0</v>
      </c>
      <c r="M92">
        <v>7</v>
      </c>
      <c r="N92">
        <v>0</v>
      </c>
      <c r="O92">
        <v>0</v>
      </c>
      <c r="R92">
        <v>2.33</v>
      </c>
      <c r="S92">
        <v>0</v>
      </c>
      <c r="T92">
        <v>2.33</v>
      </c>
      <c r="U92">
        <v>2.33</v>
      </c>
      <c r="V92">
        <v>2.33</v>
      </c>
    </row>
    <row r="93" spans="1:22" x14ac:dyDescent="0.2">
      <c r="A93">
        <v>90</v>
      </c>
      <c r="B93" t="s">
        <v>75</v>
      </c>
      <c r="C93">
        <v>2003</v>
      </c>
      <c r="D93">
        <v>15</v>
      </c>
      <c r="E93">
        <v>24.6</v>
      </c>
      <c r="F93">
        <v>52.3</v>
      </c>
      <c r="G93">
        <v>3</v>
      </c>
      <c r="H93">
        <v>33</v>
      </c>
      <c r="I93">
        <v>270</v>
      </c>
      <c r="J93">
        <v>3</v>
      </c>
      <c r="K93">
        <v>3</v>
      </c>
      <c r="L93">
        <v>0</v>
      </c>
      <c r="M93">
        <v>3</v>
      </c>
      <c r="N93">
        <v>0</v>
      </c>
      <c r="O93">
        <v>0</v>
      </c>
      <c r="R93">
        <v>1</v>
      </c>
      <c r="S93">
        <v>0</v>
      </c>
      <c r="T93">
        <v>1</v>
      </c>
      <c r="U93">
        <v>1</v>
      </c>
      <c r="V93">
        <v>1</v>
      </c>
    </row>
    <row r="94" spans="1:22" x14ac:dyDescent="0.2">
      <c r="A94">
        <v>91</v>
      </c>
      <c r="B94" t="s">
        <v>57</v>
      </c>
      <c r="C94">
        <v>2003</v>
      </c>
      <c r="D94">
        <v>18</v>
      </c>
      <c r="E94">
        <v>22.2</v>
      </c>
      <c r="F94">
        <v>48.7</v>
      </c>
      <c r="G94">
        <v>3</v>
      </c>
      <c r="H94">
        <v>33</v>
      </c>
      <c r="I94">
        <v>270</v>
      </c>
      <c r="J94">
        <v>3</v>
      </c>
      <c r="K94">
        <v>1</v>
      </c>
      <c r="L94">
        <v>0</v>
      </c>
      <c r="M94">
        <v>1</v>
      </c>
      <c r="N94">
        <v>0</v>
      </c>
      <c r="O94">
        <v>0</v>
      </c>
      <c r="R94">
        <v>0.33</v>
      </c>
      <c r="S94">
        <v>0</v>
      </c>
      <c r="T94">
        <v>0.33</v>
      </c>
      <c r="U94">
        <v>0.33</v>
      </c>
      <c r="V94">
        <v>0.33</v>
      </c>
    </row>
    <row r="95" spans="1:22" x14ac:dyDescent="0.2">
      <c r="A95">
        <v>92</v>
      </c>
      <c r="B95" t="s">
        <v>60</v>
      </c>
      <c r="C95">
        <v>2003</v>
      </c>
      <c r="D95">
        <v>16</v>
      </c>
      <c r="E95">
        <v>24.7</v>
      </c>
      <c r="F95">
        <v>51.3</v>
      </c>
      <c r="G95">
        <v>3</v>
      </c>
      <c r="H95">
        <v>33</v>
      </c>
      <c r="I95">
        <v>270</v>
      </c>
      <c r="J95">
        <v>3</v>
      </c>
      <c r="K95">
        <v>0</v>
      </c>
      <c r="L95">
        <v>0</v>
      </c>
      <c r="M95">
        <v>0</v>
      </c>
      <c r="N95">
        <v>0</v>
      </c>
      <c r="O95">
        <v>0</v>
      </c>
      <c r="R95">
        <v>0</v>
      </c>
      <c r="S95">
        <v>0</v>
      </c>
      <c r="T95">
        <v>0</v>
      </c>
      <c r="U95">
        <v>0</v>
      </c>
      <c r="V95">
        <v>0</v>
      </c>
    </row>
    <row r="96" spans="1:22" x14ac:dyDescent="0.2">
      <c r="A96">
        <v>93</v>
      </c>
      <c r="B96" t="s">
        <v>61</v>
      </c>
      <c r="C96">
        <v>2003</v>
      </c>
      <c r="D96">
        <v>16</v>
      </c>
      <c r="E96">
        <v>25.3</v>
      </c>
      <c r="F96">
        <v>48</v>
      </c>
      <c r="G96">
        <v>4</v>
      </c>
      <c r="H96">
        <v>44</v>
      </c>
      <c r="I96">
        <v>360</v>
      </c>
      <c r="J96">
        <v>4</v>
      </c>
      <c r="K96">
        <v>10</v>
      </c>
      <c r="L96">
        <v>1</v>
      </c>
      <c r="M96">
        <v>10</v>
      </c>
      <c r="N96">
        <v>0</v>
      </c>
      <c r="O96">
        <v>0</v>
      </c>
      <c r="R96">
        <v>2.5</v>
      </c>
      <c r="S96">
        <v>0.25</v>
      </c>
      <c r="T96">
        <v>2.75</v>
      </c>
      <c r="U96">
        <v>2.5</v>
      </c>
      <c r="V96">
        <v>2.75</v>
      </c>
    </row>
    <row r="97" spans="1:22" x14ac:dyDescent="0.2">
      <c r="A97">
        <v>94</v>
      </c>
      <c r="B97" t="s">
        <v>78</v>
      </c>
      <c r="C97">
        <v>2003</v>
      </c>
      <c r="D97">
        <v>17</v>
      </c>
      <c r="E97">
        <v>28.1</v>
      </c>
      <c r="F97">
        <v>45</v>
      </c>
      <c r="G97">
        <v>4</v>
      </c>
      <c r="H97">
        <v>44</v>
      </c>
      <c r="I97">
        <v>360</v>
      </c>
      <c r="J97">
        <v>4</v>
      </c>
      <c r="K97">
        <v>5</v>
      </c>
      <c r="L97">
        <v>1</v>
      </c>
      <c r="M97">
        <v>5</v>
      </c>
      <c r="N97">
        <v>0</v>
      </c>
      <c r="O97">
        <v>0</v>
      </c>
      <c r="R97">
        <v>1.25</v>
      </c>
      <c r="S97">
        <v>0.25</v>
      </c>
      <c r="T97">
        <v>1.5</v>
      </c>
      <c r="U97">
        <v>1.25</v>
      </c>
      <c r="V97">
        <v>1.5</v>
      </c>
    </row>
    <row r="98" spans="1:22" x14ac:dyDescent="0.2">
      <c r="A98">
        <v>95</v>
      </c>
      <c r="B98" t="s">
        <v>65</v>
      </c>
      <c r="C98">
        <v>2003</v>
      </c>
      <c r="D98">
        <v>18</v>
      </c>
      <c r="E98">
        <v>25.9</v>
      </c>
      <c r="F98">
        <v>48.2</v>
      </c>
      <c r="G98">
        <v>6</v>
      </c>
      <c r="H98">
        <v>66</v>
      </c>
      <c r="I98">
        <v>570</v>
      </c>
      <c r="J98">
        <v>6.3</v>
      </c>
      <c r="K98">
        <v>10</v>
      </c>
      <c r="L98">
        <v>0</v>
      </c>
      <c r="M98">
        <v>10</v>
      </c>
      <c r="N98">
        <v>0</v>
      </c>
      <c r="O98">
        <v>0</v>
      </c>
      <c r="R98">
        <v>1.58</v>
      </c>
      <c r="S98">
        <v>0</v>
      </c>
      <c r="T98">
        <v>1.58</v>
      </c>
      <c r="U98">
        <v>1.58</v>
      </c>
      <c r="V98">
        <v>1.58</v>
      </c>
    </row>
    <row r="99" spans="1:22" x14ac:dyDescent="0.2">
      <c r="A99">
        <v>96</v>
      </c>
      <c r="B99" t="s">
        <v>67</v>
      </c>
      <c r="C99">
        <v>2003</v>
      </c>
      <c r="D99">
        <v>18</v>
      </c>
      <c r="E99">
        <v>28.1</v>
      </c>
      <c r="F99">
        <v>52.8</v>
      </c>
      <c r="G99">
        <v>6</v>
      </c>
      <c r="H99">
        <v>66</v>
      </c>
      <c r="I99">
        <v>540</v>
      </c>
      <c r="J99">
        <v>6</v>
      </c>
      <c r="K99">
        <v>15</v>
      </c>
      <c r="L99">
        <v>4</v>
      </c>
      <c r="M99">
        <v>15</v>
      </c>
      <c r="N99">
        <v>0</v>
      </c>
      <c r="O99">
        <v>0</v>
      </c>
      <c r="R99">
        <v>2.5</v>
      </c>
      <c r="S99">
        <v>0.67</v>
      </c>
      <c r="T99">
        <v>3.17</v>
      </c>
      <c r="U99">
        <v>2.5</v>
      </c>
      <c r="V99">
        <v>3.17</v>
      </c>
    </row>
    <row r="100" spans="1:22" x14ac:dyDescent="0.2">
      <c r="A100">
        <v>97</v>
      </c>
      <c r="B100" t="s">
        <v>45</v>
      </c>
      <c r="C100">
        <v>1999</v>
      </c>
      <c r="D100">
        <v>17</v>
      </c>
      <c r="E100">
        <v>25</v>
      </c>
      <c r="G100">
        <v>3</v>
      </c>
      <c r="H100">
        <v>33</v>
      </c>
      <c r="I100">
        <v>270</v>
      </c>
      <c r="J100">
        <v>3</v>
      </c>
      <c r="K100">
        <v>3</v>
      </c>
      <c r="L100">
        <v>1</v>
      </c>
      <c r="M100">
        <v>3</v>
      </c>
      <c r="N100">
        <v>0</v>
      </c>
      <c r="O100">
        <v>0</v>
      </c>
      <c r="R100">
        <v>1</v>
      </c>
      <c r="S100">
        <v>0.33</v>
      </c>
      <c r="T100">
        <v>1.33</v>
      </c>
      <c r="U100">
        <v>1</v>
      </c>
      <c r="V100">
        <v>1.33</v>
      </c>
    </row>
    <row r="101" spans="1:22" x14ac:dyDescent="0.2">
      <c r="A101">
        <v>98</v>
      </c>
      <c r="B101" t="s">
        <v>46</v>
      </c>
      <c r="C101">
        <v>1999</v>
      </c>
      <c r="D101">
        <v>15</v>
      </c>
      <c r="E101">
        <v>25</v>
      </c>
      <c r="G101">
        <v>6</v>
      </c>
      <c r="H101">
        <v>66</v>
      </c>
      <c r="I101">
        <v>554</v>
      </c>
      <c r="J101">
        <v>6.2</v>
      </c>
      <c r="K101">
        <v>16</v>
      </c>
      <c r="L101">
        <v>10</v>
      </c>
      <c r="M101">
        <v>16</v>
      </c>
      <c r="N101">
        <v>0</v>
      </c>
      <c r="O101">
        <v>0</v>
      </c>
      <c r="R101">
        <v>2.6</v>
      </c>
      <c r="S101">
        <v>1.62</v>
      </c>
      <c r="T101">
        <v>4.22</v>
      </c>
      <c r="U101">
        <v>2.6</v>
      </c>
      <c r="V101">
        <v>4.22</v>
      </c>
    </row>
    <row r="102" spans="1:22" x14ac:dyDescent="0.2">
      <c r="A102">
        <v>99</v>
      </c>
      <c r="B102" t="s">
        <v>48</v>
      </c>
      <c r="C102">
        <v>1999</v>
      </c>
      <c r="D102">
        <v>15</v>
      </c>
      <c r="E102">
        <v>25.9</v>
      </c>
      <c r="G102">
        <v>3</v>
      </c>
      <c r="H102">
        <v>33</v>
      </c>
      <c r="I102">
        <v>270</v>
      </c>
      <c r="J102">
        <v>3</v>
      </c>
      <c r="K102">
        <v>3</v>
      </c>
      <c r="L102">
        <v>3</v>
      </c>
      <c r="M102">
        <v>3</v>
      </c>
      <c r="N102">
        <v>0</v>
      </c>
      <c r="O102">
        <v>0</v>
      </c>
      <c r="R102">
        <v>1</v>
      </c>
      <c r="S102">
        <v>1</v>
      </c>
      <c r="T102">
        <v>2</v>
      </c>
      <c r="U102">
        <v>1</v>
      </c>
      <c r="V102">
        <v>2</v>
      </c>
    </row>
    <row r="103" spans="1:22" x14ac:dyDescent="0.2">
      <c r="A103">
        <v>100</v>
      </c>
      <c r="B103" t="s">
        <v>50</v>
      </c>
      <c r="C103">
        <v>1999</v>
      </c>
      <c r="D103">
        <v>14</v>
      </c>
      <c r="E103">
        <v>26.6</v>
      </c>
      <c r="G103">
        <v>6</v>
      </c>
      <c r="H103">
        <v>66</v>
      </c>
      <c r="I103">
        <v>570</v>
      </c>
      <c r="J103">
        <v>6.3</v>
      </c>
      <c r="K103">
        <v>19</v>
      </c>
      <c r="L103">
        <v>9</v>
      </c>
      <c r="M103">
        <v>18</v>
      </c>
      <c r="N103">
        <v>1</v>
      </c>
      <c r="O103">
        <v>1</v>
      </c>
      <c r="R103">
        <v>3</v>
      </c>
      <c r="S103">
        <v>1.42</v>
      </c>
      <c r="T103">
        <v>4.42</v>
      </c>
      <c r="U103">
        <v>2.84</v>
      </c>
      <c r="V103">
        <v>4.26</v>
      </c>
    </row>
    <row r="104" spans="1:22" x14ac:dyDescent="0.2">
      <c r="A104">
        <v>101</v>
      </c>
      <c r="B104" t="s">
        <v>76</v>
      </c>
      <c r="C104">
        <v>1999</v>
      </c>
      <c r="D104">
        <v>17</v>
      </c>
      <c r="E104">
        <v>25.5</v>
      </c>
      <c r="G104">
        <v>3</v>
      </c>
      <c r="H104">
        <v>33</v>
      </c>
      <c r="I104">
        <v>270</v>
      </c>
      <c r="J104">
        <v>3</v>
      </c>
      <c r="K104">
        <v>1</v>
      </c>
      <c r="L104">
        <v>0</v>
      </c>
      <c r="M104">
        <v>1</v>
      </c>
      <c r="N104">
        <v>0</v>
      </c>
      <c r="O104">
        <v>0</v>
      </c>
      <c r="R104">
        <v>0.33</v>
      </c>
      <c r="S104">
        <v>0</v>
      </c>
      <c r="T104">
        <v>0.33</v>
      </c>
      <c r="U104">
        <v>0.33</v>
      </c>
      <c r="V104">
        <v>0.33</v>
      </c>
    </row>
    <row r="105" spans="1:22" x14ac:dyDescent="0.2">
      <c r="A105">
        <v>102</v>
      </c>
      <c r="B105" t="s">
        <v>53</v>
      </c>
      <c r="C105">
        <v>1999</v>
      </c>
      <c r="D105">
        <v>18</v>
      </c>
      <c r="E105">
        <v>24.4</v>
      </c>
      <c r="G105">
        <v>4</v>
      </c>
      <c r="H105">
        <v>44</v>
      </c>
      <c r="I105">
        <v>360</v>
      </c>
      <c r="J105">
        <v>4</v>
      </c>
      <c r="K105">
        <v>11</v>
      </c>
      <c r="L105">
        <v>4</v>
      </c>
      <c r="M105">
        <v>11</v>
      </c>
      <c r="N105">
        <v>0</v>
      </c>
      <c r="O105">
        <v>0</v>
      </c>
      <c r="R105">
        <v>2.75</v>
      </c>
      <c r="S105">
        <v>1</v>
      </c>
      <c r="T105">
        <v>3.75</v>
      </c>
      <c r="U105">
        <v>2.75</v>
      </c>
      <c r="V105">
        <v>3.75</v>
      </c>
    </row>
    <row r="106" spans="1:22" x14ac:dyDescent="0.2">
      <c r="A106">
        <v>103</v>
      </c>
      <c r="B106" t="s">
        <v>77</v>
      </c>
      <c r="C106">
        <v>1999</v>
      </c>
      <c r="D106">
        <v>16</v>
      </c>
      <c r="E106">
        <v>23.6</v>
      </c>
      <c r="G106">
        <v>3</v>
      </c>
      <c r="H106">
        <v>33</v>
      </c>
      <c r="I106">
        <v>270</v>
      </c>
      <c r="J106">
        <v>3</v>
      </c>
      <c r="K106">
        <v>1</v>
      </c>
      <c r="L106">
        <v>0</v>
      </c>
      <c r="M106">
        <v>1</v>
      </c>
      <c r="N106">
        <v>0</v>
      </c>
      <c r="O106">
        <v>0</v>
      </c>
      <c r="R106">
        <v>0.33</v>
      </c>
      <c r="S106">
        <v>0</v>
      </c>
      <c r="T106">
        <v>0.33</v>
      </c>
      <c r="U106">
        <v>0.33</v>
      </c>
      <c r="V106">
        <v>0.33</v>
      </c>
    </row>
    <row r="107" spans="1:22" x14ac:dyDescent="0.2">
      <c r="A107">
        <v>104</v>
      </c>
      <c r="B107" t="s">
        <v>54</v>
      </c>
      <c r="C107">
        <v>1999</v>
      </c>
      <c r="D107">
        <v>17</v>
      </c>
      <c r="E107">
        <v>26.7</v>
      </c>
      <c r="G107">
        <v>3</v>
      </c>
      <c r="H107">
        <v>33</v>
      </c>
      <c r="I107">
        <v>270</v>
      </c>
      <c r="J107">
        <v>3</v>
      </c>
      <c r="K107">
        <v>3</v>
      </c>
      <c r="L107">
        <v>1</v>
      </c>
      <c r="M107">
        <v>3</v>
      </c>
      <c r="N107">
        <v>0</v>
      </c>
      <c r="O107">
        <v>0</v>
      </c>
      <c r="R107">
        <v>1</v>
      </c>
      <c r="S107">
        <v>0.33</v>
      </c>
      <c r="T107">
        <v>1.33</v>
      </c>
      <c r="U107">
        <v>1</v>
      </c>
      <c r="V107">
        <v>1.33</v>
      </c>
    </row>
    <row r="108" spans="1:22" x14ac:dyDescent="0.2">
      <c r="A108">
        <v>105</v>
      </c>
      <c r="B108" t="s">
        <v>56</v>
      </c>
      <c r="C108">
        <v>1999</v>
      </c>
      <c r="D108">
        <v>15</v>
      </c>
      <c r="E108">
        <v>23</v>
      </c>
      <c r="G108">
        <v>3</v>
      </c>
      <c r="H108">
        <v>33</v>
      </c>
      <c r="I108">
        <v>270</v>
      </c>
      <c r="J108">
        <v>3</v>
      </c>
      <c r="K108">
        <v>1</v>
      </c>
      <c r="L108">
        <v>1</v>
      </c>
      <c r="M108">
        <v>1</v>
      </c>
      <c r="N108">
        <v>0</v>
      </c>
      <c r="O108">
        <v>0</v>
      </c>
      <c r="R108">
        <v>0.33</v>
      </c>
      <c r="S108">
        <v>0.33</v>
      </c>
      <c r="T108">
        <v>0.67</v>
      </c>
      <c r="U108">
        <v>0.33</v>
      </c>
      <c r="V108">
        <v>0.67</v>
      </c>
    </row>
    <row r="109" spans="1:22" x14ac:dyDescent="0.2">
      <c r="A109">
        <v>106</v>
      </c>
      <c r="B109" t="s">
        <v>75</v>
      </c>
      <c r="C109">
        <v>1999</v>
      </c>
      <c r="D109">
        <v>16</v>
      </c>
      <c r="E109">
        <v>24.5</v>
      </c>
      <c r="G109">
        <v>3</v>
      </c>
      <c r="H109">
        <v>33</v>
      </c>
      <c r="I109">
        <v>270</v>
      </c>
      <c r="J109">
        <v>3</v>
      </c>
      <c r="K109">
        <v>4</v>
      </c>
      <c r="L109">
        <v>2</v>
      </c>
      <c r="M109">
        <v>4</v>
      </c>
      <c r="N109">
        <v>0</v>
      </c>
      <c r="O109">
        <v>0</v>
      </c>
      <c r="R109">
        <v>1.33</v>
      </c>
      <c r="S109">
        <v>0.67</v>
      </c>
      <c r="T109">
        <v>2</v>
      </c>
      <c r="U109">
        <v>1.33</v>
      </c>
      <c r="V109">
        <v>2</v>
      </c>
    </row>
    <row r="110" spans="1:22" x14ac:dyDescent="0.2">
      <c r="A110">
        <v>107</v>
      </c>
      <c r="B110" t="s">
        <v>72</v>
      </c>
      <c r="C110">
        <v>1999</v>
      </c>
      <c r="D110">
        <v>15</v>
      </c>
      <c r="E110">
        <v>21.5</v>
      </c>
      <c r="G110">
        <v>3</v>
      </c>
      <c r="H110">
        <v>33</v>
      </c>
      <c r="I110">
        <v>270</v>
      </c>
      <c r="J110">
        <v>3</v>
      </c>
      <c r="K110">
        <v>1</v>
      </c>
      <c r="L110">
        <v>0</v>
      </c>
      <c r="M110">
        <v>1</v>
      </c>
      <c r="N110">
        <v>0</v>
      </c>
      <c r="O110">
        <v>0</v>
      </c>
      <c r="R110">
        <v>0.33</v>
      </c>
      <c r="S110">
        <v>0</v>
      </c>
      <c r="T110">
        <v>0.33</v>
      </c>
      <c r="U110">
        <v>0.33</v>
      </c>
      <c r="V110">
        <v>0.33</v>
      </c>
    </row>
    <row r="111" spans="1:22" x14ac:dyDescent="0.2">
      <c r="A111">
        <v>108</v>
      </c>
      <c r="B111" t="s">
        <v>60</v>
      </c>
      <c r="C111">
        <v>1999</v>
      </c>
      <c r="D111">
        <v>16</v>
      </c>
      <c r="E111">
        <v>23.5</v>
      </c>
      <c r="G111">
        <v>4</v>
      </c>
      <c r="H111">
        <v>44</v>
      </c>
      <c r="I111">
        <v>374</v>
      </c>
      <c r="J111">
        <v>4.2</v>
      </c>
      <c r="K111">
        <v>8</v>
      </c>
      <c r="L111">
        <v>3</v>
      </c>
      <c r="M111">
        <v>8</v>
      </c>
      <c r="N111">
        <v>0</v>
      </c>
      <c r="O111">
        <v>0</v>
      </c>
      <c r="R111">
        <v>1.93</v>
      </c>
      <c r="S111">
        <v>0.72</v>
      </c>
      <c r="T111">
        <v>2.65</v>
      </c>
      <c r="U111">
        <v>1.93</v>
      </c>
      <c r="V111">
        <v>2.65</v>
      </c>
    </row>
    <row r="112" spans="1:22" x14ac:dyDescent="0.2">
      <c r="A112">
        <v>109</v>
      </c>
      <c r="B112" t="s">
        <v>61</v>
      </c>
      <c r="C112">
        <v>1999</v>
      </c>
      <c r="D112">
        <v>19</v>
      </c>
      <c r="E112">
        <v>25.1</v>
      </c>
      <c r="G112">
        <v>6</v>
      </c>
      <c r="H112">
        <v>66</v>
      </c>
      <c r="I112">
        <v>540</v>
      </c>
      <c r="J112">
        <v>6</v>
      </c>
      <c r="K112">
        <v>15</v>
      </c>
      <c r="L112">
        <v>10</v>
      </c>
      <c r="M112">
        <v>15</v>
      </c>
      <c r="N112">
        <v>0</v>
      </c>
      <c r="O112">
        <v>0</v>
      </c>
      <c r="R112">
        <v>2.5</v>
      </c>
      <c r="S112">
        <v>1.67</v>
      </c>
      <c r="T112">
        <v>4.17</v>
      </c>
      <c r="U112">
        <v>2.5</v>
      </c>
      <c r="V112">
        <v>4.17</v>
      </c>
    </row>
    <row r="113" spans="1:22" x14ac:dyDescent="0.2">
      <c r="A113">
        <v>110</v>
      </c>
      <c r="B113" t="s">
        <v>78</v>
      </c>
      <c r="C113">
        <v>1999</v>
      </c>
      <c r="D113">
        <v>15</v>
      </c>
      <c r="E113">
        <v>25.6</v>
      </c>
      <c r="G113">
        <v>4</v>
      </c>
      <c r="H113">
        <v>44</v>
      </c>
      <c r="I113">
        <v>360</v>
      </c>
      <c r="J113">
        <v>4</v>
      </c>
      <c r="K113">
        <v>10</v>
      </c>
      <c r="L113">
        <v>9</v>
      </c>
      <c r="M113">
        <v>10</v>
      </c>
      <c r="N113">
        <v>0</v>
      </c>
      <c r="O113">
        <v>0</v>
      </c>
      <c r="R113">
        <v>2.5</v>
      </c>
      <c r="S113">
        <v>2.25</v>
      </c>
      <c r="T113">
        <v>4.75</v>
      </c>
      <c r="U113">
        <v>2.5</v>
      </c>
      <c r="V113">
        <v>4.75</v>
      </c>
    </row>
    <row r="114" spans="1:22" x14ac:dyDescent="0.2">
      <c r="A114">
        <v>111</v>
      </c>
      <c r="B114" t="s">
        <v>65</v>
      </c>
      <c r="C114">
        <v>1999</v>
      </c>
      <c r="D114">
        <v>17</v>
      </c>
      <c r="E114">
        <v>24.6</v>
      </c>
      <c r="G114">
        <v>4</v>
      </c>
      <c r="H114">
        <v>44</v>
      </c>
      <c r="I114">
        <v>360</v>
      </c>
      <c r="J114">
        <v>4</v>
      </c>
      <c r="K114">
        <v>7</v>
      </c>
      <c r="L114">
        <v>5</v>
      </c>
      <c r="M114">
        <v>7</v>
      </c>
      <c r="N114">
        <v>0</v>
      </c>
      <c r="O114">
        <v>0</v>
      </c>
      <c r="R114">
        <v>1.75</v>
      </c>
      <c r="S114">
        <v>1.25</v>
      </c>
      <c r="T114">
        <v>3</v>
      </c>
      <c r="U114">
        <v>1.75</v>
      </c>
      <c r="V114">
        <v>3</v>
      </c>
    </row>
    <row r="115" spans="1:22" x14ac:dyDescent="0.2">
      <c r="A115">
        <v>112</v>
      </c>
      <c r="B115" t="s">
        <v>67</v>
      </c>
      <c r="C115">
        <v>1999</v>
      </c>
      <c r="D115">
        <v>18</v>
      </c>
      <c r="E115">
        <v>27.4</v>
      </c>
      <c r="G115">
        <v>6</v>
      </c>
      <c r="H115">
        <v>66</v>
      </c>
      <c r="I115">
        <v>570</v>
      </c>
      <c r="J115">
        <v>6.3</v>
      </c>
      <c r="K115">
        <v>17</v>
      </c>
      <c r="L115">
        <v>15</v>
      </c>
      <c r="M115">
        <v>16</v>
      </c>
      <c r="N115">
        <v>1</v>
      </c>
      <c r="O115">
        <v>1</v>
      </c>
      <c r="R115">
        <v>2.68</v>
      </c>
      <c r="S115">
        <v>2.37</v>
      </c>
      <c r="T115">
        <v>5.05</v>
      </c>
      <c r="U115">
        <v>2.5299999999999998</v>
      </c>
      <c r="V115">
        <v>4.8899999999999997</v>
      </c>
    </row>
    <row r="116" spans="1:22" x14ac:dyDescent="0.2">
      <c r="A116">
        <v>113</v>
      </c>
      <c r="B116" t="s">
        <v>45</v>
      </c>
      <c r="C116">
        <v>1995</v>
      </c>
      <c r="D116">
        <v>17</v>
      </c>
      <c r="E116">
        <v>25</v>
      </c>
      <c r="G116">
        <v>3</v>
      </c>
      <c r="H116">
        <v>33</v>
      </c>
      <c r="I116">
        <v>270</v>
      </c>
      <c r="J116">
        <v>3</v>
      </c>
      <c r="K116">
        <v>3</v>
      </c>
      <c r="L116">
        <v>0</v>
      </c>
      <c r="M116">
        <v>3</v>
      </c>
      <c r="N116">
        <v>0</v>
      </c>
      <c r="O116">
        <v>0</v>
      </c>
      <c r="R116">
        <v>1</v>
      </c>
      <c r="S116">
        <v>0</v>
      </c>
      <c r="T116">
        <v>1</v>
      </c>
      <c r="U116">
        <v>1</v>
      </c>
      <c r="V116">
        <v>1</v>
      </c>
    </row>
    <row r="117" spans="1:22" x14ac:dyDescent="0.2">
      <c r="A117">
        <v>114</v>
      </c>
      <c r="B117" t="s">
        <v>46</v>
      </c>
      <c r="C117">
        <v>1995</v>
      </c>
      <c r="D117">
        <v>16</v>
      </c>
      <c r="E117">
        <v>27.9</v>
      </c>
      <c r="G117">
        <v>3</v>
      </c>
      <c r="H117">
        <v>33</v>
      </c>
      <c r="I117">
        <v>270</v>
      </c>
      <c r="J117">
        <v>3</v>
      </c>
      <c r="K117">
        <v>3</v>
      </c>
      <c r="L117">
        <v>1</v>
      </c>
      <c r="M117">
        <v>3</v>
      </c>
      <c r="N117">
        <v>0</v>
      </c>
      <c r="O117">
        <v>0</v>
      </c>
      <c r="R117">
        <v>1</v>
      </c>
      <c r="S117">
        <v>0.33</v>
      </c>
      <c r="T117">
        <v>1.33</v>
      </c>
      <c r="U117">
        <v>1</v>
      </c>
      <c r="V117">
        <v>1.33</v>
      </c>
    </row>
    <row r="118" spans="1:22" x14ac:dyDescent="0.2">
      <c r="A118">
        <v>115</v>
      </c>
      <c r="B118" t="s">
        <v>48</v>
      </c>
      <c r="C118">
        <v>1995</v>
      </c>
      <c r="D118">
        <v>15</v>
      </c>
      <c r="E118">
        <v>26.2</v>
      </c>
      <c r="G118">
        <v>3</v>
      </c>
      <c r="H118">
        <v>33</v>
      </c>
      <c r="I118">
        <v>270</v>
      </c>
      <c r="J118">
        <v>3</v>
      </c>
      <c r="K118">
        <v>5</v>
      </c>
      <c r="L118">
        <v>0</v>
      </c>
      <c r="M118">
        <v>5</v>
      </c>
      <c r="N118">
        <v>0</v>
      </c>
      <c r="O118">
        <v>0</v>
      </c>
      <c r="R118">
        <v>1.67</v>
      </c>
      <c r="S118">
        <v>0</v>
      </c>
      <c r="T118">
        <v>1.67</v>
      </c>
      <c r="U118">
        <v>1.67</v>
      </c>
      <c r="V118">
        <v>1.67</v>
      </c>
    </row>
    <row r="119" spans="1:22" x14ac:dyDescent="0.2">
      <c r="A119">
        <v>116</v>
      </c>
      <c r="B119" t="s">
        <v>50</v>
      </c>
      <c r="C119">
        <v>1995</v>
      </c>
      <c r="D119">
        <v>16</v>
      </c>
      <c r="E119">
        <v>24.3</v>
      </c>
      <c r="G119">
        <v>6</v>
      </c>
      <c r="H119">
        <v>66</v>
      </c>
      <c r="I119">
        <v>570</v>
      </c>
      <c r="J119">
        <v>6.3</v>
      </c>
      <c r="K119">
        <v>11</v>
      </c>
      <c r="L119">
        <v>0</v>
      </c>
      <c r="M119">
        <v>11</v>
      </c>
      <c r="N119">
        <v>0</v>
      </c>
      <c r="O119">
        <v>0</v>
      </c>
      <c r="R119">
        <v>1.74</v>
      </c>
      <c r="S119">
        <v>0</v>
      </c>
      <c r="T119">
        <v>1.74</v>
      </c>
      <c r="U119">
        <v>1.74</v>
      </c>
      <c r="V119">
        <v>1.74</v>
      </c>
    </row>
    <row r="120" spans="1:22" x14ac:dyDescent="0.2">
      <c r="A120">
        <v>117</v>
      </c>
      <c r="B120" t="s">
        <v>76</v>
      </c>
      <c r="C120">
        <v>1995</v>
      </c>
      <c r="D120">
        <v>17</v>
      </c>
      <c r="E120">
        <v>21.3</v>
      </c>
      <c r="G120">
        <v>4</v>
      </c>
      <c r="H120">
        <v>44</v>
      </c>
      <c r="I120">
        <v>360</v>
      </c>
      <c r="J120">
        <v>4</v>
      </c>
      <c r="K120">
        <v>7</v>
      </c>
      <c r="L120">
        <v>0</v>
      </c>
      <c r="M120">
        <v>7</v>
      </c>
      <c r="N120">
        <v>0</v>
      </c>
      <c r="O120">
        <v>0</v>
      </c>
      <c r="R120">
        <v>1.75</v>
      </c>
      <c r="S120">
        <v>0</v>
      </c>
      <c r="T120">
        <v>1.75</v>
      </c>
      <c r="U120">
        <v>1.75</v>
      </c>
      <c r="V120">
        <v>1.75</v>
      </c>
    </row>
    <row r="121" spans="1:22" x14ac:dyDescent="0.2">
      <c r="A121">
        <v>118</v>
      </c>
      <c r="B121" t="s">
        <v>51</v>
      </c>
      <c r="C121">
        <v>1995</v>
      </c>
      <c r="D121">
        <v>16</v>
      </c>
      <c r="E121">
        <v>27.8</v>
      </c>
      <c r="G121">
        <v>4</v>
      </c>
      <c r="H121">
        <v>44</v>
      </c>
      <c r="I121">
        <v>360</v>
      </c>
      <c r="J121">
        <v>4</v>
      </c>
      <c r="K121">
        <v>6</v>
      </c>
      <c r="L121">
        <v>0</v>
      </c>
      <c r="M121">
        <v>6</v>
      </c>
      <c r="N121">
        <v>0</v>
      </c>
      <c r="O121">
        <v>0</v>
      </c>
      <c r="R121">
        <v>1.5</v>
      </c>
      <c r="S121">
        <v>0</v>
      </c>
      <c r="T121">
        <v>1.5</v>
      </c>
      <c r="U121">
        <v>1.5</v>
      </c>
      <c r="V121">
        <v>1.5</v>
      </c>
    </row>
    <row r="122" spans="1:22" x14ac:dyDescent="0.2">
      <c r="A122">
        <v>119</v>
      </c>
      <c r="B122" t="s">
        <v>53</v>
      </c>
      <c r="C122">
        <v>1995</v>
      </c>
      <c r="D122">
        <v>17</v>
      </c>
      <c r="E122">
        <v>25.3</v>
      </c>
      <c r="G122">
        <v>6</v>
      </c>
      <c r="H122">
        <v>66</v>
      </c>
      <c r="I122">
        <v>540</v>
      </c>
      <c r="J122">
        <v>6</v>
      </c>
      <c r="K122">
        <v>13</v>
      </c>
      <c r="L122">
        <v>0</v>
      </c>
      <c r="M122">
        <v>13</v>
      </c>
      <c r="N122">
        <v>0</v>
      </c>
      <c r="O122">
        <v>0</v>
      </c>
      <c r="R122">
        <v>2.17</v>
      </c>
      <c r="S122">
        <v>0</v>
      </c>
      <c r="T122">
        <v>2.17</v>
      </c>
      <c r="U122">
        <v>2.17</v>
      </c>
      <c r="V122">
        <v>2.17</v>
      </c>
    </row>
    <row r="123" spans="1:22" x14ac:dyDescent="0.2">
      <c r="A123">
        <v>120</v>
      </c>
      <c r="B123" t="s">
        <v>56</v>
      </c>
      <c r="C123">
        <v>1995</v>
      </c>
      <c r="D123">
        <v>14</v>
      </c>
      <c r="E123">
        <v>22.6</v>
      </c>
      <c r="G123">
        <v>4</v>
      </c>
      <c r="H123">
        <v>44</v>
      </c>
      <c r="I123">
        <v>360</v>
      </c>
      <c r="J123">
        <v>4</v>
      </c>
      <c r="K123">
        <v>2</v>
      </c>
      <c r="L123">
        <v>0</v>
      </c>
      <c r="M123">
        <v>2</v>
      </c>
      <c r="N123">
        <v>0</v>
      </c>
      <c r="O123">
        <v>0</v>
      </c>
      <c r="R123">
        <v>0.5</v>
      </c>
      <c r="S123">
        <v>0</v>
      </c>
      <c r="T123">
        <v>0.5</v>
      </c>
      <c r="U123">
        <v>0.5</v>
      </c>
      <c r="V123">
        <v>0.5</v>
      </c>
    </row>
    <row r="124" spans="1:22" x14ac:dyDescent="0.2">
      <c r="A124">
        <v>121</v>
      </c>
      <c r="B124" t="s">
        <v>60</v>
      </c>
      <c r="C124">
        <v>1995</v>
      </c>
      <c r="D124">
        <v>16</v>
      </c>
      <c r="E124">
        <v>20.6</v>
      </c>
      <c r="G124">
        <v>3</v>
      </c>
      <c r="H124">
        <v>33</v>
      </c>
      <c r="I124">
        <v>270</v>
      </c>
      <c r="J124">
        <v>3</v>
      </c>
      <c r="K124">
        <v>5</v>
      </c>
      <c r="L124">
        <v>0</v>
      </c>
      <c r="M124">
        <v>5</v>
      </c>
      <c r="N124">
        <v>0</v>
      </c>
      <c r="O124">
        <v>0</v>
      </c>
      <c r="R124">
        <v>1.67</v>
      </c>
      <c r="S124">
        <v>0</v>
      </c>
      <c r="T124">
        <v>1.67</v>
      </c>
      <c r="U124">
        <v>1.67</v>
      </c>
      <c r="V124">
        <v>1.67</v>
      </c>
    </row>
    <row r="125" spans="1:22" x14ac:dyDescent="0.2">
      <c r="A125">
        <v>122</v>
      </c>
      <c r="B125" t="s">
        <v>61</v>
      </c>
      <c r="C125">
        <v>1995</v>
      </c>
      <c r="D125">
        <v>17</v>
      </c>
      <c r="E125">
        <v>24.6</v>
      </c>
      <c r="G125">
        <v>6</v>
      </c>
      <c r="H125">
        <v>66</v>
      </c>
      <c r="I125">
        <v>540</v>
      </c>
      <c r="J125">
        <v>6</v>
      </c>
      <c r="K125">
        <v>23</v>
      </c>
      <c r="L125">
        <v>0</v>
      </c>
      <c r="M125">
        <v>23</v>
      </c>
      <c r="N125">
        <v>0</v>
      </c>
      <c r="O125">
        <v>0</v>
      </c>
      <c r="R125">
        <v>3.83</v>
      </c>
      <c r="S125">
        <v>0</v>
      </c>
      <c r="T125">
        <v>3.83</v>
      </c>
      <c r="U125">
        <v>3.83</v>
      </c>
      <c r="V125">
        <v>3.83</v>
      </c>
    </row>
    <row r="126" spans="1:22" x14ac:dyDescent="0.2">
      <c r="A126">
        <v>123</v>
      </c>
      <c r="B126" t="s">
        <v>65</v>
      </c>
      <c r="C126">
        <v>1995</v>
      </c>
      <c r="D126">
        <v>18</v>
      </c>
      <c r="E126">
        <v>27.5</v>
      </c>
      <c r="G126">
        <v>4</v>
      </c>
      <c r="H126">
        <v>44</v>
      </c>
      <c r="I126">
        <v>390</v>
      </c>
      <c r="J126">
        <v>4.3</v>
      </c>
      <c r="K126">
        <v>6</v>
      </c>
      <c r="L126">
        <v>0</v>
      </c>
      <c r="M126">
        <v>6</v>
      </c>
      <c r="N126">
        <v>0</v>
      </c>
      <c r="O126">
        <v>0</v>
      </c>
      <c r="R126">
        <v>1.38</v>
      </c>
      <c r="S126">
        <v>0</v>
      </c>
      <c r="T126">
        <v>1.38</v>
      </c>
      <c r="U126">
        <v>1.38</v>
      </c>
      <c r="V126">
        <v>1.38</v>
      </c>
    </row>
    <row r="127" spans="1:22" x14ac:dyDescent="0.2">
      <c r="A127">
        <v>124</v>
      </c>
      <c r="B127" t="s">
        <v>67</v>
      </c>
      <c r="C127">
        <v>1995</v>
      </c>
      <c r="D127">
        <v>18</v>
      </c>
      <c r="E127">
        <v>24.1</v>
      </c>
      <c r="G127">
        <v>6</v>
      </c>
      <c r="H127">
        <v>66</v>
      </c>
      <c r="I127">
        <v>540</v>
      </c>
      <c r="J127">
        <v>6</v>
      </c>
      <c r="K127">
        <v>15</v>
      </c>
      <c r="L127">
        <v>4</v>
      </c>
      <c r="M127">
        <v>15</v>
      </c>
      <c r="N127">
        <v>0</v>
      </c>
      <c r="O127">
        <v>0</v>
      </c>
      <c r="R127">
        <v>2.5</v>
      </c>
      <c r="S127">
        <v>0.67</v>
      </c>
      <c r="T127">
        <v>3.17</v>
      </c>
      <c r="U127">
        <v>2.5</v>
      </c>
      <c r="V127">
        <v>3.17</v>
      </c>
    </row>
    <row r="128" spans="1:22" x14ac:dyDescent="0.2">
      <c r="A128">
        <v>125</v>
      </c>
      <c r="B128" t="s">
        <v>46</v>
      </c>
      <c r="C128">
        <v>1991</v>
      </c>
      <c r="D128">
        <v>17</v>
      </c>
      <c r="E128">
        <v>25.7</v>
      </c>
      <c r="G128">
        <v>3</v>
      </c>
      <c r="H128">
        <v>33</v>
      </c>
      <c r="I128">
        <v>240</v>
      </c>
      <c r="J128">
        <v>2.7</v>
      </c>
      <c r="K128">
        <v>1</v>
      </c>
      <c r="L128">
        <v>0</v>
      </c>
      <c r="M128">
        <v>1</v>
      </c>
      <c r="N128">
        <v>0</v>
      </c>
      <c r="O128">
        <v>0</v>
      </c>
      <c r="R128">
        <v>0.37</v>
      </c>
      <c r="S128">
        <v>0</v>
      </c>
      <c r="T128">
        <v>0.37</v>
      </c>
      <c r="U128">
        <v>0.37</v>
      </c>
      <c r="V128">
        <v>0.37</v>
      </c>
    </row>
    <row r="129" spans="1:22" x14ac:dyDescent="0.2">
      <c r="A129">
        <v>126</v>
      </c>
      <c r="B129" t="s">
        <v>50</v>
      </c>
      <c r="C129">
        <v>1991</v>
      </c>
      <c r="D129">
        <v>15</v>
      </c>
      <c r="E129">
        <v>22.1</v>
      </c>
      <c r="G129">
        <v>4</v>
      </c>
      <c r="H129">
        <v>44</v>
      </c>
      <c r="I129">
        <v>320</v>
      </c>
      <c r="J129">
        <v>3.6</v>
      </c>
      <c r="K129">
        <v>10</v>
      </c>
      <c r="L129">
        <v>3</v>
      </c>
      <c r="M129">
        <v>10</v>
      </c>
      <c r="N129">
        <v>0</v>
      </c>
      <c r="O129">
        <v>0</v>
      </c>
      <c r="R129">
        <v>2.81</v>
      </c>
      <c r="S129">
        <v>0.84</v>
      </c>
      <c r="T129">
        <v>3.66</v>
      </c>
      <c r="U129">
        <v>2.81</v>
      </c>
      <c r="V129">
        <v>3.66</v>
      </c>
    </row>
    <row r="130" spans="1:22" x14ac:dyDescent="0.2">
      <c r="A130">
        <v>127</v>
      </c>
      <c r="B130" t="s">
        <v>79</v>
      </c>
      <c r="C130">
        <v>1991</v>
      </c>
      <c r="D130">
        <v>16</v>
      </c>
      <c r="E130">
        <v>21.2</v>
      </c>
      <c r="G130">
        <v>4</v>
      </c>
      <c r="H130">
        <v>44</v>
      </c>
      <c r="I130">
        <v>320</v>
      </c>
      <c r="J130">
        <v>3.6</v>
      </c>
      <c r="K130">
        <v>2</v>
      </c>
      <c r="L130">
        <v>1</v>
      </c>
      <c r="M130">
        <v>2</v>
      </c>
      <c r="N130">
        <v>0</v>
      </c>
      <c r="O130">
        <v>0</v>
      </c>
      <c r="R130">
        <v>0.56000000000000005</v>
      </c>
      <c r="S130">
        <v>0.28000000000000003</v>
      </c>
      <c r="T130">
        <v>0.84</v>
      </c>
      <c r="U130">
        <v>0.56000000000000005</v>
      </c>
      <c r="V130">
        <v>0.84</v>
      </c>
    </row>
    <row r="131" spans="1:22" x14ac:dyDescent="0.2">
      <c r="A131">
        <v>128</v>
      </c>
      <c r="B131" t="s">
        <v>76</v>
      </c>
      <c r="C131">
        <v>1991</v>
      </c>
      <c r="D131">
        <v>15</v>
      </c>
      <c r="E131">
        <v>23.8</v>
      </c>
      <c r="G131">
        <v>4</v>
      </c>
      <c r="H131">
        <v>44</v>
      </c>
      <c r="I131">
        <v>340</v>
      </c>
      <c r="J131">
        <v>3.8</v>
      </c>
      <c r="K131">
        <v>7</v>
      </c>
      <c r="L131">
        <v>5</v>
      </c>
      <c r="M131">
        <v>5</v>
      </c>
      <c r="N131">
        <v>2</v>
      </c>
      <c r="O131">
        <v>2</v>
      </c>
      <c r="R131">
        <v>1.85</v>
      </c>
      <c r="S131">
        <v>1.32</v>
      </c>
      <c r="T131">
        <v>3.18</v>
      </c>
      <c r="U131">
        <v>1.32</v>
      </c>
      <c r="V131">
        <v>2.65</v>
      </c>
    </row>
    <row r="132" spans="1:22" x14ac:dyDescent="0.2">
      <c r="A132">
        <v>129</v>
      </c>
      <c r="B132" t="s">
        <v>53</v>
      </c>
      <c r="C132">
        <v>1991</v>
      </c>
      <c r="D132">
        <v>18</v>
      </c>
      <c r="E132">
        <v>23.8</v>
      </c>
      <c r="G132">
        <v>6</v>
      </c>
      <c r="H132">
        <v>66</v>
      </c>
      <c r="I132">
        <v>500</v>
      </c>
      <c r="J132">
        <v>5.6</v>
      </c>
      <c r="K132">
        <v>13</v>
      </c>
      <c r="L132">
        <v>9</v>
      </c>
      <c r="M132">
        <v>12</v>
      </c>
      <c r="N132">
        <v>1</v>
      </c>
      <c r="O132">
        <v>1</v>
      </c>
      <c r="R132">
        <v>2.34</v>
      </c>
      <c r="S132">
        <v>1.62</v>
      </c>
      <c r="T132">
        <v>3.96</v>
      </c>
      <c r="U132">
        <v>2.16</v>
      </c>
      <c r="V132">
        <v>3.78</v>
      </c>
    </row>
    <row r="133" spans="1:22" x14ac:dyDescent="0.2">
      <c r="A133">
        <v>130</v>
      </c>
      <c r="B133" t="s">
        <v>54</v>
      </c>
      <c r="C133">
        <v>1991</v>
      </c>
      <c r="D133">
        <v>17</v>
      </c>
      <c r="E133">
        <v>24.2</v>
      </c>
      <c r="G133">
        <v>4</v>
      </c>
      <c r="H133">
        <v>44</v>
      </c>
      <c r="I133">
        <v>340</v>
      </c>
      <c r="J133">
        <v>3.8</v>
      </c>
      <c r="K133">
        <v>8</v>
      </c>
      <c r="L133">
        <v>5</v>
      </c>
      <c r="M133">
        <v>8</v>
      </c>
      <c r="N133">
        <v>0</v>
      </c>
      <c r="O133">
        <v>0</v>
      </c>
      <c r="R133">
        <v>2.12</v>
      </c>
      <c r="S133">
        <v>1.32</v>
      </c>
      <c r="T133">
        <v>3.44</v>
      </c>
      <c r="U133">
        <v>2.12</v>
      </c>
      <c r="V133">
        <v>3.44</v>
      </c>
    </row>
    <row r="134" spans="1:22" x14ac:dyDescent="0.2">
      <c r="A134">
        <v>131</v>
      </c>
      <c r="B134" t="s">
        <v>56</v>
      </c>
      <c r="C134">
        <v>1991</v>
      </c>
      <c r="D134">
        <v>13</v>
      </c>
      <c r="E134">
        <v>24.3</v>
      </c>
      <c r="G134">
        <v>3</v>
      </c>
      <c r="H134">
        <v>33</v>
      </c>
      <c r="I134">
        <v>240</v>
      </c>
      <c r="J134">
        <v>2.7</v>
      </c>
      <c r="K134">
        <v>0</v>
      </c>
      <c r="L134">
        <v>0</v>
      </c>
      <c r="M134">
        <v>0</v>
      </c>
      <c r="N134">
        <v>0</v>
      </c>
      <c r="O134">
        <v>0</v>
      </c>
      <c r="R134">
        <v>0</v>
      </c>
      <c r="S134">
        <v>0</v>
      </c>
      <c r="T134">
        <v>0</v>
      </c>
      <c r="U134">
        <v>0</v>
      </c>
      <c r="V134">
        <v>0</v>
      </c>
    </row>
    <row r="135" spans="1:22" x14ac:dyDescent="0.2">
      <c r="A135">
        <v>132</v>
      </c>
      <c r="B135" t="s">
        <v>59</v>
      </c>
      <c r="C135">
        <v>1991</v>
      </c>
      <c r="D135">
        <v>15</v>
      </c>
      <c r="E135">
        <v>25.5</v>
      </c>
      <c r="G135">
        <v>3</v>
      </c>
      <c r="H135">
        <v>33</v>
      </c>
      <c r="I135">
        <v>240</v>
      </c>
      <c r="J135">
        <v>2.7</v>
      </c>
      <c r="K135">
        <v>1</v>
      </c>
      <c r="L135">
        <v>1</v>
      </c>
      <c r="M135">
        <v>1</v>
      </c>
      <c r="N135">
        <v>0</v>
      </c>
      <c r="O135">
        <v>0</v>
      </c>
      <c r="R135">
        <v>0.37</v>
      </c>
      <c r="S135">
        <v>0.37</v>
      </c>
      <c r="T135">
        <v>0.75</v>
      </c>
      <c r="U135">
        <v>0.37</v>
      </c>
      <c r="V135">
        <v>0.75</v>
      </c>
    </row>
    <row r="136" spans="1:22" x14ac:dyDescent="0.2">
      <c r="A136">
        <v>133</v>
      </c>
      <c r="B136" t="s">
        <v>60</v>
      </c>
      <c r="C136">
        <v>1991</v>
      </c>
      <c r="D136">
        <v>17</v>
      </c>
      <c r="E136">
        <v>18.2</v>
      </c>
      <c r="G136">
        <v>3</v>
      </c>
      <c r="H136">
        <v>33</v>
      </c>
      <c r="I136">
        <v>240</v>
      </c>
      <c r="J136">
        <v>2.7</v>
      </c>
      <c r="K136">
        <v>0</v>
      </c>
      <c r="L136">
        <v>0</v>
      </c>
      <c r="M136">
        <v>0</v>
      </c>
      <c r="N136">
        <v>0</v>
      </c>
      <c r="O136">
        <v>0</v>
      </c>
      <c r="R136">
        <v>0</v>
      </c>
      <c r="S136">
        <v>0</v>
      </c>
      <c r="T136">
        <v>0</v>
      </c>
      <c r="U136">
        <v>0</v>
      </c>
      <c r="V136">
        <v>0</v>
      </c>
    </row>
    <row r="137" spans="1:22" x14ac:dyDescent="0.2">
      <c r="A137">
        <v>134</v>
      </c>
      <c r="B137" t="s">
        <v>61</v>
      </c>
      <c r="C137">
        <v>1991</v>
      </c>
      <c r="D137">
        <v>15</v>
      </c>
      <c r="E137">
        <v>24.1</v>
      </c>
      <c r="G137">
        <v>6</v>
      </c>
      <c r="H137">
        <v>66</v>
      </c>
      <c r="I137">
        <v>500</v>
      </c>
      <c r="J137">
        <v>5.6</v>
      </c>
      <c r="K137">
        <v>13</v>
      </c>
      <c r="L137">
        <v>6</v>
      </c>
      <c r="M137">
        <v>12</v>
      </c>
      <c r="N137">
        <v>1</v>
      </c>
      <c r="O137">
        <v>1</v>
      </c>
      <c r="R137">
        <v>2.34</v>
      </c>
      <c r="S137">
        <v>1.08</v>
      </c>
      <c r="T137">
        <v>3.42</v>
      </c>
      <c r="U137">
        <v>2.16</v>
      </c>
      <c r="V137">
        <v>3.24</v>
      </c>
    </row>
    <row r="138" spans="1:22" x14ac:dyDescent="0.2">
      <c r="A138">
        <v>135</v>
      </c>
      <c r="B138" t="s">
        <v>65</v>
      </c>
      <c r="C138">
        <v>1991</v>
      </c>
      <c r="D138">
        <v>18</v>
      </c>
      <c r="E138">
        <v>25.4</v>
      </c>
      <c r="G138">
        <v>6</v>
      </c>
      <c r="H138">
        <v>66</v>
      </c>
      <c r="I138">
        <v>480</v>
      </c>
      <c r="J138">
        <v>5.3</v>
      </c>
      <c r="K138">
        <v>17</v>
      </c>
      <c r="L138">
        <v>11</v>
      </c>
      <c r="M138">
        <v>16</v>
      </c>
      <c r="N138">
        <v>1</v>
      </c>
      <c r="O138">
        <v>1</v>
      </c>
      <c r="R138">
        <v>3.19</v>
      </c>
      <c r="S138">
        <v>2.06</v>
      </c>
      <c r="T138">
        <v>5.25</v>
      </c>
      <c r="U138">
        <v>3</v>
      </c>
      <c r="V138">
        <v>5.0599999999999996</v>
      </c>
    </row>
    <row r="139" spans="1:22" x14ac:dyDescent="0.2">
      <c r="A139">
        <v>136</v>
      </c>
      <c r="B139" t="s">
        <v>67</v>
      </c>
      <c r="C139">
        <v>1991</v>
      </c>
      <c r="D139">
        <v>16</v>
      </c>
      <c r="E139">
        <v>23</v>
      </c>
      <c r="G139">
        <v>6</v>
      </c>
      <c r="H139">
        <v>66</v>
      </c>
      <c r="I139">
        <v>480</v>
      </c>
      <c r="J139">
        <v>5.3</v>
      </c>
      <c r="K139">
        <v>25</v>
      </c>
      <c r="L139">
        <v>11</v>
      </c>
      <c r="M139">
        <v>24</v>
      </c>
      <c r="N139">
        <v>1</v>
      </c>
      <c r="O139">
        <v>1</v>
      </c>
      <c r="R139">
        <v>4.6900000000000004</v>
      </c>
      <c r="S139">
        <v>2.06</v>
      </c>
      <c r="T139">
        <v>6.75</v>
      </c>
      <c r="U139">
        <v>4.5</v>
      </c>
      <c r="V139">
        <v>6.56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0406-2CE0-974B-A965-9344DF73EFE8}">
  <sheetPr codeName="Sheet3"/>
  <dimension ref="A1:P162"/>
  <sheetViews>
    <sheetView zoomScale="140" zoomScaleNormal="140" workbookViewId="0">
      <selection activeCell="G23" sqref="G23"/>
    </sheetView>
  </sheetViews>
  <sheetFormatPr baseColWidth="10" defaultColWidth="11" defaultRowHeight="16" x14ac:dyDescent="0.2"/>
  <sheetData>
    <row r="1" spans="1:16" x14ac:dyDescent="0.2">
      <c r="A1" s="12" t="s">
        <v>80</v>
      </c>
    </row>
    <row r="2" spans="1:16" ht="17" thickBot="1" x14ac:dyDescent="0.25"/>
    <row r="3" spans="1:16" x14ac:dyDescent="0.2">
      <c r="B3" s="3">
        <v>1</v>
      </c>
      <c r="C3" s="4">
        <v>2</v>
      </c>
      <c r="D3" s="5">
        <v>3</v>
      </c>
    </row>
    <row r="4" spans="1:16" x14ac:dyDescent="0.2">
      <c r="B4" s="6">
        <v>4</v>
      </c>
      <c r="C4">
        <v>5</v>
      </c>
      <c r="D4" s="7">
        <v>6</v>
      </c>
    </row>
    <row r="5" spans="1:16" ht="17" thickBot="1" x14ac:dyDescent="0.25">
      <c r="B5" s="8">
        <v>7</v>
      </c>
      <c r="C5" s="9">
        <v>8</v>
      </c>
      <c r="D5" s="10">
        <v>9</v>
      </c>
    </row>
    <row r="7" spans="1:16" x14ac:dyDescent="0.2">
      <c r="A7" s="11" t="s">
        <v>81</v>
      </c>
    </row>
    <row r="9" spans="1:16" x14ac:dyDescent="0.2">
      <c r="B9" s="2">
        <f>B3</f>
        <v>1</v>
      </c>
      <c r="C9" s="2"/>
      <c r="D9" s="2"/>
      <c r="F9" s="2">
        <f>B$3</f>
        <v>1</v>
      </c>
      <c r="G9" s="2"/>
      <c r="H9" s="2"/>
      <c r="J9" s="2">
        <f>$B3</f>
        <v>1</v>
      </c>
      <c r="K9" s="2"/>
      <c r="L9" s="2"/>
      <c r="N9" s="2">
        <f>$B$3</f>
        <v>1</v>
      </c>
      <c r="O9" s="2"/>
      <c r="P9" s="2"/>
    </row>
    <row r="10" spans="1:16" x14ac:dyDescent="0.2">
      <c r="B10" s="2"/>
      <c r="C10" s="2"/>
      <c r="D10" s="2"/>
      <c r="F10" s="2"/>
      <c r="G10" s="2"/>
      <c r="H10" s="2"/>
      <c r="J10" s="2"/>
      <c r="K10" s="2"/>
      <c r="L10" s="2"/>
      <c r="N10" s="2"/>
      <c r="O10" s="2"/>
      <c r="P10" s="2"/>
    </row>
    <row r="11" spans="1:16" x14ac:dyDescent="0.2">
      <c r="B11" s="2"/>
      <c r="C11" s="2"/>
      <c r="D11" s="2"/>
      <c r="F11" s="2"/>
      <c r="G11" s="2"/>
      <c r="H11" s="2"/>
      <c r="J11" s="2"/>
      <c r="K11" s="2"/>
      <c r="L11" s="2"/>
      <c r="N11" s="2"/>
      <c r="O11" s="2"/>
      <c r="P11" s="2"/>
    </row>
    <row r="13" spans="1:16" s="1" customFormat="1" x14ac:dyDescent="0.2"/>
    <row r="14" spans="1:16" x14ac:dyDescent="0.2">
      <c r="A14" s="12" t="s">
        <v>82</v>
      </c>
    </row>
    <row r="16" spans="1:16" x14ac:dyDescent="0.2">
      <c r="A16" s="11" t="s">
        <v>83</v>
      </c>
      <c r="C16" s="11" t="s">
        <v>84</v>
      </c>
      <c r="E16" s="11" t="s">
        <v>84</v>
      </c>
      <c r="G16" s="11" t="s">
        <v>85</v>
      </c>
      <c r="I16" s="11" t="s">
        <v>86</v>
      </c>
    </row>
    <row r="18" spans="1:9" x14ac:dyDescent="0.2">
      <c r="A18" s="2" t="str" cm="1">
        <f t="array" ref="A18:A153">IF(matches_played&gt;6,squad,"")</f>
        <v/>
      </c>
      <c r="C18" s="2" t="str" cm="1">
        <f t="array" ref="C18:C153">_xlfn.IFS(matches_played&gt;6,squad,year=2019,"bla")</f>
        <v>bla</v>
      </c>
      <c r="E18" s="2" t="str" cm="1">
        <f t="array" ref="E18:E153">_xlfn.IFS(matches_played&gt;6,squad,year=2019,"bla",TRUE,"")</f>
        <v>bla</v>
      </c>
      <c r="G18" s="2">
        <f>_xlfn.MAXIFS(matches_played,squad,"Australia")</f>
        <v>5</v>
      </c>
      <c r="I18" s="117">
        <f>_xlfn.MINIFS(matches_played,squad,"Australia",year,"&gt;2010")</f>
        <v>4</v>
      </c>
    </row>
    <row r="19" spans="1:9" x14ac:dyDescent="0.2">
      <c r="A19" s="2" t="str">
        <v/>
      </c>
      <c r="C19" s="2" t="str">
        <v>bla</v>
      </c>
      <c r="E19" s="2" t="str">
        <v>bla</v>
      </c>
    </row>
    <row r="20" spans="1:9" x14ac:dyDescent="0.2">
      <c r="A20" s="2" t="str">
        <v/>
      </c>
      <c r="C20" s="2" t="str">
        <v>bla</v>
      </c>
      <c r="E20" s="2" t="str">
        <v>bla</v>
      </c>
    </row>
    <row r="21" spans="1:9" x14ac:dyDescent="0.2">
      <c r="A21" s="2" t="str">
        <v/>
      </c>
      <c r="C21" s="2" t="str">
        <v>bla</v>
      </c>
      <c r="E21" s="2" t="str">
        <v>bla</v>
      </c>
    </row>
    <row r="22" spans="1:9" x14ac:dyDescent="0.2">
      <c r="A22" s="2" t="str">
        <v/>
      </c>
      <c r="C22" s="2" t="str">
        <v>bla</v>
      </c>
      <c r="E22" s="2" t="str">
        <v>bla</v>
      </c>
    </row>
    <row r="23" spans="1:9" x14ac:dyDescent="0.2">
      <c r="A23" s="2" t="str">
        <v/>
      </c>
      <c r="C23" s="2" t="str">
        <v>bla</v>
      </c>
      <c r="E23" s="2" t="str">
        <v>bla</v>
      </c>
    </row>
    <row r="24" spans="1:9" x14ac:dyDescent="0.2">
      <c r="A24" s="2" t="str">
        <v/>
      </c>
      <c r="C24" s="2" t="str">
        <v>bla</v>
      </c>
      <c r="E24" s="2" t="str">
        <v>bla</v>
      </c>
    </row>
    <row r="25" spans="1:9" x14ac:dyDescent="0.2">
      <c r="A25" s="2" t="str">
        <v>England</v>
      </c>
      <c r="C25" s="2" t="str">
        <v>England</v>
      </c>
      <c r="E25" s="2" t="str">
        <v>England</v>
      </c>
    </row>
    <row r="26" spans="1:9" x14ac:dyDescent="0.2">
      <c r="A26" s="2" t="str">
        <v/>
      </c>
      <c r="C26" s="2" t="str">
        <v>bla</v>
      </c>
      <c r="E26" s="2" t="str">
        <v>bla</v>
      </c>
    </row>
    <row r="27" spans="1:9" x14ac:dyDescent="0.2">
      <c r="A27" s="2" t="str">
        <v/>
      </c>
      <c r="C27" s="2" t="str">
        <v>bla</v>
      </c>
      <c r="E27" s="2" t="str">
        <v>bla</v>
      </c>
    </row>
    <row r="28" spans="1:9" x14ac:dyDescent="0.2">
      <c r="A28" s="2" t="str">
        <v/>
      </c>
      <c r="C28" s="2" t="str">
        <v>bla</v>
      </c>
      <c r="E28" s="2" t="str">
        <v>bla</v>
      </c>
    </row>
    <row r="29" spans="1:9" x14ac:dyDescent="0.2">
      <c r="A29" s="2" t="str">
        <v/>
      </c>
      <c r="C29" s="2" t="str">
        <v>bla</v>
      </c>
      <c r="E29" s="2" t="str">
        <v>bla</v>
      </c>
    </row>
    <row r="30" spans="1:9" x14ac:dyDescent="0.2">
      <c r="A30" s="2" t="str">
        <v/>
      </c>
      <c r="C30" s="2" t="str">
        <v>bla</v>
      </c>
      <c r="E30" s="2" t="str">
        <v>bla</v>
      </c>
    </row>
    <row r="31" spans="1:9" x14ac:dyDescent="0.2">
      <c r="A31" s="2" t="str">
        <v/>
      </c>
      <c r="C31" s="2" t="str">
        <v>bla</v>
      </c>
      <c r="E31" s="2" t="str">
        <v>bla</v>
      </c>
    </row>
    <row r="32" spans="1:9" x14ac:dyDescent="0.2">
      <c r="A32" s="2" t="str">
        <v>Netherlands</v>
      </c>
      <c r="C32" s="2" t="str">
        <v>Netherlands</v>
      </c>
      <c r="E32" s="2" t="str">
        <v>Netherlands</v>
      </c>
    </row>
    <row r="33" spans="1:5" x14ac:dyDescent="0.2">
      <c r="A33" s="2" t="str">
        <v/>
      </c>
      <c r="C33" s="2" t="str">
        <v>bla</v>
      </c>
      <c r="E33" s="2" t="str">
        <v>bla</v>
      </c>
    </row>
    <row r="34" spans="1:5" x14ac:dyDescent="0.2">
      <c r="A34" s="2" t="str">
        <v/>
      </c>
      <c r="C34" s="2" t="str">
        <v>bla</v>
      </c>
      <c r="E34" s="2" t="str">
        <v>bla</v>
      </c>
    </row>
    <row r="35" spans="1:5" x14ac:dyDescent="0.2">
      <c r="A35" s="2" t="str">
        <v/>
      </c>
      <c r="C35" s="2" t="str">
        <v>bla</v>
      </c>
      <c r="E35" s="2" t="str">
        <v>bla</v>
      </c>
    </row>
    <row r="36" spans="1:5" x14ac:dyDescent="0.2">
      <c r="A36" s="2" t="str">
        <v/>
      </c>
      <c r="C36" s="2" t="str">
        <v>bla</v>
      </c>
      <c r="E36" s="2" t="str">
        <v>bla</v>
      </c>
    </row>
    <row r="37" spans="1:5" x14ac:dyDescent="0.2">
      <c r="A37" s="2" t="str">
        <v/>
      </c>
      <c r="C37" s="2" t="str">
        <v>bla</v>
      </c>
      <c r="E37" s="2" t="str">
        <v>bla</v>
      </c>
    </row>
    <row r="38" spans="1:5" x14ac:dyDescent="0.2">
      <c r="A38" s="2" t="str">
        <v/>
      </c>
      <c r="C38" s="2" t="str">
        <v>bla</v>
      </c>
      <c r="E38" s="2" t="str">
        <v>bla</v>
      </c>
    </row>
    <row r="39" spans="1:5" x14ac:dyDescent="0.2">
      <c r="A39" s="2" t="str">
        <v>Sweden</v>
      </c>
      <c r="C39" s="2" t="str">
        <v>Sweden</v>
      </c>
      <c r="E39" s="2" t="str">
        <v>Sweden</v>
      </c>
    </row>
    <row r="40" spans="1:5" x14ac:dyDescent="0.2">
      <c r="A40" s="2" t="str">
        <v/>
      </c>
      <c r="C40" s="2" t="str">
        <v>bla</v>
      </c>
      <c r="E40" s="2" t="str">
        <v>bla</v>
      </c>
    </row>
    <row r="41" spans="1:5" x14ac:dyDescent="0.2">
      <c r="A41" s="2" t="str">
        <v>USA</v>
      </c>
      <c r="C41" s="2" t="str">
        <v>USA</v>
      </c>
      <c r="E41" s="2" t="str">
        <v>USA</v>
      </c>
    </row>
    <row r="42" spans="1:5" x14ac:dyDescent="0.2">
      <c r="A42" s="2" t="str">
        <v/>
      </c>
      <c r="C42" s="2" t="e">
        <v>#N/A</v>
      </c>
      <c r="E42" s="2" t="str">
        <v/>
      </c>
    </row>
    <row r="43" spans="1:5" x14ac:dyDescent="0.2">
      <c r="A43" s="2" t="str">
        <v/>
      </c>
      <c r="C43" s="2" t="e">
        <v>#N/A</v>
      </c>
      <c r="E43" s="2" t="str">
        <v/>
      </c>
    </row>
    <row r="44" spans="1:5" x14ac:dyDescent="0.2">
      <c r="A44" s="2" t="str">
        <v/>
      </c>
      <c r="C44" s="2" t="e">
        <v>#N/A</v>
      </c>
      <c r="E44" s="2" t="str">
        <v/>
      </c>
    </row>
    <row r="45" spans="1:5" x14ac:dyDescent="0.2">
      <c r="A45" s="2" t="str">
        <v/>
      </c>
      <c r="C45" s="2" t="e">
        <v>#N/A</v>
      </c>
      <c r="E45" s="2" t="str">
        <v/>
      </c>
    </row>
    <row r="46" spans="1:5" x14ac:dyDescent="0.2">
      <c r="A46" s="2" t="str">
        <v/>
      </c>
      <c r="C46" s="2" t="e">
        <v>#N/A</v>
      </c>
      <c r="E46" s="2" t="str">
        <v/>
      </c>
    </row>
    <row r="47" spans="1:5" x14ac:dyDescent="0.2">
      <c r="A47" s="2" t="str">
        <v/>
      </c>
      <c r="C47" s="2" t="e">
        <v>#N/A</v>
      </c>
      <c r="E47" s="2" t="str">
        <v/>
      </c>
    </row>
    <row r="48" spans="1:5" x14ac:dyDescent="0.2">
      <c r="A48" s="2" t="str">
        <v/>
      </c>
      <c r="C48" s="2" t="e">
        <v>#N/A</v>
      </c>
      <c r="E48" s="2" t="str">
        <v/>
      </c>
    </row>
    <row r="49" spans="1:5" x14ac:dyDescent="0.2">
      <c r="A49" s="2" t="str">
        <v/>
      </c>
      <c r="C49" s="2" t="e">
        <v>#N/A</v>
      </c>
      <c r="E49" s="2" t="str">
        <v/>
      </c>
    </row>
    <row r="50" spans="1:5" x14ac:dyDescent="0.2">
      <c r="A50" s="2" t="str">
        <v/>
      </c>
      <c r="C50" s="2" t="e">
        <v>#N/A</v>
      </c>
      <c r="E50" s="2" t="str">
        <v/>
      </c>
    </row>
    <row r="51" spans="1:5" x14ac:dyDescent="0.2">
      <c r="A51" s="2" t="str">
        <v>England</v>
      </c>
      <c r="C51" s="2" t="str">
        <v>England</v>
      </c>
      <c r="E51" s="2" t="str">
        <v>England</v>
      </c>
    </row>
    <row r="52" spans="1:5" x14ac:dyDescent="0.2">
      <c r="A52" s="2" t="str">
        <v/>
      </c>
      <c r="C52" s="2" t="e">
        <v>#N/A</v>
      </c>
      <c r="E52" s="2" t="str">
        <v/>
      </c>
    </row>
    <row r="53" spans="1:5" x14ac:dyDescent="0.2">
      <c r="A53" s="2" t="str">
        <v>Germany</v>
      </c>
      <c r="C53" s="2" t="str">
        <v>Germany</v>
      </c>
      <c r="E53" s="2" t="str">
        <v>Germany</v>
      </c>
    </row>
    <row r="54" spans="1:5" x14ac:dyDescent="0.2">
      <c r="A54" s="2" t="str">
        <v>Japan</v>
      </c>
      <c r="C54" s="2" t="str">
        <v>Japan</v>
      </c>
      <c r="E54" s="2" t="str">
        <v>Japan</v>
      </c>
    </row>
    <row r="55" spans="1:5" x14ac:dyDescent="0.2">
      <c r="A55" s="2" t="str">
        <v/>
      </c>
      <c r="C55" s="2" t="e">
        <v>#N/A</v>
      </c>
      <c r="E55" s="2" t="str">
        <v/>
      </c>
    </row>
    <row r="56" spans="1:5" x14ac:dyDescent="0.2">
      <c r="A56" s="2" t="str">
        <v/>
      </c>
      <c r="C56" s="2" t="e">
        <v>#N/A</v>
      </c>
      <c r="E56" s="2" t="str">
        <v/>
      </c>
    </row>
    <row r="57" spans="1:5" hidden="1" x14ac:dyDescent="0.2">
      <c r="A57" s="2" t="str">
        <v/>
      </c>
      <c r="C57" s="2" t="e">
        <v>#N/A</v>
      </c>
      <c r="E57" s="2" t="str">
        <v/>
      </c>
    </row>
    <row r="58" spans="1:5" hidden="1" x14ac:dyDescent="0.2">
      <c r="A58" s="2" t="str">
        <v/>
      </c>
      <c r="C58" s="2" t="e">
        <v>#N/A</v>
      </c>
      <c r="E58" s="2" t="str">
        <v/>
      </c>
    </row>
    <row r="59" spans="1:5" hidden="1" x14ac:dyDescent="0.2">
      <c r="A59" s="2" t="str">
        <v/>
      </c>
      <c r="C59" s="2" t="e">
        <v>#N/A</v>
      </c>
      <c r="E59" s="2" t="str">
        <v/>
      </c>
    </row>
    <row r="60" spans="1:5" hidden="1" x14ac:dyDescent="0.2">
      <c r="A60" s="2" t="str">
        <v/>
      </c>
      <c r="C60" s="2" t="e">
        <v>#N/A</v>
      </c>
      <c r="E60" s="2" t="str">
        <v/>
      </c>
    </row>
    <row r="61" spans="1:5" hidden="1" x14ac:dyDescent="0.2">
      <c r="A61" s="2" t="str">
        <v/>
      </c>
      <c r="C61" s="2" t="e">
        <v>#N/A</v>
      </c>
      <c r="E61" s="2" t="str">
        <v/>
      </c>
    </row>
    <row r="62" spans="1:5" hidden="1" x14ac:dyDescent="0.2">
      <c r="A62" s="2" t="str">
        <v/>
      </c>
      <c r="C62" s="2" t="e">
        <v>#N/A</v>
      </c>
      <c r="E62" s="2" t="str">
        <v/>
      </c>
    </row>
    <row r="63" spans="1:5" hidden="1" x14ac:dyDescent="0.2">
      <c r="A63" s="2" t="str">
        <v/>
      </c>
      <c r="C63" s="2" t="e">
        <v>#N/A</v>
      </c>
      <c r="E63" s="2" t="str">
        <v/>
      </c>
    </row>
    <row r="64" spans="1:5" hidden="1" x14ac:dyDescent="0.2">
      <c r="A64" s="2" t="str">
        <v/>
      </c>
      <c r="C64" s="2" t="e">
        <v>#N/A</v>
      </c>
      <c r="E64" s="2" t="str">
        <v/>
      </c>
    </row>
    <row r="65" spans="1:5" hidden="1" x14ac:dyDescent="0.2">
      <c r="A65" s="2" t="str">
        <v>USA</v>
      </c>
      <c r="C65" s="2" t="str">
        <v>USA</v>
      </c>
      <c r="E65" s="2" t="str">
        <v>USA</v>
      </c>
    </row>
    <row r="66" spans="1:5" hidden="1" x14ac:dyDescent="0.2">
      <c r="A66" s="2" t="str">
        <v/>
      </c>
      <c r="C66" s="2" t="e">
        <v>#N/A</v>
      </c>
      <c r="E66" s="2" t="str">
        <v/>
      </c>
    </row>
    <row r="67" spans="1:5" hidden="1" x14ac:dyDescent="0.2">
      <c r="A67" s="2" t="str">
        <v/>
      </c>
      <c r="C67" s="2" t="e">
        <v>#N/A</v>
      </c>
      <c r="E67" s="2" t="str">
        <v/>
      </c>
    </row>
    <row r="68" spans="1:5" hidden="1" x14ac:dyDescent="0.2">
      <c r="A68" s="2" t="str">
        <v/>
      </c>
      <c r="C68" s="2" t="e">
        <v>#N/A</v>
      </c>
      <c r="E68" s="2" t="str">
        <v/>
      </c>
    </row>
    <row r="69" spans="1:5" hidden="1" x14ac:dyDescent="0.2">
      <c r="A69" s="2" t="str">
        <v/>
      </c>
      <c r="C69" s="2" t="e">
        <v>#N/A</v>
      </c>
      <c r="E69" s="2" t="str">
        <v/>
      </c>
    </row>
    <row r="70" spans="1:5" hidden="1" x14ac:dyDescent="0.2">
      <c r="A70" s="2" t="str">
        <v/>
      </c>
      <c r="C70" s="2" t="e">
        <v>#N/A</v>
      </c>
      <c r="E70" s="2" t="str">
        <v/>
      </c>
    </row>
    <row r="71" spans="1:5" hidden="1" x14ac:dyDescent="0.2">
      <c r="A71" s="2" t="str">
        <v/>
      </c>
      <c r="C71" s="2" t="e">
        <v>#N/A</v>
      </c>
      <c r="E71" s="2" t="str">
        <v/>
      </c>
    </row>
    <row r="72" spans="1:5" hidden="1" x14ac:dyDescent="0.2">
      <c r="A72" s="2" t="str">
        <v/>
      </c>
      <c r="C72" s="2" t="e">
        <v>#N/A</v>
      </c>
      <c r="E72" s="2" t="str">
        <v/>
      </c>
    </row>
    <row r="73" spans="1:5" hidden="1" x14ac:dyDescent="0.2">
      <c r="A73" s="2" t="str">
        <v/>
      </c>
      <c r="C73" s="2" t="e">
        <v>#N/A</v>
      </c>
      <c r="E73" s="2" t="str">
        <v/>
      </c>
    </row>
    <row r="74" spans="1:5" hidden="1" x14ac:dyDescent="0.2">
      <c r="A74" s="2" t="str">
        <v/>
      </c>
      <c r="C74" s="2" t="e">
        <v>#N/A</v>
      </c>
      <c r="E74" s="2" t="str">
        <v/>
      </c>
    </row>
    <row r="75" spans="1:5" hidden="1" x14ac:dyDescent="0.2">
      <c r="A75" s="2" t="str">
        <v/>
      </c>
      <c r="C75" s="2" t="e">
        <v>#N/A</v>
      </c>
      <c r="E75" s="2" t="str">
        <v/>
      </c>
    </row>
    <row r="76" spans="1:5" hidden="1" x14ac:dyDescent="0.2">
      <c r="A76" s="2" t="str">
        <v/>
      </c>
      <c r="C76" s="2" t="e">
        <v>#N/A</v>
      </c>
      <c r="E76" s="2" t="str">
        <v/>
      </c>
    </row>
    <row r="77" spans="1:5" hidden="1" x14ac:dyDescent="0.2">
      <c r="A77" s="2" t="str">
        <v/>
      </c>
      <c r="C77" s="2" t="e">
        <v>#N/A</v>
      </c>
      <c r="E77" s="2" t="str">
        <v/>
      </c>
    </row>
    <row r="78" spans="1:5" hidden="1" x14ac:dyDescent="0.2">
      <c r="A78" s="2" t="str">
        <v/>
      </c>
      <c r="C78" s="2" t="e">
        <v>#N/A</v>
      </c>
      <c r="E78" s="2" t="str">
        <v/>
      </c>
    </row>
    <row r="79" spans="1:5" hidden="1" x14ac:dyDescent="0.2">
      <c r="A79" s="2" t="str">
        <v/>
      </c>
      <c r="C79" s="2" t="e">
        <v>#N/A</v>
      </c>
      <c r="E79" s="2" t="str">
        <v/>
      </c>
    </row>
    <row r="80" spans="1:5" hidden="1" x14ac:dyDescent="0.2">
      <c r="A80" s="2" t="str">
        <v/>
      </c>
      <c r="C80" s="2" t="e">
        <v>#N/A</v>
      </c>
      <c r="E80" s="2" t="str">
        <v/>
      </c>
    </row>
    <row r="81" spans="1:5" hidden="1" x14ac:dyDescent="0.2">
      <c r="A81" s="2" t="str">
        <v/>
      </c>
      <c r="C81" s="2" t="e">
        <v>#N/A</v>
      </c>
      <c r="E81" s="2" t="str">
        <v/>
      </c>
    </row>
    <row r="82" spans="1:5" hidden="1" x14ac:dyDescent="0.2">
      <c r="A82" s="2" t="str">
        <v/>
      </c>
      <c r="C82" s="2" t="e">
        <v>#N/A</v>
      </c>
      <c r="E82" s="2" t="str">
        <v/>
      </c>
    </row>
    <row r="83" spans="1:5" hidden="1" x14ac:dyDescent="0.2">
      <c r="A83" s="2" t="str">
        <v/>
      </c>
      <c r="C83" s="2" t="e">
        <v>#N/A</v>
      </c>
      <c r="E83" s="2" t="str">
        <v/>
      </c>
    </row>
    <row r="84" spans="1:5" hidden="1" x14ac:dyDescent="0.2">
      <c r="A84" s="2" t="str">
        <v/>
      </c>
      <c r="C84" s="2" t="e">
        <v>#N/A</v>
      </c>
      <c r="E84" s="2" t="str">
        <v/>
      </c>
    </row>
    <row r="85" spans="1:5" hidden="1" x14ac:dyDescent="0.2">
      <c r="A85" s="2" t="str">
        <v/>
      </c>
      <c r="C85" s="2" t="e">
        <v>#N/A</v>
      </c>
      <c r="E85" s="2" t="str">
        <v/>
      </c>
    </row>
    <row r="86" spans="1:5" hidden="1" x14ac:dyDescent="0.2">
      <c r="A86" s="2" t="str">
        <v/>
      </c>
      <c r="C86" s="2" t="e">
        <v>#N/A</v>
      </c>
      <c r="E86" s="2" t="str">
        <v/>
      </c>
    </row>
    <row r="87" spans="1:5" hidden="1" x14ac:dyDescent="0.2">
      <c r="A87" s="2" t="str">
        <v/>
      </c>
      <c r="C87" s="2" t="e">
        <v>#N/A</v>
      </c>
      <c r="E87" s="2" t="str">
        <v/>
      </c>
    </row>
    <row r="88" spans="1:5" hidden="1" x14ac:dyDescent="0.2">
      <c r="A88" s="2" t="str">
        <v/>
      </c>
      <c r="C88" s="2" t="e">
        <v>#N/A</v>
      </c>
      <c r="E88" s="2" t="str">
        <v/>
      </c>
    </row>
    <row r="89" spans="1:5" hidden="1" x14ac:dyDescent="0.2">
      <c r="A89" s="2" t="str">
        <v/>
      </c>
      <c r="C89" s="2" t="e">
        <v>#N/A</v>
      </c>
      <c r="E89" s="2" t="str">
        <v/>
      </c>
    </row>
    <row r="90" spans="1:5" hidden="1" x14ac:dyDescent="0.2">
      <c r="A90" s="2" t="str">
        <v/>
      </c>
      <c r="C90" s="2" t="e">
        <v>#N/A</v>
      </c>
      <c r="E90" s="2" t="str">
        <v/>
      </c>
    </row>
    <row r="91" spans="1:5" hidden="1" x14ac:dyDescent="0.2">
      <c r="A91" s="2" t="str">
        <v/>
      </c>
      <c r="C91" s="2" t="e">
        <v>#N/A</v>
      </c>
      <c r="E91" s="2" t="str">
        <v/>
      </c>
    </row>
    <row r="92" spans="1:5" hidden="1" x14ac:dyDescent="0.2">
      <c r="A92" s="2" t="str">
        <v/>
      </c>
      <c r="C92" s="2" t="e">
        <v>#N/A</v>
      </c>
      <c r="E92" s="2" t="str">
        <v/>
      </c>
    </row>
    <row r="93" spans="1:5" hidden="1" x14ac:dyDescent="0.2">
      <c r="A93" s="2" t="str">
        <v/>
      </c>
      <c r="C93" s="2" t="e">
        <v>#N/A</v>
      </c>
      <c r="E93" s="2" t="str">
        <v/>
      </c>
    </row>
    <row r="94" spans="1:5" hidden="1" x14ac:dyDescent="0.2">
      <c r="A94" s="2" t="str">
        <v/>
      </c>
      <c r="C94" s="2" t="e">
        <v>#N/A</v>
      </c>
      <c r="E94" s="2" t="str">
        <v/>
      </c>
    </row>
    <row r="95" spans="1:5" hidden="1" x14ac:dyDescent="0.2">
      <c r="A95" s="2" t="str">
        <v/>
      </c>
      <c r="C95" s="2" t="e">
        <v>#N/A</v>
      </c>
      <c r="E95" s="2" t="str">
        <v/>
      </c>
    </row>
    <row r="96" spans="1:5" hidden="1" x14ac:dyDescent="0.2">
      <c r="A96" s="2" t="str">
        <v/>
      </c>
      <c r="C96" s="2" t="e">
        <v>#N/A</v>
      </c>
      <c r="E96" s="2" t="str">
        <v/>
      </c>
    </row>
    <row r="97" spans="1:5" hidden="1" x14ac:dyDescent="0.2">
      <c r="A97" s="2" t="str">
        <v/>
      </c>
      <c r="C97" s="2" t="e">
        <v>#N/A</v>
      </c>
      <c r="E97" s="2" t="str">
        <v/>
      </c>
    </row>
    <row r="98" spans="1:5" hidden="1" x14ac:dyDescent="0.2">
      <c r="A98" s="2" t="str">
        <v/>
      </c>
      <c r="C98" s="2" t="e">
        <v>#N/A</v>
      </c>
      <c r="E98" s="2" t="str">
        <v/>
      </c>
    </row>
    <row r="99" spans="1:5" hidden="1" x14ac:dyDescent="0.2">
      <c r="A99" s="2" t="str">
        <v/>
      </c>
      <c r="C99" s="2" t="e">
        <v>#N/A</v>
      </c>
      <c r="E99" s="2" t="str">
        <v/>
      </c>
    </row>
    <row r="100" spans="1:5" hidden="1" x14ac:dyDescent="0.2">
      <c r="A100" s="2" t="str">
        <v/>
      </c>
      <c r="C100" s="2" t="e">
        <v>#N/A</v>
      </c>
      <c r="E100" s="2" t="str">
        <v/>
      </c>
    </row>
    <row r="101" spans="1:5" hidden="1" x14ac:dyDescent="0.2">
      <c r="A101" s="2" t="str">
        <v/>
      </c>
      <c r="C101" s="2" t="e">
        <v>#N/A</v>
      </c>
      <c r="E101" s="2" t="str">
        <v/>
      </c>
    </row>
    <row r="102" spans="1:5" hidden="1" x14ac:dyDescent="0.2">
      <c r="A102" s="2" t="str">
        <v/>
      </c>
      <c r="C102" s="2" t="e">
        <v>#N/A</v>
      </c>
      <c r="E102" s="2" t="str">
        <v/>
      </c>
    </row>
    <row r="103" spans="1:5" hidden="1" x14ac:dyDescent="0.2">
      <c r="A103" s="2" t="str">
        <v/>
      </c>
      <c r="C103" s="2" t="e">
        <v>#N/A</v>
      </c>
      <c r="E103" s="2" t="str">
        <v/>
      </c>
    </row>
    <row r="104" spans="1:5" hidden="1" x14ac:dyDescent="0.2">
      <c r="A104" s="2" t="str">
        <v/>
      </c>
      <c r="C104" s="2" t="e">
        <v>#N/A</v>
      </c>
      <c r="E104" s="2" t="str">
        <v/>
      </c>
    </row>
    <row r="105" spans="1:5" hidden="1" x14ac:dyDescent="0.2">
      <c r="A105" s="2" t="str">
        <v/>
      </c>
      <c r="C105" s="2" t="e">
        <v>#N/A</v>
      </c>
      <c r="E105" s="2" t="str">
        <v/>
      </c>
    </row>
    <row r="106" spans="1:5" hidden="1" x14ac:dyDescent="0.2">
      <c r="A106" s="2" t="str">
        <v/>
      </c>
      <c r="C106" s="2" t="e">
        <v>#N/A</v>
      </c>
      <c r="E106" s="2" t="str">
        <v/>
      </c>
    </row>
    <row r="107" spans="1:5" hidden="1" x14ac:dyDescent="0.2">
      <c r="A107" s="2" t="str">
        <v/>
      </c>
      <c r="C107" s="2" t="e">
        <v>#N/A</v>
      </c>
      <c r="E107" s="2" t="str">
        <v/>
      </c>
    </row>
    <row r="108" spans="1:5" hidden="1" x14ac:dyDescent="0.2">
      <c r="A108" s="2" t="str">
        <v/>
      </c>
      <c r="C108" s="2" t="e">
        <v>#N/A</v>
      </c>
      <c r="E108" s="2" t="str">
        <v/>
      </c>
    </row>
    <row r="109" spans="1:5" hidden="1" x14ac:dyDescent="0.2">
      <c r="A109" s="2" t="str">
        <v/>
      </c>
      <c r="C109" s="2" t="e">
        <v>#N/A</v>
      </c>
      <c r="E109" s="2" t="str">
        <v/>
      </c>
    </row>
    <row r="110" spans="1:5" hidden="1" x14ac:dyDescent="0.2">
      <c r="A110" s="2" t="str">
        <v/>
      </c>
      <c r="C110" s="2" t="e">
        <v>#N/A</v>
      </c>
      <c r="E110" s="2" t="str">
        <v/>
      </c>
    </row>
    <row r="111" spans="1:5" hidden="1" x14ac:dyDescent="0.2">
      <c r="A111" s="2" t="str">
        <v/>
      </c>
      <c r="C111" s="2" t="e">
        <v>#N/A</v>
      </c>
      <c r="E111" s="2" t="str">
        <v/>
      </c>
    </row>
    <row r="112" spans="1:5" hidden="1" x14ac:dyDescent="0.2">
      <c r="A112" s="2" t="str">
        <v/>
      </c>
      <c r="C112" s="2" t="e">
        <v>#N/A</v>
      </c>
      <c r="E112" s="2" t="str">
        <v/>
      </c>
    </row>
    <row r="113" spans="1:5" hidden="1" x14ac:dyDescent="0.2">
      <c r="A113" s="2" t="str">
        <v/>
      </c>
      <c r="C113" s="2" t="e">
        <v>#N/A</v>
      </c>
      <c r="E113" s="2" t="str">
        <v/>
      </c>
    </row>
    <row r="114" spans="1:5" hidden="1" x14ac:dyDescent="0.2">
      <c r="A114" s="2" t="str">
        <v/>
      </c>
      <c r="C114" s="2" t="e">
        <v>#N/A</v>
      </c>
      <c r="E114" s="2" t="str">
        <v/>
      </c>
    </row>
    <row r="115" spans="1:5" hidden="1" x14ac:dyDescent="0.2">
      <c r="A115" s="2" t="str">
        <v/>
      </c>
      <c r="C115" s="2" t="e">
        <v>#N/A</v>
      </c>
      <c r="E115" s="2" t="str">
        <v/>
      </c>
    </row>
    <row r="116" spans="1:5" hidden="1" x14ac:dyDescent="0.2">
      <c r="A116" s="2" t="str">
        <v/>
      </c>
      <c r="C116" s="2" t="e">
        <v>#N/A</v>
      </c>
      <c r="E116" s="2" t="str">
        <v/>
      </c>
    </row>
    <row r="117" spans="1:5" hidden="1" x14ac:dyDescent="0.2">
      <c r="A117" s="2" t="str">
        <v/>
      </c>
      <c r="C117" s="2" t="e">
        <v>#N/A</v>
      </c>
      <c r="E117" s="2" t="str">
        <v/>
      </c>
    </row>
    <row r="118" spans="1:5" hidden="1" x14ac:dyDescent="0.2">
      <c r="A118" s="2" t="str">
        <v/>
      </c>
      <c r="C118" s="2" t="e">
        <v>#N/A</v>
      </c>
      <c r="E118" s="2" t="str">
        <v/>
      </c>
    </row>
    <row r="119" spans="1:5" hidden="1" x14ac:dyDescent="0.2">
      <c r="A119" s="2" t="str">
        <v/>
      </c>
      <c r="C119" s="2" t="e">
        <v>#N/A</v>
      </c>
      <c r="E119" s="2" t="str">
        <v/>
      </c>
    </row>
    <row r="120" spans="1:5" hidden="1" x14ac:dyDescent="0.2">
      <c r="A120" s="2" t="str">
        <v/>
      </c>
      <c r="C120" s="2" t="e">
        <v>#N/A</v>
      </c>
      <c r="E120" s="2" t="str">
        <v/>
      </c>
    </row>
    <row r="121" spans="1:5" hidden="1" x14ac:dyDescent="0.2">
      <c r="A121" s="2" t="str">
        <v/>
      </c>
      <c r="C121" s="2" t="e">
        <v>#N/A</v>
      </c>
      <c r="E121" s="2" t="str">
        <v/>
      </c>
    </row>
    <row r="122" spans="1:5" hidden="1" x14ac:dyDescent="0.2">
      <c r="A122" s="2" t="str">
        <v/>
      </c>
      <c r="C122" s="2" t="e">
        <v>#N/A</v>
      </c>
      <c r="E122" s="2" t="str">
        <v/>
      </c>
    </row>
    <row r="123" spans="1:5" hidden="1" x14ac:dyDescent="0.2">
      <c r="A123" s="2" t="str">
        <v/>
      </c>
      <c r="C123" s="2" t="e">
        <v>#N/A</v>
      </c>
      <c r="E123" s="2" t="str">
        <v/>
      </c>
    </row>
    <row r="124" spans="1:5" hidden="1" x14ac:dyDescent="0.2">
      <c r="A124" s="2" t="str">
        <v/>
      </c>
      <c r="C124" s="2" t="e">
        <v>#N/A</v>
      </c>
      <c r="E124" s="2" t="str">
        <v/>
      </c>
    </row>
    <row r="125" spans="1:5" hidden="1" x14ac:dyDescent="0.2">
      <c r="A125" s="2" t="str">
        <v/>
      </c>
      <c r="C125" s="2" t="e">
        <v>#N/A</v>
      </c>
      <c r="E125" s="2" t="str">
        <v/>
      </c>
    </row>
    <row r="126" spans="1:5" hidden="1" x14ac:dyDescent="0.2">
      <c r="A126" s="2" t="str">
        <v/>
      </c>
      <c r="C126" s="2" t="e">
        <v>#N/A</v>
      </c>
      <c r="E126" s="2" t="str">
        <v/>
      </c>
    </row>
    <row r="127" spans="1:5" hidden="1" x14ac:dyDescent="0.2">
      <c r="A127" s="2" t="str">
        <v/>
      </c>
      <c r="C127" s="2" t="e">
        <v>#N/A</v>
      </c>
      <c r="E127" s="2" t="str">
        <v/>
      </c>
    </row>
    <row r="128" spans="1:5" hidden="1" x14ac:dyDescent="0.2">
      <c r="A128" s="2" t="str">
        <v/>
      </c>
      <c r="C128" s="2" t="e">
        <v>#N/A</v>
      </c>
      <c r="E128" s="2" t="str">
        <v/>
      </c>
    </row>
    <row r="129" spans="1:5" hidden="1" x14ac:dyDescent="0.2">
      <c r="A129" s="2" t="str">
        <v/>
      </c>
      <c r="C129" s="2" t="e">
        <v>#N/A</v>
      </c>
      <c r="E129" s="2" t="str">
        <v/>
      </c>
    </row>
    <row r="130" spans="1:5" hidden="1" x14ac:dyDescent="0.2">
      <c r="A130" s="2" t="str">
        <v/>
      </c>
      <c r="C130" s="2" t="e">
        <v>#N/A</v>
      </c>
      <c r="E130" s="2" t="str">
        <v/>
      </c>
    </row>
    <row r="131" spans="1:5" hidden="1" x14ac:dyDescent="0.2">
      <c r="A131" s="2" t="str">
        <v/>
      </c>
      <c r="C131" s="2" t="e">
        <v>#N/A</v>
      </c>
      <c r="E131" s="2" t="str">
        <v/>
      </c>
    </row>
    <row r="132" spans="1:5" hidden="1" x14ac:dyDescent="0.2">
      <c r="A132" s="2" t="str">
        <v/>
      </c>
      <c r="C132" s="2" t="e">
        <v>#N/A</v>
      </c>
      <c r="E132" s="2" t="str">
        <v/>
      </c>
    </row>
    <row r="133" spans="1:5" hidden="1" x14ac:dyDescent="0.2">
      <c r="A133" s="2" t="str">
        <v/>
      </c>
      <c r="C133" s="2" t="e">
        <v>#N/A</v>
      </c>
      <c r="E133" s="2" t="str">
        <v/>
      </c>
    </row>
    <row r="134" spans="1:5" hidden="1" x14ac:dyDescent="0.2">
      <c r="A134" s="2" t="str">
        <v/>
      </c>
      <c r="C134" s="2" t="e">
        <v>#N/A</v>
      </c>
      <c r="E134" s="2" t="str">
        <v/>
      </c>
    </row>
    <row r="135" spans="1:5" hidden="1" x14ac:dyDescent="0.2">
      <c r="A135" s="2" t="str">
        <v/>
      </c>
      <c r="C135" s="2" t="e">
        <v>#N/A</v>
      </c>
      <c r="E135" s="2" t="str">
        <v/>
      </c>
    </row>
    <row r="136" spans="1:5" hidden="1" x14ac:dyDescent="0.2">
      <c r="A136" s="2" t="str">
        <v/>
      </c>
      <c r="C136" s="2" t="e">
        <v>#N/A</v>
      </c>
      <c r="E136" s="2" t="str">
        <v/>
      </c>
    </row>
    <row r="137" spans="1:5" hidden="1" x14ac:dyDescent="0.2">
      <c r="A137" s="2" t="str">
        <v/>
      </c>
      <c r="C137" s="2" t="e">
        <v>#N/A</v>
      </c>
      <c r="E137" s="2" t="str">
        <v/>
      </c>
    </row>
    <row r="138" spans="1:5" hidden="1" x14ac:dyDescent="0.2">
      <c r="A138" s="2" t="str">
        <v/>
      </c>
      <c r="C138" s="2" t="e">
        <v>#N/A</v>
      </c>
      <c r="E138" s="2" t="str">
        <v/>
      </c>
    </row>
    <row r="139" spans="1:5" hidden="1" x14ac:dyDescent="0.2">
      <c r="A139" s="2" t="str">
        <v/>
      </c>
      <c r="C139" s="2" t="e">
        <v>#N/A</v>
      </c>
      <c r="E139" s="2" t="str">
        <v/>
      </c>
    </row>
    <row r="140" spans="1:5" hidden="1" x14ac:dyDescent="0.2">
      <c r="A140" s="2" t="str">
        <v/>
      </c>
      <c r="C140" s="2" t="e">
        <v>#N/A</v>
      </c>
      <c r="E140" s="2" t="str">
        <v/>
      </c>
    </row>
    <row r="141" spans="1:5" hidden="1" x14ac:dyDescent="0.2">
      <c r="A141" s="2" t="str">
        <v/>
      </c>
      <c r="C141" s="2" t="e">
        <v>#N/A</v>
      </c>
      <c r="E141" s="2" t="str">
        <v/>
      </c>
    </row>
    <row r="142" spans="1:5" hidden="1" x14ac:dyDescent="0.2">
      <c r="A142" s="2" t="str">
        <v/>
      </c>
      <c r="C142" s="2" t="e">
        <v>#N/A</v>
      </c>
      <c r="E142" s="2" t="str">
        <v/>
      </c>
    </row>
    <row r="143" spans="1:5" hidden="1" x14ac:dyDescent="0.2">
      <c r="A143" s="2" t="str">
        <v/>
      </c>
      <c r="C143" s="2" t="e">
        <v>#N/A</v>
      </c>
      <c r="E143" s="2" t="str">
        <v/>
      </c>
    </row>
    <row r="144" spans="1:5" hidden="1" x14ac:dyDescent="0.2">
      <c r="A144" s="2" t="str">
        <v/>
      </c>
      <c r="C144" s="2" t="e">
        <v>#N/A</v>
      </c>
      <c r="E144" s="2" t="str">
        <v/>
      </c>
    </row>
    <row r="145" spans="1:9" hidden="1" x14ac:dyDescent="0.2">
      <c r="A145" s="2" t="str">
        <v/>
      </c>
      <c r="C145" s="2" t="e">
        <v>#N/A</v>
      </c>
      <c r="E145" s="2" t="str">
        <v/>
      </c>
    </row>
    <row r="146" spans="1:9" hidden="1" x14ac:dyDescent="0.2">
      <c r="A146" s="2" t="str">
        <v/>
      </c>
      <c r="C146" s="2" t="e">
        <v>#N/A</v>
      </c>
      <c r="E146" s="2" t="str">
        <v/>
      </c>
    </row>
    <row r="147" spans="1:9" hidden="1" x14ac:dyDescent="0.2">
      <c r="A147" s="2" t="str">
        <v/>
      </c>
      <c r="C147" s="2" t="e">
        <v>#N/A</v>
      </c>
      <c r="E147" s="2" t="str">
        <v/>
      </c>
    </row>
    <row r="148" spans="1:9" hidden="1" x14ac:dyDescent="0.2">
      <c r="A148" s="2" t="str">
        <v/>
      </c>
      <c r="C148" s="2" t="e">
        <v>#N/A</v>
      </c>
      <c r="E148" s="2" t="str">
        <v/>
      </c>
    </row>
    <row r="149" spans="1:9" hidden="1" x14ac:dyDescent="0.2">
      <c r="A149" s="2" t="str">
        <v/>
      </c>
      <c r="C149" s="2" t="e">
        <v>#N/A</v>
      </c>
      <c r="E149" s="2" t="str">
        <v/>
      </c>
    </row>
    <row r="150" spans="1:9" hidden="1" x14ac:dyDescent="0.2">
      <c r="A150" s="2" t="str">
        <v/>
      </c>
      <c r="C150" s="2" t="e">
        <v>#N/A</v>
      </c>
      <c r="E150" s="2" t="str">
        <v/>
      </c>
    </row>
    <row r="151" spans="1:9" hidden="1" x14ac:dyDescent="0.2">
      <c r="A151" s="2" t="str">
        <v/>
      </c>
      <c r="C151" s="2" t="e">
        <v>#N/A</v>
      </c>
      <c r="E151" s="2" t="str">
        <v/>
      </c>
    </row>
    <row r="152" spans="1:9" hidden="1" x14ac:dyDescent="0.2">
      <c r="A152" s="2" t="str">
        <v/>
      </c>
      <c r="C152" s="2" t="e">
        <v>#N/A</v>
      </c>
      <c r="E152" s="2" t="str">
        <v/>
      </c>
    </row>
    <row r="153" spans="1:9" hidden="1" x14ac:dyDescent="0.2">
      <c r="A153" s="2" t="str">
        <v/>
      </c>
      <c r="C153" s="2" t="e">
        <v>#N/A</v>
      </c>
      <c r="E153" s="2" t="str">
        <v/>
      </c>
    </row>
    <row r="155" spans="1:9" s="1" customFormat="1" x14ac:dyDescent="0.2"/>
    <row r="156" spans="1:9" x14ac:dyDescent="0.2">
      <c r="A156" s="12" t="s">
        <v>312</v>
      </c>
    </row>
    <row r="158" spans="1:9" x14ac:dyDescent="0.2">
      <c r="A158" t="s">
        <v>87</v>
      </c>
    </row>
    <row r="160" spans="1:9" x14ac:dyDescent="0.2">
      <c r="A160" s="2" cm="1">
        <f t="array" ref="A160:C162">TRANSPOSE(B3:D5)</f>
        <v>1</v>
      </c>
      <c r="B160" s="2">
        <v>4</v>
      </c>
      <c r="C160" s="2">
        <v>7</v>
      </c>
      <c r="E160" s="2" cm="1">
        <f t="array" ref="E160:E162">TRANSPOSE(B3:D3)</f>
        <v>1</v>
      </c>
      <c r="G160" s="2" cm="1">
        <f t="array" ref="G160:I160">TRANSPOSE(B3:B5)</f>
        <v>1</v>
      </c>
      <c r="H160" s="2">
        <v>4</v>
      </c>
      <c r="I160" s="2">
        <v>7</v>
      </c>
    </row>
    <row r="161" spans="1:5" x14ac:dyDescent="0.2">
      <c r="A161" s="2">
        <v>2</v>
      </c>
      <c r="B161" s="2">
        <v>5</v>
      </c>
      <c r="C161" s="2">
        <v>8</v>
      </c>
      <c r="E161" s="2">
        <v>2</v>
      </c>
    </row>
    <row r="162" spans="1:5" x14ac:dyDescent="0.2">
      <c r="A162" s="2">
        <v>3</v>
      </c>
      <c r="B162" s="2">
        <v>6</v>
      </c>
      <c r="C162" s="2">
        <v>9</v>
      </c>
      <c r="E162" s="2">
        <v>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EDE5D-C871-8D4D-9790-B15AEBF21742}">
  <sheetPr codeName="Sheet4"/>
  <dimension ref="A1:C40"/>
  <sheetViews>
    <sheetView topLeftCell="B4" workbookViewId="0">
      <selection activeCell="B4" sqref="B4"/>
    </sheetView>
  </sheetViews>
  <sheetFormatPr baseColWidth="10" defaultColWidth="11" defaultRowHeight="16" x14ac:dyDescent="0.2"/>
  <cols>
    <col min="1" max="1" width="13" bestFit="1" customWidth="1"/>
    <col min="2" max="2" width="21.1640625" bestFit="1" customWidth="1"/>
    <col min="3" max="3" width="11.83203125" bestFit="1" customWidth="1"/>
    <col min="4" max="4" width="11.1640625" bestFit="1" customWidth="1"/>
  </cols>
  <sheetData>
    <row r="1" spans="1:3" x14ac:dyDescent="0.2">
      <c r="A1" s="62" t="s">
        <v>24</v>
      </c>
      <c r="B1" t="s">
        <v>88</v>
      </c>
    </row>
    <row r="3" spans="1:3" x14ac:dyDescent="0.2">
      <c r="A3" s="62" t="s">
        <v>89</v>
      </c>
      <c r="B3" t="s">
        <v>90</v>
      </c>
      <c r="C3" t="s">
        <v>91</v>
      </c>
    </row>
    <row r="4" spans="1:3" x14ac:dyDescent="0.2">
      <c r="A4" s="63" t="s">
        <v>44</v>
      </c>
      <c r="B4">
        <v>9</v>
      </c>
      <c r="C4">
        <v>4</v>
      </c>
    </row>
    <row r="5" spans="1:3" x14ac:dyDescent="0.2">
      <c r="A5" s="63" t="s">
        <v>45</v>
      </c>
      <c r="B5">
        <v>26</v>
      </c>
      <c r="C5">
        <v>37</v>
      </c>
    </row>
    <row r="6" spans="1:3" x14ac:dyDescent="0.2">
      <c r="A6" s="63" t="s">
        <v>46</v>
      </c>
      <c r="B6">
        <v>34</v>
      </c>
      <c r="C6">
        <v>65</v>
      </c>
    </row>
    <row r="7" spans="1:3" x14ac:dyDescent="0.2">
      <c r="A7" s="63" t="s">
        <v>70</v>
      </c>
      <c r="B7">
        <v>3</v>
      </c>
      <c r="C7">
        <v>3</v>
      </c>
    </row>
    <row r="8" spans="1:3" x14ac:dyDescent="0.2">
      <c r="A8" s="63" t="s">
        <v>47</v>
      </c>
      <c r="B8">
        <v>8</v>
      </c>
      <c r="C8">
        <v>12</v>
      </c>
    </row>
    <row r="9" spans="1:3" x14ac:dyDescent="0.2">
      <c r="A9" s="63" t="s">
        <v>48</v>
      </c>
      <c r="B9">
        <v>27</v>
      </c>
      <c r="C9">
        <v>34</v>
      </c>
    </row>
    <row r="10" spans="1:3" x14ac:dyDescent="0.2">
      <c r="A10" s="63" t="s">
        <v>49</v>
      </c>
      <c r="B10">
        <v>3</v>
      </c>
      <c r="C10">
        <v>1</v>
      </c>
    </row>
    <row r="11" spans="1:3" x14ac:dyDescent="0.2">
      <c r="A11" s="63" t="s">
        <v>50</v>
      </c>
      <c r="B11">
        <v>33</v>
      </c>
      <c r="C11">
        <v>53</v>
      </c>
    </row>
    <row r="12" spans="1:3" x14ac:dyDescent="0.2">
      <c r="A12" s="63" t="s">
        <v>79</v>
      </c>
      <c r="B12">
        <v>4</v>
      </c>
      <c r="C12">
        <v>2</v>
      </c>
    </row>
    <row r="13" spans="1:3" x14ac:dyDescent="0.2">
      <c r="A13" s="63" t="s">
        <v>68</v>
      </c>
      <c r="B13">
        <v>7</v>
      </c>
      <c r="C13">
        <v>4</v>
      </c>
    </row>
    <row r="14" spans="1:3" x14ac:dyDescent="0.2">
      <c r="A14" s="63" t="s">
        <v>69</v>
      </c>
      <c r="B14">
        <v>3</v>
      </c>
      <c r="C14">
        <v>3</v>
      </c>
    </row>
    <row r="15" spans="1:3" x14ac:dyDescent="0.2">
      <c r="A15" s="63" t="s">
        <v>76</v>
      </c>
      <c r="B15">
        <v>14</v>
      </c>
      <c r="C15">
        <v>19</v>
      </c>
    </row>
    <row r="16" spans="1:3" x14ac:dyDescent="0.2">
      <c r="A16" s="63" t="s">
        <v>71</v>
      </c>
      <c r="B16">
        <v>3</v>
      </c>
      <c r="C16">
        <v>1</v>
      </c>
    </row>
    <row r="17" spans="1:3" x14ac:dyDescent="0.2">
      <c r="A17" s="63" t="s">
        <v>51</v>
      </c>
      <c r="B17">
        <v>26</v>
      </c>
      <c r="C17">
        <v>42</v>
      </c>
    </row>
    <row r="18" spans="1:3" x14ac:dyDescent="0.2">
      <c r="A18" s="63" t="s">
        <v>74</v>
      </c>
      <c r="B18">
        <v>3</v>
      </c>
      <c r="C18">
        <v>2</v>
      </c>
    </row>
    <row r="19" spans="1:3" x14ac:dyDescent="0.2">
      <c r="A19" s="63" t="s">
        <v>52</v>
      </c>
      <c r="B19">
        <v>19</v>
      </c>
      <c r="C19">
        <v>31</v>
      </c>
    </row>
    <row r="20" spans="1:3" x14ac:dyDescent="0.2">
      <c r="A20" s="63" t="s">
        <v>53</v>
      </c>
      <c r="B20">
        <v>44</v>
      </c>
      <c r="C20">
        <v>119</v>
      </c>
    </row>
    <row r="21" spans="1:3" x14ac:dyDescent="0.2">
      <c r="A21" s="63" t="s">
        <v>77</v>
      </c>
      <c r="B21">
        <v>9</v>
      </c>
      <c r="C21">
        <v>6</v>
      </c>
    </row>
    <row r="22" spans="1:3" x14ac:dyDescent="0.2">
      <c r="A22" s="63" t="s">
        <v>54</v>
      </c>
      <c r="B22">
        <v>12</v>
      </c>
      <c r="C22">
        <v>20</v>
      </c>
    </row>
    <row r="23" spans="1:3" x14ac:dyDescent="0.2">
      <c r="A23" s="63" t="s">
        <v>55</v>
      </c>
      <c r="B23">
        <v>3</v>
      </c>
      <c r="C23">
        <v>1</v>
      </c>
    </row>
    <row r="24" spans="1:3" x14ac:dyDescent="0.2">
      <c r="A24" s="63" t="s">
        <v>56</v>
      </c>
      <c r="B24">
        <v>33</v>
      </c>
      <c r="C24">
        <v>37</v>
      </c>
    </row>
    <row r="25" spans="1:3" x14ac:dyDescent="0.2">
      <c r="A25" s="63" t="s">
        <v>75</v>
      </c>
      <c r="B25">
        <v>13</v>
      </c>
      <c r="C25">
        <v>12</v>
      </c>
    </row>
    <row r="26" spans="1:3" x14ac:dyDescent="0.2">
      <c r="A26" s="63" t="s">
        <v>57</v>
      </c>
      <c r="B26">
        <v>10</v>
      </c>
      <c r="C26">
        <v>6</v>
      </c>
    </row>
    <row r="27" spans="1:3" x14ac:dyDescent="0.2">
      <c r="A27" s="63" t="s">
        <v>72</v>
      </c>
      <c r="B27">
        <v>9</v>
      </c>
      <c r="C27">
        <v>6</v>
      </c>
    </row>
    <row r="28" spans="1:3" x14ac:dyDescent="0.2">
      <c r="A28" s="63" t="s">
        <v>58</v>
      </c>
      <c r="B28">
        <v>11</v>
      </c>
      <c r="C28">
        <v>14</v>
      </c>
    </row>
    <row r="29" spans="1:3" x14ac:dyDescent="0.2">
      <c r="A29" s="63" t="s">
        <v>59</v>
      </c>
      <c r="B29">
        <v>15</v>
      </c>
      <c r="C29">
        <v>7</v>
      </c>
    </row>
    <row r="30" spans="1:3" x14ac:dyDescent="0.2">
      <c r="A30" s="63" t="s">
        <v>60</v>
      </c>
      <c r="B30">
        <v>26</v>
      </c>
      <c r="C30">
        <v>19</v>
      </c>
    </row>
    <row r="31" spans="1:3" x14ac:dyDescent="0.2">
      <c r="A31" s="63" t="s">
        <v>61</v>
      </c>
      <c r="B31">
        <v>40</v>
      </c>
      <c r="C31">
        <v>89</v>
      </c>
    </row>
    <row r="32" spans="1:3" x14ac:dyDescent="0.2">
      <c r="A32" s="63" t="s">
        <v>78</v>
      </c>
      <c r="B32">
        <v>8</v>
      </c>
      <c r="C32">
        <v>15</v>
      </c>
    </row>
    <row r="33" spans="1:3" x14ac:dyDescent="0.2">
      <c r="A33" s="63" t="s">
        <v>62</v>
      </c>
      <c r="B33">
        <v>3</v>
      </c>
      <c r="C33">
        <v>5</v>
      </c>
    </row>
    <row r="34" spans="1:3" x14ac:dyDescent="0.2">
      <c r="A34" s="63" t="s">
        <v>63</v>
      </c>
      <c r="B34">
        <v>3</v>
      </c>
      <c r="C34">
        <v>1</v>
      </c>
    </row>
    <row r="35" spans="1:3" x14ac:dyDescent="0.2">
      <c r="A35" s="63" t="s">
        <v>64</v>
      </c>
      <c r="B35">
        <v>7</v>
      </c>
      <c r="C35">
        <v>6</v>
      </c>
    </row>
    <row r="36" spans="1:3" x14ac:dyDescent="0.2">
      <c r="A36" s="63" t="s">
        <v>65</v>
      </c>
      <c r="B36">
        <v>40</v>
      </c>
      <c r="C36">
        <v>69</v>
      </c>
    </row>
    <row r="37" spans="1:3" x14ac:dyDescent="0.2">
      <c r="A37" s="63" t="s">
        <v>73</v>
      </c>
      <c r="B37">
        <v>4</v>
      </c>
      <c r="C37">
        <v>9</v>
      </c>
    </row>
    <row r="38" spans="1:3" x14ac:dyDescent="0.2">
      <c r="A38" s="63" t="s">
        <v>66</v>
      </c>
      <c r="B38">
        <v>6</v>
      </c>
      <c r="C38">
        <v>4</v>
      </c>
    </row>
    <row r="39" spans="1:3" x14ac:dyDescent="0.2">
      <c r="A39" s="63" t="s">
        <v>67</v>
      </c>
      <c r="B39">
        <v>50</v>
      </c>
      <c r="C39">
        <v>135</v>
      </c>
    </row>
    <row r="40" spans="1:3" x14ac:dyDescent="0.2">
      <c r="A40" s="63" t="s">
        <v>92</v>
      </c>
      <c r="B40">
        <v>568</v>
      </c>
      <c r="C40">
        <v>893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A8B6-DC99-EA49-B083-2DA33E72998A}">
  <sheetPr codeName="Sheet5"/>
  <dimension ref="A1:D11"/>
  <sheetViews>
    <sheetView workbookViewId="0">
      <selection activeCell="C9" sqref="C9"/>
    </sheetView>
  </sheetViews>
  <sheetFormatPr baseColWidth="10" defaultColWidth="11" defaultRowHeight="16" x14ac:dyDescent="0.2"/>
  <cols>
    <col min="1" max="1" width="13" bestFit="1" customWidth="1"/>
    <col min="2" max="2" width="21.1640625" bestFit="1" customWidth="1"/>
    <col min="3" max="3" width="11.83203125" bestFit="1" customWidth="1"/>
    <col min="4" max="4" width="18.83203125" bestFit="1" customWidth="1"/>
  </cols>
  <sheetData>
    <row r="1" spans="1:4" x14ac:dyDescent="0.2">
      <c r="A1" s="62" t="s">
        <v>23</v>
      </c>
      <c r="B1" t="s">
        <v>45</v>
      </c>
    </row>
    <row r="3" spans="1:4" x14ac:dyDescent="0.2">
      <c r="A3" s="62" t="s">
        <v>89</v>
      </c>
      <c r="B3" t="s">
        <v>90</v>
      </c>
      <c r="C3" t="s">
        <v>91</v>
      </c>
      <c r="D3" t="s">
        <v>93</v>
      </c>
    </row>
    <row r="4" spans="1:4" x14ac:dyDescent="0.2">
      <c r="A4" s="63">
        <v>1995</v>
      </c>
      <c r="B4">
        <v>3</v>
      </c>
      <c r="C4">
        <v>3</v>
      </c>
    </row>
    <row r="5" spans="1:4" x14ac:dyDescent="0.2">
      <c r="A5" s="63">
        <v>1999</v>
      </c>
      <c r="B5">
        <v>3</v>
      </c>
      <c r="C5">
        <v>3</v>
      </c>
    </row>
    <row r="6" spans="1:4" x14ac:dyDescent="0.2">
      <c r="A6" s="63">
        <v>2003</v>
      </c>
      <c r="B6">
        <v>3</v>
      </c>
      <c r="C6">
        <v>3</v>
      </c>
      <c r="D6">
        <v>49</v>
      </c>
    </row>
    <row r="7" spans="1:4" x14ac:dyDescent="0.2">
      <c r="A7" s="63">
        <v>2007</v>
      </c>
      <c r="B7">
        <v>4</v>
      </c>
      <c r="C7">
        <v>9</v>
      </c>
      <c r="D7">
        <v>48.3</v>
      </c>
    </row>
    <row r="8" spans="1:4" x14ac:dyDescent="0.2">
      <c r="A8" s="63">
        <v>2011</v>
      </c>
      <c r="B8">
        <v>4</v>
      </c>
      <c r="C8">
        <v>6</v>
      </c>
      <c r="D8">
        <v>53.5</v>
      </c>
    </row>
    <row r="9" spans="1:4" x14ac:dyDescent="0.2">
      <c r="A9" s="63">
        <v>2015</v>
      </c>
      <c r="B9">
        <v>5</v>
      </c>
      <c r="C9">
        <v>5</v>
      </c>
      <c r="D9">
        <v>46.2</v>
      </c>
    </row>
    <row r="10" spans="1:4" x14ac:dyDescent="0.2">
      <c r="A10" s="63">
        <v>2019</v>
      </c>
      <c r="B10">
        <v>4</v>
      </c>
      <c r="C10">
        <v>8</v>
      </c>
      <c r="D10">
        <v>61.3</v>
      </c>
    </row>
    <row r="11" spans="1:4" x14ac:dyDescent="0.2">
      <c r="A11" s="63" t="s">
        <v>92</v>
      </c>
      <c r="B11">
        <v>26</v>
      </c>
      <c r="C11">
        <v>37</v>
      </c>
      <c r="D11">
        <v>51.660000000000004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8F99-263A-E34D-8128-C80B9EDEAD11}">
  <sheetPr codeName="Sheet6"/>
  <dimension ref="A1:T210"/>
  <sheetViews>
    <sheetView tabSelected="1" topLeftCell="A176" workbookViewId="0">
      <selection activeCell="I206" sqref="I206"/>
    </sheetView>
  </sheetViews>
  <sheetFormatPr baseColWidth="10" defaultColWidth="11" defaultRowHeight="16" x14ac:dyDescent="0.2"/>
  <cols>
    <col min="2" max="2" width="15.33203125" customWidth="1"/>
    <col min="9" max="9" width="11.5" customWidth="1"/>
    <col min="15" max="15" width="11.5" customWidth="1"/>
  </cols>
  <sheetData>
    <row r="1" spans="1:12" x14ac:dyDescent="0.2">
      <c r="A1" s="12" t="s">
        <v>94</v>
      </c>
    </row>
    <row r="3" spans="1:12" x14ac:dyDescent="0.2">
      <c r="A3" t="s">
        <v>95</v>
      </c>
      <c r="B3" s="2" cm="1">
        <f t="array" ref="B3:B6">LEN(A3:A6)</f>
        <v>5</v>
      </c>
      <c r="C3" s="64" t="s">
        <v>96</v>
      </c>
    </row>
    <row r="4" spans="1:12" x14ac:dyDescent="0.2">
      <c r="A4" t="s">
        <v>97</v>
      </c>
      <c r="B4" s="2">
        <v>6</v>
      </c>
    </row>
    <row r="5" spans="1:12" x14ac:dyDescent="0.2">
      <c r="A5" t="s">
        <v>98</v>
      </c>
      <c r="B5" s="2">
        <v>2</v>
      </c>
    </row>
    <row r="6" spans="1:12" x14ac:dyDescent="0.2">
      <c r="A6" t="s">
        <v>99</v>
      </c>
      <c r="B6" s="2">
        <v>9</v>
      </c>
    </row>
    <row r="7" spans="1:12" ht="17" thickBot="1" x14ac:dyDescent="0.25">
      <c r="B7" s="65" cm="1">
        <f t="array" ref="B7">SUM(LEN(_xlfn.ANCHORARRAY(B3)))</f>
        <v>4</v>
      </c>
      <c r="C7">
        <f>SUM(_xlfn.ANCHORARRAY(B3))</f>
        <v>22</v>
      </c>
    </row>
    <row r="8" spans="1:12" s="66" customFormat="1" ht="17" thickTop="1" x14ac:dyDescent="0.2">
      <c r="B8" s="118" t="s">
        <v>313</v>
      </c>
      <c r="C8" s="118" t="s">
        <v>314</v>
      </c>
    </row>
    <row r="10" spans="1:12" x14ac:dyDescent="0.2">
      <c r="A10" s="12" t="s">
        <v>100</v>
      </c>
    </row>
    <row r="11" spans="1:12" x14ac:dyDescent="0.2">
      <c r="H11" s="67" t="s">
        <v>101</v>
      </c>
      <c r="K11" s="67" t="s">
        <v>102</v>
      </c>
    </row>
    <row r="12" spans="1:12" x14ac:dyDescent="0.2">
      <c r="A12" s="2" cm="1">
        <f t="array" ref="A12:A147">IF(matches_played=7,1,0)</f>
        <v>0</v>
      </c>
      <c r="B12" t="str">
        <f ca="1">_xlfn.FORMULATEXT(A12)</f>
        <v>=IF(matches_played=7,1,0)</v>
      </c>
      <c r="H12" s="2" cm="1">
        <f t="array" ref="H12:H29">IF(Fire&gt;Water,1,0)</f>
        <v>0</v>
      </c>
      <c r="I12" t="str">
        <f ca="1">_xlfn.FORMULATEXT(H12)</f>
        <v>=IF(Fire&gt;Water,1,0)</v>
      </c>
      <c r="K12" s="2" t="str" cm="1">
        <f t="array" ref="K12:K29">IF(Fire&gt;Water,Attacking,"")</f>
        <v/>
      </c>
      <c r="L12" t="str">
        <f ca="1">_xlfn.FORMULATEXT(K12)</f>
        <v>=IF(Fire&gt;Water,Attacking,"")</v>
      </c>
    </row>
    <row r="13" spans="1:12" x14ac:dyDescent="0.2">
      <c r="A13" s="2">
        <v>0</v>
      </c>
      <c r="H13" s="2">
        <v>0</v>
      </c>
      <c r="K13" s="2" t="str">
        <v/>
      </c>
    </row>
    <row r="14" spans="1:12" x14ac:dyDescent="0.2">
      <c r="A14" s="2">
        <v>0</v>
      </c>
      <c r="B14">
        <v>1</v>
      </c>
      <c r="C14" s="2" cm="1">
        <f t="array" ref="C14">SUM(IF(matches_played=B14,1,0))</f>
        <v>0</v>
      </c>
      <c r="D14" t="str" cm="1">
        <f t="array" aca="1" ref="D14:D20" ca="1">_xlfn.FORMULATEXT(C14:C20)</f>
        <v>=SUM(IF(matches_played=B14,1,0))</v>
      </c>
      <c r="H14" s="2">
        <v>1</v>
      </c>
      <c r="K14" s="2" t="str">
        <v>Water</v>
      </c>
    </row>
    <row r="15" spans="1:12" x14ac:dyDescent="0.2">
      <c r="A15" s="2">
        <v>0</v>
      </c>
      <c r="B15">
        <v>2</v>
      </c>
      <c r="C15" s="2" cm="1">
        <f t="array" ref="C15">SUM(IF(matches_played=B15,1,0))</f>
        <v>0</v>
      </c>
      <c r="D15" t="str">
        <f ca="1"/>
        <v>=SUM(IF(matches_played=B15,1,0))</v>
      </c>
      <c r="H15" s="2">
        <v>0</v>
      </c>
      <c r="K15" s="2" t="str">
        <v/>
      </c>
    </row>
    <row r="16" spans="1:12" x14ac:dyDescent="0.2">
      <c r="A16" s="2">
        <v>0</v>
      </c>
      <c r="B16">
        <v>3</v>
      </c>
      <c r="C16" s="2" cm="1">
        <f t="array" ref="C16">SUM(IF(matches_played=B16,1,0))</f>
        <v>56</v>
      </c>
      <c r="D16" t="str">
        <f ca="1"/>
        <v>=SUM(IF(matches_played=B16,1,0))</v>
      </c>
      <c r="H16" s="2">
        <v>0</v>
      </c>
      <c r="K16" s="2" t="str">
        <v/>
      </c>
    </row>
    <row r="17" spans="1:13" x14ac:dyDescent="0.2">
      <c r="A17" s="2">
        <v>0</v>
      </c>
      <c r="B17">
        <v>4</v>
      </c>
      <c r="C17" s="2" cm="1">
        <f t="array" ref="C17">SUM(IF(matches_played=B17,1,0))</f>
        <v>40</v>
      </c>
      <c r="D17" t="str">
        <f ca="1"/>
        <v>=SUM(IF(matches_played=B17,1,0))</v>
      </c>
      <c r="H17" s="2">
        <v>0</v>
      </c>
      <c r="K17" s="2" t="str">
        <v/>
      </c>
    </row>
    <row r="18" spans="1:13" x14ac:dyDescent="0.2">
      <c r="A18" s="2">
        <v>0</v>
      </c>
      <c r="B18">
        <v>5</v>
      </c>
      <c r="C18" s="2" cm="1">
        <f t="array" ref="C18">SUM(IF(matches_played=B18,1,0))</f>
        <v>8</v>
      </c>
      <c r="D18" t="str">
        <f ca="1"/>
        <v>=SUM(IF(matches_played=B18,1,0))</v>
      </c>
      <c r="H18" s="2">
        <v>0</v>
      </c>
      <c r="K18" s="2" t="str">
        <v/>
      </c>
    </row>
    <row r="19" spans="1:13" x14ac:dyDescent="0.2">
      <c r="A19" s="2">
        <v>1</v>
      </c>
      <c r="B19">
        <v>6</v>
      </c>
      <c r="C19" s="2" cm="1">
        <f t="array" ref="C19">SUM(IF(matches_played=B19,1,0))</f>
        <v>24</v>
      </c>
      <c r="D19" t="str">
        <f ca="1"/>
        <v>=SUM(IF(matches_played=B19,1,0))</v>
      </c>
      <c r="H19" s="2">
        <v>0</v>
      </c>
      <c r="K19" s="2" t="str">
        <v/>
      </c>
    </row>
    <row r="20" spans="1:13" x14ac:dyDescent="0.2">
      <c r="A20" s="2">
        <v>0</v>
      </c>
      <c r="B20">
        <v>7</v>
      </c>
      <c r="C20" s="2" cm="1">
        <f t="array" ref="C20">SUM(IF(matches_played=B20,1,0))</f>
        <v>8</v>
      </c>
      <c r="D20" t="str">
        <f ca="1"/>
        <v>=SUM(IF(matches_played=B20,1,0))</v>
      </c>
      <c r="H20" s="2">
        <v>1</v>
      </c>
      <c r="K20" s="2" t="str">
        <v>Ground</v>
      </c>
    </row>
    <row r="21" spans="1:13" x14ac:dyDescent="0.2">
      <c r="A21" s="2">
        <v>0</v>
      </c>
      <c r="H21" s="2">
        <v>0</v>
      </c>
      <c r="K21" s="2" t="str">
        <v/>
      </c>
    </row>
    <row r="22" spans="1:13" x14ac:dyDescent="0.2">
      <c r="A22" s="2">
        <v>0</v>
      </c>
      <c r="H22" s="2">
        <v>0</v>
      </c>
      <c r="K22" s="2" t="str">
        <v/>
      </c>
    </row>
    <row r="23" spans="1:13" x14ac:dyDescent="0.2">
      <c r="A23" s="2">
        <v>0</v>
      </c>
      <c r="H23" s="2">
        <v>0</v>
      </c>
      <c r="K23" s="2" t="str">
        <v/>
      </c>
    </row>
    <row r="24" spans="1:13" x14ac:dyDescent="0.2">
      <c r="A24" s="2">
        <v>0</v>
      </c>
      <c r="H24" s="2">
        <v>1</v>
      </c>
      <c r="K24" s="2" t="str">
        <v>Rock</v>
      </c>
    </row>
    <row r="25" spans="1:13" x14ac:dyDescent="0.2">
      <c r="A25" s="2">
        <v>0</v>
      </c>
      <c r="H25" s="2">
        <v>0</v>
      </c>
      <c r="K25" s="2" t="str">
        <v/>
      </c>
    </row>
    <row r="26" spans="1:13" x14ac:dyDescent="0.2">
      <c r="A26" s="2">
        <v>1</v>
      </c>
      <c r="H26" s="2">
        <v>0</v>
      </c>
      <c r="K26" s="2" t="str">
        <v/>
      </c>
    </row>
    <row r="27" spans="1:13" x14ac:dyDescent="0.2">
      <c r="A27" s="2">
        <v>0</v>
      </c>
      <c r="H27" s="2">
        <v>0</v>
      </c>
      <c r="K27" s="2" t="str">
        <v/>
      </c>
    </row>
    <row r="28" spans="1:13" x14ac:dyDescent="0.2">
      <c r="A28" s="2">
        <v>0</v>
      </c>
      <c r="H28" s="2">
        <v>0</v>
      </c>
      <c r="K28" s="2" t="str">
        <v/>
      </c>
    </row>
    <row r="29" spans="1:13" x14ac:dyDescent="0.2">
      <c r="A29" s="2">
        <v>0</v>
      </c>
      <c r="H29" s="2">
        <v>0</v>
      </c>
      <c r="K29" s="2" t="str">
        <v/>
      </c>
    </row>
    <row r="30" spans="1:13" ht="17" thickBot="1" x14ac:dyDescent="0.25">
      <c r="A30" s="2">
        <v>0</v>
      </c>
    </row>
    <row r="31" spans="1:13" x14ac:dyDescent="0.2">
      <c r="A31" s="2">
        <v>0</v>
      </c>
      <c r="C31" s="3" t="s">
        <v>103</v>
      </c>
      <c r="D31" s="4" t="s">
        <v>104</v>
      </c>
      <c r="E31" s="4" t="s">
        <v>105</v>
      </c>
      <c r="F31" s="5" t="s">
        <v>106</v>
      </c>
      <c r="I31" t="str">
        <f ca="1">_xlfn.FORMULATEXT(I32)</f>
        <v>=VLOOKUP(H32,lossratios,{2,4},FALSE)</v>
      </c>
      <c r="M31" t="str">
        <f ca="1">_xlfn.FORMULATEXT(M32)</f>
        <v>=AVERAGE(VLOOKUP(H32,lossratios,{2,4},FALSE))</v>
      </c>
    </row>
    <row r="32" spans="1:13" x14ac:dyDescent="0.2">
      <c r="A32" s="2">
        <v>0</v>
      </c>
      <c r="C32" s="6" t="s">
        <v>107</v>
      </c>
      <c r="D32" s="68">
        <v>0.92900000000000005</v>
      </c>
      <c r="E32" s="68">
        <v>0.76500000000000001</v>
      </c>
      <c r="F32" s="69">
        <v>0.94099999999999995</v>
      </c>
      <c r="H32" t="str" cm="1">
        <f t="array" ref="H32:H35">C32:C35</f>
        <v>Motor</v>
      </c>
      <c r="I32" s="2" cm="1">
        <f t="array" ref="I32:J32">VLOOKUP(H32,lossratios,{2,4},FALSE)</f>
        <v>0.92900000000000005</v>
      </c>
      <c r="J32" s="2">
        <v>0.94099999999999995</v>
      </c>
      <c r="M32" s="2" cm="1">
        <f t="array" ref="M32">AVERAGE(VLOOKUP(H32,lossratios,{2,4},FALSE))</f>
        <v>0.93500000000000005</v>
      </c>
    </row>
    <row r="33" spans="1:13" x14ac:dyDescent="0.2">
      <c r="A33" s="2">
        <v>1</v>
      </c>
      <c r="C33" s="6" t="s">
        <v>108</v>
      </c>
      <c r="D33" s="68">
        <v>0.61199999999999999</v>
      </c>
      <c r="E33" s="68">
        <v>0.76100000000000001</v>
      </c>
      <c r="F33" s="69">
        <v>1.093</v>
      </c>
      <c r="H33" t="str">
        <v>Liability</v>
      </c>
      <c r="I33" s="2" cm="1">
        <f t="array" ref="I33:J33">VLOOKUP(H33,lossratios,{2,4},FALSE)</f>
        <v>0.61199999999999999</v>
      </c>
      <c r="J33" s="2">
        <v>1.093</v>
      </c>
      <c r="M33" s="2" cm="1">
        <f t="array" ref="M33">AVERAGE(VLOOKUP(H33,lossratios,{2,4},FALSE))</f>
        <v>0.85250000000000004</v>
      </c>
    </row>
    <row r="34" spans="1:13" x14ac:dyDescent="0.2">
      <c r="A34" s="2">
        <v>0</v>
      </c>
      <c r="C34" s="6" t="s">
        <v>109</v>
      </c>
      <c r="D34" s="68">
        <v>0.871</v>
      </c>
      <c r="E34" s="68">
        <v>0.92800000000000005</v>
      </c>
      <c r="F34" s="69">
        <v>0.65900000000000003</v>
      </c>
      <c r="H34" t="str">
        <v>Life</v>
      </c>
      <c r="I34" s="2" cm="1">
        <f t="array" ref="I34:J34">VLOOKUP(H34,lossratios,{2,4},FALSE)</f>
        <v>0.871</v>
      </c>
      <c r="J34" s="2">
        <v>0.65900000000000003</v>
      </c>
      <c r="M34" s="2" cm="1">
        <f t="array" ref="M34">AVERAGE(VLOOKUP(H34,lossratios,{2,4},FALSE))</f>
        <v>0.76500000000000001</v>
      </c>
    </row>
    <row r="35" spans="1:13" ht="17" thickBot="1" x14ac:dyDescent="0.25">
      <c r="A35" s="2">
        <v>1</v>
      </c>
      <c r="C35" s="8" t="s">
        <v>110</v>
      </c>
      <c r="D35" s="70">
        <v>1.0489999999999999</v>
      </c>
      <c r="E35" s="70">
        <v>0.67500000000000004</v>
      </c>
      <c r="F35" s="71">
        <v>0.96699999999999997</v>
      </c>
      <c r="H35" t="str">
        <v>Property</v>
      </c>
      <c r="I35" s="2" cm="1">
        <f t="array" ref="I35:J35">VLOOKUP(H35,lossratios,{2,4},FALSE)</f>
        <v>1.0489999999999999</v>
      </c>
      <c r="J35" s="2">
        <v>0.96699999999999997</v>
      </c>
      <c r="M35" s="2" cm="1">
        <f t="array" ref="M35">AVERAGE(VLOOKUP(H35,lossratios,{2,4},FALSE))</f>
        <v>1.008</v>
      </c>
    </row>
    <row r="36" spans="1:13" x14ac:dyDescent="0.2">
      <c r="A36" s="2">
        <v>0</v>
      </c>
    </row>
    <row r="37" spans="1:13" x14ac:dyDescent="0.2">
      <c r="A37" s="2">
        <v>0</v>
      </c>
      <c r="H37" t="str">
        <f>C32</f>
        <v>Motor</v>
      </c>
      <c r="I37" s="2" cm="1">
        <f t="array" ref="I37:I38">VLOOKUP(H37,lossratios,{2;4},FALSE)</f>
        <v>0.92900000000000005</v>
      </c>
      <c r="J37" t="str">
        <f ca="1">_xlfn.FORMULATEXT(I37)</f>
        <v>=VLOOKUP(H37,lossratios,{2;4},FALSE)</v>
      </c>
    </row>
    <row r="38" spans="1:13" x14ac:dyDescent="0.2">
      <c r="A38" s="2">
        <v>0</v>
      </c>
      <c r="I38" s="2">
        <v>0.94099999999999995</v>
      </c>
    </row>
    <row r="39" spans="1:13" x14ac:dyDescent="0.2">
      <c r="A39" s="2">
        <v>0</v>
      </c>
    </row>
    <row r="40" spans="1:13" x14ac:dyDescent="0.2">
      <c r="A40" s="2">
        <v>0</v>
      </c>
    </row>
    <row r="41" spans="1:13" hidden="1" x14ac:dyDescent="0.2">
      <c r="A41" s="2">
        <v>0</v>
      </c>
    </row>
    <row r="42" spans="1:13" hidden="1" x14ac:dyDescent="0.2">
      <c r="A42" s="2">
        <v>0</v>
      </c>
    </row>
    <row r="43" spans="1:13" hidden="1" x14ac:dyDescent="0.2">
      <c r="A43" s="2">
        <v>0</v>
      </c>
    </row>
    <row r="44" spans="1:13" hidden="1" x14ac:dyDescent="0.2">
      <c r="A44" s="2">
        <v>0</v>
      </c>
    </row>
    <row r="45" spans="1:13" hidden="1" x14ac:dyDescent="0.2">
      <c r="A45" s="2">
        <v>1</v>
      </c>
    </row>
    <row r="46" spans="1:13" hidden="1" x14ac:dyDescent="0.2">
      <c r="A46" s="2">
        <v>0</v>
      </c>
    </row>
    <row r="47" spans="1:13" hidden="1" x14ac:dyDescent="0.2">
      <c r="A47" s="2">
        <v>1</v>
      </c>
    </row>
    <row r="48" spans="1:13" hidden="1" x14ac:dyDescent="0.2">
      <c r="A48" s="2">
        <v>1</v>
      </c>
    </row>
    <row r="49" spans="1:1" hidden="1" x14ac:dyDescent="0.2">
      <c r="A49" s="2">
        <v>0</v>
      </c>
    </row>
    <row r="50" spans="1:1" hidden="1" x14ac:dyDescent="0.2">
      <c r="A50" s="2">
        <v>0</v>
      </c>
    </row>
    <row r="51" spans="1:1" hidden="1" x14ac:dyDescent="0.2">
      <c r="A51" s="2">
        <v>0</v>
      </c>
    </row>
    <row r="52" spans="1:1" hidden="1" x14ac:dyDescent="0.2">
      <c r="A52" s="2">
        <v>0</v>
      </c>
    </row>
    <row r="53" spans="1:1" hidden="1" x14ac:dyDescent="0.2">
      <c r="A53" s="2">
        <v>0</v>
      </c>
    </row>
    <row r="54" spans="1:1" hidden="1" x14ac:dyDescent="0.2">
      <c r="A54" s="2">
        <v>0</v>
      </c>
    </row>
    <row r="55" spans="1:1" hidden="1" x14ac:dyDescent="0.2">
      <c r="A55" s="2">
        <v>0</v>
      </c>
    </row>
    <row r="56" spans="1:1" hidden="1" x14ac:dyDescent="0.2">
      <c r="A56" s="2">
        <v>0</v>
      </c>
    </row>
    <row r="57" spans="1:1" hidden="1" x14ac:dyDescent="0.2">
      <c r="A57" s="2">
        <v>0</v>
      </c>
    </row>
    <row r="58" spans="1:1" hidden="1" x14ac:dyDescent="0.2">
      <c r="A58" s="2">
        <v>0</v>
      </c>
    </row>
    <row r="59" spans="1:1" hidden="1" x14ac:dyDescent="0.2">
      <c r="A59" s="2">
        <v>1</v>
      </c>
    </row>
    <row r="60" spans="1:1" hidden="1" x14ac:dyDescent="0.2">
      <c r="A60" s="2">
        <v>0</v>
      </c>
    </row>
    <row r="61" spans="1:1" hidden="1" x14ac:dyDescent="0.2">
      <c r="A61" s="2">
        <v>0</v>
      </c>
    </row>
    <row r="62" spans="1:1" hidden="1" x14ac:dyDescent="0.2">
      <c r="A62" s="2">
        <v>0</v>
      </c>
    </row>
    <row r="63" spans="1:1" hidden="1" x14ac:dyDescent="0.2">
      <c r="A63" s="2">
        <v>0</v>
      </c>
    </row>
    <row r="64" spans="1:1" hidden="1" x14ac:dyDescent="0.2">
      <c r="A64" s="2">
        <v>0</v>
      </c>
    </row>
    <row r="65" spans="1:1" hidden="1" x14ac:dyDescent="0.2">
      <c r="A65" s="2">
        <v>0</v>
      </c>
    </row>
    <row r="66" spans="1:1" hidden="1" x14ac:dyDescent="0.2">
      <c r="A66" s="2">
        <v>0</v>
      </c>
    </row>
    <row r="67" spans="1:1" hidden="1" x14ac:dyDescent="0.2">
      <c r="A67" s="2">
        <v>0</v>
      </c>
    </row>
    <row r="68" spans="1:1" hidden="1" x14ac:dyDescent="0.2">
      <c r="A68" s="2">
        <v>0</v>
      </c>
    </row>
    <row r="69" spans="1:1" hidden="1" x14ac:dyDescent="0.2">
      <c r="A69" s="2">
        <v>0</v>
      </c>
    </row>
    <row r="70" spans="1:1" hidden="1" x14ac:dyDescent="0.2">
      <c r="A70" s="2">
        <v>0</v>
      </c>
    </row>
    <row r="71" spans="1:1" hidden="1" x14ac:dyDescent="0.2">
      <c r="A71" s="2">
        <v>0</v>
      </c>
    </row>
    <row r="72" spans="1:1" hidden="1" x14ac:dyDescent="0.2">
      <c r="A72" s="2">
        <v>0</v>
      </c>
    </row>
    <row r="73" spans="1:1" hidden="1" x14ac:dyDescent="0.2">
      <c r="A73" s="2">
        <v>0</v>
      </c>
    </row>
    <row r="74" spans="1:1" hidden="1" x14ac:dyDescent="0.2">
      <c r="A74" s="2">
        <v>0</v>
      </c>
    </row>
    <row r="75" spans="1:1" hidden="1" x14ac:dyDescent="0.2">
      <c r="A75" s="2">
        <v>0</v>
      </c>
    </row>
    <row r="76" spans="1:1" hidden="1" x14ac:dyDescent="0.2">
      <c r="A76" s="2">
        <v>0</v>
      </c>
    </row>
    <row r="77" spans="1:1" hidden="1" x14ac:dyDescent="0.2">
      <c r="A77" s="2">
        <v>0</v>
      </c>
    </row>
    <row r="78" spans="1:1" hidden="1" x14ac:dyDescent="0.2">
      <c r="A78" s="2">
        <v>0</v>
      </c>
    </row>
    <row r="79" spans="1:1" hidden="1" x14ac:dyDescent="0.2">
      <c r="A79" s="2">
        <v>0</v>
      </c>
    </row>
    <row r="80" spans="1:1" hidden="1" x14ac:dyDescent="0.2">
      <c r="A80" s="2">
        <v>0</v>
      </c>
    </row>
    <row r="81" spans="1:1" hidden="1" x14ac:dyDescent="0.2">
      <c r="A81" s="2">
        <v>0</v>
      </c>
    </row>
    <row r="82" spans="1:1" hidden="1" x14ac:dyDescent="0.2">
      <c r="A82" s="2">
        <v>0</v>
      </c>
    </row>
    <row r="83" spans="1:1" hidden="1" x14ac:dyDescent="0.2">
      <c r="A83" s="2">
        <v>0</v>
      </c>
    </row>
    <row r="84" spans="1:1" hidden="1" x14ac:dyDescent="0.2">
      <c r="A84" s="2">
        <v>0</v>
      </c>
    </row>
    <row r="85" spans="1:1" hidden="1" x14ac:dyDescent="0.2">
      <c r="A85" s="2">
        <v>0</v>
      </c>
    </row>
    <row r="86" spans="1:1" hidden="1" x14ac:dyDescent="0.2">
      <c r="A86" s="2">
        <v>0</v>
      </c>
    </row>
    <row r="87" spans="1:1" hidden="1" x14ac:dyDescent="0.2">
      <c r="A87" s="2">
        <v>0</v>
      </c>
    </row>
    <row r="88" spans="1:1" hidden="1" x14ac:dyDescent="0.2">
      <c r="A88" s="2">
        <v>0</v>
      </c>
    </row>
    <row r="89" spans="1:1" hidden="1" x14ac:dyDescent="0.2">
      <c r="A89" s="2">
        <v>0</v>
      </c>
    </row>
    <row r="90" spans="1:1" hidden="1" x14ac:dyDescent="0.2">
      <c r="A90" s="2">
        <v>0</v>
      </c>
    </row>
    <row r="91" spans="1:1" hidden="1" x14ac:dyDescent="0.2">
      <c r="A91" s="2">
        <v>0</v>
      </c>
    </row>
    <row r="92" spans="1:1" hidden="1" x14ac:dyDescent="0.2">
      <c r="A92" s="2">
        <v>0</v>
      </c>
    </row>
    <row r="93" spans="1:1" hidden="1" x14ac:dyDescent="0.2">
      <c r="A93" s="2">
        <v>0</v>
      </c>
    </row>
    <row r="94" spans="1:1" hidden="1" x14ac:dyDescent="0.2">
      <c r="A94" s="2">
        <v>0</v>
      </c>
    </row>
    <row r="95" spans="1:1" hidden="1" x14ac:dyDescent="0.2">
      <c r="A95" s="2">
        <v>0</v>
      </c>
    </row>
    <row r="96" spans="1:1" hidden="1" x14ac:dyDescent="0.2">
      <c r="A96" s="2">
        <v>0</v>
      </c>
    </row>
    <row r="97" spans="1:1" hidden="1" x14ac:dyDescent="0.2">
      <c r="A97" s="2">
        <v>0</v>
      </c>
    </row>
    <row r="98" spans="1:1" hidden="1" x14ac:dyDescent="0.2">
      <c r="A98" s="2">
        <v>0</v>
      </c>
    </row>
    <row r="99" spans="1:1" hidden="1" x14ac:dyDescent="0.2">
      <c r="A99" s="2">
        <v>0</v>
      </c>
    </row>
    <row r="100" spans="1:1" hidden="1" x14ac:dyDescent="0.2">
      <c r="A100" s="2">
        <v>0</v>
      </c>
    </row>
    <row r="101" spans="1:1" hidden="1" x14ac:dyDescent="0.2">
      <c r="A101" s="2">
        <v>0</v>
      </c>
    </row>
    <row r="102" spans="1:1" hidden="1" x14ac:dyDescent="0.2">
      <c r="A102" s="2">
        <v>0</v>
      </c>
    </row>
    <row r="103" spans="1:1" hidden="1" x14ac:dyDescent="0.2">
      <c r="A103" s="2">
        <v>0</v>
      </c>
    </row>
    <row r="104" spans="1:1" hidden="1" x14ac:dyDescent="0.2">
      <c r="A104" s="2">
        <v>0</v>
      </c>
    </row>
    <row r="105" spans="1:1" hidden="1" x14ac:dyDescent="0.2">
      <c r="A105" s="2">
        <v>0</v>
      </c>
    </row>
    <row r="106" spans="1:1" hidden="1" x14ac:dyDescent="0.2">
      <c r="A106" s="2">
        <v>0</v>
      </c>
    </row>
    <row r="107" spans="1:1" hidden="1" x14ac:dyDescent="0.2">
      <c r="A107" s="2">
        <v>0</v>
      </c>
    </row>
    <row r="108" spans="1:1" hidden="1" x14ac:dyDescent="0.2">
      <c r="A108" s="2">
        <v>0</v>
      </c>
    </row>
    <row r="109" spans="1:1" hidden="1" x14ac:dyDescent="0.2">
      <c r="A109" s="2">
        <v>0</v>
      </c>
    </row>
    <row r="110" spans="1:1" hidden="1" x14ac:dyDescent="0.2">
      <c r="A110" s="2">
        <v>0</v>
      </c>
    </row>
    <row r="111" spans="1:1" hidden="1" x14ac:dyDescent="0.2">
      <c r="A111" s="2">
        <v>0</v>
      </c>
    </row>
    <row r="112" spans="1:1" hidden="1" x14ac:dyDescent="0.2">
      <c r="A112" s="2">
        <v>0</v>
      </c>
    </row>
    <row r="113" spans="1:1" hidden="1" x14ac:dyDescent="0.2">
      <c r="A113" s="2">
        <v>0</v>
      </c>
    </row>
    <row r="114" spans="1:1" hidden="1" x14ac:dyDescent="0.2">
      <c r="A114" s="2">
        <v>0</v>
      </c>
    </row>
    <row r="115" spans="1:1" hidden="1" x14ac:dyDescent="0.2">
      <c r="A115" s="2">
        <v>0</v>
      </c>
    </row>
    <row r="116" spans="1:1" hidden="1" x14ac:dyDescent="0.2">
      <c r="A116" s="2">
        <v>0</v>
      </c>
    </row>
    <row r="117" spans="1:1" hidden="1" x14ac:dyDescent="0.2">
      <c r="A117" s="2">
        <v>0</v>
      </c>
    </row>
    <row r="118" spans="1:1" hidden="1" x14ac:dyDescent="0.2">
      <c r="A118" s="2">
        <v>0</v>
      </c>
    </row>
    <row r="119" spans="1:1" hidden="1" x14ac:dyDescent="0.2">
      <c r="A119" s="2">
        <v>0</v>
      </c>
    </row>
    <row r="120" spans="1:1" hidden="1" x14ac:dyDescent="0.2">
      <c r="A120" s="2">
        <v>0</v>
      </c>
    </row>
    <row r="121" spans="1:1" hidden="1" x14ac:dyDescent="0.2">
      <c r="A121" s="2">
        <v>0</v>
      </c>
    </row>
    <row r="122" spans="1:1" hidden="1" x14ac:dyDescent="0.2">
      <c r="A122" s="2">
        <v>0</v>
      </c>
    </row>
    <row r="123" spans="1:1" hidden="1" x14ac:dyDescent="0.2">
      <c r="A123" s="2">
        <v>0</v>
      </c>
    </row>
    <row r="124" spans="1:1" hidden="1" x14ac:dyDescent="0.2">
      <c r="A124" s="2">
        <v>0</v>
      </c>
    </row>
    <row r="125" spans="1:1" hidden="1" x14ac:dyDescent="0.2">
      <c r="A125" s="2">
        <v>0</v>
      </c>
    </row>
    <row r="126" spans="1:1" hidden="1" x14ac:dyDescent="0.2">
      <c r="A126" s="2">
        <v>0</v>
      </c>
    </row>
    <row r="127" spans="1:1" hidden="1" x14ac:dyDescent="0.2">
      <c r="A127" s="2">
        <v>0</v>
      </c>
    </row>
    <row r="128" spans="1:1" hidden="1" x14ac:dyDescent="0.2">
      <c r="A128" s="2">
        <v>0</v>
      </c>
    </row>
    <row r="129" spans="1:1" hidden="1" x14ac:dyDescent="0.2">
      <c r="A129" s="2">
        <v>0</v>
      </c>
    </row>
    <row r="130" spans="1:1" hidden="1" x14ac:dyDescent="0.2">
      <c r="A130" s="2">
        <v>0</v>
      </c>
    </row>
    <row r="131" spans="1:1" hidden="1" x14ac:dyDescent="0.2">
      <c r="A131" s="2">
        <v>0</v>
      </c>
    </row>
    <row r="132" spans="1:1" hidden="1" x14ac:dyDescent="0.2">
      <c r="A132" s="2">
        <v>0</v>
      </c>
    </row>
    <row r="133" spans="1:1" hidden="1" x14ac:dyDescent="0.2">
      <c r="A133" s="2">
        <v>0</v>
      </c>
    </row>
    <row r="134" spans="1:1" hidden="1" x14ac:dyDescent="0.2">
      <c r="A134" s="2">
        <v>0</v>
      </c>
    </row>
    <row r="135" spans="1:1" hidden="1" x14ac:dyDescent="0.2">
      <c r="A135" s="2">
        <v>0</v>
      </c>
    </row>
    <row r="136" spans="1:1" hidden="1" x14ac:dyDescent="0.2">
      <c r="A136" s="2">
        <v>0</v>
      </c>
    </row>
    <row r="137" spans="1:1" hidden="1" x14ac:dyDescent="0.2">
      <c r="A137" s="2">
        <v>0</v>
      </c>
    </row>
    <row r="138" spans="1:1" hidden="1" x14ac:dyDescent="0.2">
      <c r="A138" s="2">
        <v>0</v>
      </c>
    </row>
    <row r="139" spans="1:1" hidden="1" x14ac:dyDescent="0.2">
      <c r="A139" s="2">
        <v>0</v>
      </c>
    </row>
    <row r="140" spans="1:1" hidden="1" x14ac:dyDescent="0.2">
      <c r="A140" s="2">
        <v>0</v>
      </c>
    </row>
    <row r="141" spans="1:1" hidden="1" x14ac:dyDescent="0.2">
      <c r="A141" s="2">
        <v>0</v>
      </c>
    </row>
    <row r="142" spans="1:1" hidden="1" x14ac:dyDescent="0.2">
      <c r="A142" s="2">
        <v>0</v>
      </c>
    </row>
    <row r="143" spans="1:1" hidden="1" x14ac:dyDescent="0.2">
      <c r="A143" s="2">
        <v>0</v>
      </c>
    </row>
    <row r="144" spans="1:1" x14ac:dyDescent="0.2">
      <c r="A144" s="2">
        <v>0</v>
      </c>
    </row>
    <row r="145" spans="1:12" x14ac:dyDescent="0.2">
      <c r="A145" s="2">
        <v>0</v>
      </c>
    </row>
    <row r="146" spans="1:12" x14ac:dyDescent="0.2">
      <c r="A146" s="2">
        <v>0</v>
      </c>
    </row>
    <row r="147" spans="1:12" x14ac:dyDescent="0.2">
      <c r="A147" s="2">
        <v>0</v>
      </c>
    </row>
    <row r="149" spans="1:12" s="1" customFormat="1" x14ac:dyDescent="0.2"/>
    <row r="150" spans="1:12" x14ac:dyDescent="0.2">
      <c r="A150" s="12" t="s">
        <v>111</v>
      </c>
    </row>
    <row r="152" spans="1:12" x14ac:dyDescent="0.2">
      <c r="A152" s="2">
        <f>H12</f>
        <v>0</v>
      </c>
      <c r="B152" t="str">
        <f ca="1">_xlfn.FORMULATEXT(A152)</f>
        <v>=H12</v>
      </c>
      <c r="C152" s="2" cm="1">
        <f t="array" ref="C152:C169">_xlfn.ANCHORARRAY(H12)</f>
        <v>0</v>
      </c>
      <c r="D152" t="str">
        <f ca="1">_xlfn.FORMULATEXT(C152)</f>
        <v>=H12#</v>
      </c>
      <c r="E152" s="2">
        <f>SUM(H12)</f>
        <v>0</v>
      </c>
      <c r="F152" t="str">
        <f ca="1">_xlfn.FORMULATEXT(E152)</f>
        <v>=SUM(H12)</v>
      </c>
      <c r="H152" s="2" cm="1">
        <f t="array" ref="H152:H156">_xlfn.SEQUENCE(5)</f>
        <v>1</v>
      </c>
      <c r="I152" t="str">
        <f ca="1">_xlfn.FORMULATEXT(H152)</f>
        <v>=SEQUENCE(5)</v>
      </c>
      <c r="K152" s="2">
        <f>SUM(H152:H156)</f>
        <v>15</v>
      </c>
      <c r="L152" t="str">
        <f ca="1">_xlfn.FORMULATEXT(K152)</f>
        <v>=SUM(H152:H156)</v>
      </c>
    </row>
    <row r="153" spans="1:12" x14ac:dyDescent="0.2">
      <c r="C153" s="2">
        <v>0</v>
      </c>
      <c r="E153" s="2">
        <f>SUM(_xlfn.ANCHORARRAY(H12))</f>
        <v>3</v>
      </c>
      <c r="F153" t="str">
        <f ca="1">_xlfn.FORMULATEXT(E153)</f>
        <v>=SUM(H12#)</v>
      </c>
      <c r="H153" s="2">
        <v>2</v>
      </c>
      <c r="K153" s="2">
        <f>SUM(_xlfn.ANCHORARRAY(H152))</f>
        <v>15</v>
      </c>
      <c r="L153" t="str">
        <f ca="1">_xlfn.FORMULATEXT(K153)</f>
        <v>=SUM(H152#)</v>
      </c>
    </row>
    <row r="154" spans="1:12" x14ac:dyDescent="0.2">
      <c r="C154" s="2">
        <v>1</v>
      </c>
      <c r="H154" s="2">
        <v>3</v>
      </c>
    </row>
    <row r="155" spans="1:12" x14ac:dyDescent="0.2">
      <c r="C155" s="2">
        <v>0</v>
      </c>
      <c r="H155" s="2">
        <v>4</v>
      </c>
      <c r="J155" s="12" t="s">
        <v>112</v>
      </c>
    </row>
    <row r="156" spans="1:12" x14ac:dyDescent="0.2">
      <c r="C156" s="2">
        <v>0</v>
      </c>
      <c r="H156" s="2">
        <v>5</v>
      </c>
    </row>
    <row r="157" spans="1:12" x14ac:dyDescent="0.2">
      <c r="C157" s="2">
        <v>0</v>
      </c>
    </row>
    <row r="158" spans="1:12" x14ac:dyDescent="0.2">
      <c r="C158" s="2">
        <v>0</v>
      </c>
    </row>
    <row r="159" spans="1:12" x14ac:dyDescent="0.2">
      <c r="C159" s="2">
        <v>0</v>
      </c>
    </row>
    <row r="160" spans="1:12" x14ac:dyDescent="0.2">
      <c r="C160" s="2">
        <v>1</v>
      </c>
    </row>
    <row r="161" spans="1:7" x14ac:dyDescent="0.2">
      <c r="C161" s="2">
        <v>0</v>
      </c>
    </row>
    <row r="162" spans="1:7" x14ac:dyDescent="0.2">
      <c r="C162" s="2">
        <v>0</v>
      </c>
    </row>
    <row r="163" spans="1:7" x14ac:dyDescent="0.2">
      <c r="C163" s="2">
        <v>0</v>
      </c>
    </row>
    <row r="164" spans="1:7" x14ac:dyDescent="0.2">
      <c r="C164" s="2">
        <v>1</v>
      </c>
    </row>
    <row r="165" spans="1:7" x14ac:dyDescent="0.2">
      <c r="C165" s="2">
        <v>0</v>
      </c>
    </row>
    <row r="166" spans="1:7" x14ac:dyDescent="0.2">
      <c r="C166" s="2">
        <v>0</v>
      </c>
    </row>
    <row r="167" spans="1:7" x14ac:dyDescent="0.2">
      <c r="C167" s="2">
        <v>0</v>
      </c>
    </row>
    <row r="168" spans="1:7" x14ac:dyDescent="0.2">
      <c r="C168" s="2">
        <v>0</v>
      </c>
    </row>
    <row r="169" spans="1:7" x14ac:dyDescent="0.2">
      <c r="C169" s="2">
        <v>0</v>
      </c>
    </row>
    <row r="171" spans="1:7" s="1" customFormat="1" x14ac:dyDescent="0.2"/>
    <row r="172" spans="1:7" x14ac:dyDescent="0.2">
      <c r="A172" s="12" t="s">
        <v>113</v>
      </c>
    </row>
    <row r="174" spans="1:7" x14ac:dyDescent="0.2">
      <c r="A174" s="67" t="s">
        <v>114</v>
      </c>
    </row>
    <row r="176" spans="1:7" x14ac:dyDescent="0.2">
      <c r="A176" s="2" t="str" cm="1">
        <f t="array" ref="A176:A182">_xlfn.UNIQUE(IF(matches_played=7,squad,""))</f>
        <v/>
      </c>
      <c r="B176" t="str">
        <f ca="1">_xlfn.FORMULATEXT(A176)</f>
        <v>=UNIQUE(IF(matches_played=7,squad,""))</v>
      </c>
      <c r="F176" s="2" t="str" cm="1">
        <f t="array" ref="F176:F181">_xlfn.UNIQUE(_xlfn._xlws.FILTER(squad,matches_played=7))</f>
        <v>England</v>
      </c>
      <c r="G176" t="str">
        <f ca="1">_xlfn.FORMULATEXT(F176)</f>
        <v>=UNIQUE(FILTER(squad,matches_played=7))</v>
      </c>
    </row>
    <row r="177" spans="1:18" x14ac:dyDescent="0.2">
      <c r="A177" s="2" t="str">
        <v>England</v>
      </c>
      <c r="F177" s="2" t="str">
        <v>Netherlands</v>
      </c>
    </row>
    <row r="178" spans="1:18" x14ac:dyDescent="0.2">
      <c r="A178" s="2" t="str">
        <v>Netherlands</v>
      </c>
      <c r="F178" s="2" t="str">
        <v>Sweden</v>
      </c>
    </row>
    <row r="179" spans="1:18" x14ac:dyDescent="0.2">
      <c r="A179" s="2" t="str">
        <v>Sweden</v>
      </c>
      <c r="F179" s="2" t="str">
        <v>USA</v>
      </c>
    </row>
    <row r="180" spans="1:18" x14ac:dyDescent="0.2">
      <c r="A180" s="2" t="str">
        <v>USA</v>
      </c>
      <c r="F180" s="2" t="str">
        <v>Germany</v>
      </c>
    </row>
    <row r="181" spans="1:18" x14ac:dyDescent="0.2">
      <c r="A181" s="2" t="str">
        <v>Germany</v>
      </c>
      <c r="F181" s="2" t="str">
        <v>Japan</v>
      </c>
    </row>
    <row r="182" spans="1:18" x14ac:dyDescent="0.2">
      <c r="A182" s="2" t="str">
        <v>Japan</v>
      </c>
    </row>
    <row r="183" spans="1:18" s="72" customFormat="1" x14ac:dyDescent="0.2"/>
    <row r="185" spans="1:18" x14ac:dyDescent="0.2">
      <c r="A185" s="12" t="s">
        <v>115</v>
      </c>
      <c r="H185" s="12" t="s">
        <v>116</v>
      </c>
    </row>
    <row r="186" spans="1:18" x14ac:dyDescent="0.2">
      <c r="H186" s="67" t="s">
        <v>117</v>
      </c>
    </row>
    <row r="187" spans="1:18" x14ac:dyDescent="0.2">
      <c r="B187" s="73" t="str" cm="1">
        <f t="array" ref="B187:E191">lossratios</f>
        <v>Loss ratios</v>
      </c>
      <c r="C187" s="74" t="str">
        <v>NSW</v>
      </c>
      <c r="D187" s="74" t="str">
        <v>VIC</v>
      </c>
      <c r="E187" s="75" t="str">
        <v>ACT</v>
      </c>
      <c r="H187" t="str">
        <f ca="1">_xlfn.FORMULATEXT(H188)</f>
        <v>=VLOOKUP(products,B188:E191,4, FALSE)</v>
      </c>
      <c r="M187" s="67" t="s">
        <v>118</v>
      </c>
    </row>
    <row r="188" spans="1:18" x14ac:dyDescent="0.2">
      <c r="B188" s="76" t="str">
        <v>Motor</v>
      </c>
      <c r="C188">
        <v>0.92900000000000005</v>
      </c>
      <c r="D188">
        <v>0.76500000000000001</v>
      </c>
      <c r="E188" s="77">
        <v>0.94099999999999995</v>
      </c>
      <c r="H188" s="2" cm="1">
        <f t="array" ref="H188:H192">VLOOKUP(products,B188:E191,4, FALSE)</f>
        <v>0.94099999999999995</v>
      </c>
      <c r="M188" s="67" t="s">
        <v>119</v>
      </c>
    </row>
    <row r="189" spans="1:18" x14ac:dyDescent="0.2">
      <c r="B189" s="76" t="str">
        <v>Liability</v>
      </c>
      <c r="C189">
        <v>0.61199999999999999</v>
      </c>
      <c r="D189">
        <v>0.76100000000000001</v>
      </c>
      <c r="E189" s="77">
        <v>1.093</v>
      </c>
      <c r="H189" s="2">
        <v>0.65900000000000003</v>
      </c>
      <c r="I189" t="s">
        <v>120</v>
      </c>
      <c r="M189" t="str">
        <f ca="1">_xlfn.FORMULATEXT(M190)</f>
        <v>=VLOOKUP(E197,B188:E191,{2,4;1,3;4,2},FALSE)</v>
      </c>
    </row>
    <row r="190" spans="1:18" x14ac:dyDescent="0.2">
      <c r="B190" s="76" t="str">
        <v>Life</v>
      </c>
      <c r="C190">
        <v>0.871</v>
      </c>
      <c r="D190">
        <v>0.92800000000000005</v>
      </c>
      <c r="E190" s="77">
        <v>0.65900000000000003</v>
      </c>
      <c r="H190" s="2">
        <v>1.093</v>
      </c>
      <c r="I190" t="s">
        <v>121</v>
      </c>
      <c r="M190" s="2" cm="1">
        <f t="array" ref="M190:N192">VLOOKUP(E197,B188:E191,{2,4;1,3;4,2},FALSE)</f>
        <v>0.92900000000000005</v>
      </c>
      <c r="N190" s="2">
        <v>0.94099999999999995</v>
      </c>
      <c r="O190" t="s">
        <v>122</v>
      </c>
      <c r="P190" s="67"/>
      <c r="Q190" s="67"/>
      <c r="R190" s="67"/>
    </row>
    <row r="191" spans="1:18" x14ac:dyDescent="0.2">
      <c r="B191" s="78" t="str">
        <v>Property</v>
      </c>
      <c r="C191" s="72">
        <v>1.0489999999999999</v>
      </c>
      <c r="D191" s="72">
        <v>0.67500000000000004</v>
      </c>
      <c r="E191" s="79">
        <v>0.96699999999999997</v>
      </c>
      <c r="H191" s="2">
        <v>0.96699999999999997</v>
      </c>
      <c r="I191" t="s">
        <v>123</v>
      </c>
      <c r="M191" s="2" t="str">
        <v>Motor</v>
      </c>
      <c r="N191" s="2">
        <v>0.76500000000000001</v>
      </c>
      <c r="O191" t="s">
        <v>124</v>
      </c>
      <c r="P191" s="67"/>
      <c r="Q191" s="67"/>
      <c r="R191" s="67"/>
    </row>
    <row r="192" spans="1:18" x14ac:dyDescent="0.2">
      <c r="H192" t="e">
        <v>#N/A</v>
      </c>
      <c r="I192" t="s">
        <v>125</v>
      </c>
      <c r="M192" s="2">
        <v>0.94099999999999995</v>
      </c>
      <c r="N192" s="2">
        <v>0.92900000000000005</v>
      </c>
      <c r="O192" t="s">
        <v>126</v>
      </c>
      <c r="P192" s="67"/>
      <c r="Q192" s="67"/>
      <c r="R192" s="67"/>
    </row>
    <row r="195" spans="5:20" x14ac:dyDescent="0.2">
      <c r="H195" s="83" t="s">
        <v>127</v>
      </c>
    </row>
    <row r="196" spans="5:20" x14ac:dyDescent="0.2">
      <c r="E196" s="80" t="s">
        <v>128</v>
      </c>
      <c r="H196" s="67" t="s">
        <v>129</v>
      </c>
      <c r="N196" s="84" t="s">
        <v>130</v>
      </c>
      <c r="R196" s="67" t="s">
        <v>131</v>
      </c>
    </row>
    <row r="197" spans="5:20" x14ac:dyDescent="0.2">
      <c r="E197" s="81" t="s">
        <v>107</v>
      </c>
      <c r="H197" t="str">
        <f ca="1">_xlfn.FORMULATEXT(H198)</f>
        <v>=XLOOKUP(products,loss_ratios,E188:E191,"No such product")</v>
      </c>
      <c r="N197" s="86" t="str">
        <f ca="1">_xlfn.FORMULATEXT(N198)</f>
        <v>=MATCH(B188,products,0)</v>
      </c>
      <c r="T197" s="86" t="str">
        <f ca="1">_xlfn.FORMULATEXT(T198)</f>
        <v>=INDEX(C$188:C$191,MATCH(B188,loss_ratios,0))</v>
      </c>
    </row>
    <row r="198" spans="5:20" x14ac:dyDescent="0.2">
      <c r="E198" s="81" t="s">
        <v>109</v>
      </c>
      <c r="H198" s="2" cm="1">
        <f t="array" ref="H198:H202">_xlfn.XLOOKUP(products,loss_ratios,E188:E191,"No such product")</f>
        <v>0.94099999999999995</v>
      </c>
      <c r="N198" s="2">
        <f>MATCH(B188,products,0)</f>
        <v>1</v>
      </c>
      <c r="T198" s="2">
        <f>INDEX(C$188:C$191,MATCH(B188,loss_ratios,0))</f>
        <v>0.92900000000000005</v>
      </c>
    </row>
    <row r="199" spans="5:20" x14ac:dyDescent="0.2">
      <c r="E199" s="81" t="s">
        <v>108</v>
      </c>
      <c r="H199" s="2">
        <v>0.65900000000000003</v>
      </c>
      <c r="I199" t="s">
        <v>132</v>
      </c>
      <c r="N199" s="2">
        <f>MATCH(B189,products,0)</f>
        <v>3</v>
      </c>
      <c r="T199" s="2">
        <f>INDEX(C$188:C$191,MATCH(B189,B$188:B$191,0))</f>
        <v>0.61199999999999999</v>
      </c>
    </row>
    <row r="200" spans="5:20" x14ac:dyDescent="0.2">
      <c r="E200" s="81" t="s">
        <v>110</v>
      </c>
      <c r="H200" s="2">
        <v>1.093</v>
      </c>
      <c r="I200" t="s">
        <v>133</v>
      </c>
      <c r="N200" s="2">
        <f>MATCH(B190,products,0)</f>
        <v>2</v>
      </c>
      <c r="T200" s="2">
        <f>INDEX(C$188:C$191,MATCH(B190,B$188:B$191,0))</f>
        <v>0.871</v>
      </c>
    </row>
    <row r="201" spans="5:20" x14ac:dyDescent="0.2">
      <c r="E201" s="82" t="s">
        <v>134</v>
      </c>
      <c r="H201" s="2">
        <v>0.96699999999999997</v>
      </c>
      <c r="N201" s="2">
        <f>MATCH(B191,products,0)</f>
        <v>4</v>
      </c>
      <c r="T201" s="2">
        <f>INDEX(C$188:C$191,MATCH(B191,B$188:B$191,0))</f>
        <v>1.0489999999999999</v>
      </c>
    </row>
    <row r="202" spans="5:20" x14ac:dyDescent="0.2">
      <c r="H202" s="2" t="str">
        <v>No such product</v>
      </c>
    </row>
    <row r="203" spans="5:20" x14ac:dyDescent="0.2">
      <c r="N203" s="12" t="s">
        <v>135</v>
      </c>
      <c r="O203" s="67" t="s">
        <v>136</v>
      </c>
    </row>
    <row r="204" spans="5:20" x14ac:dyDescent="0.2">
      <c r="H204" t="s">
        <v>137</v>
      </c>
      <c r="N204" t="str">
        <f ca="1">_xlfn.FORMULATEXT(N205)</f>
        <v>=INDEX(products,2)</v>
      </c>
    </row>
    <row r="205" spans="5:20" x14ac:dyDescent="0.2">
      <c r="H205" s="67" t="s">
        <v>138</v>
      </c>
      <c r="J205" s="67" t="s">
        <v>139</v>
      </c>
      <c r="N205" s="2" t="str">
        <f>INDEX(products,2)</f>
        <v>Life</v>
      </c>
    </row>
    <row r="206" spans="5:20" x14ac:dyDescent="0.2">
      <c r="H206" s="2">
        <f>_xlfn.XLOOKUP("Argentina",squad, goals,,0,1)</f>
        <v>2</v>
      </c>
      <c r="I206" t="str">
        <f ca="1">_xlfn.FORMULATEXT(H206)</f>
        <v>=XLOOKUP("Argentina",squad, goals,,0,1)</v>
      </c>
    </row>
    <row r="207" spans="5:20" x14ac:dyDescent="0.2">
      <c r="H207" s="2">
        <f>_xlfn.XLOOKUP("Argentina",squad, goals,,0,-1)</f>
        <v>1</v>
      </c>
      <c r="I207" t="str">
        <f ca="1">_xlfn.FORMULATEXT(H207)</f>
        <v>=XLOOKUP("Argentina",squad, goals,,0,-1)</v>
      </c>
    </row>
    <row r="208" spans="5:20" x14ac:dyDescent="0.2">
      <c r="N208" s="85" t="s">
        <v>140</v>
      </c>
      <c r="R208" s="67" t="s">
        <v>141</v>
      </c>
    </row>
    <row r="209" spans="8:18" x14ac:dyDescent="0.2">
      <c r="H209" t="s">
        <v>142</v>
      </c>
      <c r="N209" s="2">
        <f>_xlfn.XMATCH("Argentina",squad,0,1)</f>
        <v>1</v>
      </c>
      <c r="O209" s="86" t="str">
        <f ca="1">_xlfn.FORMULATEXT(N209)</f>
        <v>=XMATCH("Argentina",squad,0,1)</v>
      </c>
      <c r="R209" t="str">
        <f ca="1">_xlfn.FORMULATEXT(R210)</f>
        <v>=INDEX(goals, XMATCH("Argentina",squad,0,-1))</v>
      </c>
    </row>
    <row r="210" spans="8:18" x14ac:dyDescent="0.2">
      <c r="H210" t="s">
        <v>143</v>
      </c>
      <c r="N210" s="2">
        <f>_xlfn.XMATCH("Argentina",squad,0,-1)</f>
        <v>81</v>
      </c>
      <c r="O210" s="86" t="str">
        <f ca="1">_xlfn.FORMULATEXT(N210)</f>
        <v>=XMATCH("Argentina",squad,0,-1)</v>
      </c>
      <c r="R210" s="2" cm="1">
        <f t="array" ref="R210">INDEX(goals, _xlfn.XMATCH("Argentina",squad,0,-1))</f>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466A-6204-486C-B2AF-D5C5F6CCDC89}">
  <sheetPr codeName="Sheet7"/>
  <dimension ref="A2:U70"/>
  <sheetViews>
    <sheetView workbookViewId="0">
      <selection activeCell="D14" sqref="D14"/>
    </sheetView>
  </sheetViews>
  <sheetFormatPr baseColWidth="10" defaultColWidth="8.83203125" defaultRowHeight="16" x14ac:dyDescent="0.2"/>
  <cols>
    <col min="10" max="10" width="11.1640625" customWidth="1"/>
    <col min="11" max="11" width="9.83203125" customWidth="1"/>
    <col min="13" max="13" width="9" customWidth="1"/>
    <col min="14" max="14" width="12.6640625" customWidth="1"/>
  </cols>
  <sheetData>
    <row r="2" spans="1:12" x14ac:dyDescent="0.2">
      <c r="A2" s="12" t="s">
        <v>144</v>
      </c>
    </row>
    <row r="3" spans="1:12" x14ac:dyDescent="0.2">
      <c r="F3" s="12" t="s">
        <v>145</v>
      </c>
    </row>
    <row r="4" spans="1:12" x14ac:dyDescent="0.2">
      <c r="B4" s="73" t="s">
        <v>146</v>
      </c>
      <c r="C4" s="75" t="s">
        <v>147</v>
      </c>
      <c r="F4" t="s">
        <v>148</v>
      </c>
    </row>
    <row r="5" spans="1:12" x14ac:dyDescent="0.2">
      <c r="B5" s="76" t="s">
        <v>149</v>
      </c>
      <c r="C5" s="77">
        <v>624</v>
      </c>
      <c r="F5" s="98">
        <v>5</v>
      </c>
    </row>
    <row r="6" spans="1:12" x14ac:dyDescent="0.2">
      <c r="B6" s="76" t="s">
        <v>150</v>
      </c>
      <c r="C6" s="77">
        <v>390</v>
      </c>
      <c r="F6" s="2" t="str" cm="1">
        <f t="array" aca="1" ref="F6:G6" ca="1">OFFSET(monthly_profit, F5,0,1,2)</f>
        <v>May</v>
      </c>
      <c r="G6" s="2">
        <f ca="1"/>
        <v>439</v>
      </c>
      <c r="H6" t="str">
        <f ca="1">_xlfn.FORMULATEXT(F6)</f>
        <v>=OFFSET(monthly_profit, F5,0,1,2)</v>
      </c>
    </row>
    <row r="7" spans="1:12" x14ac:dyDescent="0.2">
      <c r="B7" s="76" t="s">
        <v>151</v>
      </c>
      <c r="C7" s="77">
        <v>1000</v>
      </c>
    </row>
    <row r="8" spans="1:12" x14ac:dyDescent="0.2">
      <c r="B8" s="76" t="s">
        <v>152</v>
      </c>
      <c r="C8" s="77">
        <v>250</v>
      </c>
    </row>
    <row r="9" spans="1:12" x14ac:dyDescent="0.2">
      <c r="B9" s="76" t="s">
        <v>153</v>
      </c>
      <c r="C9" s="77">
        <v>439</v>
      </c>
      <c r="F9" t="s">
        <v>154</v>
      </c>
      <c r="G9" t="s">
        <v>155</v>
      </c>
    </row>
    <row r="10" spans="1:12" x14ac:dyDescent="0.2">
      <c r="B10" s="76" t="s">
        <v>156</v>
      </c>
      <c r="C10" s="77">
        <v>109</v>
      </c>
      <c r="F10" s="98">
        <v>3</v>
      </c>
      <c r="G10" s="98">
        <v>7</v>
      </c>
      <c r="H10" s="67" t="s">
        <v>157</v>
      </c>
    </row>
    <row r="11" spans="1:12" x14ac:dyDescent="0.2">
      <c r="B11" s="76" t="s">
        <v>158</v>
      </c>
      <c r="C11" s="77">
        <v>530</v>
      </c>
      <c r="F11" s="2" t="str" cm="1">
        <f t="array" aca="1" ref="F11:G15" ca="1">OFFSET(monthly_profit, F10, 0,G10-F10+1,2)</f>
        <v>Mar</v>
      </c>
      <c r="G11" s="2">
        <f ca="1"/>
        <v>1000</v>
      </c>
      <c r="H11" t="str">
        <f ca="1">_xlfn.FORMULATEXT(F11)</f>
        <v>=OFFSET(monthly_profit, F10, 0,G10-F10+1,2)</v>
      </c>
      <c r="L11" s="67" t="s">
        <v>159</v>
      </c>
    </row>
    <row r="12" spans="1:12" x14ac:dyDescent="0.2">
      <c r="B12" s="76" t="s">
        <v>160</v>
      </c>
      <c r="C12" s="77">
        <v>123</v>
      </c>
      <c r="F12" s="2" t="str">
        <f ca="1"/>
        <v>Apr</v>
      </c>
      <c r="G12" s="2">
        <f ca="1"/>
        <v>250</v>
      </c>
    </row>
    <row r="13" spans="1:12" x14ac:dyDescent="0.2">
      <c r="B13" s="76" t="s">
        <v>161</v>
      </c>
      <c r="C13" s="77">
        <v>5345</v>
      </c>
      <c r="F13" s="2" t="str">
        <f ca="1"/>
        <v>May</v>
      </c>
      <c r="G13" s="2">
        <f ca="1"/>
        <v>439</v>
      </c>
      <c r="I13" t="s">
        <v>162</v>
      </c>
    </row>
    <row r="14" spans="1:12" x14ac:dyDescent="0.2">
      <c r="B14" s="76" t="s">
        <v>163</v>
      </c>
      <c r="C14" s="77">
        <v>312</v>
      </c>
      <c r="F14" s="2" t="str">
        <f ca="1"/>
        <v>Jun</v>
      </c>
      <c r="G14" s="2">
        <f ca="1"/>
        <v>109</v>
      </c>
      <c r="I14" t="s">
        <v>164</v>
      </c>
    </row>
    <row r="15" spans="1:12" x14ac:dyDescent="0.2">
      <c r="B15" s="76" t="s">
        <v>165</v>
      </c>
      <c r="C15" s="77">
        <v>98</v>
      </c>
      <c r="F15" s="2" t="str">
        <f ca="1"/>
        <v>Jul</v>
      </c>
      <c r="G15" s="2">
        <f ca="1"/>
        <v>530</v>
      </c>
      <c r="I15" t="s">
        <v>166</v>
      </c>
    </row>
    <row r="16" spans="1:12" x14ac:dyDescent="0.2">
      <c r="B16" s="78" t="s">
        <v>167</v>
      </c>
      <c r="C16" s="79">
        <v>672</v>
      </c>
      <c r="F16" s="2"/>
      <c r="G16" s="2"/>
      <c r="I16" t="s">
        <v>168</v>
      </c>
    </row>
    <row r="17" spans="6:14" x14ac:dyDescent="0.2">
      <c r="F17" s="2"/>
      <c r="G17" s="2"/>
      <c r="I17" t="s">
        <v>169</v>
      </c>
    </row>
    <row r="18" spans="6:14" x14ac:dyDescent="0.2">
      <c r="F18" s="2"/>
      <c r="G18" s="2"/>
    </row>
    <row r="19" spans="6:14" x14ac:dyDescent="0.2">
      <c r="F19" s="2"/>
      <c r="G19" s="2"/>
    </row>
    <row r="20" spans="6:14" x14ac:dyDescent="0.2">
      <c r="F20" s="2"/>
      <c r="G20" s="2"/>
    </row>
    <row r="21" spans="6:14" x14ac:dyDescent="0.2">
      <c r="F21" s="2"/>
      <c r="G21" s="2"/>
    </row>
    <row r="22" spans="6:14" x14ac:dyDescent="0.2">
      <c r="F22" s="2"/>
      <c r="G22" s="2"/>
    </row>
    <row r="23" spans="6:14" s="72" customFormat="1" x14ac:dyDescent="0.2"/>
    <row r="27" spans="6:14" x14ac:dyDescent="0.2">
      <c r="I27" s="12" t="s">
        <v>170</v>
      </c>
      <c r="J27" s="67" t="s">
        <v>171</v>
      </c>
    </row>
    <row r="28" spans="6:14" x14ac:dyDescent="0.2">
      <c r="I28" s="86" t="s">
        <v>172</v>
      </c>
    </row>
    <row r="29" spans="6:14" x14ac:dyDescent="0.2">
      <c r="I29" s="2" t="str">
        <f>ADDRESS(26,2)</f>
        <v>$B$26</v>
      </c>
      <c r="J29" t="str">
        <f ca="1">_xlfn.FORMULATEXT(I29)</f>
        <v>=ADDRESS(26,2)</v>
      </c>
      <c r="L29" s="11" t="s">
        <v>173</v>
      </c>
    </row>
    <row r="30" spans="6:14" x14ac:dyDescent="0.2">
      <c r="N30" s="11"/>
    </row>
    <row r="31" spans="6:14" x14ac:dyDescent="0.2">
      <c r="I31" s="12" t="s">
        <v>174</v>
      </c>
      <c r="J31" s="67" t="s">
        <v>175</v>
      </c>
    </row>
    <row r="32" spans="6:14" x14ac:dyDescent="0.2">
      <c r="I32" t="s">
        <v>176</v>
      </c>
    </row>
    <row r="33" spans="1:21" x14ac:dyDescent="0.2">
      <c r="I33" s="2" cm="1">
        <f t="array" aca="1" ref="I33" ca="1">INDIRECT(I29)</f>
        <v>0</v>
      </c>
      <c r="J33" t="str">
        <f ca="1">_xlfn.FORMULATEXT(I33)</f>
        <v>=INDIRECT(I29)</v>
      </c>
    </row>
    <row r="35" spans="1:21" x14ac:dyDescent="0.2">
      <c r="I35" s="12" t="s">
        <v>177</v>
      </c>
      <c r="K35" s="67" t="s">
        <v>178</v>
      </c>
      <c r="P35" s="12" t="s">
        <v>179</v>
      </c>
    </row>
    <row r="36" spans="1:21" x14ac:dyDescent="0.2">
      <c r="I36" s="72" t="s">
        <v>154</v>
      </c>
      <c r="J36" s="72" t="s">
        <v>180</v>
      </c>
      <c r="K36" s="72" t="s">
        <v>181</v>
      </c>
      <c r="L36" s="72" t="s">
        <v>182</v>
      </c>
      <c r="M36" s="72"/>
      <c r="P36" s="72" t="s">
        <v>154</v>
      </c>
      <c r="Q36" s="72" t="s">
        <v>180</v>
      </c>
      <c r="R36" s="72" t="s">
        <v>181</v>
      </c>
      <c r="S36" s="72" t="s">
        <v>182</v>
      </c>
      <c r="T36" s="72"/>
    </row>
    <row r="37" spans="1:21" x14ac:dyDescent="0.2">
      <c r="I37" s="98" t="s">
        <v>150</v>
      </c>
      <c r="J37" s="98" t="s">
        <v>153</v>
      </c>
      <c r="K37" s="98">
        <v>1</v>
      </c>
      <c r="L37" s="98">
        <v>3</v>
      </c>
      <c r="M37" s="67" t="s">
        <v>183</v>
      </c>
      <c r="N37" s="96" t="s">
        <v>184</v>
      </c>
      <c r="O37" s="97" t="s">
        <v>185</v>
      </c>
      <c r="P37" s="98" t="s">
        <v>151</v>
      </c>
      <c r="Q37" s="98" t="s">
        <v>156</v>
      </c>
      <c r="R37" s="98">
        <v>2</v>
      </c>
      <c r="S37" s="98">
        <v>4</v>
      </c>
    </row>
    <row r="38" spans="1:21" x14ac:dyDescent="0.2">
      <c r="A38" s="73"/>
      <c r="B38" s="74" t="s">
        <v>149</v>
      </c>
      <c r="C38" s="74" t="s">
        <v>150</v>
      </c>
      <c r="D38" s="74" t="s">
        <v>151</v>
      </c>
      <c r="E38" s="74" t="s">
        <v>152</v>
      </c>
      <c r="F38" s="74" t="s">
        <v>153</v>
      </c>
      <c r="G38" s="75" t="s">
        <v>156</v>
      </c>
      <c r="I38" s="87" t="str" cm="1">
        <f t="array" aca="1" ref="I38:L38" ca="1">INDIRECT(ADDRESS(38,MATCH(I37,A38:G38,0))):INDIRECT(ADDRESS(38,MATCH(J37,A38:G38,0)))</f>
        <v>Feb</v>
      </c>
      <c r="J38" s="87" t="str">
        <f ca="1"/>
        <v>Mar</v>
      </c>
      <c r="K38" s="87" t="str">
        <f ca="1"/>
        <v>Apr</v>
      </c>
      <c r="L38" s="87" t="str">
        <f ca="1"/>
        <v>May</v>
      </c>
      <c r="M38" s="93"/>
      <c r="N38" s="88"/>
      <c r="P38" s="87" t="str" cm="1">
        <f t="array" aca="1" ref="P38:S38" ca="1">OFFSET(B38:G38,0,MATCH(P37,B38:G38,0)-1,1,MATCH(Q37,B38:G38,0)-MATCH(P37,B38:G38,0)+1)</f>
        <v>Mar</v>
      </c>
      <c r="Q38" s="87" t="str">
        <f ca="1"/>
        <v>Apr</v>
      </c>
      <c r="R38" s="87" t="str">
        <f ca="1"/>
        <v>May</v>
      </c>
      <c r="S38" s="87" t="str">
        <f ca="1"/>
        <v>Jun</v>
      </c>
      <c r="T38" s="93"/>
      <c r="U38" s="88"/>
    </row>
    <row r="39" spans="1:21" x14ac:dyDescent="0.2">
      <c r="A39" s="76" t="s">
        <v>186</v>
      </c>
      <c r="B39">
        <v>3</v>
      </c>
      <c r="C39">
        <v>2</v>
      </c>
      <c r="D39">
        <v>7</v>
      </c>
      <c r="E39">
        <v>8</v>
      </c>
      <c r="F39">
        <v>6</v>
      </c>
      <c r="G39" s="77">
        <v>8</v>
      </c>
      <c r="I39" s="87" cm="1">
        <f t="array" aca="1" ref="I39:L41" ca="1">INDIRECT(ADDRESS(38+K37,MATCH(I37,A38:G38,0))):INDIRECT(ADDRESS(38+L37,MATCH(J37,A38:G38,0)))</f>
        <v>2</v>
      </c>
      <c r="J39" s="87">
        <f ca="1"/>
        <v>7</v>
      </c>
      <c r="K39" s="87">
        <f ca="1"/>
        <v>8</v>
      </c>
      <c r="L39" s="87">
        <f ca="1"/>
        <v>6</v>
      </c>
      <c r="M39" s="93"/>
      <c r="N39" s="88"/>
      <c r="P39" s="87" cm="1">
        <f t="array" aca="1" ref="P39:S41" ca="1">OFFSET(B39:G42,R37-1,MATCH(P37,B38:G38,0)-1,S37-R37+1,MATCH(Q37,B38:G38,0)-MATCH(P37,B38:G38,0)+1)</f>
        <v>9</v>
      </c>
      <c r="Q39" s="87">
        <f ca="1"/>
        <v>4</v>
      </c>
      <c r="R39" s="87">
        <f ca="1"/>
        <v>5</v>
      </c>
      <c r="S39" s="87">
        <f ca="1"/>
        <v>9</v>
      </c>
      <c r="T39" s="93"/>
      <c r="U39" s="88"/>
    </row>
    <row r="40" spans="1:21" x14ac:dyDescent="0.2">
      <c r="A40" s="76" t="s">
        <v>187</v>
      </c>
      <c r="B40">
        <v>2</v>
      </c>
      <c r="C40">
        <v>3</v>
      </c>
      <c r="D40">
        <v>9</v>
      </c>
      <c r="E40">
        <v>4</v>
      </c>
      <c r="F40">
        <v>5</v>
      </c>
      <c r="G40" s="77">
        <v>9</v>
      </c>
      <c r="I40" s="89">
        <f ca="1"/>
        <v>3</v>
      </c>
      <c r="J40" s="89">
        <f ca="1"/>
        <v>9</v>
      </c>
      <c r="K40" s="89">
        <f ca="1"/>
        <v>4</v>
      </c>
      <c r="L40" s="89">
        <f ca="1"/>
        <v>5</v>
      </c>
      <c r="M40" s="94"/>
      <c r="N40" s="90"/>
      <c r="P40" s="89">
        <f ca="1"/>
        <v>0</v>
      </c>
      <c r="Q40" s="89">
        <f ca="1"/>
        <v>23</v>
      </c>
      <c r="R40" s="89">
        <f ca="1"/>
        <v>10</v>
      </c>
      <c r="S40" s="89">
        <f ca="1"/>
        <v>7</v>
      </c>
      <c r="T40" s="94"/>
      <c r="U40" s="90"/>
    </row>
    <row r="41" spans="1:21" x14ac:dyDescent="0.2">
      <c r="A41" s="76" t="s">
        <v>188</v>
      </c>
      <c r="B41">
        <v>1</v>
      </c>
      <c r="C41">
        <v>7</v>
      </c>
      <c r="D41">
        <v>0</v>
      </c>
      <c r="E41">
        <v>23</v>
      </c>
      <c r="F41">
        <v>10</v>
      </c>
      <c r="G41" s="77">
        <v>7</v>
      </c>
      <c r="I41" s="89">
        <f ca="1"/>
        <v>7</v>
      </c>
      <c r="J41" s="89">
        <f ca="1"/>
        <v>0</v>
      </c>
      <c r="K41" s="89">
        <f ca="1"/>
        <v>23</v>
      </c>
      <c r="L41" s="89">
        <f ca="1"/>
        <v>10</v>
      </c>
      <c r="M41" s="94"/>
      <c r="N41" s="90"/>
      <c r="P41" s="89">
        <f ca="1"/>
        <v>2</v>
      </c>
      <c r="Q41" s="89">
        <f ca="1"/>
        <v>1</v>
      </c>
      <c r="R41" s="89">
        <f ca="1"/>
        <v>2</v>
      </c>
      <c r="S41" s="89">
        <f ca="1"/>
        <v>4</v>
      </c>
      <c r="T41" s="94"/>
      <c r="U41" s="90"/>
    </row>
    <row r="42" spans="1:21" x14ac:dyDescent="0.2">
      <c r="A42" s="78" t="s">
        <v>189</v>
      </c>
      <c r="B42" s="72">
        <v>4</v>
      </c>
      <c r="C42" s="72">
        <v>6</v>
      </c>
      <c r="D42" s="72">
        <v>2</v>
      </c>
      <c r="E42" s="72">
        <v>1</v>
      </c>
      <c r="F42" s="72">
        <v>2</v>
      </c>
      <c r="G42" s="79">
        <v>4</v>
      </c>
      <c r="I42" s="91"/>
      <c r="J42" s="91"/>
      <c r="K42" s="91"/>
      <c r="L42" s="91"/>
      <c r="M42" s="95"/>
      <c r="N42" s="92"/>
      <c r="P42" s="91"/>
      <c r="Q42" s="91"/>
      <c r="R42" s="91"/>
      <c r="S42" s="91"/>
      <c r="T42" s="95"/>
      <c r="U42" s="92"/>
    </row>
    <row r="44" spans="1:21" x14ac:dyDescent="0.2">
      <c r="D44" t="s">
        <v>190</v>
      </c>
      <c r="F44" t="str">
        <f ca="1">_xlfn.FORMULATEXT(I38)</f>
        <v>=INDIRECT(ADDRESS(38,MATCH(I37,A38:G38,0))):INDIRECT(ADDRESS(38,MATCH(J37,A38:G38,0)))</v>
      </c>
      <c r="P44" t="str">
        <f ca="1">_xlfn.FORMULATEXT(P38)</f>
        <v>=OFFSET(B38:G38,0,MATCH(P37,B38:G38,0)-1,1,MATCH(Q37,B38:G38,0)-MATCH(P37,B38:G38,0)+1)</v>
      </c>
    </row>
    <row r="45" spans="1:21" x14ac:dyDescent="0.2">
      <c r="D45" t="s">
        <v>191</v>
      </c>
      <c r="F45" t="str">
        <f ca="1">_xlfn.FORMULATEXT(I39)</f>
        <v>=INDIRECT(ADDRESS(38+K37,MATCH(I37,A38:G38,0))):INDIRECT(ADDRESS(38+L37,MATCH(J37,A38:G38,0)))</v>
      </c>
      <c r="P45" t="str">
        <f ca="1">_xlfn.FORMULATEXT(P39)</f>
        <v>=OFFSET(B39:G42,R37-1,MATCH(P37,B38:G38,0)-1,S37-R37+1,MATCH(Q37,B38:G38,0)-MATCH(P37,B38:G38,0)+1)</v>
      </c>
    </row>
    <row r="46" spans="1:21" x14ac:dyDescent="0.2">
      <c r="F46" s="67"/>
    </row>
    <row r="47" spans="1:21" x14ac:dyDescent="0.2">
      <c r="F47" s="67"/>
      <c r="P47" s="67" t="s">
        <v>192</v>
      </c>
    </row>
    <row r="48" spans="1:21" x14ac:dyDescent="0.2">
      <c r="B48" s="100" t="s">
        <v>193</v>
      </c>
      <c r="C48" s="74"/>
      <c r="D48" s="74"/>
      <c r="E48" s="74"/>
      <c r="F48" s="99"/>
      <c r="G48" s="74"/>
      <c r="H48" s="74"/>
      <c r="I48" s="74"/>
      <c r="J48" s="74"/>
      <c r="K48" s="74"/>
      <c r="L48" s="74"/>
      <c r="M48" s="74"/>
      <c r="N48" s="74"/>
      <c r="O48" s="74"/>
      <c r="P48" s="75"/>
    </row>
    <row r="49" spans="2:16" x14ac:dyDescent="0.2">
      <c r="B49" s="76" t="s">
        <v>194</v>
      </c>
      <c r="D49" t="s">
        <v>195</v>
      </c>
      <c r="H49" t="s">
        <v>196</v>
      </c>
      <c r="P49" s="77"/>
    </row>
    <row r="50" spans="2:16" x14ac:dyDescent="0.2">
      <c r="B50" s="76"/>
      <c r="D50" t="s">
        <v>197</v>
      </c>
      <c r="H50" t="s">
        <v>198</v>
      </c>
      <c r="P50" s="77"/>
    </row>
    <row r="51" spans="2:16" x14ac:dyDescent="0.2">
      <c r="B51" s="76"/>
      <c r="D51" t="s">
        <v>199</v>
      </c>
      <c r="H51" t="s">
        <v>200</v>
      </c>
      <c r="P51" s="77"/>
    </row>
    <row r="52" spans="2:16" x14ac:dyDescent="0.2">
      <c r="B52" s="76"/>
      <c r="P52" s="77"/>
    </row>
    <row r="53" spans="2:16" x14ac:dyDescent="0.2">
      <c r="B53" s="76"/>
      <c r="H53" t="s">
        <v>201</v>
      </c>
      <c r="P53" s="77"/>
    </row>
    <row r="54" spans="2:16" x14ac:dyDescent="0.2">
      <c r="B54" s="76"/>
      <c r="H54" t="s">
        <v>202</v>
      </c>
      <c r="P54" s="77"/>
    </row>
    <row r="55" spans="2:16" x14ac:dyDescent="0.2">
      <c r="B55" s="76"/>
      <c r="P55" s="77"/>
    </row>
    <row r="56" spans="2:16" x14ac:dyDescent="0.2">
      <c r="B56" s="76" t="s">
        <v>203</v>
      </c>
      <c r="D56" t="s">
        <v>195</v>
      </c>
      <c r="H56" t="s">
        <v>204</v>
      </c>
      <c r="P56" s="77"/>
    </row>
    <row r="57" spans="2:16" x14ac:dyDescent="0.2">
      <c r="B57" s="76"/>
      <c r="D57" t="s">
        <v>205</v>
      </c>
      <c r="H57" t="s">
        <v>206</v>
      </c>
      <c r="P57" s="77"/>
    </row>
    <row r="58" spans="2:16" x14ac:dyDescent="0.2">
      <c r="B58" s="76"/>
      <c r="D58" t="s">
        <v>199</v>
      </c>
      <c r="H58" t="s">
        <v>207</v>
      </c>
      <c r="P58" s="77"/>
    </row>
    <row r="59" spans="2:16" x14ac:dyDescent="0.2">
      <c r="B59" s="76"/>
      <c r="P59" s="77"/>
    </row>
    <row r="60" spans="2:16" x14ac:dyDescent="0.2">
      <c r="B60" s="78"/>
      <c r="C60" s="72"/>
      <c r="D60" s="72"/>
      <c r="E60" s="72"/>
      <c r="F60" s="72"/>
      <c r="G60" s="72"/>
      <c r="H60" s="72" t="s">
        <v>208</v>
      </c>
      <c r="I60" s="72"/>
      <c r="J60" s="72"/>
      <c r="K60" s="72"/>
      <c r="L60" s="72"/>
      <c r="M60" s="72"/>
      <c r="N60" s="72"/>
      <c r="O60" s="72"/>
      <c r="P60" s="79"/>
    </row>
    <row r="62" spans="2:16" x14ac:dyDescent="0.2">
      <c r="B62" s="100" t="s">
        <v>209</v>
      </c>
      <c r="C62" s="74"/>
      <c r="D62" s="74"/>
      <c r="E62" s="74"/>
      <c r="F62" s="74"/>
      <c r="G62" s="74"/>
      <c r="H62" s="74"/>
      <c r="I62" s="74"/>
      <c r="J62" s="74"/>
      <c r="K62" s="74"/>
      <c r="L62" s="74"/>
      <c r="M62" s="74"/>
      <c r="N62" s="74"/>
      <c r="O62" s="74"/>
      <c r="P62" s="75"/>
    </row>
    <row r="63" spans="2:16" x14ac:dyDescent="0.2">
      <c r="B63" s="76"/>
      <c r="P63" s="77"/>
    </row>
    <row r="64" spans="2:16" x14ac:dyDescent="0.2">
      <c r="B64" s="73">
        <v>1</v>
      </c>
      <c r="C64" s="74">
        <v>4</v>
      </c>
      <c r="D64" s="75">
        <v>7</v>
      </c>
      <c r="F64" t="s">
        <v>210</v>
      </c>
      <c r="G64" t="s">
        <v>211</v>
      </c>
      <c r="I64" s="2" t="e" cm="1">
        <f t="array" aca="1" ref="I64:I65" ca="1">INDIRECT(G64:G65)</f>
        <v>#VALUE!</v>
      </c>
      <c r="J64" t="str">
        <f ca="1">_xlfn.FORMULATEXT(I64)</f>
        <v>=INDIRECT(G64:G65)</v>
      </c>
      <c r="P64" s="77"/>
    </row>
    <row r="65" spans="2:16" x14ac:dyDescent="0.2">
      <c r="B65" s="76">
        <v>2</v>
      </c>
      <c r="C65">
        <v>5</v>
      </c>
      <c r="D65" s="77">
        <v>8</v>
      </c>
      <c r="F65" t="s">
        <v>212</v>
      </c>
      <c r="G65" t="s">
        <v>213</v>
      </c>
      <c r="I65" s="2" t="e">
        <f ca="1"/>
        <v>#VALUE!</v>
      </c>
      <c r="P65" s="77"/>
    </row>
    <row r="66" spans="2:16" x14ac:dyDescent="0.2">
      <c r="B66" s="78">
        <v>3</v>
      </c>
      <c r="C66" s="72">
        <v>6</v>
      </c>
      <c r="D66" s="79">
        <v>9</v>
      </c>
      <c r="P66" s="77"/>
    </row>
    <row r="67" spans="2:16" x14ac:dyDescent="0.2">
      <c r="B67" s="76"/>
      <c r="I67" s="2" cm="1">
        <f t="array" aca="1" ref="I67:K69" ca="1">INDIRECT(G64):INDIRECT(G65)</f>
        <v>0</v>
      </c>
      <c r="J67" s="2">
        <f ca="1"/>
        <v>0</v>
      </c>
      <c r="K67" s="2">
        <f ca="1"/>
        <v>0</v>
      </c>
      <c r="L67" t="str">
        <f ca="1">_xlfn.FORMULATEXT(I67)</f>
        <v>=INDIRECT(G64):INDIRECT(G65)</v>
      </c>
      <c r="P67" s="77"/>
    </row>
    <row r="68" spans="2:16" x14ac:dyDescent="0.2">
      <c r="B68" s="76"/>
      <c r="I68" s="2">
        <f ca="1"/>
        <v>0</v>
      </c>
      <c r="J68" s="2">
        <f ca="1"/>
        <v>0</v>
      </c>
      <c r="K68" s="2" t="str">
        <f ca="1"/>
        <v>Same as above</v>
      </c>
      <c r="P68" s="77"/>
    </row>
    <row r="69" spans="2:16" x14ac:dyDescent="0.2">
      <c r="B69" s="76"/>
      <c r="I69" s="2">
        <f ca="1"/>
        <v>0</v>
      </c>
      <c r="J69" s="2">
        <f ca="1"/>
        <v>0</v>
      </c>
      <c r="K69" s="2" t="str">
        <f ca="1"/>
        <v>We move down few rows (+K39) based on the starting week</v>
      </c>
      <c r="P69" s="77"/>
    </row>
    <row r="70" spans="2:16" x14ac:dyDescent="0.2">
      <c r="B70" s="78"/>
      <c r="C70" s="72"/>
      <c r="D70" s="72"/>
      <c r="E70" s="72"/>
      <c r="F70" s="72"/>
      <c r="G70" s="72"/>
      <c r="H70" s="72"/>
      <c r="I70" s="72"/>
      <c r="J70" s="72"/>
      <c r="K70" s="72"/>
      <c r="L70" s="72"/>
      <c r="M70" s="72"/>
      <c r="N70" s="72"/>
      <c r="O70" s="72"/>
      <c r="P70" s="7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4AF6-7209-AE46-8F0B-1636B36F7A00}">
  <sheetPr codeName="Sheet8"/>
  <dimension ref="A1:W201"/>
  <sheetViews>
    <sheetView workbookViewId="0">
      <selection activeCell="G179" sqref="G179"/>
    </sheetView>
  </sheetViews>
  <sheetFormatPr baseColWidth="10" defaultColWidth="10.83203125" defaultRowHeight="16" x14ac:dyDescent="0.2"/>
  <cols>
    <col min="1" max="3" width="11" style="17" bestFit="1" customWidth="1"/>
    <col min="4" max="6" width="11.6640625" style="17" bestFit="1" customWidth="1"/>
    <col min="7" max="20" width="11" style="17" bestFit="1" customWidth="1"/>
    <col min="21" max="16384" width="10.83203125" style="17"/>
  </cols>
  <sheetData>
    <row r="1" spans="1:20" x14ac:dyDescent="0.2">
      <c r="A1" s="16" t="s">
        <v>214</v>
      </c>
      <c r="C1" s="18"/>
      <c r="D1" s="18"/>
      <c r="E1" s="18"/>
      <c r="F1" s="18"/>
      <c r="G1" s="18"/>
      <c r="H1" s="18"/>
      <c r="I1" s="18"/>
      <c r="J1" s="18"/>
      <c r="K1" s="18"/>
      <c r="L1" s="18"/>
      <c r="M1" s="18"/>
      <c r="N1" s="18"/>
      <c r="O1" s="18"/>
      <c r="P1" s="18"/>
      <c r="Q1" s="18"/>
      <c r="R1" s="18"/>
      <c r="S1" s="18"/>
    </row>
    <row r="2" spans="1:20" x14ac:dyDescent="0.2">
      <c r="A2" s="16" t="s">
        <v>215</v>
      </c>
      <c r="C2" s="18"/>
      <c r="D2" s="18"/>
      <c r="E2" s="18"/>
      <c r="F2" s="18"/>
      <c r="G2" s="18"/>
      <c r="H2" s="18"/>
      <c r="I2" s="18"/>
      <c r="J2" s="18"/>
      <c r="K2" s="18"/>
      <c r="L2" s="18"/>
      <c r="M2" s="18"/>
      <c r="N2" s="18"/>
      <c r="O2" s="18"/>
      <c r="P2" s="18"/>
      <c r="Q2" s="18"/>
      <c r="R2" s="18"/>
      <c r="S2" s="18"/>
    </row>
    <row r="3" spans="1:20" hidden="1" x14ac:dyDescent="0.2"/>
    <row r="4" spans="1:20" s="22" customFormat="1" hidden="1" x14ac:dyDescent="0.2">
      <c r="A4" s="19" t="s">
        <v>216</v>
      </c>
      <c r="B4" s="20"/>
      <c r="C4" s="16" t="s">
        <v>217</v>
      </c>
      <c r="D4" s="21"/>
      <c r="E4" s="21"/>
      <c r="F4" s="21"/>
      <c r="G4" s="21"/>
      <c r="H4" s="21"/>
      <c r="I4" s="21"/>
      <c r="J4" s="21"/>
      <c r="K4" s="21"/>
      <c r="L4" s="21"/>
      <c r="M4" s="21"/>
      <c r="N4" s="21"/>
      <c r="O4" s="21"/>
      <c r="P4" s="21"/>
      <c r="Q4" s="21"/>
      <c r="R4" s="21"/>
      <c r="S4" s="21"/>
      <c r="T4" s="21"/>
    </row>
    <row r="5" spans="1:20" s="22" customFormat="1" hidden="1" x14ac:dyDescent="0.2">
      <c r="A5" s="23" t="s">
        <v>218</v>
      </c>
      <c r="B5" s="24"/>
      <c r="C5" s="21">
        <v>0</v>
      </c>
      <c r="D5" s="21">
        <f t="shared" ref="D5:T5" si="0">C5+1</f>
        <v>1</v>
      </c>
      <c r="E5" s="21">
        <f t="shared" si="0"/>
        <v>2</v>
      </c>
      <c r="F5" s="21">
        <f t="shared" si="0"/>
        <v>3</v>
      </c>
      <c r="G5" s="21">
        <f t="shared" si="0"/>
        <v>4</v>
      </c>
      <c r="H5" s="21">
        <f t="shared" si="0"/>
        <v>5</v>
      </c>
      <c r="I5" s="21">
        <f t="shared" si="0"/>
        <v>6</v>
      </c>
      <c r="J5" s="21">
        <f t="shared" si="0"/>
        <v>7</v>
      </c>
      <c r="K5" s="21">
        <f t="shared" si="0"/>
        <v>8</v>
      </c>
      <c r="L5" s="21">
        <f t="shared" si="0"/>
        <v>9</v>
      </c>
      <c r="M5" s="21">
        <f t="shared" si="0"/>
        <v>10</v>
      </c>
      <c r="N5" s="21">
        <f t="shared" si="0"/>
        <v>11</v>
      </c>
      <c r="O5" s="21">
        <f t="shared" si="0"/>
        <v>12</v>
      </c>
      <c r="P5" s="21">
        <f t="shared" si="0"/>
        <v>13</v>
      </c>
      <c r="Q5" s="21">
        <f t="shared" si="0"/>
        <v>14</v>
      </c>
      <c r="R5" s="21">
        <f t="shared" si="0"/>
        <v>15</v>
      </c>
      <c r="S5" s="21">
        <f t="shared" si="0"/>
        <v>16</v>
      </c>
      <c r="T5" s="21">
        <f t="shared" si="0"/>
        <v>17</v>
      </c>
    </row>
    <row r="6" spans="1:20" hidden="1" x14ac:dyDescent="0.2">
      <c r="C6" s="25" t="s">
        <v>219</v>
      </c>
      <c r="D6" s="25" t="s">
        <v>219</v>
      </c>
      <c r="E6" s="25" t="s">
        <v>219</v>
      </c>
      <c r="F6" s="25" t="s">
        <v>219</v>
      </c>
      <c r="G6" s="25" t="s">
        <v>219</v>
      </c>
      <c r="H6" s="25" t="s">
        <v>219</v>
      </c>
      <c r="I6" s="25" t="s">
        <v>219</v>
      </c>
      <c r="J6" s="25" t="s">
        <v>219</v>
      </c>
      <c r="K6" s="25" t="s">
        <v>219</v>
      </c>
      <c r="L6" s="25" t="s">
        <v>219</v>
      </c>
      <c r="M6" s="25" t="s">
        <v>219</v>
      </c>
      <c r="N6" s="25" t="s">
        <v>219</v>
      </c>
      <c r="O6" s="25" t="s">
        <v>219</v>
      </c>
      <c r="P6" s="25" t="s">
        <v>219</v>
      </c>
      <c r="Q6" s="25" t="s">
        <v>219</v>
      </c>
      <c r="R6" s="25" t="s">
        <v>219</v>
      </c>
      <c r="S6" s="25" t="s">
        <v>219</v>
      </c>
      <c r="T6" s="25" t="s">
        <v>219</v>
      </c>
    </row>
    <row r="7" spans="1:20" hidden="1" x14ac:dyDescent="0.2"/>
    <row r="8" spans="1:20" hidden="1" x14ac:dyDescent="0.2">
      <c r="A8" s="18">
        <v>1978</v>
      </c>
      <c r="B8" s="26"/>
      <c r="C8" s="26">
        <v>9268</v>
      </c>
      <c r="D8" s="26">
        <v>18263</v>
      </c>
      <c r="E8" s="26">
        <v>20182</v>
      </c>
      <c r="F8" s="26">
        <v>22383</v>
      </c>
      <c r="G8" s="26">
        <v>22782</v>
      </c>
      <c r="H8" s="26">
        <v>26348</v>
      </c>
      <c r="I8" s="26">
        <v>26172</v>
      </c>
      <c r="J8" s="26">
        <v>26184</v>
      </c>
      <c r="K8" s="26">
        <v>25455</v>
      </c>
      <c r="L8" s="26">
        <v>25740</v>
      </c>
      <c r="M8" s="26">
        <v>25711</v>
      </c>
      <c r="N8" s="26">
        <v>25452</v>
      </c>
      <c r="O8" s="26">
        <v>25460</v>
      </c>
      <c r="P8" s="26">
        <v>25422</v>
      </c>
      <c r="Q8" s="26">
        <v>25386</v>
      </c>
      <c r="R8" s="26">
        <v>25520</v>
      </c>
      <c r="S8" s="26">
        <v>25646</v>
      </c>
      <c r="T8" s="26">
        <v>25469</v>
      </c>
    </row>
    <row r="9" spans="1:20" hidden="1" x14ac:dyDescent="0.2">
      <c r="A9" s="18">
        <f>A8+1</f>
        <v>1979</v>
      </c>
      <c r="B9" s="26"/>
      <c r="C9" s="26">
        <v>9848</v>
      </c>
      <c r="D9" s="26">
        <v>16123</v>
      </c>
      <c r="E9" s="26">
        <v>17099</v>
      </c>
      <c r="F9" s="26">
        <v>18544</v>
      </c>
      <c r="G9" s="26">
        <v>20534</v>
      </c>
      <c r="H9" s="26">
        <v>21554</v>
      </c>
      <c r="I9" s="26">
        <v>23219</v>
      </c>
      <c r="J9" s="26">
        <v>22381</v>
      </c>
      <c r="K9" s="26">
        <v>21584</v>
      </c>
      <c r="L9" s="26">
        <v>21408</v>
      </c>
      <c r="M9" s="26">
        <v>20857</v>
      </c>
      <c r="N9" s="26">
        <v>21163</v>
      </c>
      <c r="O9" s="26">
        <v>20482</v>
      </c>
      <c r="P9" s="26">
        <v>19971</v>
      </c>
      <c r="Q9" s="26">
        <v>19958</v>
      </c>
      <c r="R9" s="26">
        <v>19947</v>
      </c>
      <c r="S9" s="26">
        <v>19991</v>
      </c>
      <c r="T9" s="26"/>
    </row>
    <row r="10" spans="1:20" hidden="1" x14ac:dyDescent="0.2">
      <c r="A10" s="18">
        <f t="shared" ref="A10:A25" si="1">A9+1</f>
        <v>1980</v>
      </c>
      <c r="B10" s="26"/>
      <c r="C10" s="26">
        <v>13990</v>
      </c>
      <c r="D10" s="26">
        <v>22484</v>
      </c>
      <c r="E10" s="26">
        <v>24950</v>
      </c>
      <c r="F10" s="26">
        <v>33255</v>
      </c>
      <c r="G10" s="26">
        <v>33295</v>
      </c>
      <c r="H10" s="26">
        <v>34308</v>
      </c>
      <c r="I10" s="26">
        <v>34022</v>
      </c>
      <c r="J10" s="26">
        <v>34023</v>
      </c>
      <c r="K10" s="26">
        <v>33842</v>
      </c>
      <c r="L10" s="26">
        <v>33933</v>
      </c>
      <c r="M10" s="26">
        <v>33570</v>
      </c>
      <c r="N10" s="26">
        <v>31881</v>
      </c>
      <c r="O10" s="26">
        <v>32203</v>
      </c>
      <c r="P10" s="26">
        <v>32345</v>
      </c>
      <c r="Q10" s="26">
        <v>32250</v>
      </c>
      <c r="R10" s="26">
        <v>32168</v>
      </c>
      <c r="S10" s="26"/>
      <c r="T10" s="26"/>
    </row>
    <row r="11" spans="1:20" hidden="1" x14ac:dyDescent="0.2">
      <c r="A11" s="18">
        <f t="shared" si="1"/>
        <v>1981</v>
      </c>
      <c r="B11" s="26"/>
      <c r="C11" s="26">
        <v>16550</v>
      </c>
      <c r="D11" s="26">
        <v>28056</v>
      </c>
      <c r="E11" s="26">
        <v>39995</v>
      </c>
      <c r="F11" s="26">
        <v>42459</v>
      </c>
      <c r="G11" s="26">
        <v>42797</v>
      </c>
      <c r="H11" s="26">
        <v>42755</v>
      </c>
      <c r="I11" s="26">
        <v>42435</v>
      </c>
      <c r="J11" s="26">
        <v>42302</v>
      </c>
      <c r="K11" s="26">
        <v>42095</v>
      </c>
      <c r="L11" s="26">
        <v>41606</v>
      </c>
      <c r="M11" s="26">
        <v>40440</v>
      </c>
      <c r="N11" s="26">
        <v>40432</v>
      </c>
      <c r="O11" s="26">
        <v>40326</v>
      </c>
      <c r="P11" s="26">
        <v>40337</v>
      </c>
      <c r="Q11" s="26">
        <v>40096</v>
      </c>
      <c r="R11" s="26"/>
      <c r="S11" s="26"/>
      <c r="T11" s="26"/>
    </row>
    <row r="12" spans="1:20" hidden="1" x14ac:dyDescent="0.2">
      <c r="A12" s="18">
        <f t="shared" si="1"/>
        <v>1982</v>
      </c>
      <c r="B12" s="26"/>
      <c r="C12" s="26">
        <v>11100</v>
      </c>
      <c r="D12" s="26">
        <v>31620</v>
      </c>
      <c r="E12" s="26">
        <v>40852</v>
      </c>
      <c r="F12" s="26">
        <v>38831</v>
      </c>
      <c r="G12" s="26">
        <v>39516</v>
      </c>
      <c r="H12" s="26">
        <v>39870</v>
      </c>
      <c r="I12" s="26">
        <v>40358</v>
      </c>
      <c r="J12" s="26">
        <v>40355</v>
      </c>
      <c r="K12" s="26">
        <v>40116</v>
      </c>
      <c r="L12" s="26">
        <v>39888</v>
      </c>
      <c r="M12" s="26">
        <v>39898</v>
      </c>
      <c r="N12" s="26">
        <v>40147</v>
      </c>
      <c r="O12" s="26">
        <v>39827</v>
      </c>
      <c r="P12" s="26">
        <v>40200</v>
      </c>
      <c r="Q12" s="26"/>
      <c r="R12" s="26"/>
      <c r="S12" s="26"/>
      <c r="T12" s="26"/>
    </row>
    <row r="13" spans="1:20" hidden="1" x14ac:dyDescent="0.2">
      <c r="A13" s="18">
        <f t="shared" si="1"/>
        <v>1983</v>
      </c>
      <c r="B13" s="26"/>
      <c r="C13" s="26">
        <v>15677</v>
      </c>
      <c r="D13" s="26">
        <v>33074</v>
      </c>
      <c r="E13" s="26">
        <v>35592</v>
      </c>
      <c r="F13" s="26">
        <v>35721</v>
      </c>
      <c r="G13" s="26">
        <v>38652</v>
      </c>
      <c r="H13" s="26">
        <v>39418</v>
      </c>
      <c r="I13" s="26">
        <v>39223</v>
      </c>
      <c r="J13" s="26">
        <v>39696</v>
      </c>
      <c r="K13" s="26">
        <v>37769</v>
      </c>
      <c r="L13" s="26">
        <v>37894</v>
      </c>
      <c r="M13" s="26">
        <v>37369</v>
      </c>
      <c r="N13" s="26">
        <v>37345</v>
      </c>
      <c r="O13" s="26">
        <v>37075</v>
      </c>
      <c r="P13" s="26"/>
      <c r="Q13" s="26"/>
      <c r="R13" s="26"/>
      <c r="S13" s="26"/>
      <c r="T13" s="26"/>
    </row>
    <row r="14" spans="1:20" hidden="1" x14ac:dyDescent="0.2">
      <c r="A14" s="18">
        <f t="shared" si="1"/>
        <v>1984</v>
      </c>
      <c r="B14" s="26"/>
      <c r="C14" s="26">
        <v>20375</v>
      </c>
      <c r="D14" s="26">
        <v>33555</v>
      </c>
      <c r="E14" s="26">
        <v>41756</v>
      </c>
      <c r="F14" s="26">
        <v>45125</v>
      </c>
      <c r="G14" s="26">
        <v>47284</v>
      </c>
      <c r="H14" s="26">
        <v>51710</v>
      </c>
      <c r="I14" s="26">
        <v>52147</v>
      </c>
      <c r="J14" s="26">
        <v>51187</v>
      </c>
      <c r="K14" s="26">
        <v>51950</v>
      </c>
      <c r="L14" s="26">
        <v>50967</v>
      </c>
      <c r="M14" s="26">
        <v>51461</v>
      </c>
      <c r="N14" s="26">
        <v>51382</v>
      </c>
      <c r="O14" s="26"/>
      <c r="P14" s="26"/>
      <c r="Q14" s="26"/>
      <c r="R14" s="26"/>
      <c r="S14" s="26"/>
      <c r="T14" s="26"/>
    </row>
    <row r="15" spans="1:20" hidden="1" x14ac:dyDescent="0.2">
      <c r="A15" s="18">
        <f t="shared" si="1"/>
        <v>1985</v>
      </c>
      <c r="B15" s="26"/>
      <c r="C15" s="26">
        <v>9800</v>
      </c>
      <c r="D15" s="26">
        <v>24663</v>
      </c>
      <c r="E15" s="26">
        <v>36061</v>
      </c>
      <c r="F15" s="26">
        <v>37927</v>
      </c>
      <c r="G15" s="26">
        <v>40042</v>
      </c>
      <c r="H15" s="26">
        <v>40562</v>
      </c>
      <c r="I15" s="26">
        <v>40362</v>
      </c>
      <c r="J15" s="26">
        <v>40884</v>
      </c>
      <c r="K15" s="26">
        <v>40597</v>
      </c>
      <c r="L15" s="26">
        <v>41304</v>
      </c>
      <c r="M15" s="26">
        <v>42378</v>
      </c>
      <c r="N15" s="26"/>
      <c r="O15" s="26"/>
      <c r="P15" s="26"/>
      <c r="Q15" s="26"/>
      <c r="R15" s="26"/>
      <c r="S15" s="26"/>
      <c r="T15" s="26"/>
    </row>
    <row r="16" spans="1:20" hidden="1" x14ac:dyDescent="0.2">
      <c r="A16" s="18">
        <f t="shared" si="1"/>
        <v>1986</v>
      </c>
      <c r="B16" s="26"/>
      <c r="C16" s="26">
        <v>11380</v>
      </c>
      <c r="D16" s="26">
        <v>26843</v>
      </c>
      <c r="E16" s="26">
        <v>34931</v>
      </c>
      <c r="F16" s="26">
        <v>37805</v>
      </c>
      <c r="G16" s="26">
        <v>41277</v>
      </c>
      <c r="H16" s="26">
        <v>44901</v>
      </c>
      <c r="I16" s="26">
        <v>45867</v>
      </c>
      <c r="J16" s="26">
        <v>45404</v>
      </c>
      <c r="K16" s="26">
        <v>45347</v>
      </c>
      <c r="L16" s="26">
        <v>44383</v>
      </c>
      <c r="M16" s="26"/>
      <c r="N16" s="26"/>
      <c r="O16" s="26"/>
      <c r="P16" s="26"/>
      <c r="Q16" s="26"/>
      <c r="R16" s="26"/>
      <c r="S16" s="26"/>
      <c r="T16" s="26"/>
    </row>
    <row r="17" spans="1:20" hidden="1" x14ac:dyDescent="0.2">
      <c r="A17" s="18">
        <f t="shared" si="1"/>
        <v>1987</v>
      </c>
      <c r="B17" s="26"/>
      <c r="C17" s="26">
        <v>10226</v>
      </c>
      <c r="D17" s="26">
        <v>20511</v>
      </c>
      <c r="E17" s="26">
        <v>26882</v>
      </c>
      <c r="F17" s="26">
        <v>32326</v>
      </c>
      <c r="G17" s="26">
        <v>35257</v>
      </c>
      <c r="H17" s="26">
        <v>40557</v>
      </c>
      <c r="I17" s="26">
        <v>43753</v>
      </c>
      <c r="J17" s="26">
        <v>44609</v>
      </c>
      <c r="K17" s="26">
        <v>44196</v>
      </c>
      <c r="L17" s="26"/>
      <c r="M17" s="26"/>
      <c r="N17" s="26"/>
      <c r="O17" s="26"/>
      <c r="P17" s="26"/>
      <c r="Q17" s="26"/>
      <c r="R17" s="26"/>
      <c r="S17" s="26"/>
      <c r="T17" s="26"/>
    </row>
    <row r="18" spans="1:20" hidden="1" x14ac:dyDescent="0.2">
      <c r="A18" s="18">
        <f t="shared" si="1"/>
        <v>1988</v>
      </c>
      <c r="B18" s="26"/>
      <c r="C18" s="26">
        <v>8170</v>
      </c>
      <c r="D18" s="26">
        <v>18567</v>
      </c>
      <c r="E18" s="26">
        <v>26472</v>
      </c>
      <c r="F18" s="26">
        <v>33002</v>
      </c>
      <c r="G18" s="26">
        <v>36321</v>
      </c>
      <c r="H18" s="26">
        <v>37047</v>
      </c>
      <c r="I18" s="26">
        <v>39675</v>
      </c>
      <c r="J18" s="26">
        <v>40398</v>
      </c>
      <c r="K18" s="26"/>
      <c r="L18" s="26"/>
      <c r="M18" s="26"/>
      <c r="N18" s="26"/>
      <c r="O18" s="26"/>
      <c r="P18" s="26"/>
      <c r="Q18" s="26"/>
      <c r="R18" s="26"/>
      <c r="S18" s="26"/>
      <c r="T18" s="26"/>
    </row>
    <row r="19" spans="1:20" hidden="1" x14ac:dyDescent="0.2">
      <c r="A19" s="18">
        <f t="shared" si="1"/>
        <v>1989</v>
      </c>
      <c r="B19" s="26"/>
      <c r="C19" s="26">
        <v>10433</v>
      </c>
      <c r="D19" s="26">
        <v>19484</v>
      </c>
      <c r="E19" s="26">
        <v>32103</v>
      </c>
      <c r="F19" s="26">
        <v>38936</v>
      </c>
      <c r="G19" s="26">
        <v>45851</v>
      </c>
      <c r="H19" s="26">
        <v>45133</v>
      </c>
      <c r="I19" s="26">
        <v>45501</v>
      </c>
      <c r="J19" s="26"/>
      <c r="K19" s="26"/>
      <c r="L19" s="26"/>
      <c r="M19" s="26"/>
      <c r="N19" s="26"/>
      <c r="O19" s="26"/>
      <c r="P19" s="26"/>
      <c r="Q19" s="26"/>
      <c r="R19" s="26"/>
      <c r="S19" s="26"/>
      <c r="T19" s="26"/>
    </row>
    <row r="20" spans="1:20" hidden="1" x14ac:dyDescent="0.2">
      <c r="A20" s="18">
        <f t="shared" si="1"/>
        <v>1990</v>
      </c>
      <c r="B20" s="26"/>
      <c r="C20" s="26">
        <v>9661</v>
      </c>
      <c r="D20" s="26">
        <v>23808</v>
      </c>
      <c r="E20" s="26">
        <v>32966</v>
      </c>
      <c r="F20" s="26">
        <v>42907</v>
      </c>
      <c r="G20" s="26">
        <v>46930</v>
      </c>
      <c r="H20" s="26">
        <v>49300</v>
      </c>
      <c r="I20" s="26"/>
      <c r="J20" s="26"/>
      <c r="K20" s="26"/>
      <c r="L20" s="26"/>
      <c r="M20" s="26"/>
      <c r="N20" s="26"/>
      <c r="O20" s="26"/>
      <c r="P20" s="26"/>
      <c r="Q20" s="26"/>
      <c r="R20" s="26"/>
      <c r="S20" s="26"/>
      <c r="T20" s="26"/>
    </row>
    <row r="21" spans="1:20" hidden="1" x14ac:dyDescent="0.2">
      <c r="A21" s="18">
        <f t="shared" si="1"/>
        <v>1991</v>
      </c>
      <c r="B21" s="26"/>
      <c r="C21" s="26">
        <v>14275</v>
      </c>
      <c r="D21" s="26">
        <v>25551</v>
      </c>
      <c r="E21" s="26">
        <v>33754</v>
      </c>
      <c r="F21" s="26">
        <v>38674</v>
      </c>
      <c r="G21" s="26">
        <v>41132</v>
      </c>
      <c r="H21" s="26"/>
      <c r="I21" s="26"/>
      <c r="J21" s="26"/>
      <c r="K21" s="26"/>
      <c r="L21" s="26"/>
      <c r="M21" s="26"/>
      <c r="N21" s="26"/>
      <c r="O21" s="26"/>
      <c r="P21" s="26"/>
      <c r="Q21" s="26"/>
      <c r="R21" s="26"/>
      <c r="S21" s="26"/>
      <c r="T21" s="26"/>
    </row>
    <row r="22" spans="1:20" hidden="1" x14ac:dyDescent="0.2">
      <c r="A22" s="18">
        <f t="shared" si="1"/>
        <v>1992</v>
      </c>
      <c r="B22" s="26"/>
      <c r="C22" s="26">
        <v>13245</v>
      </c>
      <c r="D22" s="26">
        <v>29206</v>
      </c>
      <c r="E22" s="26">
        <v>36987</v>
      </c>
      <c r="F22" s="26">
        <v>44075</v>
      </c>
      <c r="G22" s="26"/>
      <c r="H22" s="26"/>
      <c r="I22" s="26"/>
      <c r="J22" s="26"/>
      <c r="K22" s="26"/>
      <c r="L22" s="26"/>
      <c r="M22" s="26"/>
      <c r="N22" s="26"/>
      <c r="O22" s="26"/>
      <c r="P22" s="26"/>
      <c r="Q22" s="26"/>
      <c r="R22" s="26"/>
      <c r="S22" s="26"/>
      <c r="T22" s="26"/>
    </row>
    <row r="23" spans="1:20" hidden="1" x14ac:dyDescent="0.2">
      <c r="A23" s="18">
        <f t="shared" si="1"/>
        <v>1993</v>
      </c>
      <c r="B23" s="26"/>
      <c r="C23" s="26">
        <v>14711</v>
      </c>
      <c r="D23" s="26">
        <v>27082</v>
      </c>
      <c r="E23" s="26">
        <v>34230</v>
      </c>
      <c r="F23" s="26"/>
      <c r="G23" s="26"/>
      <c r="H23" s="26"/>
      <c r="I23" s="26"/>
      <c r="J23" s="26"/>
      <c r="K23" s="26"/>
      <c r="L23" s="26"/>
      <c r="M23" s="26"/>
      <c r="N23" s="26"/>
      <c r="O23" s="26"/>
      <c r="P23" s="26"/>
      <c r="Q23" s="26"/>
      <c r="R23" s="26"/>
      <c r="S23" s="26"/>
      <c r="T23" s="26"/>
    </row>
    <row r="24" spans="1:20" hidden="1" x14ac:dyDescent="0.2">
      <c r="A24" s="18">
        <f t="shared" si="1"/>
        <v>1994</v>
      </c>
      <c r="B24" s="26"/>
      <c r="C24" s="26">
        <v>12476</v>
      </c>
      <c r="D24" s="26">
        <v>23126</v>
      </c>
      <c r="E24" s="26"/>
      <c r="F24" s="26"/>
      <c r="G24" s="26"/>
      <c r="H24" s="26"/>
      <c r="I24" s="26"/>
      <c r="J24" s="26"/>
      <c r="K24" s="26"/>
      <c r="L24" s="26"/>
      <c r="M24" s="26"/>
      <c r="N24" s="26"/>
      <c r="O24" s="26"/>
      <c r="P24" s="26"/>
      <c r="Q24" s="26"/>
      <c r="R24" s="26"/>
      <c r="S24" s="26"/>
      <c r="T24" s="26"/>
    </row>
    <row r="25" spans="1:20" hidden="1" x14ac:dyDescent="0.2">
      <c r="A25" s="18">
        <f t="shared" si="1"/>
        <v>1995</v>
      </c>
      <c r="B25" s="26"/>
      <c r="C25" s="26">
        <v>9715</v>
      </c>
      <c r="D25" s="26"/>
      <c r="E25" s="26"/>
      <c r="F25" s="26"/>
      <c r="G25" s="26"/>
      <c r="H25" s="26"/>
      <c r="I25" s="26"/>
      <c r="J25" s="26"/>
      <c r="K25" s="26"/>
      <c r="L25" s="26"/>
      <c r="M25" s="26"/>
      <c r="N25" s="26"/>
      <c r="O25" s="26"/>
      <c r="P25" s="26"/>
      <c r="Q25" s="26"/>
      <c r="R25" s="26"/>
      <c r="S25" s="26"/>
      <c r="T25" s="26"/>
    </row>
    <row r="27" spans="1:20" x14ac:dyDescent="0.2">
      <c r="A27" s="19" t="s">
        <v>216</v>
      </c>
      <c r="B27" s="20" t="s">
        <v>220</v>
      </c>
      <c r="C27" s="16" t="s">
        <v>221</v>
      </c>
      <c r="D27" s="21"/>
      <c r="E27" s="21"/>
      <c r="F27" s="21"/>
      <c r="G27" s="21"/>
      <c r="H27" s="21"/>
      <c r="I27" s="21"/>
      <c r="J27" s="21"/>
      <c r="K27" s="21"/>
      <c r="L27" s="21"/>
      <c r="M27" s="21"/>
      <c r="N27" s="21"/>
      <c r="O27" s="21"/>
      <c r="P27" s="21"/>
      <c r="Q27" s="21"/>
      <c r="R27" s="21"/>
      <c r="S27" s="21"/>
      <c r="T27" s="21"/>
    </row>
    <row r="28" spans="1:20" x14ac:dyDescent="0.2">
      <c r="A28" s="23" t="s">
        <v>218</v>
      </c>
      <c r="B28" s="24" t="s">
        <v>222</v>
      </c>
      <c r="C28" s="21">
        <v>0</v>
      </c>
      <c r="D28" s="21">
        <f t="shared" ref="D28:T28" si="2">C28+1</f>
        <v>1</v>
      </c>
      <c r="E28" s="21">
        <f t="shared" si="2"/>
        <v>2</v>
      </c>
      <c r="F28" s="21">
        <f t="shared" si="2"/>
        <v>3</v>
      </c>
      <c r="G28" s="21">
        <f t="shared" si="2"/>
        <v>4</v>
      </c>
      <c r="H28" s="21">
        <f t="shared" si="2"/>
        <v>5</v>
      </c>
      <c r="I28" s="21">
        <f t="shared" si="2"/>
        <v>6</v>
      </c>
      <c r="J28" s="21">
        <f t="shared" si="2"/>
        <v>7</v>
      </c>
      <c r="K28" s="21">
        <f t="shared" si="2"/>
        <v>8</v>
      </c>
      <c r="L28" s="21">
        <f t="shared" si="2"/>
        <v>9</v>
      </c>
      <c r="M28" s="21">
        <f t="shared" si="2"/>
        <v>10</v>
      </c>
      <c r="N28" s="21">
        <f t="shared" si="2"/>
        <v>11</v>
      </c>
      <c r="O28" s="21">
        <f t="shared" si="2"/>
        <v>12</v>
      </c>
      <c r="P28" s="21">
        <f t="shared" si="2"/>
        <v>13</v>
      </c>
      <c r="Q28" s="21">
        <f t="shared" si="2"/>
        <v>14</v>
      </c>
      <c r="R28" s="21">
        <f t="shared" si="2"/>
        <v>15</v>
      </c>
      <c r="S28" s="21">
        <f t="shared" si="2"/>
        <v>16</v>
      </c>
      <c r="T28" s="21">
        <f t="shared" si="2"/>
        <v>17</v>
      </c>
    </row>
    <row r="29" spans="1:20" x14ac:dyDescent="0.2">
      <c r="C29" s="25" t="s">
        <v>219</v>
      </c>
      <c r="D29" s="25" t="s">
        <v>219</v>
      </c>
      <c r="E29" s="25" t="s">
        <v>219</v>
      </c>
      <c r="F29" s="25" t="s">
        <v>219</v>
      </c>
      <c r="G29" s="25" t="s">
        <v>219</v>
      </c>
      <c r="H29" s="25" t="s">
        <v>219</v>
      </c>
      <c r="I29" s="25" t="s">
        <v>219</v>
      </c>
      <c r="J29" s="25" t="s">
        <v>219</v>
      </c>
      <c r="K29" s="25" t="s">
        <v>219</v>
      </c>
      <c r="L29" s="25" t="s">
        <v>219</v>
      </c>
      <c r="M29" s="25" t="s">
        <v>219</v>
      </c>
      <c r="N29" s="25" t="s">
        <v>219</v>
      </c>
      <c r="O29" s="25" t="s">
        <v>219</v>
      </c>
      <c r="P29" s="25" t="s">
        <v>219</v>
      </c>
      <c r="Q29" s="25" t="s">
        <v>219</v>
      </c>
      <c r="R29" s="25" t="s">
        <v>219</v>
      </c>
      <c r="S29" s="25" t="s">
        <v>219</v>
      </c>
      <c r="T29" s="25" t="s">
        <v>219</v>
      </c>
    </row>
    <row r="31" spans="1:20" x14ac:dyDescent="0.2">
      <c r="A31" s="18">
        <f t="shared" ref="A31:A48" si="3">A8</f>
        <v>1978</v>
      </c>
      <c r="B31" s="27">
        <v>1</v>
      </c>
      <c r="C31" s="26">
        <f t="shared" ref="C31:C48" si="4">C8*B31</f>
        <v>9268</v>
      </c>
      <c r="D31" s="26">
        <f t="shared" ref="D31:D47" si="5">D8*B32</f>
        <v>18263</v>
      </c>
      <c r="E31" s="26">
        <f t="shared" ref="E31:E45" si="6">E8*B33</f>
        <v>20182</v>
      </c>
      <c r="F31" s="26">
        <f t="shared" ref="F31:F45" si="7">F8*B34</f>
        <v>22383</v>
      </c>
      <c r="G31" s="26">
        <f t="shared" ref="G31:G44" si="8">G8*B35</f>
        <v>22782</v>
      </c>
      <c r="H31" s="26">
        <f t="shared" ref="H31:H43" si="9">H8*B36</f>
        <v>26348</v>
      </c>
      <c r="I31" s="26">
        <f t="shared" ref="I31:I42" si="10">I8*B37</f>
        <v>26172</v>
      </c>
      <c r="J31" s="26">
        <f t="shared" ref="J31:J41" si="11">J8*B38</f>
        <v>26184</v>
      </c>
      <c r="K31" s="26">
        <f t="shared" ref="K31:K40" si="12">K8*B39</f>
        <v>25455</v>
      </c>
      <c r="L31" s="26">
        <f t="shared" ref="L31:L39" si="13">L8*B40</f>
        <v>25740</v>
      </c>
      <c r="M31" s="26">
        <f t="shared" ref="M31:M38" si="14">M8*B41</f>
        <v>25711</v>
      </c>
      <c r="N31" s="26">
        <f t="shared" ref="N31:N37" si="15">N8*B42</f>
        <v>25452</v>
      </c>
      <c r="O31" s="26">
        <f t="shared" ref="O31:O36" si="16">O8*B43</f>
        <v>25460</v>
      </c>
      <c r="P31" s="26">
        <f>P8*B44</f>
        <v>25422</v>
      </c>
      <c r="Q31" s="26">
        <f>Q8*B45</f>
        <v>25386</v>
      </c>
      <c r="R31" s="26">
        <f>R8*B46</f>
        <v>25520</v>
      </c>
      <c r="S31" s="26">
        <f>S8*B47</f>
        <v>25646</v>
      </c>
      <c r="T31" s="26">
        <f>T8*B48</f>
        <v>25469</v>
      </c>
    </row>
    <row r="32" spans="1:20" x14ac:dyDescent="0.2">
      <c r="A32" s="18">
        <f t="shared" si="3"/>
        <v>1979</v>
      </c>
      <c r="B32" s="27">
        <f>B31</f>
        <v>1</v>
      </c>
      <c r="C32" s="26">
        <f t="shared" si="4"/>
        <v>9848</v>
      </c>
      <c r="D32" s="26">
        <f t="shared" si="5"/>
        <v>16123</v>
      </c>
      <c r="E32" s="26">
        <f t="shared" si="6"/>
        <v>17099</v>
      </c>
      <c r="F32" s="26">
        <f t="shared" si="7"/>
        <v>18544</v>
      </c>
      <c r="G32" s="26">
        <f t="shared" si="8"/>
        <v>20534</v>
      </c>
      <c r="H32" s="26">
        <f t="shared" si="9"/>
        <v>21554</v>
      </c>
      <c r="I32" s="26">
        <f t="shared" si="10"/>
        <v>23219</v>
      </c>
      <c r="J32" s="26">
        <f t="shared" si="11"/>
        <v>22381</v>
      </c>
      <c r="K32" s="26">
        <f t="shared" si="12"/>
        <v>21584</v>
      </c>
      <c r="L32" s="26">
        <f t="shared" si="13"/>
        <v>21408</v>
      </c>
      <c r="M32" s="26">
        <f t="shared" si="14"/>
        <v>20857</v>
      </c>
      <c r="N32" s="26">
        <f t="shared" si="15"/>
        <v>21163</v>
      </c>
      <c r="O32" s="26">
        <f t="shared" si="16"/>
        <v>20482</v>
      </c>
      <c r="P32" s="26">
        <f>P9*B45</f>
        <v>19971</v>
      </c>
      <c r="Q32" s="26">
        <f>Q9*B46</f>
        <v>19958</v>
      </c>
      <c r="R32" s="26">
        <f>R9*B47</f>
        <v>19947</v>
      </c>
      <c r="S32" s="26">
        <f>S9*B48</f>
        <v>19991</v>
      </c>
      <c r="T32" s="26"/>
    </row>
    <row r="33" spans="1:20" x14ac:dyDescent="0.2">
      <c r="A33" s="18">
        <f t="shared" si="3"/>
        <v>1980</v>
      </c>
      <c r="B33" s="27">
        <f t="shared" ref="B33:B48" si="17">B32</f>
        <v>1</v>
      </c>
      <c r="C33" s="26">
        <f t="shared" si="4"/>
        <v>13990</v>
      </c>
      <c r="D33" s="26">
        <f t="shared" si="5"/>
        <v>22484</v>
      </c>
      <c r="E33" s="26">
        <f t="shared" si="6"/>
        <v>24950</v>
      </c>
      <c r="F33" s="26">
        <f t="shared" si="7"/>
        <v>33255</v>
      </c>
      <c r="G33" s="26">
        <f t="shared" si="8"/>
        <v>33295</v>
      </c>
      <c r="H33" s="26">
        <f t="shared" si="9"/>
        <v>34308</v>
      </c>
      <c r="I33" s="26">
        <f t="shared" si="10"/>
        <v>34022</v>
      </c>
      <c r="J33" s="26">
        <f t="shared" si="11"/>
        <v>34023</v>
      </c>
      <c r="K33" s="26">
        <f t="shared" si="12"/>
        <v>33842</v>
      </c>
      <c r="L33" s="26">
        <f t="shared" si="13"/>
        <v>33933</v>
      </c>
      <c r="M33" s="26">
        <f t="shared" si="14"/>
        <v>33570</v>
      </c>
      <c r="N33" s="26">
        <f t="shared" si="15"/>
        <v>31881</v>
      </c>
      <c r="O33" s="26">
        <f t="shared" si="16"/>
        <v>32203</v>
      </c>
      <c r="P33" s="26">
        <f>P10*B46</f>
        <v>32345</v>
      </c>
      <c r="Q33" s="26">
        <f>Q10*B47</f>
        <v>32250</v>
      </c>
      <c r="R33" s="26">
        <f>R10*B48</f>
        <v>32168</v>
      </c>
      <c r="S33" s="26"/>
      <c r="T33" s="26"/>
    </row>
    <row r="34" spans="1:20" x14ac:dyDescent="0.2">
      <c r="A34" s="18">
        <f t="shared" si="3"/>
        <v>1981</v>
      </c>
      <c r="B34" s="27">
        <f t="shared" si="17"/>
        <v>1</v>
      </c>
      <c r="C34" s="26">
        <f t="shared" si="4"/>
        <v>16550</v>
      </c>
      <c r="D34" s="26">
        <f t="shared" si="5"/>
        <v>28056</v>
      </c>
      <c r="E34" s="26">
        <f t="shared" si="6"/>
        <v>39995</v>
      </c>
      <c r="F34" s="26">
        <f t="shared" si="7"/>
        <v>42459</v>
      </c>
      <c r="G34" s="26">
        <f t="shared" si="8"/>
        <v>42797</v>
      </c>
      <c r="H34" s="26">
        <f t="shared" si="9"/>
        <v>42755</v>
      </c>
      <c r="I34" s="26">
        <f t="shared" si="10"/>
        <v>42435</v>
      </c>
      <c r="J34" s="26">
        <f t="shared" si="11"/>
        <v>42302</v>
      </c>
      <c r="K34" s="26">
        <f t="shared" si="12"/>
        <v>42095</v>
      </c>
      <c r="L34" s="26">
        <f t="shared" si="13"/>
        <v>41606</v>
      </c>
      <c r="M34" s="26">
        <f t="shared" si="14"/>
        <v>40440</v>
      </c>
      <c r="N34" s="26">
        <f t="shared" si="15"/>
        <v>40432</v>
      </c>
      <c r="O34" s="26">
        <f t="shared" si="16"/>
        <v>40326</v>
      </c>
      <c r="P34" s="26">
        <f>P11*B47</f>
        <v>40337</v>
      </c>
      <c r="Q34" s="26">
        <f>Q11*B48</f>
        <v>40096</v>
      </c>
      <c r="R34" s="26"/>
      <c r="S34" s="26"/>
      <c r="T34" s="26"/>
    </row>
    <row r="35" spans="1:20" x14ac:dyDescent="0.2">
      <c r="A35" s="18">
        <f t="shared" si="3"/>
        <v>1982</v>
      </c>
      <c r="B35" s="27">
        <f t="shared" si="17"/>
        <v>1</v>
      </c>
      <c r="C35" s="26">
        <f t="shared" si="4"/>
        <v>11100</v>
      </c>
      <c r="D35" s="26">
        <f t="shared" si="5"/>
        <v>31620</v>
      </c>
      <c r="E35" s="26">
        <f t="shared" si="6"/>
        <v>40852</v>
      </c>
      <c r="F35" s="26">
        <f t="shared" si="7"/>
        <v>38831</v>
      </c>
      <c r="G35" s="26">
        <f t="shared" si="8"/>
        <v>39516</v>
      </c>
      <c r="H35" s="26">
        <f t="shared" si="9"/>
        <v>39870</v>
      </c>
      <c r="I35" s="26">
        <f t="shared" si="10"/>
        <v>40358</v>
      </c>
      <c r="J35" s="26">
        <f t="shared" si="11"/>
        <v>40355</v>
      </c>
      <c r="K35" s="26">
        <f t="shared" si="12"/>
        <v>40116</v>
      </c>
      <c r="L35" s="26">
        <f t="shared" si="13"/>
        <v>39888</v>
      </c>
      <c r="M35" s="26">
        <f t="shared" si="14"/>
        <v>39898</v>
      </c>
      <c r="N35" s="26">
        <f t="shared" si="15"/>
        <v>40147</v>
      </c>
      <c r="O35" s="26">
        <f t="shared" si="16"/>
        <v>39827</v>
      </c>
      <c r="P35" s="26">
        <f>P12*B48</f>
        <v>40200</v>
      </c>
      <c r="Q35" s="26"/>
      <c r="R35" s="26"/>
      <c r="S35" s="26"/>
      <c r="T35" s="26"/>
    </row>
    <row r="36" spans="1:20" x14ac:dyDescent="0.2">
      <c r="A36" s="18">
        <f t="shared" si="3"/>
        <v>1983</v>
      </c>
      <c r="B36" s="27">
        <f t="shared" si="17"/>
        <v>1</v>
      </c>
      <c r="C36" s="26">
        <f t="shared" si="4"/>
        <v>15677</v>
      </c>
      <c r="D36" s="26">
        <f t="shared" si="5"/>
        <v>33074</v>
      </c>
      <c r="E36" s="26">
        <f t="shared" si="6"/>
        <v>35592</v>
      </c>
      <c r="F36" s="26">
        <f t="shared" si="7"/>
        <v>35721</v>
      </c>
      <c r="G36" s="26">
        <f t="shared" si="8"/>
        <v>38652</v>
      </c>
      <c r="H36" s="26">
        <f t="shared" si="9"/>
        <v>39418</v>
      </c>
      <c r="I36" s="26">
        <f t="shared" si="10"/>
        <v>39223</v>
      </c>
      <c r="J36" s="26">
        <f t="shared" si="11"/>
        <v>39696</v>
      </c>
      <c r="K36" s="26">
        <f t="shared" si="12"/>
        <v>37769</v>
      </c>
      <c r="L36" s="26">
        <f t="shared" si="13"/>
        <v>37894</v>
      </c>
      <c r="M36" s="26">
        <f t="shared" si="14"/>
        <v>37369</v>
      </c>
      <c r="N36" s="26">
        <f t="shared" si="15"/>
        <v>37345</v>
      </c>
      <c r="O36" s="26">
        <f t="shared" si="16"/>
        <v>37075</v>
      </c>
      <c r="P36" s="26"/>
      <c r="Q36" s="26"/>
      <c r="R36" s="26"/>
      <c r="S36" s="26"/>
      <c r="T36" s="26"/>
    </row>
    <row r="37" spans="1:20" x14ac:dyDescent="0.2">
      <c r="A37" s="18">
        <f t="shared" si="3"/>
        <v>1984</v>
      </c>
      <c r="B37" s="27">
        <f t="shared" si="17"/>
        <v>1</v>
      </c>
      <c r="C37" s="26">
        <f t="shared" si="4"/>
        <v>20375</v>
      </c>
      <c r="D37" s="26">
        <f t="shared" si="5"/>
        <v>33555</v>
      </c>
      <c r="E37" s="26">
        <f t="shared" si="6"/>
        <v>41756</v>
      </c>
      <c r="F37" s="26">
        <f t="shared" si="7"/>
        <v>45125</v>
      </c>
      <c r="G37" s="26">
        <f t="shared" si="8"/>
        <v>47284</v>
      </c>
      <c r="H37" s="26">
        <f t="shared" si="9"/>
        <v>51710</v>
      </c>
      <c r="I37" s="26">
        <f t="shared" si="10"/>
        <v>52147</v>
      </c>
      <c r="J37" s="26">
        <f t="shared" si="11"/>
        <v>51187</v>
      </c>
      <c r="K37" s="26">
        <f t="shared" si="12"/>
        <v>51950</v>
      </c>
      <c r="L37" s="26">
        <f t="shared" si="13"/>
        <v>50967</v>
      </c>
      <c r="M37" s="26">
        <f t="shared" si="14"/>
        <v>51461</v>
      </c>
      <c r="N37" s="26">
        <f t="shared" si="15"/>
        <v>51382</v>
      </c>
      <c r="O37" s="26"/>
      <c r="P37" s="26"/>
      <c r="Q37" s="26"/>
      <c r="R37" s="26"/>
      <c r="S37" s="26"/>
      <c r="T37" s="26"/>
    </row>
    <row r="38" spans="1:20" x14ac:dyDescent="0.2">
      <c r="A38" s="18">
        <f t="shared" si="3"/>
        <v>1985</v>
      </c>
      <c r="B38" s="27">
        <f t="shared" si="17"/>
        <v>1</v>
      </c>
      <c r="C38" s="26">
        <f t="shared" si="4"/>
        <v>9800</v>
      </c>
      <c r="D38" s="26">
        <f t="shared" si="5"/>
        <v>24663</v>
      </c>
      <c r="E38" s="26">
        <f t="shared" si="6"/>
        <v>36061</v>
      </c>
      <c r="F38" s="26">
        <f t="shared" si="7"/>
        <v>37927</v>
      </c>
      <c r="G38" s="26">
        <f t="shared" si="8"/>
        <v>40042</v>
      </c>
      <c r="H38" s="26">
        <f t="shared" si="9"/>
        <v>40562</v>
      </c>
      <c r="I38" s="26">
        <f t="shared" si="10"/>
        <v>40362</v>
      </c>
      <c r="J38" s="26">
        <f t="shared" si="11"/>
        <v>40884</v>
      </c>
      <c r="K38" s="26">
        <f t="shared" si="12"/>
        <v>40597</v>
      </c>
      <c r="L38" s="26">
        <f t="shared" si="13"/>
        <v>41304</v>
      </c>
      <c r="M38" s="26">
        <f t="shared" si="14"/>
        <v>42378</v>
      </c>
      <c r="N38" s="26"/>
      <c r="O38" s="26"/>
      <c r="P38" s="26"/>
      <c r="Q38" s="26"/>
      <c r="R38" s="26"/>
      <c r="S38" s="26"/>
      <c r="T38" s="26"/>
    </row>
    <row r="39" spans="1:20" x14ac:dyDescent="0.2">
      <c r="A39" s="18">
        <f t="shared" si="3"/>
        <v>1986</v>
      </c>
      <c r="B39" s="27">
        <f t="shared" si="17"/>
        <v>1</v>
      </c>
      <c r="C39" s="26">
        <f t="shared" si="4"/>
        <v>11380</v>
      </c>
      <c r="D39" s="26">
        <f t="shared" si="5"/>
        <v>26843</v>
      </c>
      <c r="E39" s="26">
        <f t="shared" si="6"/>
        <v>34931</v>
      </c>
      <c r="F39" s="26">
        <f t="shared" si="7"/>
        <v>37805</v>
      </c>
      <c r="G39" s="26">
        <f t="shared" si="8"/>
        <v>41277</v>
      </c>
      <c r="H39" s="26">
        <f t="shared" si="9"/>
        <v>44901</v>
      </c>
      <c r="I39" s="26">
        <f t="shared" si="10"/>
        <v>45867</v>
      </c>
      <c r="J39" s="26">
        <f t="shared" si="11"/>
        <v>45404</v>
      </c>
      <c r="K39" s="26">
        <f t="shared" si="12"/>
        <v>45347</v>
      </c>
      <c r="L39" s="26">
        <f t="shared" si="13"/>
        <v>44383</v>
      </c>
      <c r="M39" s="26"/>
      <c r="N39" s="26"/>
      <c r="O39" s="26"/>
      <c r="P39" s="26"/>
      <c r="Q39" s="26"/>
      <c r="R39" s="26"/>
      <c r="S39" s="26"/>
      <c r="T39" s="26"/>
    </row>
    <row r="40" spans="1:20" x14ac:dyDescent="0.2">
      <c r="A40" s="18">
        <f t="shared" si="3"/>
        <v>1987</v>
      </c>
      <c r="B40" s="27">
        <f t="shared" si="17"/>
        <v>1</v>
      </c>
      <c r="C40" s="26">
        <f t="shared" si="4"/>
        <v>10226</v>
      </c>
      <c r="D40" s="26">
        <f t="shared" si="5"/>
        <v>20511</v>
      </c>
      <c r="E40" s="26">
        <f>E17*B42</f>
        <v>26882</v>
      </c>
      <c r="F40" s="26">
        <f t="shared" si="7"/>
        <v>32326</v>
      </c>
      <c r="G40" s="26">
        <f t="shared" si="8"/>
        <v>35257</v>
      </c>
      <c r="H40" s="26">
        <f t="shared" si="9"/>
        <v>40557</v>
      </c>
      <c r="I40" s="26">
        <f t="shared" si="10"/>
        <v>43753</v>
      </c>
      <c r="J40" s="26">
        <f t="shared" si="11"/>
        <v>44609</v>
      </c>
      <c r="K40" s="26">
        <f t="shared" si="12"/>
        <v>44196</v>
      </c>
      <c r="L40" s="26"/>
      <c r="M40" s="26"/>
      <c r="N40" s="26"/>
      <c r="O40" s="26"/>
      <c r="P40" s="26"/>
      <c r="Q40" s="26"/>
      <c r="R40" s="26"/>
      <c r="S40" s="26"/>
      <c r="T40" s="26"/>
    </row>
    <row r="41" spans="1:20" x14ac:dyDescent="0.2">
      <c r="A41" s="18">
        <f t="shared" si="3"/>
        <v>1988</v>
      </c>
      <c r="B41" s="27">
        <f t="shared" si="17"/>
        <v>1</v>
      </c>
      <c r="C41" s="26">
        <f t="shared" si="4"/>
        <v>8170</v>
      </c>
      <c r="D41" s="26">
        <f t="shared" si="5"/>
        <v>18567</v>
      </c>
      <c r="E41" s="26">
        <f t="shared" si="6"/>
        <v>26472</v>
      </c>
      <c r="F41" s="26">
        <f t="shared" si="7"/>
        <v>33002</v>
      </c>
      <c r="G41" s="26">
        <f t="shared" si="8"/>
        <v>36321</v>
      </c>
      <c r="H41" s="26">
        <f t="shared" si="9"/>
        <v>37047</v>
      </c>
      <c r="I41" s="26">
        <f t="shared" si="10"/>
        <v>39675</v>
      </c>
      <c r="J41" s="26">
        <f t="shared" si="11"/>
        <v>40398</v>
      </c>
      <c r="K41" s="26"/>
      <c r="L41" s="26"/>
      <c r="M41" s="26"/>
      <c r="N41" s="26"/>
      <c r="O41" s="26"/>
      <c r="P41" s="26"/>
      <c r="Q41" s="26"/>
      <c r="R41" s="26"/>
      <c r="S41" s="26"/>
      <c r="T41" s="26"/>
    </row>
    <row r="42" spans="1:20" x14ac:dyDescent="0.2">
      <c r="A42" s="18">
        <f t="shared" si="3"/>
        <v>1989</v>
      </c>
      <c r="B42" s="27">
        <f t="shared" si="17"/>
        <v>1</v>
      </c>
      <c r="C42" s="26">
        <f t="shared" si="4"/>
        <v>10433</v>
      </c>
      <c r="D42" s="26">
        <f t="shared" si="5"/>
        <v>19484</v>
      </c>
      <c r="E42" s="26">
        <f t="shared" si="6"/>
        <v>32103</v>
      </c>
      <c r="F42" s="26">
        <f t="shared" si="7"/>
        <v>38936</v>
      </c>
      <c r="G42" s="26">
        <f t="shared" si="8"/>
        <v>45851</v>
      </c>
      <c r="H42" s="26">
        <f t="shared" si="9"/>
        <v>45133</v>
      </c>
      <c r="I42" s="26">
        <f t="shared" si="10"/>
        <v>45501</v>
      </c>
      <c r="J42" s="26"/>
      <c r="K42" s="26"/>
      <c r="L42" s="26"/>
      <c r="M42" s="26"/>
      <c r="N42" s="26"/>
      <c r="O42" s="26"/>
      <c r="P42" s="26"/>
      <c r="Q42" s="26"/>
      <c r="R42" s="26"/>
      <c r="S42" s="26"/>
      <c r="T42" s="26"/>
    </row>
    <row r="43" spans="1:20" x14ac:dyDescent="0.2">
      <c r="A43" s="18">
        <f t="shared" si="3"/>
        <v>1990</v>
      </c>
      <c r="B43" s="27">
        <f t="shared" si="17"/>
        <v>1</v>
      </c>
      <c r="C43" s="26">
        <f t="shared" si="4"/>
        <v>9661</v>
      </c>
      <c r="D43" s="26">
        <f t="shared" si="5"/>
        <v>23808</v>
      </c>
      <c r="E43" s="26">
        <f t="shared" si="6"/>
        <v>32966</v>
      </c>
      <c r="F43" s="26">
        <f t="shared" si="7"/>
        <v>42907</v>
      </c>
      <c r="G43" s="26">
        <f t="shared" si="8"/>
        <v>46930</v>
      </c>
      <c r="H43" s="26">
        <f t="shared" si="9"/>
        <v>49300</v>
      </c>
      <c r="I43" s="26"/>
      <c r="J43" s="26"/>
      <c r="K43" s="26"/>
      <c r="L43" s="26"/>
      <c r="M43" s="26"/>
      <c r="N43" s="26"/>
      <c r="O43" s="26"/>
      <c r="P43" s="26"/>
      <c r="Q43" s="26"/>
      <c r="R43" s="26"/>
      <c r="S43" s="26"/>
      <c r="T43" s="26"/>
    </row>
    <row r="44" spans="1:20" x14ac:dyDescent="0.2">
      <c r="A44" s="18">
        <f t="shared" si="3"/>
        <v>1991</v>
      </c>
      <c r="B44" s="27">
        <f t="shared" si="17"/>
        <v>1</v>
      </c>
      <c r="C44" s="26">
        <f t="shared" si="4"/>
        <v>14275</v>
      </c>
      <c r="D44" s="26">
        <f t="shared" si="5"/>
        <v>25551</v>
      </c>
      <c r="E44" s="26">
        <f t="shared" si="6"/>
        <v>33754</v>
      </c>
      <c r="F44" s="26">
        <f t="shared" si="7"/>
        <v>38674</v>
      </c>
      <c r="G44" s="26">
        <f t="shared" si="8"/>
        <v>41132</v>
      </c>
      <c r="H44" s="26"/>
      <c r="I44" s="26"/>
      <c r="J44" s="26"/>
      <c r="K44" s="26"/>
      <c r="L44" s="26"/>
      <c r="M44" s="26"/>
      <c r="N44" s="26"/>
      <c r="O44" s="26"/>
      <c r="P44" s="26"/>
      <c r="Q44" s="26"/>
      <c r="R44" s="26"/>
      <c r="S44" s="26"/>
      <c r="T44" s="26"/>
    </row>
    <row r="45" spans="1:20" x14ac:dyDescent="0.2">
      <c r="A45" s="18">
        <f t="shared" si="3"/>
        <v>1992</v>
      </c>
      <c r="B45" s="27">
        <f t="shared" si="17"/>
        <v>1</v>
      </c>
      <c r="C45" s="26">
        <f t="shared" si="4"/>
        <v>13245</v>
      </c>
      <c r="D45" s="26">
        <f t="shared" si="5"/>
        <v>29206</v>
      </c>
      <c r="E45" s="26">
        <f t="shared" si="6"/>
        <v>36987</v>
      </c>
      <c r="F45" s="26">
        <f t="shared" si="7"/>
        <v>44075</v>
      </c>
      <c r="G45" s="26"/>
      <c r="H45" s="26"/>
      <c r="I45" s="26"/>
      <c r="J45" s="26"/>
      <c r="K45" s="26"/>
      <c r="L45" s="26"/>
      <c r="M45" s="26"/>
      <c r="N45" s="26"/>
      <c r="O45" s="26"/>
      <c r="P45" s="26"/>
      <c r="Q45" s="26"/>
      <c r="R45" s="26"/>
      <c r="S45" s="26"/>
      <c r="T45" s="26"/>
    </row>
    <row r="46" spans="1:20" x14ac:dyDescent="0.2">
      <c r="A46" s="18">
        <f t="shared" si="3"/>
        <v>1993</v>
      </c>
      <c r="B46" s="27">
        <f t="shared" si="17"/>
        <v>1</v>
      </c>
      <c r="C46" s="26">
        <f t="shared" si="4"/>
        <v>14711</v>
      </c>
      <c r="D46" s="26">
        <f t="shared" si="5"/>
        <v>27082</v>
      </c>
      <c r="E46" s="26">
        <f>E23*B48</f>
        <v>34230</v>
      </c>
      <c r="F46" s="26"/>
      <c r="G46" s="26"/>
      <c r="H46" s="26"/>
      <c r="I46" s="26"/>
      <c r="J46" s="26"/>
      <c r="K46" s="26"/>
      <c r="L46" s="26"/>
      <c r="M46" s="26"/>
      <c r="N46" s="26"/>
      <c r="O46" s="26"/>
      <c r="P46" s="26"/>
      <c r="Q46" s="26"/>
      <c r="R46" s="26"/>
      <c r="S46" s="26"/>
      <c r="T46" s="26"/>
    </row>
    <row r="47" spans="1:20" x14ac:dyDescent="0.2">
      <c r="A47" s="18">
        <f t="shared" si="3"/>
        <v>1994</v>
      </c>
      <c r="B47" s="27">
        <f t="shared" si="17"/>
        <v>1</v>
      </c>
      <c r="C47" s="26">
        <f t="shared" si="4"/>
        <v>12476</v>
      </c>
      <c r="D47" s="26">
        <f t="shared" si="5"/>
        <v>23126</v>
      </c>
      <c r="E47" s="26"/>
      <c r="F47" s="26"/>
      <c r="G47" s="26"/>
      <c r="H47" s="26"/>
      <c r="I47" s="26"/>
      <c r="J47" s="26"/>
      <c r="K47" s="26"/>
      <c r="L47" s="26"/>
      <c r="M47" s="26"/>
      <c r="N47" s="26"/>
      <c r="O47" s="26"/>
      <c r="P47" s="26"/>
      <c r="Q47" s="26"/>
      <c r="R47" s="26"/>
      <c r="S47" s="26"/>
      <c r="T47" s="26"/>
    </row>
    <row r="48" spans="1:20" x14ac:dyDescent="0.2">
      <c r="A48" s="18">
        <f t="shared" si="3"/>
        <v>1995</v>
      </c>
      <c r="B48" s="27">
        <f t="shared" si="17"/>
        <v>1</v>
      </c>
      <c r="C48" s="26">
        <f t="shared" si="4"/>
        <v>9715</v>
      </c>
      <c r="D48" s="26"/>
      <c r="E48" s="26"/>
      <c r="F48" s="26"/>
      <c r="G48" s="26"/>
      <c r="H48" s="26"/>
      <c r="I48" s="26"/>
      <c r="J48" s="26"/>
      <c r="K48" s="26"/>
      <c r="L48" s="26"/>
      <c r="M48" s="26"/>
      <c r="N48" s="26"/>
      <c r="O48" s="26"/>
      <c r="P48" s="26"/>
      <c r="Q48" s="26"/>
      <c r="R48" s="26"/>
      <c r="S48" s="26"/>
      <c r="T48" s="26"/>
    </row>
    <row r="51" spans="1:16" x14ac:dyDescent="0.2">
      <c r="A51" s="22" t="s">
        <v>223</v>
      </c>
    </row>
    <row r="52" spans="1:16" x14ac:dyDescent="0.2">
      <c r="A52" s="22" t="s">
        <v>224</v>
      </c>
    </row>
    <row r="54" spans="1:16" x14ac:dyDescent="0.2">
      <c r="A54" s="19" t="s">
        <v>216</v>
      </c>
      <c r="B54" s="22" t="s">
        <v>225</v>
      </c>
      <c r="C54" s="22"/>
      <c r="D54" s="22"/>
      <c r="E54" s="22"/>
      <c r="F54" s="22"/>
      <c r="G54" s="22"/>
      <c r="H54" s="22"/>
      <c r="I54" s="22"/>
      <c r="J54" s="22"/>
      <c r="K54" s="22"/>
      <c r="L54" s="22"/>
      <c r="N54" s="28"/>
      <c r="O54" s="22" t="s">
        <v>226</v>
      </c>
      <c r="P54" s="22"/>
    </row>
    <row r="55" spans="1:16" x14ac:dyDescent="0.2">
      <c r="A55" s="19" t="s">
        <v>218</v>
      </c>
      <c r="B55" s="22">
        <v>0</v>
      </c>
      <c r="C55" s="22">
        <v>1</v>
      </c>
      <c r="D55" s="22">
        <v>2</v>
      </c>
      <c r="E55" s="22">
        <v>3</v>
      </c>
      <c r="F55" s="22">
        <v>4</v>
      </c>
      <c r="G55" s="22">
        <v>5</v>
      </c>
      <c r="H55" s="22">
        <v>6</v>
      </c>
      <c r="I55" s="22">
        <v>7</v>
      </c>
      <c r="J55" s="22">
        <v>8</v>
      </c>
      <c r="K55" s="22">
        <v>9</v>
      </c>
      <c r="L55" s="22">
        <v>10</v>
      </c>
      <c r="M55" s="29" t="s">
        <v>227</v>
      </c>
      <c r="N55" s="28" t="s">
        <v>228</v>
      </c>
      <c r="O55" s="22" t="s">
        <v>229</v>
      </c>
      <c r="P55" s="22" t="s">
        <v>230</v>
      </c>
    </row>
    <row r="56" spans="1:16" x14ac:dyDescent="0.2">
      <c r="A56" s="30"/>
      <c r="N56" s="31"/>
    </row>
    <row r="57" spans="1:16" x14ac:dyDescent="0.2">
      <c r="A57" s="18">
        <v>1978</v>
      </c>
      <c r="B57" s="32">
        <v>368</v>
      </c>
      <c r="C57" s="32">
        <v>191</v>
      </c>
      <c r="D57" s="32">
        <v>28</v>
      </c>
      <c r="E57" s="32">
        <v>8</v>
      </c>
      <c r="F57" s="32">
        <v>6</v>
      </c>
      <c r="G57" s="32">
        <v>5</v>
      </c>
      <c r="H57" s="32">
        <v>3</v>
      </c>
      <c r="I57" s="32">
        <v>1</v>
      </c>
      <c r="J57" s="32">
        <v>0</v>
      </c>
      <c r="K57" s="32">
        <v>0</v>
      </c>
      <c r="L57" s="32">
        <v>1</v>
      </c>
      <c r="M57" s="33">
        <v>0.14487865899107327</v>
      </c>
      <c r="N57" s="34">
        <f>SUM(B57:L57)</f>
        <v>611</v>
      </c>
      <c r="O57" s="33">
        <f>P57-N57</f>
        <v>0.1448786589910469</v>
      </c>
      <c r="P57" s="33">
        <f>SUM(B57:M57)</f>
        <v>611.14487865899105</v>
      </c>
    </row>
    <row r="58" spans="1:16" x14ac:dyDescent="0.2">
      <c r="A58" s="18">
        <v>1979</v>
      </c>
      <c r="B58" s="32">
        <v>393</v>
      </c>
      <c r="C58" s="32">
        <v>151</v>
      </c>
      <c r="D58" s="32">
        <v>25</v>
      </c>
      <c r="E58" s="32">
        <v>6</v>
      </c>
      <c r="F58" s="32">
        <v>4</v>
      </c>
      <c r="G58" s="32">
        <v>5</v>
      </c>
      <c r="H58" s="32">
        <v>4</v>
      </c>
      <c r="I58" s="32">
        <v>1</v>
      </c>
      <c r="J58" s="32">
        <v>2</v>
      </c>
      <c r="K58" s="32">
        <v>1</v>
      </c>
      <c r="L58" s="32">
        <v>0</v>
      </c>
      <c r="M58" s="33">
        <v>0.15325834520642714</v>
      </c>
      <c r="N58" s="34">
        <f t="shared" ref="N58:N64" si="18">SUM(B58:L58)</f>
        <v>592</v>
      </c>
      <c r="O58" s="33">
        <f t="shared" ref="O58:O74" si="19">P58-N58</f>
        <v>0.15325834520638182</v>
      </c>
      <c r="P58" s="33">
        <f t="shared" ref="P58:P73" si="20">SUM(B58:M58)</f>
        <v>592.15325834520638</v>
      </c>
    </row>
    <row r="59" spans="1:16" x14ac:dyDescent="0.2">
      <c r="A59" s="18">
        <v>1980</v>
      </c>
      <c r="B59" s="32">
        <v>517</v>
      </c>
      <c r="C59" s="32">
        <v>185</v>
      </c>
      <c r="D59" s="32">
        <v>29</v>
      </c>
      <c r="E59" s="32">
        <v>17</v>
      </c>
      <c r="F59" s="32">
        <v>11</v>
      </c>
      <c r="G59" s="32">
        <v>10</v>
      </c>
      <c r="H59" s="32">
        <v>8</v>
      </c>
      <c r="I59" s="32">
        <v>1</v>
      </c>
      <c r="J59" s="32">
        <v>0</v>
      </c>
      <c r="K59" s="32">
        <v>0</v>
      </c>
      <c r="L59" s="32">
        <v>1</v>
      </c>
      <c r="M59" s="33">
        <v>0.20039964907477475</v>
      </c>
      <c r="N59" s="34">
        <f t="shared" si="18"/>
        <v>779</v>
      </c>
      <c r="O59" s="33">
        <f t="shared" si="19"/>
        <v>0.20039964907482499</v>
      </c>
      <c r="P59" s="33">
        <f t="shared" si="20"/>
        <v>779.20039964907482</v>
      </c>
    </row>
    <row r="60" spans="1:16" x14ac:dyDescent="0.2">
      <c r="A60" s="18">
        <v>1981</v>
      </c>
      <c r="B60" s="32">
        <v>578</v>
      </c>
      <c r="C60" s="32">
        <v>254</v>
      </c>
      <c r="D60" s="32">
        <v>49</v>
      </c>
      <c r="E60" s="32">
        <v>22</v>
      </c>
      <c r="F60" s="32">
        <v>17</v>
      </c>
      <c r="G60" s="32">
        <v>6</v>
      </c>
      <c r="H60" s="32">
        <v>3</v>
      </c>
      <c r="I60" s="32">
        <v>0</v>
      </c>
      <c r="J60" s="32">
        <v>1</v>
      </c>
      <c r="K60" s="32">
        <v>0</v>
      </c>
      <c r="L60" s="32">
        <v>0</v>
      </c>
      <c r="M60" s="33">
        <v>0.20852822821165981</v>
      </c>
      <c r="N60" s="34">
        <f t="shared" si="18"/>
        <v>930</v>
      </c>
      <c r="O60" s="33">
        <f t="shared" si="19"/>
        <v>0.20852822821166228</v>
      </c>
      <c r="P60" s="33">
        <f t="shared" si="20"/>
        <v>930.20852822821166</v>
      </c>
    </row>
    <row r="61" spans="1:16" x14ac:dyDescent="0.2">
      <c r="A61" s="18">
        <v>1982</v>
      </c>
      <c r="B61" s="32">
        <v>622</v>
      </c>
      <c r="C61" s="32">
        <v>206</v>
      </c>
      <c r="D61" s="32">
        <v>39</v>
      </c>
      <c r="E61" s="32">
        <v>16</v>
      </c>
      <c r="F61" s="32">
        <v>3</v>
      </c>
      <c r="G61" s="32">
        <v>7</v>
      </c>
      <c r="H61" s="32">
        <v>0</v>
      </c>
      <c r="I61" s="32">
        <v>1</v>
      </c>
      <c r="J61" s="32">
        <v>0</v>
      </c>
      <c r="K61" s="32">
        <v>0</v>
      </c>
      <c r="L61" s="32">
        <v>0</v>
      </c>
      <c r="M61" s="33">
        <v>0.21629634718751709</v>
      </c>
      <c r="N61" s="34">
        <f t="shared" si="18"/>
        <v>894</v>
      </c>
      <c r="O61" s="33">
        <f t="shared" si="19"/>
        <v>0.21629634718749458</v>
      </c>
      <c r="P61" s="33">
        <f t="shared" si="20"/>
        <v>894.21629634718749</v>
      </c>
    </row>
    <row r="62" spans="1:16" x14ac:dyDescent="0.2">
      <c r="A62" s="18">
        <v>1983</v>
      </c>
      <c r="B62" s="32">
        <v>660</v>
      </c>
      <c r="C62" s="32">
        <v>243</v>
      </c>
      <c r="D62" s="32">
        <v>28</v>
      </c>
      <c r="E62" s="32">
        <v>12</v>
      </c>
      <c r="F62" s="32">
        <v>12</v>
      </c>
      <c r="G62" s="32">
        <v>4</v>
      </c>
      <c r="H62" s="32">
        <v>4</v>
      </c>
      <c r="I62" s="32">
        <v>1</v>
      </c>
      <c r="J62" s="32">
        <v>0</v>
      </c>
      <c r="K62" s="32">
        <v>0</v>
      </c>
      <c r="L62" s="32">
        <v>0</v>
      </c>
      <c r="M62" s="33">
        <v>0.22433379875560297</v>
      </c>
      <c r="N62" s="34">
        <f t="shared" si="18"/>
        <v>964</v>
      </c>
      <c r="O62" s="33">
        <f t="shared" si="19"/>
        <v>0.22433379875565151</v>
      </c>
      <c r="P62" s="33">
        <f t="shared" si="20"/>
        <v>964.22433379875565</v>
      </c>
    </row>
    <row r="63" spans="1:16" x14ac:dyDescent="0.2">
      <c r="A63" s="18">
        <v>1984</v>
      </c>
      <c r="B63" s="32">
        <v>666</v>
      </c>
      <c r="C63" s="32">
        <v>234</v>
      </c>
      <c r="D63" s="32">
        <v>53</v>
      </c>
      <c r="E63" s="32">
        <v>10</v>
      </c>
      <c r="F63" s="32">
        <v>8</v>
      </c>
      <c r="G63" s="32">
        <v>4</v>
      </c>
      <c r="H63" s="32">
        <v>6</v>
      </c>
      <c r="I63" s="32">
        <v>1</v>
      </c>
      <c r="J63" s="32">
        <v>0</v>
      </c>
      <c r="K63" s="32">
        <v>0</v>
      </c>
      <c r="L63" s="32">
        <v>0</v>
      </c>
      <c r="M63" s="33">
        <v>0.23147820014945716</v>
      </c>
      <c r="N63" s="34">
        <f t="shared" si="18"/>
        <v>982</v>
      </c>
      <c r="O63" s="33">
        <f t="shared" si="19"/>
        <v>0.23147820014946774</v>
      </c>
      <c r="P63" s="33">
        <f t="shared" si="20"/>
        <v>982.23147820014947</v>
      </c>
    </row>
    <row r="64" spans="1:16" x14ac:dyDescent="0.2">
      <c r="A64" s="18">
        <v>1985</v>
      </c>
      <c r="B64" s="32">
        <v>573</v>
      </c>
      <c r="C64" s="32">
        <v>266</v>
      </c>
      <c r="D64" s="32">
        <v>62</v>
      </c>
      <c r="E64" s="32">
        <v>12</v>
      </c>
      <c r="F64" s="32">
        <v>5</v>
      </c>
      <c r="G64" s="32">
        <v>7</v>
      </c>
      <c r="H64" s="32">
        <v>6</v>
      </c>
      <c r="I64" s="32">
        <v>5</v>
      </c>
      <c r="J64" s="32">
        <v>1</v>
      </c>
      <c r="K64" s="32">
        <v>0</v>
      </c>
      <c r="L64" s="32">
        <v>1</v>
      </c>
      <c r="M64" s="33">
        <v>0.23755134634565006</v>
      </c>
      <c r="N64" s="34">
        <f t="shared" si="18"/>
        <v>938</v>
      </c>
      <c r="O64" s="33">
        <f t="shared" si="19"/>
        <v>0.23755134634564001</v>
      </c>
      <c r="P64" s="33">
        <f t="shared" si="20"/>
        <v>938.23755134634564</v>
      </c>
    </row>
    <row r="65" spans="1:16" x14ac:dyDescent="0.2">
      <c r="A65" s="18">
        <v>1986</v>
      </c>
      <c r="B65" s="32">
        <v>582</v>
      </c>
      <c r="C65" s="32">
        <v>281</v>
      </c>
      <c r="D65" s="32">
        <v>32</v>
      </c>
      <c r="E65" s="32">
        <v>27</v>
      </c>
      <c r="F65" s="32">
        <v>12</v>
      </c>
      <c r="G65" s="32">
        <v>13</v>
      </c>
      <c r="H65" s="32">
        <v>6</v>
      </c>
      <c r="I65" s="32">
        <v>2</v>
      </c>
      <c r="J65" s="32">
        <v>1</v>
      </c>
      <c r="K65" s="32">
        <v>0</v>
      </c>
      <c r="L65" s="33">
        <v>0.21468404966480767</v>
      </c>
      <c r="M65" s="33">
        <v>0.24969763873803585</v>
      </c>
      <c r="N65" s="34">
        <f>SUM(B65:K65)</f>
        <v>956</v>
      </c>
      <c r="O65" s="33">
        <f t="shared" si="19"/>
        <v>0.46438168840279559</v>
      </c>
      <c r="P65" s="33">
        <f t="shared" si="20"/>
        <v>956.4643816884028</v>
      </c>
    </row>
    <row r="66" spans="1:16" x14ac:dyDescent="0.2">
      <c r="A66" s="18">
        <v>1987</v>
      </c>
      <c r="B66" s="32">
        <v>545</v>
      </c>
      <c r="C66" s="32">
        <v>220</v>
      </c>
      <c r="D66" s="32">
        <v>43</v>
      </c>
      <c r="E66" s="32">
        <v>18</v>
      </c>
      <c r="F66" s="32">
        <v>12</v>
      </c>
      <c r="G66" s="32">
        <v>9</v>
      </c>
      <c r="H66" s="32">
        <v>5</v>
      </c>
      <c r="I66" s="32">
        <v>2</v>
      </c>
      <c r="J66" s="32">
        <v>0</v>
      </c>
      <c r="K66" s="33">
        <v>0.40648186269287712</v>
      </c>
      <c r="L66" s="33">
        <v>0.21856495171748125</v>
      </c>
      <c r="M66" s="33">
        <v>0.25421149097922091</v>
      </c>
      <c r="N66" s="34">
        <f>SUM(B66:J66)</f>
        <v>854</v>
      </c>
      <c r="O66" s="33">
        <f t="shared" si="19"/>
        <v>0.87925830538949867</v>
      </c>
      <c r="P66" s="33">
        <f t="shared" si="20"/>
        <v>854.8792583053895</v>
      </c>
    </row>
    <row r="67" spans="1:16" x14ac:dyDescent="0.2">
      <c r="A67" s="18">
        <v>1988</v>
      </c>
      <c r="B67" s="32">
        <v>509</v>
      </c>
      <c r="C67" s="32">
        <v>266</v>
      </c>
      <c r="D67" s="32">
        <v>49</v>
      </c>
      <c r="E67" s="32">
        <v>22</v>
      </c>
      <c r="F67" s="32">
        <v>15</v>
      </c>
      <c r="G67" s="32">
        <v>4</v>
      </c>
      <c r="H67" s="32">
        <v>8</v>
      </c>
      <c r="I67" s="32">
        <v>0</v>
      </c>
      <c r="J67" s="33">
        <v>0.79048358868418134</v>
      </c>
      <c r="K67" s="33">
        <v>0.42504235305760646</v>
      </c>
      <c r="L67" s="33">
        <v>0.22854491159452234</v>
      </c>
      <c r="M67" s="33">
        <v>0.26581911818714943</v>
      </c>
      <c r="N67" s="34">
        <f>SUM(B67:I67)</f>
        <v>873</v>
      </c>
      <c r="O67" s="33">
        <f t="shared" si="19"/>
        <v>1.7098899715234666</v>
      </c>
      <c r="P67" s="33">
        <f t="shared" si="20"/>
        <v>874.70988997152347</v>
      </c>
    </row>
    <row r="68" spans="1:16" x14ac:dyDescent="0.2">
      <c r="A68" s="18">
        <v>1989</v>
      </c>
      <c r="B68" s="32">
        <v>589</v>
      </c>
      <c r="C68" s="32">
        <v>210</v>
      </c>
      <c r="D68" s="32">
        <v>29</v>
      </c>
      <c r="E68" s="32">
        <v>17</v>
      </c>
      <c r="F68" s="32">
        <v>12</v>
      </c>
      <c r="G68" s="32">
        <v>4</v>
      </c>
      <c r="H68" s="32">
        <v>9</v>
      </c>
      <c r="I68" s="33">
        <v>1.5641547328870478</v>
      </c>
      <c r="J68" s="33">
        <v>0.84104466902237041</v>
      </c>
      <c r="K68" s="33">
        <v>0.45222900293588064</v>
      </c>
      <c r="L68" s="33">
        <v>0.24316315010248418</v>
      </c>
      <c r="M68" s="33">
        <v>0.28282149746798829</v>
      </c>
      <c r="N68" s="34">
        <f>SUM(B68:H68)</f>
        <v>870</v>
      </c>
      <c r="O68" s="33">
        <f t="shared" si="19"/>
        <v>3.3834130524157899</v>
      </c>
      <c r="P68" s="33">
        <f t="shared" si="20"/>
        <v>873.38341305241579</v>
      </c>
    </row>
    <row r="69" spans="1:16" x14ac:dyDescent="0.2">
      <c r="A69" s="18">
        <v>1990</v>
      </c>
      <c r="B69" s="32">
        <v>564</v>
      </c>
      <c r="C69" s="32">
        <v>196</v>
      </c>
      <c r="D69" s="32">
        <v>23</v>
      </c>
      <c r="E69" s="32">
        <v>12</v>
      </c>
      <c r="F69" s="32">
        <v>9</v>
      </c>
      <c r="G69" s="32">
        <v>5</v>
      </c>
      <c r="H69" s="33">
        <v>3.1846264643077506</v>
      </c>
      <c r="I69" s="33">
        <v>1.7123709402393308</v>
      </c>
      <c r="J69" s="33">
        <v>0.92074039760688609</v>
      </c>
      <c r="K69" s="33">
        <v>0.49508132838717661</v>
      </c>
      <c r="L69" s="33">
        <v>0.26620480903702048</v>
      </c>
      <c r="M69" s="33">
        <v>0.30962110292327893</v>
      </c>
      <c r="N69" s="34">
        <f>SUM(B69:G69)</f>
        <v>809</v>
      </c>
      <c r="O69" s="33">
        <f t="shared" si="19"/>
        <v>6.88864504250148</v>
      </c>
      <c r="P69" s="33">
        <f t="shared" si="20"/>
        <v>815.88864504250148</v>
      </c>
    </row>
    <row r="70" spans="1:16" x14ac:dyDescent="0.2">
      <c r="A70" s="18">
        <v>1991</v>
      </c>
      <c r="B70" s="32">
        <v>607</v>
      </c>
      <c r="C70" s="32">
        <v>203</v>
      </c>
      <c r="D70" s="32">
        <v>29</v>
      </c>
      <c r="E70" s="32">
        <v>9</v>
      </c>
      <c r="F70" s="32">
        <v>7</v>
      </c>
      <c r="G70" s="33">
        <v>6.2107402830831058</v>
      </c>
      <c r="H70" s="33">
        <v>3.3395097658453574</v>
      </c>
      <c r="I70" s="33">
        <v>1.795651559694641</v>
      </c>
      <c r="J70" s="33">
        <v>0.96552031582922693</v>
      </c>
      <c r="K70" s="33">
        <v>0.5191594523146239</v>
      </c>
      <c r="L70" s="33">
        <v>0.27915159578609194</v>
      </c>
      <c r="M70" s="33">
        <v>0.32467942740306904</v>
      </c>
      <c r="N70" s="34">
        <f>SUM(B70:F70)</f>
        <v>855</v>
      </c>
      <c r="O70" s="33">
        <f t="shared" si="19"/>
        <v>13.434412399956159</v>
      </c>
      <c r="P70" s="33">
        <f t="shared" si="20"/>
        <v>868.43441239995616</v>
      </c>
    </row>
    <row r="71" spans="1:16" x14ac:dyDescent="0.2">
      <c r="A71" s="18">
        <v>1992</v>
      </c>
      <c r="B71" s="32">
        <v>674</v>
      </c>
      <c r="C71" s="32">
        <v>169</v>
      </c>
      <c r="D71" s="32">
        <v>20</v>
      </c>
      <c r="E71" s="32">
        <v>12</v>
      </c>
      <c r="F71" s="33">
        <v>10.071386460640293</v>
      </c>
      <c r="G71" s="33">
        <v>6.3102556094219953</v>
      </c>
      <c r="H71" s="33">
        <v>3.3930190721458029</v>
      </c>
      <c r="I71" s="33">
        <v>1.8244234681643414</v>
      </c>
      <c r="J71" s="33">
        <v>0.98099094653299146</v>
      </c>
      <c r="K71" s="33">
        <v>0.52747799728095146</v>
      </c>
      <c r="L71" s="33">
        <v>0.28362447033670579</v>
      </c>
      <c r="M71" s="33">
        <v>0.32988179905295889</v>
      </c>
      <c r="N71" s="34">
        <f>SUM(B71:E71)</f>
        <v>875</v>
      </c>
      <c r="O71" s="33">
        <f t="shared" si="19"/>
        <v>23.721059823575956</v>
      </c>
      <c r="P71" s="33">
        <f t="shared" si="20"/>
        <v>898.72105982357596</v>
      </c>
    </row>
    <row r="72" spans="1:16" x14ac:dyDescent="0.2">
      <c r="A72" s="18">
        <v>1993</v>
      </c>
      <c r="B72" s="32">
        <v>619</v>
      </c>
      <c r="C72" s="32">
        <v>190</v>
      </c>
      <c r="D72" s="32">
        <v>41</v>
      </c>
      <c r="E72" s="33">
        <v>11.785714285714286</v>
      </c>
      <c r="F72" s="33">
        <v>10.513130206872798</v>
      </c>
      <c r="G72" s="33">
        <v>6.5870314002711057</v>
      </c>
      <c r="H72" s="33">
        <v>3.5418411793924682</v>
      </c>
      <c r="I72" s="33">
        <v>1.9044449886065404</v>
      </c>
      <c r="J72" s="33">
        <v>1.024018449988966</v>
      </c>
      <c r="K72" s="33">
        <v>0.55061384927955426</v>
      </c>
      <c r="L72" s="33">
        <v>0.29606459827136367</v>
      </c>
      <c r="M72" s="33">
        <v>0.34435083192118099</v>
      </c>
      <c r="N72" s="34">
        <f>SUM(B72:D72)</f>
        <v>850</v>
      </c>
      <c r="O72" s="33">
        <f t="shared" si="19"/>
        <v>36.547209790318334</v>
      </c>
      <c r="P72" s="33">
        <f t="shared" si="20"/>
        <v>886.54720979031833</v>
      </c>
    </row>
    <row r="73" spans="1:16" x14ac:dyDescent="0.2">
      <c r="A73" s="18">
        <v>1994</v>
      </c>
      <c r="B73" s="32">
        <v>660</v>
      </c>
      <c r="C73" s="32">
        <v>161</v>
      </c>
      <c r="D73" s="33">
        <v>31.609727616993325</v>
      </c>
      <c r="E73" s="33">
        <v>12.007712244237869</v>
      </c>
      <c r="F73" s="33">
        <v>10.71115752936163</v>
      </c>
      <c r="G73" s="33">
        <v>6.7111059780303366</v>
      </c>
      <c r="H73" s="33">
        <v>3.60855597428555</v>
      </c>
      <c r="I73" s="33">
        <v>1.9403174770566964</v>
      </c>
      <c r="J73" s="33">
        <v>1.0433070565067386</v>
      </c>
      <c r="K73" s="33">
        <v>0.56098531659257378</v>
      </c>
      <c r="L73" s="33">
        <v>0.30164132742107802</v>
      </c>
      <c r="M73" s="33">
        <v>0.35083708976259681</v>
      </c>
      <c r="N73" s="34">
        <f>SUM(B73:C73)</f>
        <v>821</v>
      </c>
      <c r="O73" s="33">
        <f t="shared" si="19"/>
        <v>68.845347610248382</v>
      </c>
      <c r="P73" s="33">
        <f t="shared" si="20"/>
        <v>889.84534761024838</v>
      </c>
    </row>
    <row r="74" spans="1:16" x14ac:dyDescent="0.2">
      <c r="A74" s="18">
        <v>1995</v>
      </c>
      <c r="B74" s="32">
        <v>660</v>
      </c>
      <c r="C74" s="33">
        <v>180.73999442900237</v>
      </c>
      <c r="D74" s="33">
        <v>32.101075260097794</v>
      </c>
      <c r="E74" s="33">
        <v>12.194362416671217</v>
      </c>
      <c r="F74" s="33">
        <v>10.877653807682712</v>
      </c>
      <c r="G74" s="33">
        <v>6.8154246910823533</v>
      </c>
      <c r="H74" s="33">
        <v>3.6646480575347127</v>
      </c>
      <c r="I74" s="33">
        <v>1.9704781424941831</v>
      </c>
      <c r="J74" s="33">
        <v>1.059524420650467</v>
      </c>
      <c r="K74" s="33">
        <v>0.56970537949421651</v>
      </c>
      <c r="L74" s="33">
        <v>0.30633009782388188</v>
      </c>
      <c r="M74" s="33">
        <v>0.35629056849095542</v>
      </c>
      <c r="N74" s="34">
        <f>SUM(B74)</f>
        <v>660</v>
      </c>
      <c r="O74" s="33">
        <f t="shared" si="19"/>
        <v>250.65548727102475</v>
      </c>
      <c r="P74" s="33">
        <f>SUM(B74:M74)</f>
        <v>910.65548727102475</v>
      </c>
    </row>
    <row r="75" spans="1:16" x14ac:dyDescent="0.2">
      <c r="O75" s="22"/>
      <c r="P75" s="22"/>
    </row>
    <row r="76" spans="1:16" ht="17" thickBot="1" x14ac:dyDescent="0.25">
      <c r="O76" s="35">
        <f>SUM(O57:O74)</f>
        <v>408.14582952927879</v>
      </c>
      <c r="P76" s="22"/>
    </row>
    <row r="77" spans="1:16" ht="17" thickTop="1" x14ac:dyDescent="0.2"/>
    <row r="78" spans="1:16" x14ac:dyDescent="0.2">
      <c r="A78" s="22"/>
    </row>
    <row r="79" spans="1:16" x14ac:dyDescent="0.2">
      <c r="A79" s="22" t="s">
        <v>231</v>
      </c>
    </row>
    <row r="81" spans="1:19" x14ac:dyDescent="0.2">
      <c r="A81" s="19" t="s">
        <v>216</v>
      </c>
      <c r="B81" s="22" t="s">
        <v>225</v>
      </c>
      <c r="C81" s="22"/>
      <c r="D81" s="22"/>
      <c r="E81" s="22"/>
      <c r="F81" s="22"/>
      <c r="G81" s="22"/>
      <c r="H81" s="22"/>
      <c r="I81" s="22"/>
      <c r="J81" s="22"/>
      <c r="K81" s="22"/>
      <c r="L81" s="22"/>
    </row>
    <row r="82" spans="1:19" x14ac:dyDescent="0.2">
      <c r="A82" s="19" t="s">
        <v>218</v>
      </c>
      <c r="B82" s="22">
        <v>0</v>
      </c>
      <c r="C82" s="22">
        <v>1</v>
      </c>
      <c r="D82" s="22">
        <v>2</v>
      </c>
      <c r="E82" s="22">
        <v>3</v>
      </c>
      <c r="F82" s="22">
        <v>4</v>
      </c>
      <c r="G82" s="22">
        <v>5</v>
      </c>
      <c r="H82" s="22">
        <v>6</v>
      </c>
      <c r="I82" s="22">
        <v>7</v>
      </c>
      <c r="J82" s="22">
        <v>8</v>
      </c>
      <c r="K82" s="22">
        <v>9</v>
      </c>
      <c r="L82" s="22">
        <v>10</v>
      </c>
      <c r="M82" s="22">
        <v>11</v>
      </c>
      <c r="N82" s="22">
        <v>12</v>
      </c>
      <c r="O82" s="22">
        <v>13</v>
      </c>
      <c r="P82" s="22">
        <v>14</v>
      </c>
      <c r="Q82" s="22">
        <v>15</v>
      </c>
      <c r="R82" s="22">
        <v>16</v>
      </c>
      <c r="S82" s="22">
        <v>17</v>
      </c>
    </row>
    <row r="83" spans="1:19" x14ac:dyDescent="0.2">
      <c r="A83" s="30"/>
    </row>
    <row r="84" spans="1:19" x14ac:dyDescent="0.2">
      <c r="A84" s="18">
        <v>1978</v>
      </c>
      <c r="B84" s="32">
        <f>SUM($B57:B57)</f>
        <v>368</v>
      </c>
      <c r="C84" s="32">
        <f>SUM($B57:C57)</f>
        <v>559</v>
      </c>
      <c r="D84" s="32">
        <f>SUM($B57:D57)</f>
        <v>587</v>
      </c>
      <c r="E84" s="32">
        <f>SUM($B57:E57)</f>
        <v>595</v>
      </c>
      <c r="F84" s="32">
        <f>SUM($B57:F57)</f>
        <v>601</v>
      </c>
      <c r="G84" s="32">
        <f>SUM($B57:G57)</f>
        <v>606</v>
      </c>
      <c r="H84" s="32">
        <f>SUM($B57:H57)</f>
        <v>609</v>
      </c>
      <c r="I84" s="32">
        <f>SUM($B57:I57)</f>
        <v>610</v>
      </c>
      <c r="J84" s="32">
        <f>SUM($B57:J57)</f>
        <v>610</v>
      </c>
      <c r="K84" s="32">
        <f>SUM($B57:K57)</f>
        <v>610</v>
      </c>
      <c r="L84" s="32">
        <f>SUM($B57:L57)</f>
        <v>611</v>
      </c>
      <c r="M84" s="32">
        <f>SUM($B57:M57)</f>
        <v>611.14487865899105</v>
      </c>
      <c r="N84" s="32">
        <f>M84</f>
        <v>611.14487865899105</v>
      </c>
      <c r="O84" s="32">
        <f t="shared" ref="O84:S88" si="21">N84</f>
        <v>611.14487865899105</v>
      </c>
      <c r="P84" s="32">
        <f t="shared" si="21"/>
        <v>611.14487865899105</v>
      </c>
      <c r="Q84" s="32">
        <f t="shared" si="21"/>
        <v>611.14487865899105</v>
      </c>
      <c r="R84" s="32">
        <f t="shared" si="21"/>
        <v>611.14487865899105</v>
      </c>
      <c r="S84" s="32">
        <f t="shared" si="21"/>
        <v>611.14487865899105</v>
      </c>
    </row>
    <row r="85" spans="1:19" x14ac:dyDescent="0.2">
      <c r="A85" s="18">
        <v>1979</v>
      </c>
      <c r="B85" s="32">
        <v>393</v>
      </c>
      <c r="C85" s="32">
        <f>SUM($B58:C58)</f>
        <v>544</v>
      </c>
      <c r="D85" s="32">
        <f>SUM($B58:D58)</f>
        <v>569</v>
      </c>
      <c r="E85" s="32">
        <f>SUM($B58:E58)</f>
        <v>575</v>
      </c>
      <c r="F85" s="32">
        <f>SUM($B58:F58)</f>
        <v>579</v>
      </c>
      <c r="G85" s="32">
        <f>SUM($B58:G58)</f>
        <v>584</v>
      </c>
      <c r="H85" s="32">
        <f>SUM($B58:H58)</f>
        <v>588</v>
      </c>
      <c r="I85" s="32">
        <f>SUM($B58:I58)</f>
        <v>589</v>
      </c>
      <c r="J85" s="32">
        <f>SUM($B58:J58)</f>
        <v>591</v>
      </c>
      <c r="K85" s="32">
        <f>SUM($B58:K58)</f>
        <v>592</v>
      </c>
      <c r="L85" s="32">
        <f>SUM($B58:L58)</f>
        <v>592</v>
      </c>
      <c r="M85" s="32">
        <f>SUM($B58:M58)</f>
        <v>592.15325834520638</v>
      </c>
      <c r="N85" s="32">
        <f t="shared" ref="N85:N89" si="22">M85</f>
        <v>592.15325834520638</v>
      </c>
      <c r="O85" s="32">
        <f t="shared" si="21"/>
        <v>592.15325834520638</v>
      </c>
      <c r="P85" s="32">
        <f t="shared" si="21"/>
        <v>592.15325834520638</v>
      </c>
      <c r="Q85" s="32">
        <f t="shared" si="21"/>
        <v>592.15325834520638</v>
      </c>
      <c r="R85" s="32">
        <f t="shared" si="21"/>
        <v>592.15325834520638</v>
      </c>
    </row>
    <row r="86" spans="1:19" x14ac:dyDescent="0.2">
      <c r="A86" s="18">
        <v>1980</v>
      </c>
      <c r="B86" s="32">
        <v>517</v>
      </c>
      <c r="C86" s="32">
        <f>SUM($B59:C59)</f>
        <v>702</v>
      </c>
      <c r="D86" s="32">
        <f>SUM($B59:D59)</f>
        <v>731</v>
      </c>
      <c r="E86" s="32">
        <f>SUM($B59:E59)</f>
        <v>748</v>
      </c>
      <c r="F86" s="32">
        <f>SUM($B59:F59)</f>
        <v>759</v>
      </c>
      <c r="G86" s="32">
        <f>SUM($B59:G59)</f>
        <v>769</v>
      </c>
      <c r="H86" s="32">
        <f>SUM($B59:H59)</f>
        <v>777</v>
      </c>
      <c r="I86" s="32">
        <f>SUM($B59:I59)</f>
        <v>778</v>
      </c>
      <c r="J86" s="32">
        <f>SUM($B59:J59)</f>
        <v>778</v>
      </c>
      <c r="K86" s="32">
        <f>SUM($B59:K59)</f>
        <v>778</v>
      </c>
      <c r="L86" s="32">
        <f>SUM($B59:L59)</f>
        <v>779</v>
      </c>
      <c r="M86" s="32">
        <f>SUM($B59:M59)</f>
        <v>779.20039964907482</v>
      </c>
      <c r="N86" s="32">
        <f t="shared" si="22"/>
        <v>779.20039964907482</v>
      </c>
      <c r="O86" s="32">
        <f t="shared" si="21"/>
        <v>779.20039964907482</v>
      </c>
      <c r="P86" s="32">
        <f t="shared" si="21"/>
        <v>779.20039964907482</v>
      </c>
      <c r="Q86" s="32">
        <f t="shared" si="21"/>
        <v>779.20039964907482</v>
      </c>
    </row>
    <row r="87" spans="1:19" x14ac:dyDescent="0.2">
      <c r="A87" s="18">
        <v>1981</v>
      </c>
      <c r="B87" s="32">
        <v>578</v>
      </c>
      <c r="C87" s="32">
        <f>SUM($B60:C60)</f>
        <v>832</v>
      </c>
      <c r="D87" s="32">
        <f>SUM($B60:D60)</f>
        <v>881</v>
      </c>
      <c r="E87" s="32">
        <f>SUM($B60:E60)</f>
        <v>903</v>
      </c>
      <c r="F87" s="32">
        <f>SUM($B60:F60)</f>
        <v>920</v>
      </c>
      <c r="G87" s="32">
        <f>SUM($B60:G60)</f>
        <v>926</v>
      </c>
      <c r="H87" s="32">
        <f>SUM($B60:H60)</f>
        <v>929</v>
      </c>
      <c r="I87" s="32">
        <f>SUM($B60:I60)</f>
        <v>929</v>
      </c>
      <c r="J87" s="32">
        <f>SUM($B60:J60)</f>
        <v>930</v>
      </c>
      <c r="K87" s="32">
        <f>SUM($B60:K60)</f>
        <v>930</v>
      </c>
      <c r="L87" s="32">
        <f>SUM($B60:L60)</f>
        <v>930</v>
      </c>
      <c r="M87" s="32">
        <f>SUM($B60:M60)</f>
        <v>930.20852822821166</v>
      </c>
      <c r="N87" s="32">
        <f t="shared" si="22"/>
        <v>930.20852822821166</v>
      </c>
      <c r="O87" s="32">
        <f t="shared" si="21"/>
        <v>930.20852822821166</v>
      </c>
      <c r="P87" s="32">
        <f t="shared" si="21"/>
        <v>930.20852822821166</v>
      </c>
    </row>
    <row r="88" spans="1:19" x14ac:dyDescent="0.2">
      <c r="A88" s="18">
        <v>1982</v>
      </c>
      <c r="B88" s="32">
        <v>622</v>
      </c>
      <c r="C88" s="32">
        <f>SUM($B61:C61)</f>
        <v>828</v>
      </c>
      <c r="D88" s="32">
        <f>SUM($B61:D61)</f>
        <v>867</v>
      </c>
      <c r="E88" s="32">
        <f>SUM($B61:E61)</f>
        <v>883</v>
      </c>
      <c r="F88" s="32">
        <f>SUM($B61:F61)</f>
        <v>886</v>
      </c>
      <c r="G88" s="32">
        <f>SUM($B61:G61)</f>
        <v>893</v>
      </c>
      <c r="H88" s="32">
        <f>SUM($B61:H61)</f>
        <v>893</v>
      </c>
      <c r="I88" s="32">
        <f>SUM($B61:I61)</f>
        <v>894</v>
      </c>
      <c r="J88" s="32">
        <f>SUM($B61:J61)</f>
        <v>894</v>
      </c>
      <c r="K88" s="32">
        <f>SUM($B61:K61)</f>
        <v>894</v>
      </c>
      <c r="L88" s="32">
        <f>SUM($B61:L61)</f>
        <v>894</v>
      </c>
      <c r="M88" s="32">
        <f>SUM($B61:M61)</f>
        <v>894.21629634718749</v>
      </c>
      <c r="N88" s="32">
        <f t="shared" si="22"/>
        <v>894.21629634718749</v>
      </c>
      <c r="O88" s="32">
        <f t="shared" si="21"/>
        <v>894.21629634718749</v>
      </c>
    </row>
    <row r="89" spans="1:19" x14ac:dyDescent="0.2">
      <c r="A89" s="18">
        <v>1983</v>
      </c>
      <c r="B89" s="32">
        <v>660</v>
      </c>
      <c r="C89" s="32">
        <f>SUM($B62:C62)</f>
        <v>903</v>
      </c>
      <c r="D89" s="32">
        <f>SUM($B62:D62)</f>
        <v>931</v>
      </c>
      <c r="E89" s="32">
        <f>SUM($B62:E62)</f>
        <v>943</v>
      </c>
      <c r="F89" s="32">
        <f>SUM($B62:F62)</f>
        <v>955</v>
      </c>
      <c r="G89" s="32">
        <f>SUM($B62:G62)</f>
        <v>959</v>
      </c>
      <c r="H89" s="32">
        <f>SUM($B62:H62)</f>
        <v>963</v>
      </c>
      <c r="I89" s="32">
        <f>SUM($B62:I62)</f>
        <v>964</v>
      </c>
      <c r="J89" s="32">
        <f>SUM($B62:J62)</f>
        <v>964</v>
      </c>
      <c r="K89" s="32">
        <f>SUM($B62:K62)</f>
        <v>964</v>
      </c>
      <c r="L89" s="32">
        <f>SUM($B62:L62)</f>
        <v>964</v>
      </c>
      <c r="M89" s="32">
        <f>SUM($B62:M62)</f>
        <v>964.22433379875565</v>
      </c>
      <c r="N89" s="32">
        <f t="shared" si="22"/>
        <v>964.22433379875565</v>
      </c>
    </row>
    <row r="90" spans="1:19" x14ac:dyDescent="0.2">
      <c r="A90" s="18">
        <v>1984</v>
      </c>
      <c r="B90" s="32">
        <v>666</v>
      </c>
      <c r="C90" s="32">
        <f>SUM($B63:C63)</f>
        <v>900</v>
      </c>
      <c r="D90" s="32">
        <f>SUM($B63:D63)</f>
        <v>953</v>
      </c>
      <c r="E90" s="32">
        <f>SUM($B63:E63)</f>
        <v>963</v>
      </c>
      <c r="F90" s="32">
        <f>SUM($B63:F63)</f>
        <v>971</v>
      </c>
      <c r="G90" s="32">
        <f>SUM($B63:G63)</f>
        <v>975</v>
      </c>
      <c r="H90" s="32">
        <f>SUM($B63:H63)</f>
        <v>981</v>
      </c>
      <c r="I90" s="32">
        <f>SUM($B63:I63)</f>
        <v>982</v>
      </c>
      <c r="J90" s="32">
        <f>SUM($B63:J63)</f>
        <v>982</v>
      </c>
      <c r="K90" s="32">
        <f>SUM($B63:K63)</f>
        <v>982</v>
      </c>
      <c r="L90" s="32">
        <f>SUM($B63:L63)</f>
        <v>982</v>
      </c>
      <c r="M90" s="32">
        <f>SUM($B63:M63)</f>
        <v>982.23147820014947</v>
      </c>
    </row>
    <row r="91" spans="1:19" x14ac:dyDescent="0.2">
      <c r="A91" s="18">
        <v>1985</v>
      </c>
      <c r="B91" s="32">
        <v>573</v>
      </c>
      <c r="C91" s="32">
        <f>SUM($B64:C64)</f>
        <v>839</v>
      </c>
      <c r="D91" s="32">
        <f>SUM($B64:D64)</f>
        <v>901</v>
      </c>
      <c r="E91" s="32">
        <f>SUM($B64:E64)</f>
        <v>913</v>
      </c>
      <c r="F91" s="32">
        <f>SUM($B64:F64)</f>
        <v>918</v>
      </c>
      <c r="G91" s="32">
        <f>SUM($B64:G64)</f>
        <v>925</v>
      </c>
      <c r="H91" s="32">
        <f>SUM($B64:H64)</f>
        <v>931</v>
      </c>
      <c r="I91" s="32">
        <f>SUM($B64:I64)</f>
        <v>936</v>
      </c>
      <c r="J91" s="32">
        <f>SUM($B64:J64)</f>
        <v>937</v>
      </c>
      <c r="K91" s="32">
        <f>SUM($B64:K64)</f>
        <v>937</v>
      </c>
      <c r="L91" s="32">
        <f>SUM($B64:L64)</f>
        <v>938</v>
      </c>
    </row>
    <row r="92" spans="1:19" x14ac:dyDescent="0.2">
      <c r="A92" s="18">
        <v>1986</v>
      </c>
      <c r="B92" s="32">
        <v>582</v>
      </c>
      <c r="C92" s="32">
        <f>SUM($B65:C65)</f>
        <v>863</v>
      </c>
      <c r="D92" s="32">
        <f>SUM($B65:D65)</f>
        <v>895</v>
      </c>
      <c r="E92" s="32">
        <f>SUM($B65:E65)</f>
        <v>922</v>
      </c>
      <c r="F92" s="32">
        <f>SUM($B65:F65)</f>
        <v>934</v>
      </c>
      <c r="G92" s="32">
        <f>SUM($B65:G65)</f>
        <v>947</v>
      </c>
      <c r="H92" s="32">
        <f>SUM($B65:H65)</f>
        <v>953</v>
      </c>
      <c r="I92" s="32">
        <f>SUM($B65:I65)</f>
        <v>955</v>
      </c>
      <c r="J92" s="32">
        <f>SUM($B65:J65)</f>
        <v>956</v>
      </c>
      <c r="K92" s="32">
        <f>SUM($B65:K65)</f>
        <v>956</v>
      </c>
      <c r="L92" s="33"/>
    </row>
    <row r="93" spans="1:19" x14ac:dyDescent="0.2">
      <c r="A93" s="18">
        <v>1987</v>
      </c>
      <c r="B93" s="32">
        <v>545</v>
      </c>
      <c r="C93" s="32">
        <f>SUM($B66:C66)</f>
        <v>765</v>
      </c>
      <c r="D93" s="32">
        <f>SUM($B66:D66)</f>
        <v>808</v>
      </c>
      <c r="E93" s="32">
        <f>SUM($B66:E66)</f>
        <v>826</v>
      </c>
      <c r="F93" s="32">
        <f>SUM($B66:F66)</f>
        <v>838</v>
      </c>
      <c r="G93" s="32">
        <f>SUM($B66:G66)</f>
        <v>847</v>
      </c>
      <c r="H93" s="32">
        <f>SUM($B66:H66)</f>
        <v>852</v>
      </c>
      <c r="I93" s="32">
        <f>SUM($B66:I66)</f>
        <v>854</v>
      </c>
      <c r="J93" s="32">
        <f>SUM($B66:J66)</f>
        <v>854</v>
      </c>
      <c r="K93" s="33"/>
      <c r="L93" s="33"/>
    </row>
    <row r="94" spans="1:19" x14ac:dyDescent="0.2">
      <c r="A94" s="18">
        <v>1988</v>
      </c>
      <c r="B94" s="32">
        <v>509</v>
      </c>
      <c r="C94" s="32">
        <f>SUM($B67:C67)</f>
        <v>775</v>
      </c>
      <c r="D94" s="32">
        <f>SUM($B67:D67)</f>
        <v>824</v>
      </c>
      <c r="E94" s="32">
        <f>SUM($B67:E67)</f>
        <v>846</v>
      </c>
      <c r="F94" s="32">
        <f>SUM($B67:F67)</f>
        <v>861</v>
      </c>
      <c r="G94" s="32">
        <f>SUM($B67:G67)</f>
        <v>865</v>
      </c>
      <c r="H94" s="32">
        <f>SUM($B67:H67)</f>
        <v>873</v>
      </c>
      <c r="I94" s="32">
        <f>SUM($B67:I67)</f>
        <v>873</v>
      </c>
      <c r="J94" s="33"/>
      <c r="K94" s="33"/>
      <c r="L94" s="33"/>
    </row>
    <row r="95" spans="1:19" x14ac:dyDescent="0.2">
      <c r="A95" s="18">
        <v>1989</v>
      </c>
      <c r="B95" s="32">
        <v>589</v>
      </c>
      <c r="C95" s="32">
        <f>SUM($B68:C68)</f>
        <v>799</v>
      </c>
      <c r="D95" s="32">
        <f>SUM($B68:D68)</f>
        <v>828</v>
      </c>
      <c r="E95" s="32">
        <f>SUM($B68:E68)</f>
        <v>845</v>
      </c>
      <c r="F95" s="32">
        <f>SUM($B68:F68)</f>
        <v>857</v>
      </c>
      <c r="G95" s="32">
        <f>SUM($B68:G68)</f>
        <v>861</v>
      </c>
      <c r="H95" s="32">
        <f>SUM($B68:H68)</f>
        <v>870</v>
      </c>
      <c r="I95" s="33"/>
      <c r="J95" s="33"/>
      <c r="K95" s="33"/>
      <c r="L95" s="33"/>
    </row>
    <row r="96" spans="1:19" x14ac:dyDescent="0.2">
      <c r="A96" s="18">
        <v>1990</v>
      </c>
      <c r="B96" s="32">
        <v>564</v>
      </c>
      <c r="C96" s="32">
        <f>SUM($B69:C69)</f>
        <v>760</v>
      </c>
      <c r="D96" s="32">
        <f>SUM($B69:D69)</f>
        <v>783</v>
      </c>
      <c r="E96" s="32">
        <f>SUM($B69:E69)</f>
        <v>795</v>
      </c>
      <c r="F96" s="32">
        <f>SUM($B69:F69)</f>
        <v>804</v>
      </c>
      <c r="G96" s="32">
        <f>SUM($B69:G69)</f>
        <v>809</v>
      </c>
      <c r="H96" s="33"/>
      <c r="I96" s="33"/>
      <c r="J96" s="33"/>
      <c r="K96" s="33"/>
      <c r="L96" s="33"/>
    </row>
    <row r="97" spans="1:19" x14ac:dyDescent="0.2">
      <c r="A97" s="18">
        <v>1991</v>
      </c>
      <c r="B97" s="32">
        <v>607</v>
      </c>
      <c r="C97" s="32">
        <f>SUM($B70:C70)</f>
        <v>810</v>
      </c>
      <c r="D97" s="32">
        <f>SUM($B70:D70)</f>
        <v>839</v>
      </c>
      <c r="E97" s="32">
        <f>SUM($B70:E70)</f>
        <v>848</v>
      </c>
      <c r="F97" s="32">
        <f>SUM($B70:F70)</f>
        <v>855</v>
      </c>
      <c r="G97" s="33"/>
      <c r="H97" s="33"/>
      <c r="I97" s="33"/>
      <c r="J97" s="33"/>
      <c r="K97" s="33"/>
      <c r="L97" s="33"/>
    </row>
    <row r="98" spans="1:19" x14ac:dyDescent="0.2">
      <c r="A98" s="18">
        <v>1992</v>
      </c>
      <c r="B98" s="32">
        <v>674</v>
      </c>
      <c r="C98" s="32">
        <f>SUM($B71:C71)</f>
        <v>843</v>
      </c>
      <c r="D98" s="32">
        <f>SUM($B71:D71)</f>
        <v>863</v>
      </c>
      <c r="E98" s="32">
        <f>SUM($B71:E71)</f>
        <v>875</v>
      </c>
      <c r="F98" s="33"/>
      <c r="G98" s="33"/>
      <c r="H98" s="33"/>
      <c r="I98" s="33"/>
      <c r="J98" s="33"/>
      <c r="K98" s="33"/>
      <c r="L98" s="33"/>
    </row>
    <row r="99" spans="1:19" x14ac:dyDescent="0.2">
      <c r="A99" s="18">
        <v>1993</v>
      </c>
      <c r="B99" s="32">
        <v>619</v>
      </c>
      <c r="C99" s="32">
        <f>SUM($B72:C72)</f>
        <v>809</v>
      </c>
      <c r="D99" s="32">
        <f>SUM($B72:D72)</f>
        <v>850</v>
      </c>
      <c r="E99" s="33"/>
      <c r="F99" s="33"/>
      <c r="G99" s="33"/>
      <c r="H99" s="33"/>
      <c r="I99" s="33"/>
      <c r="J99" s="33"/>
      <c r="K99" s="33"/>
      <c r="L99" s="33"/>
    </row>
    <row r="100" spans="1:19" x14ac:dyDescent="0.2">
      <c r="A100" s="18">
        <v>1994</v>
      </c>
      <c r="B100" s="32">
        <v>660</v>
      </c>
      <c r="C100" s="32">
        <f>SUM($B73:C73)</f>
        <v>821</v>
      </c>
      <c r="D100" s="33"/>
      <c r="E100" s="33"/>
      <c r="F100" s="33"/>
      <c r="G100" s="33"/>
      <c r="H100" s="33"/>
      <c r="I100" s="33"/>
      <c r="J100" s="33"/>
      <c r="K100" s="33"/>
      <c r="L100" s="33"/>
    </row>
    <row r="101" spans="1:19" x14ac:dyDescent="0.2">
      <c r="A101" s="18">
        <v>1995</v>
      </c>
      <c r="B101" s="32">
        <v>660</v>
      </c>
      <c r="C101" s="33"/>
      <c r="D101" s="33"/>
      <c r="E101" s="33"/>
      <c r="F101" s="33"/>
      <c r="G101" s="33"/>
      <c r="H101" s="33"/>
      <c r="I101" s="33"/>
      <c r="J101" s="33"/>
      <c r="K101" s="33"/>
      <c r="L101" s="33"/>
    </row>
    <row r="103" spans="1:19" x14ac:dyDescent="0.2">
      <c r="A103" s="19" t="s">
        <v>216</v>
      </c>
      <c r="B103" s="16" t="s">
        <v>232</v>
      </c>
      <c r="C103" s="21"/>
      <c r="D103" s="21"/>
      <c r="E103" s="21"/>
      <c r="F103" s="21"/>
      <c r="G103" s="21"/>
      <c r="H103" s="21"/>
      <c r="I103" s="21"/>
      <c r="J103" s="21"/>
      <c r="K103" s="21"/>
      <c r="L103" s="21"/>
      <c r="M103" s="21"/>
      <c r="N103" s="21"/>
      <c r="O103" s="21"/>
      <c r="P103" s="21"/>
      <c r="Q103" s="21"/>
      <c r="R103" s="21"/>
      <c r="S103" s="21"/>
    </row>
    <row r="104" spans="1:19" x14ac:dyDescent="0.2">
      <c r="A104" s="23" t="s">
        <v>218</v>
      </c>
      <c r="B104" s="21">
        <v>0</v>
      </c>
      <c r="C104" s="21">
        <f t="shared" ref="C104:S104" si="23">B104+1</f>
        <v>1</v>
      </c>
      <c r="D104" s="21">
        <f t="shared" si="23"/>
        <v>2</v>
      </c>
      <c r="E104" s="21">
        <f t="shared" si="23"/>
        <v>3</v>
      </c>
      <c r="F104" s="21">
        <f t="shared" si="23"/>
        <v>4</v>
      </c>
      <c r="G104" s="21">
        <f t="shared" si="23"/>
        <v>5</v>
      </c>
      <c r="H104" s="21">
        <f t="shared" si="23"/>
        <v>6</v>
      </c>
      <c r="I104" s="21">
        <f t="shared" si="23"/>
        <v>7</v>
      </c>
      <c r="J104" s="21">
        <f t="shared" si="23"/>
        <v>8</v>
      </c>
      <c r="K104" s="21">
        <f t="shared" si="23"/>
        <v>9</v>
      </c>
      <c r="L104" s="21">
        <f t="shared" si="23"/>
        <v>10</v>
      </c>
      <c r="M104" s="21">
        <f t="shared" si="23"/>
        <v>11</v>
      </c>
      <c r="N104" s="21">
        <f t="shared" si="23"/>
        <v>12</v>
      </c>
      <c r="O104" s="21">
        <f t="shared" si="23"/>
        <v>13</v>
      </c>
      <c r="P104" s="21">
        <f t="shared" si="23"/>
        <v>14</v>
      </c>
      <c r="Q104" s="21">
        <f t="shared" si="23"/>
        <v>15</v>
      </c>
      <c r="R104" s="21">
        <f t="shared" si="23"/>
        <v>16</v>
      </c>
      <c r="S104" s="21">
        <f t="shared" si="23"/>
        <v>17</v>
      </c>
    </row>
    <row r="105" spans="1:19" x14ac:dyDescent="0.2">
      <c r="B105" s="25" t="s">
        <v>219</v>
      </c>
      <c r="C105" s="25" t="s">
        <v>219</v>
      </c>
      <c r="D105" s="25" t="s">
        <v>219</v>
      </c>
      <c r="E105" s="25" t="s">
        <v>219</v>
      </c>
      <c r="F105" s="25" t="s">
        <v>219</v>
      </c>
      <c r="G105" s="25" t="s">
        <v>219</v>
      </c>
      <c r="H105" s="25" t="s">
        <v>219</v>
      </c>
      <c r="I105" s="25" t="s">
        <v>219</v>
      </c>
      <c r="J105" s="25" t="s">
        <v>219</v>
      </c>
      <c r="K105" s="25" t="s">
        <v>219</v>
      </c>
      <c r="L105" s="25" t="s">
        <v>219</v>
      </c>
      <c r="M105" s="25" t="s">
        <v>219</v>
      </c>
      <c r="N105" s="25" t="s">
        <v>219</v>
      </c>
      <c r="O105" s="25" t="s">
        <v>219</v>
      </c>
      <c r="P105" s="25" t="s">
        <v>219</v>
      </c>
      <c r="Q105" s="25" t="s">
        <v>219</v>
      </c>
      <c r="R105" s="25" t="s">
        <v>219</v>
      </c>
      <c r="S105" s="25" t="s">
        <v>219</v>
      </c>
    </row>
    <row r="107" spans="1:19" x14ac:dyDescent="0.2">
      <c r="A107" s="18">
        <f>A84</f>
        <v>1978</v>
      </c>
      <c r="B107" s="26">
        <f t="shared" ref="B107:S119" si="24">C31/B84</f>
        <v>25.184782608695652</v>
      </c>
      <c r="C107" s="26">
        <f t="shared" si="24"/>
        <v>32.670840787119857</v>
      </c>
      <c r="D107" s="26">
        <f t="shared" si="24"/>
        <v>34.381601362862007</v>
      </c>
      <c r="E107" s="26">
        <f t="shared" si="24"/>
        <v>37.618487394957981</v>
      </c>
      <c r="F107" s="26">
        <f t="shared" si="24"/>
        <v>37.906821963394343</v>
      </c>
      <c r="G107" s="26">
        <f t="shared" si="24"/>
        <v>43.478547854785475</v>
      </c>
      <c r="H107" s="26">
        <f t="shared" si="24"/>
        <v>42.975369458128078</v>
      </c>
      <c r="I107" s="26">
        <f t="shared" si="24"/>
        <v>42.924590163934425</v>
      </c>
      <c r="J107" s="26">
        <f t="shared" si="24"/>
        <v>41.729508196721312</v>
      </c>
      <c r="K107" s="26">
        <f t="shared" si="24"/>
        <v>42.196721311475407</v>
      </c>
      <c r="L107" s="26">
        <f t="shared" si="24"/>
        <v>42.080196399345333</v>
      </c>
      <c r="M107" s="26">
        <f t="shared" si="24"/>
        <v>41.646426058332075</v>
      </c>
      <c r="N107" s="26">
        <f t="shared" si="24"/>
        <v>41.659516244111842</v>
      </c>
      <c r="O107" s="26">
        <f t="shared" si="24"/>
        <v>41.597337861657948</v>
      </c>
      <c r="P107" s="26">
        <f t="shared" si="24"/>
        <v>41.538432025648987</v>
      </c>
      <c r="Q107" s="26">
        <f t="shared" si="24"/>
        <v>41.757692637460103</v>
      </c>
      <c r="R107" s="26">
        <f t="shared" si="24"/>
        <v>41.963863063491452</v>
      </c>
      <c r="S107" s="26">
        <f t="shared" si="24"/>
        <v>41.674242703114082</v>
      </c>
    </row>
    <row r="108" spans="1:19" x14ac:dyDescent="0.2">
      <c r="A108" s="18">
        <f t="shared" ref="A108:A124" si="25">A85</f>
        <v>1979</v>
      </c>
      <c r="B108" s="26">
        <f t="shared" si="24"/>
        <v>25.05852417302799</v>
      </c>
      <c r="C108" s="26">
        <f t="shared" si="24"/>
        <v>29.637867647058822</v>
      </c>
      <c r="D108" s="26">
        <f t="shared" si="24"/>
        <v>30.050966608084359</v>
      </c>
      <c r="E108" s="26">
        <f t="shared" si="24"/>
        <v>32.250434782608693</v>
      </c>
      <c r="F108" s="26">
        <f t="shared" si="24"/>
        <v>35.464594127806564</v>
      </c>
      <c r="G108" s="26">
        <f t="shared" si="24"/>
        <v>36.907534246575345</v>
      </c>
      <c r="H108" s="26">
        <f t="shared" si="24"/>
        <v>39.488095238095241</v>
      </c>
      <c r="I108" s="26">
        <f t="shared" si="24"/>
        <v>37.998302207130727</v>
      </c>
      <c r="J108" s="26">
        <f t="shared" si="24"/>
        <v>36.521150592216586</v>
      </c>
      <c r="K108" s="26">
        <f t="shared" si="24"/>
        <v>36.162162162162161</v>
      </c>
      <c r="L108" s="26">
        <f t="shared" si="24"/>
        <v>35.231418918918919</v>
      </c>
      <c r="M108" s="26">
        <f t="shared" si="24"/>
        <v>35.739058599695568</v>
      </c>
      <c r="N108" s="26">
        <f t="shared" si="24"/>
        <v>34.589018486933071</v>
      </c>
      <c r="O108" s="26">
        <f t="shared" si="24"/>
        <v>33.72606621436092</v>
      </c>
      <c r="P108" s="26">
        <f t="shared" si="24"/>
        <v>33.704112438346364</v>
      </c>
      <c r="Q108" s="26">
        <f t="shared" si="24"/>
        <v>33.685536166334053</v>
      </c>
      <c r="R108" s="26">
        <f t="shared" si="24"/>
        <v>33.759841254383318</v>
      </c>
      <c r="S108" s="26"/>
    </row>
    <row r="109" spans="1:19" x14ac:dyDescent="0.2">
      <c r="A109" s="18">
        <f t="shared" si="25"/>
        <v>1980</v>
      </c>
      <c r="B109" s="26">
        <f t="shared" si="24"/>
        <v>27.059961315280464</v>
      </c>
      <c r="C109" s="26">
        <f t="shared" si="24"/>
        <v>32.028490028490026</v>
      </c>
      <c r="D109" s="26">
        <f t="shared" si="24"/>
        <v>34.131326949384402</v>
      </c>
      <c r="E109" s="26">
        <f t="shared" si="24"/>
        <v>44.458556149732622</v>
      </c>
      <c r="F109" s="26">
        <f t="shared" si="24"/>
        <v>43.866930171278</v>
      </c>
      <c r="G109" s="26">
        <f t="shared" si="24"/>
        <v>44.613784135240572</v>
      </c>
      <c r="H109" s="26">
        <f t="shared" si="24"/>
        <v>43.786357786357783</v>
      </c>
      <c r="I109" s="26">
        <f t="shared" si="24"/>
        <v>43.731362467866326</v>
      </c>
      <c r="J109" s="26">
        <f t="shared" si="24"/>
        <v>43.498714652956295</v>
      </c>
      <c r="K109" s="26">
        <f t="shared" si="24"/>
        <v>43.615681233933159</v>
      </c>
      <c r="L109" s="26">
        <f t="shared" si="24"/>
        <v>43.093709884467266</v>
      </c>
      <c r="M109" s="26">
        <f t="shared" si="24"/>
        <v>40.915020082584803</v>
      </c>
      <c r="N109" s="26">
        <f t="shared" si="24"/>
        <v>41.328264223816014</v>
      </c>
      <c r="O109" s="26">
        <f t="shared" si="24"/>
        <v>41.510502323365181</v>
      </c>
      <c r="P109" s="26">
        <f t="shared" si="24"/>
        <v>41.388582468032993</v>
      </c>
      <c r="Q109" s="26">
        <f t="shared" si="24"/>
        <v>41.283346382377843</v>
      </c>
      <c r="R109" s="26"/>
      <c r="S109" s="26"/>
    </row>
    <row r="110" spans="1:19" x14ac:dyDescent="0.2">
      <c r="A110" s="18">
        <f t="shared" si="25"/>
        <v>1981</v>
      </c>
      <c r="B110" s="26">
        <f t="shared" si="24"/>
        <v>28.633217993079583</v>
      </c>
      <c r="C110" s="26">
        <f t="shared" si="24"/>
        <v>33.721153846153847</v>
      </c>
      <c r="D110" s="26">
        <f t="shared" si="24"/>
        <v>45.397275822928492</v>
      </c>
      <c r="E110" s="26">
        <f t="shared" si="24"/>
        <v>47.019933554817278</v>
      </c>
      <c r="F110" s="26">
        <f t="shared" si="24"/>
        <v>46.518478260869564</v>
      </c>
      <c r="G110" s="26">
        <f t="shared" si="24"/>
        <v>46.171706263498919</v>
      </c>
      <c r="H110" s="26">
        <f t="shared" si="24"/>
        <v>45.678148546824545</v>
      </c>
      <c r="I110" s="26">
        <f t="shared" si="24"/>
        <v>45.534983853606029</v>
      </c>
      <c r="J110" s="26">
        <f t="shared" si="24"/>
        <v>45.263440860215056</v>
      </c>
      <c r="K110" s="26">
        <f t="shared" si="24"/>
        <v>44.737634408602148</v>
      </c>
      <c r="L110" s="26">
        <f t="shared" si="24"/>
        <v>43.483870967741936</v>
      </c>
      <c r="M110" s="26">
        <f t="shared" si="24"/>
        <v>43.465522808108098</v>
      </c>
      <c r="N110" s="26">
        <f t="shared" si="24"/>
        <v>43.351569864458035</v>
      </c>
      <c r="O110" s="26">
        <f t="shared" si="24"/>
        <v>43.363395169931152</v>
      </c>
      <c r="P110" s="26">
        <f t="shared" si="24"/>
        <v>43.104313477292798</v>
      </c>
      <c r="Q110" s="26"/>
      <c r="R110" s="26"/>
      <c r="S110" s="26"/>
    </row>
    <row r="111" spans="1:19" x14ac:dyDescent="0.2">
      <c r="A111" s="18">
        <f t="shared" si="25"/>
        <v>1982</v>
      </c>
      <c r="B111" s="26">
        <f t="shared" si="24"/>
        <v>17.84565916398714</v>
      </c>
      <c r="C111" s="26">
        <f t="shared" si="24"/>
        <v>38.188405797101453</v>
      </c>
      <c r="D111" s="26">
        <f t="shared" si="24"/>
        <v>47.118800461361012</v>
      </c>
      <c r="E111" s="26">
        <f t="shared" si="24"/>
        <v>43.9762174405436</v>
      </c>
      <c r="F111" s="26">
        <f t="shared" si="24"/>
        <v>44.60045146726862</v>
      </c>
      <c r="G111" s="26">
        <f t="shared" si="24"/>
        <v>44.647256438969762</v>
      </c>
      <c r="H111" s="26">
        <f t="shared" si="24"/>
        <v>45.193729003359465</v>
      </c>
      <c r="I111" s="26">
        <f t="shared" si="24"/>
        <v>45.139821029082775</v>
      </c>
      <c r="J111" s="26">
        <f t="shared" si="24"/>
        <v>44.872483221476507</v>
      </c>
      <c r="K111" s="26">
        <f t="shared" si="24"/>
        <v>44.617449664429529</v>
      </c>
      <c r="L111" s="26">
        <f t="shared" si="24"/>
        <v>44.628635346756155</v>
      </c>
      <c r="M111" s="26">
        <f t="shared" si="24"/>
        <v>44.896296526911613</v>
      </c>
      <c r="N111" s="26">
        <f t="shared" si="24"/>
        <v>44.538441272755342</v>
      </c>
      <c r="O111" s="26">
        <f t="shared" si="24"/>
        <v>44.955566303381246</v>
      </c>
      <c r="P111" s="26"/>
      <c r="Q111" s="26"/>
      <c r="R111" s="26"/>
      <c r="S111" s="26"/>
    </row>
    <row r="112" spans="1:19" x14ac:dyDescent="0.2">
      <c r="A112" s="18">
        <f t="shared" si="25"/>
        <v>1983</v>
      </c>
      <c r="B112" s="26">
        <f t="shared" si="24"/>
        <v>23.753030303030304</v>
      </c>
      <c r="C112" s="26">
        <f t="shared" si="24"/>
        <v>36.626799557032115</v>
      </c>
      <c r="D112" s="26">
        <f t="shared" si="24"/>
        <v>38.229860365198711</v>
      </c>
      <c r="E112" s="26">
        <f t="shared" si="24"/>
        <v>37.880169671261932</v>
      </c>
      <c r="F112" s="26">
        <f t="shared" si="24"/>
        <v>40.473298429319371</v>
      </c>
      <c r="G112" s="26">
        <f t="shared" si="24"/>
        <v>41.103232533889468</v>
      </c>
      <c r="H112" s="26">
        <f t="shared" si="24"/>
        <v>40.730010384215994</v>
      </c>
      <c r="I112" s="26">
        <f t="shared" si="24"/>
        <v>41.178423236514526</v>
      </c>
      <c r="J112" s="26">
        <f t="shared" si="24"/>
        <v>39.17946058091286</v>
      </c>
      <c r="K112" s="26">
        <f t="shared" si="24"/>
        <v>39.309128630705395</v>
      </c>
      <c r="L112" s="26">
        <f t="shared" si="24"/>
        <v>38.764522821576762</v>
      </c>
      <c r="M112" s="26">
        <f t="shared" si="24"/>
        <v>38.730613500358224</v>
      </c>
      <c r="N112" s="26">
        <f t="shared" si="24"/>
        <v>38.450595676148914</v>
      </c>
      <c r="O112" s="26"/>
      <c r="P112" s="26"/>
      <c r="Q112" s="26"/>
      <c r="R112" s="26"/>
      <c r="S112" s="26"/>
    </row>
    <row r="113" spans="1:19" x14ac:dyDescent="0.2">
      <c r="A113" s="18">
        <f t="shared" si="25"/>
        <v>1984</v>
      </c>
      <c r="B113" s="26">
        <f t="shared" si="24"/>
        <v>30.593093093093092</v>
      </c>
      <c r="C113" s="26">
        <f t="shared" si="24"/>
        <v>37.283333333333331</v>
      </c>
      <c r="D113" s="26">
        <f t="shared" si="24"/>
        <v>43.815320041972718</v>
      </c>
      <c r="E113" s="26">
        <f t="shared" si="24"/>
        <v>46.858774662512978</v>
      </c>
      <c r="F113" s="26">
        <f t="shared" si="24"/>
        <v>48.696189495365601</v>
      </c>
      <c r="G113" s="26">
        <f t="shared" si="24"/>
        <v>53.035897435897439</v>
      </c>
      <c r="H113" s="26">
        <f t="shared" si="24"/>
        <v>53.156982670744142</v>
      </c>
      <c r="I113" s="26">
        <f t="shared" si="24"/>
        <v>52.125254582484722</v>
      </c>
      <c r="J113" s="26">
        <f t="shared" si="24"/>
        <v>52.902240325865577</v>
      </c>
      <c r="K113" s="26">
        <f t="shared" si="24"/>
        <v>51.901221995926683</v>
      </c>
      <c r="L113" s="26">
        <f t="shared" si="24"/>
        <v>52.40427698574338</v>
      </c>
      <c r="M113" s="26">
        <f t="shared" si="24"/>
        <v>52.311497992461895</v>
      </c>
      <c r="N113" s="26"/>
      <c r="O113" s="26"/>
      <c r="P113" s="26"/>
      <c r="Q113" s="26"/>
      <c r="R113" s="26"/>
      <c r="S113" s="26"/>
    </row>
    <row r="114" spans="1:19" x14ac:dyDescent="0.2">
      <c r="A114" s="18">
        <f t="shared" si="25"/>
        <v>1985</v>
      </c>
      <c r="B114" s="26">
        <f t="shared" si="24"/>
        <v>17.102966841186735</v>
      </c>
      <c r="C114" s="26">
        <f t="shared" si="24"/>
        <v>29.395709177592373</v>
      </c>
      <c r="D114" s="26">
        <f t="shared" si="24"/>
        <v>40.023307436182023</v>
      </c>
      <c r="E114" s="26">
        <f t="shared" si="24"/>
        <v>41.541073384446875</v>
      </c>
      <c r="F114" s="26">
        <f t="shared" si="24"/>
        <v>43.618736383442268</v>
      </c>
      <c r="G114" s="26">
        <f t="shared" si="24"/>
        <v>43.850810810810813</v>
      </c>
      <c r="H114" s="26">
        <f t="shared" si="24"/>
        <v>43.353383458646618</v>
      </c>
      <c r="I114" s="26">
        <f t="shared" si="24"/>
        <v>43.679487179487182</v>
      </c>
      <c r="J114" s="26">
        <f t="shared" si="24"/>
        <v>43.326574172892208</v>
      </c>
      <c r="K114" s="26">
        <f t="shared" si="24"/>
        <v>44.081109925293489</v>
      </c>
      <c r="L114" s="26">
        <f t="shared" si="24"/>
        <v>45.179104477611943</v>
      </c>
      <c r="M114" s="26"/>
      <c r="N114" s="26"/>
      <c r="O114" s="26"/>
      <c r="P114" s="26"/>
      <c r="Q114" s="26"/>
      <c r="R114" s="26"/>
      <c r="S114" s="26"/>
    </row>
    <row r="115" spans="1:19" x14ac:dyDescent="0.2">
      <c r="A115" s="18">
        <f t="shared" si="25"/>
        <v>1986</v>
      </c>
      <c r="B115" s="26">
        <f t="shared" si="24"/>
        <v>19.553264604810998</v>
      </c>
      <c r="C115" s="26">
        <f t="shared" si="24"/>
        <v>31.104287369640787</v>
      </c>
      <c r="D115" s="26">
        <f t="shared" si="24"/>
        <v>39.02905027932961</v>
      </c>
      <c r="E115" s="26">
        <f t="shared" si="24"/>
        <v>41.003253796095443</v>
      </c>
      <c r="F115" s="26">
        <f t="shared" si="24"/>
        <v>44.193790149892934</v>
      </c>
      <c r="G115" s="26">
        <f t="shared" si="24"/>
        <v>47.413938753959876</v>
      </c>
      <c r="H115" s="26">
        <f t="shared" si="24"/>
        <v>48.129066107030432</v>
      </c>
      <c r="I115" s="26">
        <f t="shared" si="24"/>
        <v>47.543455497382197</v>
      </c>
      <c r="J115" s="26">
        <f t="shared" si="24"/>
        <v>47.43410041841004</v>
      </c>
      <c r="K115" s="26">
        <f t="shared" si="24"/>
        <v>46.42573221757322</v>
      </c>
      <c r="L115" s="26"/>
      <c r="M115" s="26"/>
      <c r="N115" s="26"/>
      <c r="O115" s="26"/>
      <c r="P115" s="26"/>
      <c r="Q115" s="26"/>
      <c r="R115" s="26"/>
      <c r="S115" s="26"/>
    </row>
    <row r="116" spans="1:19" x14ac:dyDescent="0.2">
      <c r="A116" s="18">
        <f t="shared" si="25"/>
        <v>1987</v>
      </c>
      <c r="B116" s="26">
        <f t="shared" si="24"/>
        <v>18.763302752293576</v>
      </c>
      <c r="C116" s="26">
        <f t="shared" si="24"/>
        <v>26.811764705882354</v>
      </c>
      <c r="D116" s="26">
        <f t="shared" si="24"/>
        <v>33.269801980198018</v>
      </c>
      <c r="E116" s="26">
        <f t="shared" si="24"/>
        <v>39.135593220338983</v>
      </c>
      <c r="F116" s="26">
        <f t="shared" si="24"/>
        <v>42.072792362768496</v>
      </c>
      <c r="G116" s="26">
        <f t="shared" si="24"/>
        <v>47.883116883116884</v>
      </c>
      <c r="H116" s="26">
        <f t="shared" si="24"/>
        <v>51.353286384976528</v>
      </c>
      <c r="I116" s="26">
        <f t="shared" si="24"/>
        <v>52.235362997658079</v>
      </c>
      <c r="J116" s="26">
        <f t="shared" si="24"/>
        <v>51.751756440281028</v>
      </c>
      <c r="K116" s="26"/>
      <c r="L116" s="26"/>
      <c r="M116" s="26"/>
      <c r="N116" s="26"/>
      <c r="O116" s="26"/>
      <c r="P116" s="26"/>
      <c r="Q116" s="26"/>
      <c r="R116" s="26"/>
      <c r="S116" s="26"/>
    </row>
    <row r="117" spans="1:19" x14ac:dyDescent="0.2">
      <c r="A117" s="18">
        <f t="shared" si="25"/>
        <v>1988</v>
      </c>
      <c r="B117" s="26">
        <f t="shared" si="24"/>
        <v>16.051080550098231</v>
      </c>
      <c r="C117" s="26">
        <f t="shared" si="24"/>
        <v>23.957419354838709</v>
      </c>
      <c r="D117" s="26">
        <f t="shared" si="24"/>
        <v>32.126213592233007</v>
      </c>
      <c r="E117" s="26">
        <f t="shared" si="24"/>
        <v>39.009456264775416</v>
      </c>
      <c r="F117" s="26">
        <f t="shared" si="24"/>
        <v>42.184668989547035</v>
      </c>
      <c r="G117" s="26">
        <f t="shared" si="24"/>
        <v>42.828901734104043</v>
      </c>
      <c r="H117" s="26">
        <f t="shared" si="24"/>
        <v>45.446735395189002</v>
      </c>
      <c r="I117" s="26">
        <f t="shared" si="24"/>
        <v>46.274914089347078</v>
      </c>
      <c r="J117" s="26"/>
      <c r="K117" s="26"/>
      <c r="L117" s="26"/>
      <c r="M117" s="26"/>
      <c r="N117" s="26"/>
      <c r="O117" s="26"/>
      <c r="P117" s="26"/>
      <c r="Q117" s="26"/>
      <c r="R117" s="26"/>
      <c r="S117" s="26"/>
    </row>
    <row r="118" spans="1:19" x14ac:dyDescent="0.2">
      <c r="A118" s="18">
        <f t="shared" si="25"/>
        <v>1989</v>
      </c>
      <c r="B118" s="26">
        <f t="shared" si="24"/>
        <v>17.713073005093378</v>
      </c>
      <c r="C118" s="26">
        <f t="shared" si="24"/>
        <v>24.385481852315394</v>
      </c>
      <c r="D118" s="26">
        <f t="shared" si="24"/>
        <v>38.771739130434781</v>
      </c>
      <c r="E118" s="26">
        <f t="shared" si="24"/>
        <v>46.078106508875742</v>
      </c>
      <c r="F118" s="26">
        <f t="shared" si="24"/>
        <v>53.501750291715283</v>
      </c>
      <c r="G118" s="26">
        <f t="shared" si="24"/>
        <v>52.419279907084785</v>
      </c>
      <c r="H118" s="26">
        <f t="shared" si="24"/>
        <v>52.3</v>
      </c>
      <c r="I118" s="26"/>
      <c r="J118" s="26"/>
      <c r="K118" s="26"/>
      <c r="L118" s="26"/>
      <c r="M118" s="26"/>
      <c r="N118" s="26"/>
      <c r="O118" s="26"/>
      <c r="P118" s="26"/>
      <c r="Q118" s="26"/>
      <c r="R118" s="26"/>
      <c r="S118" s="26"/>
    </row>
    <row r="119" spans="1:19" x14ac:dyDescent="0.2">
      <c r="A119" s="18">
        <f t="shared" si="25"/>
        <v>1990</v>
      </c>
      <c r="B119" s="26">
        <f t="shared" si="24"/>
        <v>17.129432624113477</v>
      </c>
      <c r="C119" s="26">
        <f t="shared" si="24"/>
        <v>31.326315789473686</v>
      </c>
      <c r="D119" s="26">
        <f t="shared" si="24"/>
        <v>42.102171136653894</v>
      </c>
      <c r="E119" s="26">
        <f t="shared" si="24"/>
        <v>53.97106918238994</v>
      </c>
      <c r="F119" s="26">
        <f t="shared" si="24"/>
        <v>58.370646766169152</v>
      </c>
      <c r="G119" s="26">
        <f t="shared" si="24"/>
        <v>60.939431396786155</v>
      </c>
      <c r="H119" s="26"/>
      <c r="I119" s="26"/>
      <c r="J119" s="26"/>
      <c r="K119" s="26"/>
      <c r="L119" s="26"/>
      <c r="M119" s="26"/>
      <c r="N119" s="26"/>
      <c r="O119" s="26"/>
      <c r="P119" s="26"/>
      <c r="Q119" s="26"/>
      <c r="R119" s="26"/>
      <c r="S119" s="26"/>
    </row>
    <row r="120" spans="1:19" x14ac:dyDescent="0.2">
      <c r="A120" s="18">
        <f t="shared" si="25"/>
        <v>1991</v>
      </c>
      <c r="B120" s="26">
        <f>C44/B97</f>
        <v>23.517298187808898</v>
      </c>
      <c r="C120" s="26">
        <f>D44/C97</f>
        <v>31.544444444444444</v>
      </c>
      <c r="D120" s="26">
        <f>E44/D97</f>
        <v>40.231227651966627</v>
      </c>
      <c r="E120" s="26">
        <f>F44/E97</f>
        <v>45.606132075471699</v>
      </c>
      <c r="F120" s="26">
        <f>G44/F97</f>
        <v>48.107602339181284</v>
      </c>
      <c r="G120" s="26"/>
      <c r="H120" s="26"/>
      <c r="I120" s="26"/>
      <c r="J120" s="26"/>
      <c r="K120" s="26"/>
      <c r="L120" s="26"/>
      <c r="M120" s="26"/>
      <c r="N120" s="26"/>
      <c r="O120" s="26"/>
      <c r="P120" s="26"/>
      <c r="Q120" s="26"/>
      <c r="R120" s="26"/>
      <c r="S120" s="26"/>
    </row>
    <row r="121" spans="1:19" x14ac:dyDescent="0.2">
      <c r="A121" s="18">
        <f t="shared" si="25"/>
        <v>1992</v>
      </c>
      <c r="B121" s="26">
        <f>C45/B98</f>
        <v>19.651335311572701</v>
      </c>
      <c r="C121" s="26">
        <f>D45/C98</f>
        <v>34.645314353499408</v>
      </c>
      <c r="D121" s="26">
        <f>E45/D98</f>
        <v>42.858632676709156</v>
      </c>
      <c r="E121" s="26">
        <f>F45/E98</f>
        <v>50.371428571428574</v>
      </c>
      <c r="F121" s="26"/>
      <c r="G121" s="26"/>
      <c r="H121" s="26"/>
      <c r="I121" s="26"/>
      <c r="J121" s="26"/>
      <c r="K121" s="26"/>
      <c r="L121" s="26"/>
      <c r="M121" s="26"/>
      <c r="N121" s="26"/>
      <c r="O121" s="26"/>
      <c r="P121" s="26"/>
      <c r="Q121" s="26"/>
      <c r="R121" s="26"/>
      <c r="S121" s="26"/>
    </row>
    <row r="122" spans="1:19" x14ac:dyDescent="0.2">
      <c r="A122" s="18">
        <f t="shared" si="25"/>
        <v>1993</v>
      </c>
      <c r="B122" s="26">
        <f>C46/B99</f>
        <v>23.765751211631663</v>
      </c>
      <c r="C122" s="26">
        <f>D46/C99</f>
        <v>33.475896168108775</v>
      </c>
      <c r="D122" s="26">
        <f>E46/D99</f>
        <v>40.27058823529412</v>
      </c>
      <c r="E122" s="26"/>
      <c r="F122" s="26"/>
      <c r="G122" s="26"/>
      <c r="H122" s="26"/>
      <c r="I122" s="26"/>
      <c r="J122" s="26"/>
      <c r="K122" s="26"/>
      <c r="L122" s="26"/>
      <c r="M122" s="26"/>
      <c r="N122" s="26"/>
      <c r="O122" s="26"/>
      <c r="P122" s="26"/>
      <c r="Q122" s="26"/>
      <c r="R122" s="26"/>
      <c r="S122" s="26"/>
    </row>
    <row r="123" spans="1:19" x14ac:dyDescent="0.2">
      <c r="A123" s="18">
        <f t="shared" si="25"/>
        <v>1994</v>
      </c>
      <c r="B123" s="26">
        <f>C47/B100</f>
        <v>18.903030303030302</v>
      </c>
      <c r="C123" s="26">
        <f>D47/C100</f>
        <v>28.168087697929355</v>
      </c>
      <c r="D123" s="26"/>
      <c r="E123" s="26"/>
      <c r="F123" s="26"/>
      <c r="G123" s="26"/>
      <c r="H123" s="26"/>
      <c r="I123" s="26"/>
      <c r="J123" s="26"/>
      <c r="K123" s="26"/>
      <c r="L123" s="26"/>
      <c r="M123" s="26"/>
      <c r="N123" s="26"/>
      <c r="O123" s="26"/>
      <c r="P123" s="26"/>
      <c r="Q123" s="26"/>
      <c r="R123" s="26"/>
      <c r="S123" s="26"/>
    </row>
    <row r="124" spans="1:19" x14ac:dyDescent="0.2">
      <c r="A124" s="18">
        <f t="shared" si="25"/>
        <v>1995</v>
      </c>
      <c r="B124" s="26">
        <f>C48/B101</f>
        <v>14.719696969696969</v>
      </c>
      <c r="C124" s="26"/>
      <c r="D124" s="26"/>
      <c r="E124" s="26"/>
      <c r="F124" s="26"/>
      <c r="G124" s="26"/>
      <c r="H124" s="26"/>
      <c r="I124" s="26"/>
      <c r="J124" s="26"/>
      <c r="K124" s="26"/>
      <c r="L124" s="26"/>
      <c r="M124" s="26"/>
      <c r="N124" s="26"/>
      <c r="O124" s="26"/>
      <c r="P124" s="26"/>
      <c r="Q124" s="26"/>
      <c r="R124" s="26"/>
      <c r="S124" s="26"/>
    </row>
    <row r="129" spans="1:18" x14ac:dyDescent="0.2">
      <c r="A129" s="16" t="s">
        <v>233</v>
      </c>
      <c r="C129" s="18"/>
      <c r="D129" s="18"/>
      <c r="E129" s="18"/>
      <c r="F129" s="18"/>
      <c r="G129" s="18"/>
      <c r="H129" s="18"/>
      <c r="I129" s="18"/>
      <c r="J129" s="18"/>
      <c r="K129" s="18"/>
      <c r="L129" s="18"/>
      <c r="M129" s="18"/>
      <c r="N129" s="18"/>
      <c r="O129" s="18"/>
      <c r="P129" s="18"/>
      <c r="Q129" s="18"/>
      <c r="R129" s="18"/>
    </row>
    <row r="131" spans="1:18" x14ac:dyDescent="0.2">
      <c r="A131" s="25" t="s">
        <v>216</v>
      </c>
      <c r="B131" s="36" t="s">
        <v>234</v>
      </c>
      <c r="C131" s="18"/>
      <c r="D131" s="18"/>
      <c r="E131" s="18"/>
      <c r="F131" s="18"/>
      <c r="G131" s="18"/>
      <c r="H131" s="18"/>
      <c r="I131" s="18"/>
      <c r="J131" s="18"/>
      <c r="K131" s="18"/>
      <c r="L131" s="18"/>
      <c r="M131" s="18"/>
      <c r="N131" s="18"/>
      <c r="O131" s="18"/>
      <c r="P131" s="18"/>
      <c r="Q131" s="18"/>
      <c r="R131" s="18"/>
    </row>
    <row r="132" spans="1:18" x14ac:dyDescent="0.2">
      <c r="A132" s="37" t="s">
        <v>218</v>
      </c>
      <c r="B132" s="38" t="s">
        <v>235</v>
      </c>
      <c r="C132" s="39"/>
      <c r="D132" s="39"/>
      <c r="E132" s="39"/>
      <c r="F132" s="39"/>
      <c r="G132" s="39"/>
      <c r="H132" s="39"/>
      <c r="I132" s="39"/>
      <c r="J132" s="39"/>
      <c r="K132" s="39"/>
      <c r="L132" s="39"/>
      <c r="M132" s="39"/>
      <c r="N132" s="39"/>
      <c r="O132" s="39"/>
      <c r="P132" s="39"/>
      <c r="Q132" s="39"/>
      <c r="R132" s="39"/>
    </row>
    <row r="133" spans="1:18" x14ac:dyDescent="0.2">
      <c r="B133" s="39">
        <v>0</v>
      </c>
      <c r="C133" s="39">
        <f t="shared" ref="C133:R133" si="26">B133+1</f>
        <v>1</v>
      </c>
      <c r="D133" s="39">
        <f t="shared" si="26"/>
        <v>2</v>
      </c>
      <c r="E133" s="39">
        <f t="shared" si="26"/>
        <v>3</v>
      </c>
      <c r="F133" s="39">
        <f t="shared" si="26"/>
        <v>4</v>
      </c>
      <c r="G133" s="39">
        <f t="shared" si="26"/>
        <v>5</v>
      </c>
      <c r="H133" s="39">
        <f t="shared" si="26"/>
        <v>6</v>
      </c>
      <c r="I133" s="39">
        <f t="shared" si="26"/>
        <v>7</v>
      </c>
      <c r="J133" s="39">
        <f t="shared" si="26"/>
        <v>8</v>
      </c>
      <c r="K133" s="39">
        <f t="shared" si="26"/>
        <v>9</v>
      </c>
      <c r="L133" s="39">
        <f t="shared" si="26"/>
        <v>10</v>
      </c>
      <c r="M133" s="39">
        <f t="shared" si="26"/>
        <v>11</v>
      </c>
      <c r="N133" s="39">
        <f t="shared" si="26"/>
        <v>12</v>
      </c>
      <c r="O133" s="39">
        <f t="shared" si="26"/>
        <v>13</v>
      </c>
      <c r="P133" s="39">
        <f t="shared" si="26"/>
        <v>14</v>
      </c>
      <c r="Q133" s="39">
        <f t="shared" si="26"/>
        <v>15</v>
      </c>
      <c r="R133" s="39">
        <f t="shared" si="26"/>
        <v>16</v>
      </c>
    </row>
    <row r="135" spans="1:18" x14ac:dyDescent="0.2">
      <c r="A135" s="18">
        <f>A107</f>
        <v>1978</v>
      </c>
      <c r="B135" s="40">
        <f t="shared" ref="B135:R146" si="27">C107/B107</f>
        <v>1.2972452966832226</v>
      </c>
      <c r="C135" s="40">
        <f t="shared" si="27"/>
        <v>1.0523635307364541</v>
      </c>
      <c r="D135" s="40">
        <f t="shared" si="27"/>
        <v>1.0941458775562549</v>
      </c>
      <c r="E135" s="40">
        <f t="shared" si="27"/>
        <v>1.0076647039369002</v>
      </c>
      <c r="F135" s="40">
        <f t="shared" si="27"/>
        <v>1.1469847801214148</v>
      </c>
      <c r="G135" s="40">
        <f t="shared" si="27"/>
        <v>0.98842697326649531</v>
      </c>
      <c r="H135" s="40">
        <f t="shared" si="27"/>
        <v>0.9988184093625273</v>
      </c>
      <c r="I135" s="40">
        <f t="shared" si="27"/>
        <v>0.97215857011915674</v>
      </c>
      <c r="J135" s="40">
        <f t="shared" si="27"/>
        <v>1.0111962286387743</v>
      </c>
      <c r="K135" s="40">
        <f t="shared" si="27"/>
        <v>0.99723853160841702</v>
      </c>
      <c r="L135" s="40">
        <f t="shared" si="27"/>
        <v>0.98969181757383606</v>
      </c>
      <c r="M135" s="40">
        <f t="shared" si="27"/>
        <v>1.0003143171460003</v>
      </c>
      <c r="N135" s="40">
        <f t="shared" si="27"/>
        <v>0.99850746268656732</v>
      </c>
      <c r="O135" s="40">
        <f t="shared" si="27"/>
        <v>0.9985839037054518</v>
      </c>
      <c r="P135" s="40">
        <f t="shared" si="27"/>
        <v>1.0052784999606081</v>
      </c>
      <c r="Q135" s="40">
        <f t="shared" si="27"/>
        <v>1.0049373040752352</v>
      </c>
      <c r="R135" s="40">
        <f t="shared" si="27"/>
        <v>0.99309833892224908</v>
      </c>
    </row>
    <row r="136" spans="1:18" x14ac:dyDescent="0.2">
      <c r="A136" s="18">
        <f t="shared" ref="A136:A151" si="28">A108</f>
        <v>1979</v>
      </c>
      <c r="B136" s="40">
        <f t="shared" si="27"/>
        <v>1.1827459367682898</v>
      </c>
      <c r="C136" s="40">
        <f t="shared" si="27"/>
        <v>1.0139382146497482</v>
      </c>
      <c r="D136" s="40">
        <f t="shared" si="27"/>
        <v>1.073191262138391</v>
      </c>
      <c r="E136" s="40">
        <f t="shared" si="27"/>
        <v>1.0996625120518106</v>
      </c>
      <c r="F136" s="40">
        <f t="shared" si="27"/>
        <v>1.0406867794276382</v>
      </c>
      <c r="G136" s="40">
        <f t="shared" si="27"/>
        <v>1.0699196260113026</v>
      </c>
      <c r="H136" s="40">
        <f t="shared" si="27"/>
        <v>0.9622723501353575</v>
      </c>
      <c r="I136" s="40">
        <f t="shared" si="27"/>
        <v>0.96112585223249947</v>
      </c>
      <c r="J136" s="40">
        <f t="shared" si="27"/>
        <v>0.99017039648989225</v>
      </c>
      <c r="K136" s="40">
        <f t="shared" si="27"/>
        <v>0.97426195814648731</v>
      </c>
      <c r="L136" s="40">
        <f t="shared" si="27"/>
        <v>1.01440872086205</v>
      </c>
      <c r="M136" s="40">
        <f t="shared" si="27"/>
        <v>0.96782119737277317</v>
      </c>
      <c r="N136" s="40">
        <f t="shared" si="27"/>
        <v>0.97505126452494872</v>
      </c>
      <c r="O136" s="40">
        <f t="shared" si="27"/>
        <v>0.99934905613139047</v>
      </c>
      <c r="P136" s="40">
        <f t="shared" si="27"/>
        <v>0.99944884256939592</v>
      </c>
      <c r="Q136" s="40">
        <f t="shared" si="27"/>
        <v>1.00220584549055</v>
      </c>
      <c r="R136" s="40"/>
    </row>
    <row r="137" spans="1:18" x14ac:dyDescent="0.2">
      <c r="A137" s="18">
        <f t="shared" si="28"/>
        <v>1980</v>
      </c>
      <c r="B137" s="40">
        <f t="shared" si="27"/>
        <v>1.1836118187797957</v>
      </c>
      <c r="C137" s="40">
        <f t="shared" si="27"/>
        <v>1.0656552000741795</v>
      </c>
      <c r="D137" s="40">
        <f t="shared" si="27"/>
        <v>1.3025733284751322</v>
      </c>
      <c r="E137" s="40">
        <f t="shared" si="27"/>
        <v>0.98669264074923901</v>
      </c>
      <c r="F137" s="40">
        <f t="shared" si="27"/>
        <v>1.0170254440200508</v>
      </c>
      <c r="G137" s="40">
        <f t="shared" si="27"/>
        <v>0.98145357169491476</v>
      </c>
      <c r="H137" s="40">
        <f t="shared" si="27"/>
        <v>0.99874400792228968</v>
      </c>
      <c r="I137" s="40">
        <f t="shared" si="27"/>
        <v>0.99468006936484132</v>
      </c>
      <c r="J137" s="40">
        <f t="shared" si="27"/>
        <v>1.0026889663731458</v>
      </c>
      <c r="K137" s="40">
        <f t="shared" si="27"/>
        <v>0.98803248431071622</v>
      </c>
      <c r="L137" s="40">
        <f t="shared" si="27"/>
        <v>0.94944297421309387</v>
      </c>
      <c r="M137" s="40">
        <f t="shared" si="27"/>
        <v>1.010100059596625</v>
      </c>
      <c r="N137" s="40">
        <f t="shared" si="27"/>
        <v>1.004409527062696</v>
      </c>
      <c r="O137" s="40">
        <f t="shared" si="27"/>
        <v>0.9970629154428815</v>
      </c>
      <c r="P137" s="40">
        <f t="shared" si="27"/>
        <v>0.99745736434108534</v>
      </c>
      <c r="Q137" s="40"/>
      <c r="R137" s="40"/>
    </row>
    <row r="138" spans="1:18" x14ac:dyDescent="0.2">
      <c r="A138" s="18">
        <f t="shared" si="28"/>
        <v>1981</v>
      </c>
      <c r="B138" s="40">
        <f t="shared" si="27"/>
        <v>1.1776934696723218</v>
      </c>
      <c r="C138" s="40">
        <f t="shared" si="27"/>
        <v>1.3462551142242838</v>
      </c>
      <c r="D138" s="40">
        <f t="shared" si="27"/>
        <v>1.0357435044829109</v>
      </c>
      <c r="E138" s="40">
        <f t="shared" si="27"/>
        <v>0.98933526153619289</v>
      </c>
      <c r="F138" s="40">
        <f t="shared" si="27"/>
        <v>0.9925454999747414</v>
      </c>
      <c r="G138" s="40">
        <f t="shared" si="27"/>
        <v>0.98931038602174082</v>
      </c>
      <c r="H138" s="40">
        <f t="shared" si="27"/>
        <v>0.99686579474490389</v>
      </c>
      <c r="I138" s="40">
        <f t="shared" si="27"/>
        <v>0.99403660723227705</v>
      </c>
      <c r="J138" s="40">
        <f t="shared" si="27"/>
        <v>0.98838341845824906</v>
      </c>
      <c r="K138" s="40">
        <f t="shared" si="27"/>
        <v>0.97197519588520898</v>
      </c>
      <c r="L138" s="40">
        <f t="shared" si="27"/>
        <v>0.99957804677399931</v>
      </c>
      <c r="M138" s="40">
        <f t="shared" si="27"/>
        <v>0.99737831420656908</v>
      </c>
      <c r="N138" s="40">
        <f t="shared" si="27"/>
        <v>1.0002727768685216</v>
      </c>
      <c r="O138" s="40">
        <f t="shared" si="27"/>
        <v>0.99402533653965353</v>
      </c>
    </row>
    <row r="139" spans="1:18" x14ac:dyDescent="0.2">
      <c r="A139" s="18">
        <f t="shared" si="28"/>
        <v>1982</v>
      </c>
      <c r="B139" s="40">
        <f t="shared" si="27"/>
        <v>2.1399268834051441</v>
      </c>
      <c r="C139" s="40">
        <f t="shared" si="27"/>
        <v>1.2338509418724515</v>
      </c>
      <c r="D139" s="40">
        <f t="shared" si="27"/>
        <v>0.93330511409358918</v>
      </c>
      <c r="E139" s="40">
        <f t="shared" si="27"/>
        <v>1.0141948094460147</v>
      </c>
      <c r="F139" s="40">
        <f t="shared" si="27"/>
        <v>1.0010494282044542</v>
      </c>
      <c r="G139" s="40">
        <f t="shared" si="27"/>
        <v>1.0122397792826687</v>
      </c>
      <c r="H139" s="40">
        <f t="shared" si="27"/>
        <v>0.99880718021138104</v>
      </c>
      <c r="I139" s="40">
        <f t="shared" si="27"/>
        <v>0.99407756164044103</v>
      </c>
      <c r="J139" s="40">
        <f t="shared" si="27"/>
        <v>0.99431648220161539</v>
      </c>
      <c r="K139" s="40">
        <f t="shared" si="27"/>
        <v>1.0002507019655036</v>
      </c>
      <c r="L139" s="40">
        <f t="shared" si="27"/>
        <v>1.005997521055165</v>
      </c>
      <c r="M139" s="40">
        <f t="shared" si="27"/>
        <v>0.99202929235061144</v>
      </c>
      <c r="N139" s="40">
        <f t="shared" si="27"/>
        <v>1.0093655058126398</v>
      </c>
      <c r="O139" s="40"/>
    </row>
    <row r="140" spans="1:18" x14ac:dyDescent="0.2">
      <c r="A140" s="18">
        <f t="shared" si="28"/>
        <v>1983</v>
      </c>
      <c r="B140" s="40">
        <f t="shared" si="27"/>
        <v>1.5419842895733364</v>
      </c>
      <c r="C140" s="40">
        <f t="shared" si="27"/>
        <v>1.0437674278821563</v>
      </c>
      <c r="D140" s="40">
        <f t="shared" si="27"/>
        <v>0.99085294346889352</v>
      </c>
      <c r="E140" s="40">
        <f t="shared" si="27"/>
        <v>1.0684561019805763</v>
      </c>
      <c r="F140" s="40">
        <f t="shared" si="27"/>
        <v>1.0155641899478538</v>
      </c>
      <c r="G140" s="40">
        <f t="shared" si="27"/>
        <v>0.99091988326305591</v>
      </c>
      <c r="H140" s="40">
        <f t="shared" si="27"/>
        <v>1.0110093969549367</v>
      </c>
      <c r="I140" s="40">
        <f t="shared" si="27"/>
        <v>0.95145606610237787</v>
      </c>
      <c r="J140" s="40">
        <f t="shared" si="27"/>
        <v>1.0033095925229687</v>
      </c>
      <c r="K140" s="40">
        <f t="shared" si="27"/>
        <v>0.98614556394152098</v>
      </c>
      <c r="L140" s="40">
        <f t="shared" si="27"/>
        <v>0.9991252485842631</v>
      </c>
      <c r="M140" s="40">
        <f t="shared" si="27"/>
        <v>0.99277011648145674</v>
      </c>
    </row>
    <row r="141" spans="1:18" x14ac:dyDescent="0.2">
      <c r="A141" s="18">
        <f t="shared" si="28"/>
        <v>1984</v>
      </c>
      <c r="B141" s="40">
        <f t="shared" si="27"/>
        <v>1.2186846625766872</v>
      </c>
      <c r="C141" s="40">
        <f t="shared" si="27"/>
        <v>1.1751985706385173</v>
      </c>
      <c r="D141" s="40">
        <f t="shared" si="27"/>
        <v>1.0694609697618274</v>
      </c>
      <c r="E141" s="40">
        <f t="shared" si="27"/>
        <v>1.039211755878938</v>
      </c>
      <c r="F141" s="40">
        <f t="shared" si="27"/>
        <v>1.089118018997048</v>
      </c>
      <c r="G141" s="40">
        <f t="shared" si="27"/>
        <v>1.0022830807189236</v>
      </c>
      <c r="H141" s="40">
        <f t="shared" si="27"/>
        <v>0.98059092077046639</v>
      </c>
      <c r="I141" s="40">
        <f t="shared" si="27"/>
        <v>1.0149061285091918</v>
      </c>
      <c r="J141" s="40">
        <f t="shared" si="27"/>
        <v>0.981077959576516</v>
      </c>
      <c r="K141" s="40">
        <f t="shared" si="27"/>
        <v>1.0096925461573174</v>
      </c>
      <c r="L141" s="40">
        <f t="shared" si="27"/>
        <v>0.99822955303234651</v>
      </c>
    </row>
    <row r="142" spans="1:18" x14ac:dyDescent="0.2">
      <c r="A142" s="18">
        <f t="shared" si="28"/>
        <v>1985</v>
      </c>
      <c r="B142" s="40">
        <f t="shared" si="27"/>
        <v>1.7187491182408603</v>
      </c>
      <c r="C142" s="40">
        <f t="shared" si="27"/>
        <v>1.3615356987777933</v>
      </c>
      <c r="D142" s="40">
        <f t="shared" si="27"/>
        <v>1.0379220520614134</v>
      </c>
      <c r="E142" s="40">
        <f t="shared" si="27"/>
        <v>1.0500146681277926</v>
      </c>
      <c r="F142" s="40">
        <f t="shared" si="27"/>
        <v>1.0053205215604697</v>
      </c>
      <c r="G142" s="40">
        <f t="shared" si="27"/>
        <v>0.98865637047601496</v>
      </c>
      <c r="H142" s="40">
        <f t="shared" si="27"/>
        <v>1.0075219900922294</v>
      </c>
      <c r="I142" s="40">
        <f t="shared" si="27"/>
        <v>0.99192039491799</v>
      </c>
      <c r="J142" s="40">
        <f t="shared" si="27"/>
        <v>1.0174150799320147</v>
      </c>
      <c r="K142" s="40">
        <f t="shared" si="27"/>
        <v>1.0249085051211115</v>
      </c>
      <c r="L142" s="41"/>
    </row>
    <row r="143" spans="1:18" x14ac:dyDescent="0.2">
      <c r="A143" s="18">
        <f t="shared" si="28"/>
        <v>1986</v>
      </c>
      <c r="B143" s="40">
        <f t="shared" si="27"/>
        <v>1.5907465069535094</v>
      </c>
      <c r="C143" s="40">
        <f t="shared" si="27"/>
        <v>1.2547804042417559</v>
      </c>
      <c r="D143" s="40">
        <f t="shared" si="27"/>
        <v>1.0505829248376921</v>
      </c>
      <c r="E143" s="40">
        <f t="shared" si="27"/>
        <v>1.0778117846369868</v>
      </c>
      <c r="F143" s="40">
        <f t="shared" si="27"/>
        <v>1.0728642778350783</v>
      </c>
      <c r="G143" s="40">
        <f t="shared" si="27"/>
        <v>1.0150826396596471</v>
      </c>
      <c r="H143" s="40">
        <f t="shared" si="27"/>
        <v>0.98783249589040556</v>
      </c>
      <c r="I143" s="40">
        <f t="shared" si="27"/>
        <v>0.99769989207077769</v>
      </c>
      <c r="J143" s="40">
        <f t="shared" si="27"/>
        <v>0.97874170286898798</v>
      </c>
      <c r="K143" s="41"/>
      <c r="L143" s="41"/>
    </row>
    <row r="144" spans="1:18" x14ac:dyDescent="0.2">
      <c r="A144" s="18">
        <f t="shared" si="28"/>
        <v>1987</v>
      </c>
      <c r="B144" s="40">
        <f t="shared" si="27"/>
        <v>1.4289469748392221</v>
      </c>
      <c r="C144" s="40">
        <f t="shared" si="27"/>
        <v>1.2408658044391538</v>
      </c>
      <c r="D144" s="40">
        <f t="shared" si="27"/>
        <v>1.1763097731580203</v>
      </c>
      <c r="E144" s="40">
        <f t="shared" si="27"/>
        <v>1.0750518620196368</v>
      </c>
      <c r="F144" s="40">
        <f t="shared" si="27"/>
        <v>1.1381017088252532</v>
      </c>
      <c r="G144" s="40">
        <f t="shared" si="27"/>
        <v>1.072471671180687</v>
      </c>
      <c r="H144" s="40">
        <f t="shared" si="27"/>
        <v>1.0171766341509081</v>
      </c>
      <c r="I144" s="40">
        <f t="shared" si="27"/>
        <v>0.99074177856486356</v>
      </c>
      <c r="J144" s="41"/>
      <c r="K144" s="41"/>
      <c r="L144" s="41"/>
    </row>
    <row r="145" spans="1:18" x14ac:dyDescent="0.2">
      <c r="A145" s="18">
        <f t="shared" si="28"/>
        <v>1988</v>
      </c>
      <c r="B145" s="40">
        <f t="shared" si="27"/>
        <v>1.4925736170884827</v>
      </c>
      <c r="C145" s="40">
        <f t="shared" si="27"/>
        <v>1.3409713757731772</v>
      </c>
      <c r="D145" s="40">
        <f t="shared" si="27"/>
        <v>1.2142562693477994</v>
      </c>
      <c r="E145" s="40">
        <f t="shared" si="27"/>
        <v>1.0813959749456636</v>
      </c>
      <c r="F145" s="40">
        <f t="shared" si="27"/>
        <v>1.0152717269090494</v>
      </c>
      <c r="G145" s="40">
        <f t="shared" si="27"/>
        <v>1.0611230630506785</v>
      </c>
      <c r="H145" s="40">
        <f t="shared" si="27"/>
        <v>1.0182230623818527</v>
      </c>
      <c r="I145" s="41"/>
      <c r="J145" s="41"/>
      <c r="K145" s="41"/>
      <c r="L145" s="41"/>
    </row>
    <row r="146" spans="1:18" x14ac:dyDescent="0.2">
      <c r="A146" s="18">
        <f t="shared" si="28"/>
        <v>1989</v>
      </c>
      <c r="B146" s="40">
        <f t="shared" si="27"/>
        <v>1.3766940296188792</v>
      </c>
      <c r="C146" s="40">
        <f t="shared" si="27"/>
        <v>1.5899517329715351</v>
      </c>
      <c r="D146" s="40">
        <f t="shared" si="27"/>
        <v>1.1884456963320909</v>
      </c>
      <c r="E146" s="40">
        <f t="shared" si="27"/>
        <v>1.1611100009374207</v>
      </c>
      <c r="F146" s="40">
        <f t="shared" si="27"/>
        <v>0.97976757061725295</v>
      </c>
      <c r="G146" s="40">
        <f t="shared" si="27"/>
        <v>0.99772450313517824</v>
      </c>
      <c r="H146" s="41"/>
      <c r="I146" s="41"/>
      <c r="J146" s="41"/>
      <c r="K146" s="41"/>
      <c r="L146" s="41"/>
    </row>
    <row r="147" spans="1:18" x14ac:dyDescent="0.2">
      <c r="A147" s="18">
        <f t="shared" si="28"/>
        <v>1990</v>
      </c>
      <c r="B147" s="40">
        <f>C119/B119</f>
        <v>1.8288005491422374</v>
      </c>
      <c r="C147" s="40">
        <f>D119/C119</f>
        <v>1.3439873178703359</v>
      </c>
      <c r="D147" s="40">
        <f>E119/D119</f>
        <v>1.2819070305712348</v>
      </c>
      <c r="E147" s="40">
        <f>F119/E119</f>
        <v>1.0815173323491383</v>
      </c>
      <c r="F147" s="40">
        <f>G119/F119</f>
        <v>1.044008157745921</v>
      </c>
      <c r="G147" s="41"/>
      <c r="H147" s="41"/>
      <c r="I147" s="41"/>
      <c r="J147" s="41"/>
      <c r="K147" s="41"/>
      <c r="L147" s="41"/>
    </row>
    <row r="148" spans="1:18" x14ac:dyDescent="0.2">
      <c r="A148" s="18">
        <f t="shared" si="28"/>
        <v>1991</v>
      </c>
      <c r="B148" s="40">
        <f>C120/B120</f>
        <v>1.3413294415255885</v>
      </c>
      <c r="C148" s="40">
        <f>D120/C120</f>
        <v>1.2753823489527991</v>
      </c>
      <c r="D148" s="40">
        <f>E120/D120</f>
        <v>1.1336003084470212</v>
      </c>
      <c r="E148" s="40">
        <f>F120/E120</f>
        <v>1.0548494281332608</v>
      </c>
      <c r="F148" s="41"/>
      <c r="G148" s="41"/>
      <c r="H148" s="41"/>
      <c r="I148" s="41"/>
      <c r="J148" s="41"/>
      <c r="K148" s="41"/>
      <c r="L148" s="41"/>
    </row>
    <row r="149" spans="1:18" x14ac:dyDescent="0.2">
      <c r="A149" s="18">
        <f t="shared" si="28"/>
        <v>1992</v>
      </c>
      <c r="B149" s="40">
        <f>C121/B121</f>
        <v>1.7630005190078217</v>
      </c>
      <c r="C149" s="40">
        <f>D121/C121</f>
        <v>1.2370686621401705</v>
      </c>
      <c r="D149" s="40">
        <f>E121/D121</f>
        <v>1.175292477279662</v>
      </c>
      <c r="E149" s="41"/>
      <c r="F149" s="41"/>
      <c r="G149" s="41"/>
      <c r="H149" s="41"/>
      <c r="I149" s="41"/>
      <c r="J149" s="41"/>
      <c r="K149" s="41"/>
      <c r="L149" s="41"/>
    </row>
    <row r="150" spans="1:18" x14ac:dyDescent="0.2">
      <c r="A150" s="18">
        <f t="shared" si="28"/>
        <v>1993</v>
      </c>
      <c r="B150" s="40">
        <f>C122/B122</f>
        <v>1.4085772366296876</v>
      </c>
      <c r="C150" s="40">
        <f>D122/C122</f>
        <v>1.2029726712337694</v>
      </c>
      <c r="D150" s="41"/>
      <c r="E150" s="41"/>
      <c r="F150" s="41"/>
      <c r="G150" s="41"/>
      <c r="H150" s="41"/>
      <c r="I150" s="41"/>
      <c r="J150" s="41"/>
      <c r="K150" s="41"/>
      <c r="L150" s="41"/>
    </row>
    <row r="151" spans="1:18" x14ac:dyDescent="0.2">
      <c r="A151" s="18">
        <f t="shared" si="28"/>
        <v>1994</v>
      </c>
      <c r="B151" s="40">
        <f>C123/B123</f>
        <v>1.4901360917468238</v>
      </c>
      <c r="C151" s="40"/>
      <c r="D151" s="41"/>
      <c r="E151" s="41"/>
      <c r="F151" s="41"/>
      <c r="G151" s="41"/>
      <c r="H151" s="41"/>
      <c r="I151" s="41"/>
      <c r="J151" s="41"/>
      <c r="K151" s="41"/>
      <c r="L151" s="41"/>
    </row>
    <row r="152" spans="1:18" x14ac:dyDescent="0.2">
      <c r="A152" s="18"/>
      <c r="B152" s="40"/>
      <c r="C152" s="40"/>
      <c r="D152" s="41"/>
      <c r="E152" s="41"/>
      <c r="F152" s="41"/>
      <c r="G152" s="41"/>
      <c r="H152" s="41"/>
      <c r="I152" s="41"/>
      <c r="J152" s="41"/>
      <c r="K152" s="41"/>
      <c r="L152" s="41"/>
    </row>
    <row r="153" spans="1:18" x14ac:dyDescent="0.2">
      <c r="A153" s="18"/>
    </row>
    <row r="154" spans="1:18" x14ac:dyDescent="0.2">
      <c r="A154" s="25" t="s">
        <v>236</v>
      </c>
    </row>
    <row r="155" spans="1:18" x14ac:dyDescent="0.2">
      <c r="A155" s="25" t="s">
        <v>237</v>
      </c>
    </row>
    <row r="157" spans="1:18" x14ac:dyDescent="0.2">
      <c r="A157" s="25" t="s">
        <v>238</v>
      </c>
      <c r="B157" s="42">
        <f>SUM(C107:C123)/SUM(B107:B123)</f>
        <v>1.4447805439319004</v>
      </c>
      <c r="C157" s="42">
        <f>SUM(D107:D122)/SUM(C107:C122)</f>
        <v>1.2269209940824739</v>
      </c>
      <c r="D157" s="42">
        <f>SUM(E107:E121)/SUM(D107:D121)</f>
        <v>1.1121878023475176</v>
      </c>
      <c r="E157" s="42">
        <f>SUM(F107:F120)/SUM(E107:E120)</f>
        <v>1.055615508797596</v>
      </c>
      <c r="F157" s="42">
        <f>SUM(G107:G119)/SUM(F107:F119)</f>
        <v>1.0409725771051459</v>
      </c>
      <c r="G157" s="42">
        <f>SUM(H107:H118)/SUM(G107:G118)</f>
        <v>1.0132949465652819</v>
      </c>
      <c r="H157" s="42">
        <f>SUM(I107:I117)/SUM(H107:H117)</f>
        <v>0.99814695873874826</v>
      </c>
      <c r="I157" s="42">
        <f>SUM(J107:J116)/SUM(I107:I116)</f>
        <v>0.98758742550329859</v>
      </c>
      <c r="J157" s="42">
        <f>SUM(K107:K115)/SUM(J107:J115)</f>
        <v>0.99574179469430579</v>
      </c>
      <c r="K157" s="42">
        <f>SUM(L107:L114)/SUM(K107:K114)</f>
        <v>0.99493575698910364</v>
      </c>
      <c r="L157" s="42">
        <f>SUM(M107:M113)/SUM(L107:L113)</f>
        <v>0.99338577183994992</v>
      </c>
      <c r="M157" s="42">
        <f>SUM(N107:N112)/SUM(M107:M112)</f>
        <v>0.99398706489949296</v>
      </c>
      <c r="N157" s="42">
        <f>SUM(O107:O111)/SUM(N107:N111)</f>
        <v>0.99847205386000215</v>
      </c>
      <c r="O157" s="42">
        <f>SUM(P107:P110)/SUM(O107:O110)</f>
        <v>0.99711692297267418</v>
      </c>
      <c r="P157" s="42">
        <f>SUM(Q107:Q109)/SUM(P107:P109)</f>
        <v>1.0008183771918733</v>
      </c>
      <c r="Q157" s="42">
        <f>SUM(R107:R108)/SUM(Q107:Q108)</f>
        <v>1.0037177029473385</v>
      </c>
      <c r="R157" s="42">
        <f>SUM(S107)/SUM(R107)</f>
        <v>0.99309833892224908</v>
      </c>
    </row>
    <row r="158" spans="1:18" x14ac:dyDescent="0.2">
      <c r="A158" s="18"/>
      <c r="B158" s="40"/>
    </row>
    <row r="159" spans="1:18" x14ac:dyDescent="0.2">
      <c r="A159" s="25" t="s">
        <v>239</v>
      </c>
    </row>
    <row r="160" spans="1:18" x14ac:dyDescent="0.2">
      <c r="A160" s="25" t="s">
        <v>240</v>
      </c>
      <c r="B160" s="43">
        <f>SUM(C118:C123)/SUM(B118:B123)</f>
        <v>1.5209285797291969</v>
      </c>
      <c r="C160" s="43">
        <f>SUM(D117:D122)/SUM(C117:C122)</f>
        <v>1.3179844490728956</v>
      </c>
      <c r="D160" s="43">
        <f>SUM(E116:E121)/SUM(D116:D121)</f>
        <v>1.1953786250141645</v>
      </c>
      <c r="E160" s="43">
        <f>SUM(F115:F120)/SUM(E115:E120)</f>
        <v>1.0892270303936633</v>
      </c>
      <c r="F160" s="43">
        <f>SUM(G114:G119)/SUM(F114:F119)</f>
        <v>1.0401246701671292</v>
      </c>
      <c r="G160" s="43">
        <f>SUM(H113:H118)/SUM(G113:G118)</f>
        <v>1.021944354445685</v>
      </c>
      <c r="H160" s="43">
        <f>SUM(I112:I117)/SUM(H112:H117)</f>
        <v>1.0030741568153487</v>
      </c>
      <c r="I160" s="43">
        <f>SUM(J111:J116)/SUM(I111:I116)</f>
        <v>0.99136156873172521</v>
      </c>
      <c r="J160" s="43">
        <f>SUM(K110:K115)/SUM(J110:J115)</f>
        <v>0.99301767671578323</v>
      </c>
      <c r="K160" s="43">
        <f>SUM(L109:L114)/SUM(K109:K114)</f>
        <v>0.99736039849544278</v>
      </c>
      <c r="L160" s="43">
        <f>SUM(M108:M113)/SUM(L108:L113)</f>
        <v>0.99398918192577845</v>
      </c>
      <c r="M160" s="43">
        <f>SUM(N107:N112)/SUM(M107:M112)</f>
        <v>0.99398706489949296</v>
      </c>
      <c r="N160" s="40"/>
      <c r="O160" s="40"/>
      <c r="P160" s="40"/>
      <c r="Q160" s="40"/>
      <c r="R160" s="40"/>
    </row>
    <row r="161" spans="1:23" x14ac:dyDescent="0.2">
      <c r="A161" s="25" t="s">
        <v>241</v>
      </c>
    </row>
    <row r="162" spans="1:23" x14ac:dyDescent="0.2">
      <c r="A162" s="18"/>
      <c r="B162" s="18"/>
      <c r="C162" s="18"/>
      <c r="D162" s="18"/>
      <c r="E162" s="18"/>
      <c r="F162" s="18"/>
      <c r="G162" s="18"/>
      <c r="H162" s="18"/>
      <c r="I162" s="18"/>
      <c r="J162" s="18"/>
      <c r="K162" s="18"/>
      <c r="L162" s="18"/>
      <c r="M162" s="18"/>
      <c r="N162" s="18"/>
      <c r="O162" s="18"/>
      <c r="P162" s="18"/>
      <c r="Q162" s="18"/>
      <c r="R162" s="18"/>
    </row>
    <row r="163" spans="1:23" x14ac:dyDescent="0.2">
      <c r="A163" s="25" t="s">
        <v>242</v>
      </c>
      <c r="B163" s="44">
        <f>SUM(C121:C123)/SUM(B121:B123)</f>
        <v>1.5450757014467438</v>
      </c>
      <c r="C163" s="44">
        <f>SUM(D120:D122)/SUM(C120:C122)</f>
        <v>1.2377428172823226</v>
      </c>
      <c r="D163" s="44">
        <f>SUM(E119:E121)/SUM(D119:D121)</f>
        <v>1.1977489946779605</v>
      </c>
      <c r="E163" s="44">
        <f>SUM(F118:F120)/SUM(E118:E120)</f>
        <v>1.0983465130791452</v>
      </c>
      <c r="F163" s="44">
        <f>SUM(G117:G119)/SUM(F117:F119)</f>
        <v>1.0138295960399994</v>
      </c>
      <c r="G163" s="44">
        <f>SUM(H116:H118)/SUM(G116:G118)</f>
        <v>1.0417010347659652</v>
      </c>
      <c r="H163" s="44">
        <f>SUM(I115:I117)/SUM(H115:H117)</f>
        <v>1.0077599653291598</v>
      </c>
      <c r="I163" s="44">
        <f>SUM(J114:J116)/SUM(I114:I116)</f>
        <v>0.99340662334957353</v>
      </c>
      <c r="J163" s="44">
        <f>SUM(K113:K115)/SUM(J113:J115)</f>
        <v>0.99126531172573007</v>
      </c>
      <c r="K163" s="44">
        <f>SUM(L112:L114)/SUM(K112:K114)</f>
        <v>1.0078086505142063</v>
      </c>
      <c r="L163" s="44">
        <f>SUM(M111:M113)/SUM(L111:L113)</f>
        <v>1.0010381114009663</v>
      </c>
      <c r="M163" s="44">
        <f>SUM(N110:N112)/SUM(M110:M112)</f>
        <v>0.99408441552936921</v>
      </c>
      <c r="N163" s="44">
        <f>SUM(O109:O111)/SUM(N109:N111)</f>
        <v>1.0047298916034948</v>
      </c>
      <c r="O163" s="44">
        <f>SUM(P108:P110)/SUM(O108:O110)</f>
        <v>0.99660239926397998</v>
      </c>
      <c r="P163" s="44">
        <f>SUM(Q107:Q109)/SUM(P107:P109)</f>
        <v>1.0008183771918733</v>
      </c>
      <c r="Q163" s="40"/>
      <c r="R163" s="40"/>
    </row>
    <row r="164" spans="1:23" x14ac:dyDescent="0.2">
      <c r="A164" s="18"/>
      <c r="B164" s="18"/>
      <c r="C164" s="18"/>
      <c r="D164" s="18"/>
      <c r="E164" s="18"/>
      <c r="F164" s="18"/>
      <c r="G164" s="18"/>
      <c r="H164" s="18"/>
      <c r="I164" s="18"/>
      <c r="J164" s="18"/>
      <c r="K164" s="18"/>
      <c r="L164" s="18"/>
      <c r="M164" s="18"/>
      <c r="N164" s="18"/>
      <c r="O164" s="18"/>
      <c r="P164" s="18"/>
      <c r="Q164" s="18"/>
      <c r="R164" s="18"/>
    </row>
    <row r="165" spans="1:23" x14ac:dyDescent="0.2">
      <c r="A165" s="25" t="s">
        <v>243</v>
      </c>
      <c r="B165" s="18"/>
      <c r="C165" s="18"/>
      <c r="D165" s="18"/>
      <c r="E165" s="18"/>
      <c r="F165" s="18"/>
      <c r="G165" s="18"/>
      <c r="H165" s="18"/>
      <c r="I165" s="18"/>
      <c r="J165" s="18"/>
      <c r="K165" s="18"/>
      <c r="L165" s="18"/>
      <c r="M165" s="18"/>
      <c r="N165" s="18"/>
      <c r="O165" s="18"/>
      <c r="P165" s="18"/>
      <c r="Q165" s="18"/>
      <c r="R165" s="18"/>
    </row>
    <row r="166" spans="1:23" x14ac:dyDescent="0.2">
      <c r="A166" s="25" t="s">
        <v>244</v>
      </c>
      <c r="B166" s="43">
        <f>B160</f>
        <v>1.5209285797291969</v>
      </c>
      <c r="C166" s="43">
        <f t="shared" ref="C166:H166" si="29">C160</f>
        <v>1.3179844490728956</v>
      </c>
      <c r="D166" s="43">
        <f t="shared" si="29"/>
        <v>1.1953786250141645</v>
      </c>
      <c r="E166" s="43">
        <f t="shared" si="29"/>
        <v>1.0892270303936633</v>
      </c>
      <c r="F166" s="43">
        <f t="shared" si="29"/>
        <v>1.0401246701671292</v>
      </c>
      <c r="G166" s="43">
        <f t="shared" si="29"/>
        <v>1.021944354445685</v>
      </c>
      <c r="H166" s="43">
        <f t="shared" si="29"/>
        <v>1.0030741568153487</v>
      </c>
      <c r="I166" s="44">
        <f>I163</f>
        <v>0.99340662334957353</v>
      </c>
      <c r="J166" s="44">
        <f t="shared" ref="J166:P166" si="30">J163</f>
        <v>0.99126531172573007</v>
      </c>
      <c r="K166" s="44">
        <f t="shared" si="30"/>
        <v>1.0078086505142063</v>
      </c>
      <c r="L166" s="44">
        <f t="shared" si="30"/>
        <v>1.0010381114009663</v>
      </c>
      <c r="M166" s="44">
        <f t="shared" si="30"/>
        <v>0.99408441552936921</v>
      </c>
      <c r="N166" s="44">
        <f t="shared" si="30"/>
        <v>1.0047298916034948</v>
      </c>
      <c r="O166" s="44">
        <f t="shared" si="30"/>
        <v>0.99660239926397998</v>
      </c>
      <c r="P166" s="44">
        <f t="shared" si="30"/>
        <v>1.0008183771918733</v>
      </c>
      <c r="Q166" s="42">
        <f t="shared" ref="Q166:R166" si="31">Q157</f>
        <v>1.0037177029473385</v>
      </c>
      <c r="R166" s="42">
        <f t="shared" si="31"/>
        <v>0.99309833892224908</v>
      </c>
      <c r="S166" s="45" t="s">
        <v>245</v>
      </c>
      <c r="T166" s="45"/>
      <c r="U166" s="45"/>
      <c r="V166" s="45"/>
      <c r="W166" s="45"/>
    </row>
    <row r="167" spans="1:23" x14ac:dyDescent="0.2">
      <c r="A167" s="18"/>
      <c r="B167" s="18"/>
      <c r="C167" s="18"/>
      <c r="D167" s="18"/>
      <c r="E167" s="18"/>
      <c r="F167" s="18"/>
      <c r="G167" s="18"/>
      <c r="H167" s="18"/>
      <c r="I167" s="18"/>
      <c r="J167" s="18"/>
      <c r="K167" s="18"/>
      <c r="L167" s="18"/>
      <c r="M167" s="18"/>
      <c r="N167" s="18"/>
      <c r="O167" s="18"/>
      <c r="P167" s="18"/>
      <c r="Q167" s="18"/>
      <c r="R167" s="18"/>
    </row>
    <row r="168" spans="1:23" x14ac:dyDescent="0.2">
      <c r="A168" s="25"/>
      <c r="B168" s="18"/>
      <c r="C168" s="18"/>
      <c r="D168" s="18"/>
      <c r="E168" s="18"/>
      <c r="F168" s="18"/>
      <c r="G168" s="18"/>
      <c r="H168" s="18"/>
      <c r="I168" s="18"/>
      <c r="J168" s="18"/>
      <c r="K168" s="18"/>
      <c r="L168" s="18"/>
      <c r="M168" s="18"/>
      <c r="N168" s="18"/>
      <c r="O168" s="18"/>
      <c r="P168" s="18"/>
      <c r="Q168" s="18"/>
      <c r="R168" s="18"/>
    </row>
    <row r="169" spans="1:23" x14ac:dyDescent="0.2">
      <c r="A169" s="25" t="s">
        <v>246</v>
      </c>
      <c r="B169" s="40">
        <f>PRODUCT(B166:$R166)</f>
        <v>2.7452883817814859</v>
      </c>
      <c r="C169" s="40">
        <f>PRODUCT(C166:$R166)</f>
        <v>1.8050080841207468</v>
      </c>
      <c r="D169" s="40">
        <f>PRODUCT(D166:$R166)</f>
        <v>1.3695215337255582</v>
      </c>
      <c r="E169" s="40">
        <f>PRODUCT(E166:$R166)</f>
        <v>1.1456801260013583</v>
      </c>
      <c r="F169" s="40">
        <f>PRODUCT(F166:$R166)</f>
        <v>1.0518285848885811</v>
      </c>
      <c r="G169" s="40">
        <f>PRODUCT(G166:$R166)</f>
        <v>1.011252415270153</v>
      </c>
      <c r="H169" s="40">
        <f>PRODUCT(H166:$R166)</f>
        <v>0.98953765033387642</v>
      </c>
      <c r="I169" s="40">
        <f>PRODUCT(I166:$R166)</f>
        <v>0.98650497932829873</v>
      </c>
      <c r="J169" s="40">
        <f>PRODUCT(J166:$R166)</f>
        <v>0.99305254881631067</v>
      </c>
      <c r="K169" s="40">
        <f>PRODUCT(K166:$R166)</f>
        <v>1.0018029856078281</v>
      </c>
      <c r="L169" s="40">
        <f>PRODUCT(L166:$R166)</f>
        <v>0.99404086787376367</v>
      </c>
      <c r="M169" s="40">
        <f>PRODUCT(M166:$R166)</f>
        <v>0.99301001285814183</v>
      </c>
      <c r="N169" s="40">
        <f>PRODUCT(N166:$R166)</f>
        <v>0.998919203787482</v>
      </c>
      <c r="O169" s="40">
        <f>PRODUCT(O166:$R166)</f>
        <v>0.99421666672349196</v>
      </c>
      <c r="P169" s="40">
        <f>PRODUCT(P166:$R166)</f>
        <v>0.99760613405882814</v>
      </c>
      <c r="Q169" s="40">
        <f>PRODUCT(Q166:$R166)</f>
        <v>0.99679038354385729</v>
      </c>
      <c r="R169" s="40">
        <f>PRODUCT(R166:$R166)</f>
        <v>0.99309833892224908</v>
      </c>
    </row>
    <row r="170" spans="1:23" x14ac:dyDescent="0.2">
      <c r="A170" s="46" t="s">
        <v>247</v>
      </c>
    </row>
    <row r="171" spans="1:23" x14ac:dyDescent="0.2">
      <c r="A171" s="17" t="s">
        <v>248</v>
      </c>
      <c r="B171" s="47">
        <f>1/B169</f>
        <v>0.36426045680165486</v>
      </c>
      <c r="C171" s="47">
        <f t="shared" ref="C171:R171" si="32">1/C169</f>
        <v>0.55401413921484943</v>
      </c>
      <c r="D171" s="47">
        <f t="shared" si="32"/>
        <v>0.73018202005167776</v>
      </c>
      <c r="E171" s="47">
        <f t="shared" si="32"/>
        <v>0.87284397913943956</v>
      </c>
      <c r="F171" s="47">
        <f t="shared" si="32"/>
        <v>0.95072525539504016</v>
      </c>
      <c r="G171" s="47">
        <f t="shared" si="32"/>
        <v>0.98887279268732631</v>
      </c>
      <c r="H171" s="47">
        <f t="shared" si="32"/>
        <v>1.010572967751751</v>
      </c>
      <c r="I171" s="47">
        <f t="shared" si="32"/>
        <v>1.0136796275279725</v>
      </c>
      <c r="J171" s="47">
        <f t="shared" si="32"/>
        <v>1.0069960559408164</v>
      </c>
      <c r="K171" s="47">
        <f t="shared" si="32"/>
        <v>0.99820025929875411</v>
      </c>
      <c r="L171" s="47">
        <f t="shared" si="32"/>
        <v>1.005994856266808</v>
      </c>
      <c r="M171" s="47">
        <f t="shared" si="32"/>
        <v>1.0070391909964123</v>
      </c>
      <c r="N171" s="47">
        <f t="shared" si="32"/>
        <v>1.001081965596837</v>
      </c>
      <c r="O171" s="47">
        <f t="shared" si="32"/>
        <v>1.0058169747803236</v>
      </c>
      <c r="P171" s="47">
        <f t="shared" si="32"/>
        <v>1.0023996102865089</v>
      </c>
      <c r="Q171" s="47">
        <f t="shared" si="32"/>
        <v>1.00321995126471</v>
      </c>
      <c r="R171" s="47">
        <f t="shared" si="32"/>
        <v>1.0069496250343555</v>
      </c>
    </row>
    <row r="174" spans="1:23" x14ac:dyDescent="0.2">
      <c r="E174" s="23" t="s">
        <v>249</v>
      </c>
      <c r="F174" s="21"/>
    </row>
    <row r="175" spans="1:23" x14ac:dyDescent="0.2">
      <c r="E175" s="19" t="s">
        <v>250</v>
      </c>
      <c r="F175" s="19" t="s">
        <v>251</v>
      </c>
      <c r="H175" s="22" t="s">
        <v>252</v>
      </c>
      <c r="I175" s="19" t="s">
        <v>253</v>
      </c>
      <c r="K175" s="19" t="s">
        <v>254</v>
      </c>
      <c r="L175" s="19" t="s">
        <v>254</v>
      </c>
      <c r="M175" s="19" t="s">
        <v>255</v>
      </c>
      <c r="N175" s="19"/>
      <c r="O175" s="19"/>
    </row>
    <row r="176" spans="1:23" x14ac:dyDescent="0.2">
      <c r="A176" s="19" t="s">
        <v>216</v>
      </c>
      <c r="B176" s="48" t="s">
        <v>256</v>
      </c>
      <c r="C176" s="48" t="s">
        <v>257</v>
      </c>
      <c r="D176" s="48" t="s">
        <v>258</v>
      </c>
      <c r="E176" s="23" t="s">
        <v>259</v>
      </c>
      <c r="F176" s="23" t="s">
        <v>260</v>
      </c>
      <c r="H176" s="19" t="s">
        <v>261</v>
      </c>
      <c r="I176" s="19" t="s">
        <v>262</v>
      </c>
      <c r="K176" s="23" t="s">
        <v>263</v>
      </c>
      <c r="L176" s="23" t="s">
        <v>264</v>
      </c>
      <c r="M176" s="23" t="s">
        <v>265</v>
      </c>
      <c r="N176" s="19"/>
      <c r="O176" s="19"/>
    </row>
    <row r="177" spans="1:15" x14ac:dyDescent="0.2">
      <c r="A177" s="23" t="s">
        <v>218</v>
      </c>
      <c r="B177" s="19" t="s">
        <v>266</v>
      </c>
      <c r="C177" s="19" t="s">
        <v>267</v>
      </c>
      <c r="D177" s="19" t="s">
        <v>219</v>
      </c>
      <c r="E177" s="19" t="s">
        <v>219</v>
      </c>
      <c r="F177" s="19" t="s">
        <v>219</v>
      </c>
      <c r="H177" s="49" t="s">
        <v>219</v>
      </c>
      <c r="I177" s="49"/>
      <c r="K177" s="19" t="s">
        <v>219</v>
      </c>
      <c r="L177" s="19" t="s">
        <v>219</v>
      </c>
      <c r="M177" s="19" t="s">
        <v>219</v>
      </c>
      <c r="N177" s="19"/>
    </row>
    <row r="178" spans="1:15" x14ac:dyDescent="0.2">
      <c r="L178" s="50"/>
    </row>
    <row r="179" spans="1:15" x14ac:dyDescent="0.2">
      <c r="A179" s="18">
        <f>A107</f>
        <v>1978</v>
      </c>
      <c r="B179" s="51">
        <f>S107</f>
        <v>41.674242703114082</v>
      </c>
      <c r="C179" s="32">
        <f>P57</f>
        <v>611.14487865899105</v>
      </c>
      <c r="D179" s="52">
        <f>B179*C179</f>
        <v>25469</v>
      </c>
      <c r="E179" s="53">
        <v>25469.405999999995</v>
      </c>
      <c r="F179" s="52">
        <f>D179-E179</f>
        <v>-0.40599999999540159</v>
      </c>
      <c r="H179" s="54">
        <v>-0.40599999999540159</v>
      </c>
      <c r="I179" s="55">
        <f>H179/F179</f>
        <v>1</v>
      </c>
      <c r="K179" s="54">
        <v>28.434239916292427</v>
      </c>
      <c r="L179" s="54">
        <v>18.26974680575222</v>
      </c>
      <c r="M179" s="54">
        <v>0</v>
      </c>
      <c r="N179" s="54"/>
      <c r="O179" s="55"/>
    </row>
    <row r="180" spans="1:15" x14ac:dyDescent="0.2">
      <c r="A180" s="18">
        <f t="shared" ref="A180:A196" si="33">A108</f>
        <v>1979</v>
      </c>
      <c r="B180" s="56">
        <f>R108/R171</f>
        <v>33.526842272006888</v>
      </c>
      <c r="C180" s="32">
        <f t="shared" ref="C180:C196" si="34">P58</f>
        <v>592.15325834520638</v>
      </c>
      <c r="D180" s="52">
        <f t="shared" ref="D180:D196" si="35">B180*C180</f>
        <v>19853.028893394679</v>
      </c>
      <c r="E180" s="53">
        <v>19836.829000000005</v>
      </c>
      <c r="F180" s="52">
        <f t="shared" ref="F180:F196" si="36">D180-E180</f>
        <v>16.199893394674291</v>
      </c>
      <c r="H180" s="54">
        <v>154.17099999999482</v>
      </c>
      <c r="I180" s="55">
        <f t="shared" ref="I180:I198" si="37">H180/F180</f>
        <v>9.5167910210247726</v>
      </c>
      <c r="K180" s="54">
        <v>37.405836345264106</v>
      </c>
      <c r="L180" s="54">
        <v>37.090036274461454</v>
      </c>
      <c r="M180" s="54">
        <v>13.892495537419666</v>
      </c>
      <c r="N180" s="54"/>
      <c r="O180" s="55"/>
    </row>
    <row r="181" spans="1:15" x14ac:dyDescent="0.2">
      <c r="A181" s="18">
        <f t="shared" si="33"/>
        <v>1980</v>
      </c>
      <c r="B181" s="56">
        <f>Q109/Q171</f>
        <v>41.150842674464322</v>
      </c>
      <c r="C181" s="32">
        <f t="shared" si="34"/>
        <v>779.20039964907482</v>
      </c>
      <c r="D181" s="52">
        <f t="shared" si="35"/>
        <v>32064.753057838803</v>
      </c>
      <c r="E181" s="53">
        <v>31992.917999999998</v>
      </c>
      <c r="F181" s="52">
        <f t="shared" si="36"/>
        <v>71.835057838805369</v>
      </c>
      <c r="H181" s="54">
        <v>182.4368118111488</v>
      </c>
      <c r="I181" s="55">
        <f t="shared" si="37"/>
        <v>2.5396626285250412</v>
      </c>
      <c r="K181" s="54">
        <v>101.91092869063505</v>
      </c>
      <c r="L181" s="54">
        <v>92.717548743104999</v>
      </c>
      <c r="M181" s="54">
        <v>70.107155537692407</v>
      </c>
      <c r="N181" s="54"/>
      <c r="O181" s="55"/>
    </row>
    <row r="182" spans="1:15" x14ac:dyDescent="0.2">
      <c r="A182" s="18">
        <f t="shared" si="33"/>
        <v>1981</v>
      </c>
      <c r="B182" s="56">
        <f>P110/P171</f>
        <v>43.001127529341908</v>
      </c>
      <c r="C182" s="32">
        <f t="shared" si="34"/>
        <v>930.20852822821166</v>
      </c>
      <c r="D182" s="52">
        <f t="shared" si="35"/>
        <v>40000.015551222772</v>
      </c>
      <c r="E182" s="53">
        <v>39118.252</v>
      </c>
      <c r="F182" s="52">
        <f t="shared" si="36"/>
        <v>881.76355122277164</v>
      </c>
      <c r="H182" s="54">
        <v>957.97618288319791</v>
      </c>
      <c r="I182" s="55">
        <f t="shared" si="37"/>
        <v>1.0864320503549274</v>
      </c>
      <c r="K182" s="54">
        <v>210.55842747081624</v>
      </c>
      <c r="L182" s="54">
        <v>186.63753983119386</v>
      </c>
      <c r="M182" s="54">
        <v>155.18736196278877</v>
      </c>
      <c r="N182" s="54"/>
      <c r="O182" s="55"/>
    </row>
    <row r="183" spans="1:15" x14ac:dyDescent="0.2">
      <c r="A183" s="18">
        <f t="shared" si="33"/>
        <v>1982</v>
      </c>
      <c r="B183" s="56">
        <f>O111/O171</f>
        <v>44.695573280814642</v>
      </c>
      <c r="C183" s="32">
        <f t="shared" si="34"/>
        <v>894.21629634718749</v>
      </c>
      <c r="D183" s="52">
        <f>B183*C183</f>
        <v>39967.510002284384</v>
      </c>
      <c r="E183" s="53">
        <v>39428.586000000003</v>
      </c>
      <c r="F183" s="52">
        <f t="shared" si="36"/>
        <v>538.92400228438055</v>
      </c>
      <c r="H183" s="54">
        <v>709.93129559835506</v>
      </c>
      <c r="I183" s="55">
        <f t="shared" si="37"/>
        <v>1.3173124458905376</v>
      </c>
      <c r="K183" s="54">
        <v>358.80928303716064</v>
      </c>
      <c r="L183" s="54">
        <v>314.85578943147993</v>
      </c>
      <c r="M183" s="54">
        <v>576.17338590803263</v>
      </c>
      <c r="N183" s="54"/>
      <c r="O183" s="55"/>
    </row>
    <row r="184" spans="1:15" x14ac:dyDescent="0.2">
      <c r="A184" s="18">
        <f t="shared" si="33"/>
        <v>1983</v>
      </c>
      <c r="B184" s="56">
        <f>N112/N171</f>
        <v>38.409038417973072</v>
      </c>
      <c r="C184" s="32">
        <f t="shared" si="34"/>
        <v>964.22433379875565</v>
      </c>
      <c r="D184" s="52">
        <f t="shared" si="35"/>
        <v>37034.929480420898</v>
      </c>
      <c r="E184" s="53">
        <v>36354.199000000001</v>
      </c>
      <c r="F184" s="52">
        <f t="shared" si="36"/>
        <v>680.73048042089795</v>
      </c>
      <c r="H184" s="54">
        <v>550.17552824519953</v>
      </c>
      <c r="I184" s="55">
        <f t="shared" si="37"/>
        <v>0.80821344727361721</v>
      </c>
      <c r="K184" s="54">
        <v>559.8493479511817</v>
      </c>
      <c r="L184" s="54">
        <v>490.34687011372444</v>
      </c>
      <c r="M184" s="54">
        <v>1080.7113492642491</v>
      </c>
      <c r="N184" s="54"/>
      <c r="O184" s="55"/>
    </row>
    <row r="185" spans="1:15" x14ac:dyDescent="0.2">
      <c r="A185" s="18">
        <f t="shared" si="33"/>
        <v>1984</v>
      </c>
      <c r="B185" s="56">
        <f>M113/M171</f>
        <v>51.945841294123241</v>
      </c>
      <c r="C185" s="32">
        <f t="shared" si="34"/>
        <v>982.23147820014947</v>
      </c>
      <c r="D185" s="52">
        <f t="shared" si="35"/>
        <v>51022.840480677034</v>
      </c>
      <c r="E185" s="53">
        <v>48560.689000000013</v>
      </c>
      <c r="F185" s="52">
        <f t="shared" si="36"/>
        <v>2462.151480677021</v>
      </c>
      <c r="H185" s="54">
        <v>2366.8896809483776</v>
      </c>
      <c r="I185" s="55">
        <f t="shared" si="37"/>
        <v>0.9613095292973407</v>
      </c>
      <c r="K185" s="54">
        <v>1267.5228116118815</v>
      </c>
      <c r="L185" s="54">
        <v>1084.8296604167263</v>
      </c>
      <c r="M185" s="54">
        <v>1664.2109927822423</v>
      </c>
      <c r="N185" s="54"/>
      <c r="O185" s="55"/>
    </row>
    <row r="186" spans="1:15" x14ac:dyDescent="0.2">
      <c r="A186" s="18">
        <f t="shared" si="33"/>
        <v>1985</v>
      </c>
      <c r="B186" s="56">
        <f>L114/L171</f>
        <v>44.909876224684822</v>
      </c>
      <c r="C186" s="32">
        <f t="shared" si="34"/>
        <v>938.23755134634564</v>
      </c>
      <c r="D186" s="52">
        <f t="shared" si="35"/>
        <v>42136.132300315752</v>
      </c>
      <c r="E186" s="53">
        <v>39959.231</v>
      </c>
      <c r="F186" s="52">
        <f t="shared" si="36"/>
        <v>2176.9013003157525</v>
      </c>
      <c r="H186" s="54">
        <v>1838.81630212452</v>
      </c>
      <c r="I186" s="55">
        <f t="shared" si="37"/>
        <v>0.844694383644222</v>
      </c>
      <c r="K186" s="54">
        <v>1772.602817073348</v>
      </c>
      <c r="L186" s="54">
        <v>1527.1619639316486</v>
      </c>
      <c r="M186" s="54">
        <v>2495.2562650240716</v>
      </c>
      <c r="N186" s="54"/>
      <c r="O186" s="55"/>
    </row>
    <row r="187" spans="1:15" x14ac:dyDescent="0.2">
      <c r="A187" s="18">
        <f t="shared" si="33"/>
        <v>1986</v>
      </c>
      <c r="B187" s="56">
        <f>K115/K171</f>
        <v>46.509437144594386</v>
      </c>
      <c r="C187" s="32">
        <f t="shared" si="34"/>
        <v>956.4643816884028</v>
      </c>
      <c r="D187" s="52">
        <f t="shared" si="35"/>
        <v>44484.620041180104</v>
      </c>
      <c r="E187" s="53">
        <v>41254.536</v>
      </c>
      <c r="F187" s="52">
        <f t="shared" si="36"/>
        <v>3230.0840411801037</v>
      </c>
      <c r="H187" s="54">
        <v>2312.7309729606786</v>
      </c>
      <c r="I187" s="55">
        <f t="shared" si="37"/>
        <v>0.71599715161458388</v>
      </c>
      <c r="K187" s="54">
        <v>3124.3847967215115</v>
      </c>
      <c r="L187" s="54">
        <v>2738.5206642419653</v>
      </c>
      <c r="M187" s="54">
        <v>4267.9234607698609</v>
      </c>
      <c r="N187" s="54"/>
      <c r="O187" s="55"/>
    </row>
    <row r="188" spans="1:15" x14ac:dyDescent="0.2">
      <c r="A188" s="18">
        <f t="shared" si="33"/>
        <v>1987</v>
      </c>
      <c r="B188" s="56">
        <f>J116/J171</f>
        <v>51.392213638742</v>
      </c>
      <c r="C188" s="32">
        <f t="shared" si="34"/>
        <v>854.8792583053895</v>
      </c>
      <c r="D188" s="52">
        <f t="shared" si="35"/>
        <v>43934.137478159886</v>
      </c>
      <c r="E188" s="53">
        <v>40205.614000000001</v>
      </c>
      <c r="F188" s="52">
        <f t="shared" si="36"/>
        <v>3728.5234781598847</v>
      </c>
      <c r="H188" s="54">
        <v>2890.0635634833379</v>
      </c>
      <c r="I188" s="55">
        <f t="shared" si="37"/>
        <v>0.77512280140171019</v>
      </c>
      <c r="K188" s="54">
        <v>4988.4323269274682</v>
      </c>
      <c r="L188" s="54">
        <v>4390.617238392595</v>
      </c>
      <c r="M188" s="54">
        <v>5933.6225262025864</v>
      </c>
      <c r="N188" s="54"/>
      <c r="O188" s="55"/>
    </row>
    <row r="189" spans="1:15" x14ac:dyDescent="0.2">
      <c r="A189" s="18">
        <f t="shared" si="33"/>
        <v>1988</v>
      </c>
      <c r="B189" s="56">
        <f>I117/I171</f>
        <v>45.650433167130139</v>
      </c>
      <c r="C189" s="32">
        <f t="shared" si="34"/>
        <v>874.70988997152347</v>
      </c>
      <c r="D189" s="52">
        <f t="shared" si="35"/>
        <v>39930.885372772791</v>
      </c>
      <c r="E189" s="53">
        <v>33364.098000000005</v>
      </c>
      <c r="F189" s="52">
        <f t="shared" si="36"/>
        <v>6566.7873727727856</v>
      </c>
      <c r="H189" s="54">
        <v>5839.6842253362774</v>
      </c>
      <c r="I189" s="55">
        <f t="shared" si="37"/>
        <v>0.88927566766494937</v>
      </c>
      <c r="K189" s="54">
        <v>6791.7694566274149</v>
      </c>
      <c r="L189" s="54">
        <v>6158.2560471590186</v>
      </c>
      <c r="M189" s="54">
        <v>9816.0509043225102</v>
      </c>
      <c r="N189" s="54"/>
      <c r="O189" s="55"/>
    </row>
    <row r="190" spans="1:15" x14ac:dyDescent="0.2">
      <c r="A190" s="18">
        <f t="shared" si="33"/>
        <v>1989</v>
      </c>
      <c r="B190" s="56">
        <f>H118/H171</f>
        <v>51.752819112461736</v>
      </c>
      <c r="C190" s="32">
        <f t="shared" si="34"/>
        <v>873.38341305241579</v>
      </c>
      <c r="D190" s="52">
        <f t="shared" si="35"/>
        <v>45200.05379152613</v>
      </c>
      <c r="E190" s="53">
        <v>37319.199000000001</v>
      </c>
      <c r="F190" s="52">
        <f t="shared" si="36"/>
        <v>7880.8547915261297</v>
      </c>
      <c r="H190" s="54">
        <v>7031.4376851106572</v>
      </c>
      <c r="I190" s="55">
        <f t="shared" si="37"/>
        <v>0.89221764277032412</v>
      </c>
      <c r="K190" s="54">
        <v>13152.312258232581</v>
      </c>
      <c r="L190" s="54">
        <v>12309.814739663809</v>
      </c>
      <c r="M190" s="54">
        <v>15060.469867494998</v>
      </c>
      <c r="N190" s="54"/>
      <c r="O190" s="55"/>
    </row>
    <row r="191" spans="1:15" x14ac:dyDescent="0.2">
      <c r="A191" s="18">
        <f t="shared" si="33"/>
        <v>1990</v>
      </c>
      <c r="B191" s="56">
        <f>G119/G171</f>
        <v>61.625147185189789</v>
      </c>
      <c r="C191" s="32">
        <f t="shared" si="34"/>
        <v>815.88864504250148</v>
      </c>
      <c r="D191" s="52">
        <f t="shared" si="35"/>
        <v>50279.257837469224</v>
      </c>
      <c r="E191" s="53">
        <v>35744.653000000006</v>
      </c>
      <c r="F191" s="52">
        <f t="shared" si="36"/>
        <v>14534.604837469218</v>
      </c>
      <c r="H191" s="54">
        <v>13676.165037476181</v>
      </c>
      <c r="I191" s="55">
        <f t="shared" si="37"/>
        <v>0.94093820853112997</v>
      </c>
      <c r="K191" s="54">
        <v>22409.830270913488</v>
      </c>
      <c r="L191" s="54">
        <v>21421.018307443781</v>
      </c>
      <c r="M191" s="54">
        <v>21631.212312376581</v>
      </c>
      <c r="N191" s="54"/>
      <c r="O191" s="55"/>
    </row>
    <row r="192" spans="1:15" x14ac:dyDescent="0.2">
      <c r="A192" s="18">
        <f t="shared" si="33"/>
        <v>1991</v>
      </c>
      <c r="B192" s="56">
        <f>F120/F171</f>
        <v>50.60095129080365</v>
      </c>
      <c r="C192" s="32">
        <f t="shared" si="34"/>
        <v>868.43441239995616</v>
      </c>
      <c r="D192" s="52">
        <f t="shared" si="35"/>
        <v>43943.607401107867</v>
      </c>
      <c r="E192" s="53">
        <v>29448.637999999999</v>
      </c>
      <c r="F192" s="52">
        <f t="shared" si="36"/>
        <v>14494.969401107868</v>
      </c>
      <c r="H192" s="54">
        <v>13768.28108998618</v>
      </c>
      <c r="I192" s="55">
        <f t="shared" si="37"/>
        <v>0.94986617142729901</v>
      </c>
      <c r="K192" s="54">
        <v>34842.093490836291</v>
      </c>
      <c r="L192" s="54">
        <v>34066.431031002016</v>
      </c>
      <c r="M192" s="54">
        <v>33309.216128706335</v>
      </c>
      <c r="N192" s="54"/>
      <c r="O192" s="55"/>
    </row>
    <row r="193" spans="1:15" x14ac:dyDescent="0.2">
      <c r="A193" s="18">
        <f t="shared" si="33"/>
        <v>1992</v>
      </c>
      <c r="B193" s="56">
        <f>E121/E171</f>
        <v>57.709544632582706</v>
      </c>
      <c r="C193" s="32">
        <f t="shared" si="34"/>
        <v>898.72105982357596</v>
      </c>
      <c r="D193" s="52">
        <f t="shared" si="35"/>
        <v>51864.783114130689</v>
      </c>
      <c r="E193" s="53">
        <v>28265.431</v>
      </c>
      <c r="F193" s="52">
        <f t="shared" si="36"/>
        <v>23599.352114130688</v>
      </c>
      <c r="H193" s="54">
        <v>22830.490462370039</v>
      </c>
      <c r="I193" s="55">
        <f t="shared" si="37"/>
        <v>0.96742022204498257</v>
      </c>
      <c r="K193" s="54">
        <v>68290.428950017478</v>
      </c>
      <c r="L193" s="54">
        <v>67048.881896215928</v>
      </c>
      <c r="M193" s="54">
        <v>47574.757586317428</v>
      </c>
      <c r="N193" s="54"/>
      <c r="O193" s="55"/>
    </row>
    <row r="194" spans="1:15" x14ac:dyDescent="0.2">
      <c r="A194" s="18">
        <f t="shared" si="33"/>
        <v>1993</v>
      </c>
      <c r="B194" s="56">
        <f>D122/D171</f>
        <v>55.151437764030426</v>
      </c>
      <c r="C194" s="32">
        <f t="shared" si="34"/>
        <v>886.54720979031833</v>
      </c>
      <c r="D194" s="52">
        <f t="shared" si="35"/>
        <v>48894.35326562557</v>
      </c>
      <c r="E194" s="53">
        <v>15165.406999999999</v>
      </c>
      <c r="F194" s="52">
        <f t="shared" si="36"/>
        <v>33728.946265625571</v>
      </c>
      <c r="H194" s="54">
        <v>33067.01555892318</v>
      </c>
      <c r="I194" s="55">
        <f t="shared" si="37"/>
        <v>0.98037499596075461</v>
      </c>
      <c r="K194" s="54">
        <v>78300.924643740407</v>
      </c>
      <c r="L194" s="54">
        <v>77537.056872853456</v>
      </c>
      <c r="M194" s="54">
        <v>61936.455887144271</v>
      </c>
      <c r="N194" s="54"/>
      <c r="O194" s="55"/>
    </row>
    <row r="195" spans="1:15" x14ac:dyDescent="0.2">
      <c r="A195" s="18">
        <f t="shared" si="33"/>
        <v>1994</v>
      </c>
      <c r="B195" s="56">
        <f>C123/C171</f>
        <v>50.843626008984636</v>
      </c>
      <c r="C195" s="32">
        <f t="shared" si="34"/>
        <v>889.84534761024838</v>
      </c>
      <c r="D195" s="52">
        <f t="shared" si="35"/>
        <v>45242.964059730402</v>
      </c>
      <c r="E195" s="53">
        <v>7962.4459999999999</v>
      </c>
      <c r="F195" s="52">
        <f t="shared" si="36"/>
        <v>37280.518059730399</v>
      </c>
      <c r="H195" s="54">
        <v>36600.208193132668</v>
      </c>
      <c r="I195" s="55">
        <f t="shared" si="37"/>
        <v>0.98175159836814108</v>
      </c>
      <c r="K195" s="54">
        <v>92401.488312778907</v>
      </c>
      <c r="L195" s="54">
        <v>91826.717645949597</v>
      </c>
      <c r="M195" s="54">
        <v>75609.67107811528</v>
      </c>
      <c r="N195" s="54"/>
      <c r="O195" s="55"/>
    </row>
    <row r="196" spans="1:15" x14ac:dyDescent="0.2">
      <c r="A196" s="18">
        <f t="shared" si="33"/>
        <v>1995</v>
      </c>
      <c r="B196" s="56">
        <f>B124/B171</f>
        <v>40.409813074253236</v>
      </c>
      <c r="C196" s="32">
        <f t="shared" si="34"/>
        <v>910.65548727102475</v>
      </c>
      <c r="D196" s="52">
        <f t="shared" si="35"/>
        <v>36799.418015665105</v>
      </c>
      <c r="E196" s="53">
        <v>2725.355</v>
      </c>
      <c r="F196" s="52">
        <f t="shared" si="36"/>
        <v>34074.063015665102</v>
      </c>
      <c r="H196" s="54">
        <v>34378.679705557108</v>
      </c>
      <c r="I196" s="55">
        <f t="shared" si="37"/>
        <v>1.0089398405394732</v>
      </c>
      <c r="K196" s="57">
        <v>99802.733250713252</v>
      </c>
      <c r="L196" s="57">
        <v>99822.056395701627</v>
      </c>
      <c r="M196" s="57">
        <v>89993.453365684836</v>
      </c>
      <c r="N196" s="54"/>
      <c r="O196" s="55"/>
    </row>
    <row r="197" spans="1:15" x14ac:dyDescent="0.2">
      <c r="D197" s="53"/>
      <c r="E197" s="53"/>
      <c r="F197" s="53"/>
      <c r="H197" s="58"/>
      <c r="I197" s="55"/>
      <c r="K197" s="58"/>
      <c r="L197" s="54"/>
      <c r="M197" s="58"/>
      <c r="N197" s="58"/>
      <c r="O197" s="55"/>
    </row>
    <row r="198" spans="1:15" x14ac:dyDescent="0.2">
      <c r="D198" s="53"/>
      <c r="E198" s="59"/>
      <c r="F198" s="60">
        <f>SUM(F179:F196)</f>
        <v>185946.80314352206</v>
      </c>
      <c r="H198" s="57">
        <v>179154.74729594711</v>
      </c>
      <c r="I198" s="55">
        <f t="shared" si="37"/>
        <v>0.96347312385718975</v>
      </c>
      <c r="K198" s="57">
        <v>428441.49144960538</v>
      </c>
      <c r="L198" s="57">
        <v>421071.27999417193</v>
      </c>
      <c r="M198" s="57">
        <v>371188.3721231512</v>
      </c>
      <c r="N198" s="54"/>
      <c r="O198" s="55"/>
    </row>
    <row r="200" spans="1:15" x14ac:dyDescent="0.2">
      <c r="F200" s="61" t="s">
        <v>268</v>
      </c>
    </row>
    <row r="201" spans="1:15" x14ac:dyDescent="0.2">
      <c r="F201" s="17" t="s">
        <v>269</v>
      </c>
    </row>
  </sheetData>
  <conditionalFormatting sqref="B135:B151">
    <cfRule type="colorScale" priority="14">
      <colorScale>
        <cfvo type="min"/>
        <cfvo type="percentile" val="50"/>
        <cfvo type="max"/>
        <color rgb="FFF8696B"/>
        <color rgb="FFFCFCFF"/>
        <color rgb="FF63BE7B"/>
      </colorScale>
    </cfRule>
  </conditionalFormatting>
  <conditionalFormatting sqref="B152:R153">
    <cfRule type="colorScale" priority="15">
      <colorScale>
        <cfvo type="min"/>
        <cfvo type="percentile" val="50"/>
        <cfvo type="max"/>
        <color rgb="FFF8696B"/>
        <color rgb="FFFFEB84"/>
        <color rgb="FF63BE7B"/>
      </colorScale>
    </cfRule>
  </conditionalFormatting>
  <conditionalFormatting sqref="B107:S124">
    <cfRule type="colorScale" priority="16">
      <colorScale>
        <cfvo type="min"/>
        <cfvo type="percentile" val="50"/>
        <cfvo type="max"/>
        <color rgb="FFF8696B"/>
        <color rgb="FFFFEB84"/>
        <color rgb="FF63BE7B"/>
      </colorScale>
    </cfRule>
  </conditionalFormatting>
  <conditionalFormatting sqref="C135:C150">
    <cfRule type="colorScale" priority="13">
      <colorScale>
        <cfvo type="min"/>
        <cfvo type="percentile" val="50"/>
        <cfvo type="max"/>
        <color rgb="FFF8696B"/>
        <color rgb="FFFCFCFF"/>
        <color rgb="FF63BE7B"/>
      </colorScale>
    </cfRule>
  </conditionalFormatting>
  <conditionalFormatting sqref="D135:D149">
    <cfRule type="colorScale" priority="12">
      <colorScale>
        <cfvo type="min"/>
        <cfvo type="percentile" val="50"/>
        <cfvo type="max"/>
        <color rgb="FFF8696B"/>
        <color rgb="FFFCFCFF"/>
        <color rgb="FF63BE7B"/>
      </colorScale>
    </cfRule>
  </conditionalFormatting>
  <conditionalFormatting sqref="E135:E148">
    <cfRule type="colorScale" priority="11">
      <colorScale>
        <cfvo type="min"/>
        <cfvo type="percentile" val="50"/>
        <cfvo type="max"/>
        <color rgb="FFF8696B"/>
        <color rgb="FFFCFCFF"/>
        <color rgb="FF63BE7B"/>
      </colorScale>
    </cfRule>
  </conditionalFormatting>
  <conditionalFormatting sqref="F135:F147">
    <cfRule type="colorScale" priority="10">
      <colorScale>
        <cfvo type="min"/>
        <cfvo type="percentile" val="50"/>
        <cfvo type="max"/>
        <color rgb="FFF8696B"/>
        <color rgb="FFFCFCFF"/>
        <color rgb="FF63BE7B"/>
      </colorScale>
    </cfRule>
  </conditionalFormatting>
  <conditionalFormatting sqref="G135:G146">
    <cfRule type="colorScale" priority="9">
      <colorScale>
        <cfvo type="min"/>
        <cfvo type="percentile" val="50"/>
        <cfvo type="max"/>
        <color rgb="FFF8696B"/>
        <color rgb="FFFCFCFF"/>
        <color rgb="FF63BE7B"/>
      </colorScale>
    </cfRule>
  </conditionalFormatting>
  <conditionalFormatting sqref="H135:H145">
    <cfRule type="colorScale" priority="8">
      <colorScale>
        <cfvo type="min"/>
        <cfvo type="percentile" val="50"/>
        <cfvo type="max"/>
        <color rgb="FFF8696B"/>
        <color rgb="FFFCFCFF"/>
        <color rgb="FF63BE7B"/>
      </colorScale>
    </cfRule>
  </conditionalFormatting>
  <conditionalFormatting sqref="I135:I144">
    <cfRule type="colorScale" priority="7">
      <colorScale>
        <cfvo type="min"/>
        <cfvo type="percentile" val="50"/>
        <cfvo type="max"/>
        <color rgb="FFF8696B"/>
        <color rgb="FFFCFCFF"/>
        <color rgb="FF63BE7B"/>
      </colorScale>
    </cfRule>
  </conditionalFormatting>
  <conditionalFormatting sqref="J135:J143">
    <cfRule type="colorScale" priority="6">
      <colorScale>
        <cfvo type="min"/>
        <cfvo type="percentile" val="50"/>
        <cfvo type="max"/>
        <color rgb="FFF8696B"/>
        <color rgb="FFFCFCFF"/>
        <color rgb="FF63BE7B"/>
      </colorScale>
    </cfRule>
  </conditionalFormatting>
  <conditionalFormatting sqref="K135:K142">
    <cfRule type="colorScale" priority="5">
      <colorScale>
        <cfvo type="min"/>
        <cfvo type="percentile" val="50"/>
        <cfvo type="max"/>
        <color rgb="FFF8696B"/>
        <color rgb="FFFCFCFF"/>
        <color rgb="FF63BE7B"/>
      </colorScale>
    </cfRule>
  </conditionalFormatting>
  <conditionalFormatting sqref="L135:L141">
    <cfRule type="colorScale" priority="4">
      <colorScale>
        <cfvo type="min"/>
        <cfvo type="percentile" val="50"/>
        <cfvo type="max"/>
        <color rgb="FFF8696B"/>
        <color rgb="FFFCFCFF"/>
        <color rgb="FF63BE7B"/>
      </colorScale>
    </cfRule>
  </conditionalFormatting>
  <conditionalFormatting sqref="M135:M140">
    <cfRule type="colorScale" priority="3">
      <colorScale>
        <cfvo type="min"/>
        <cfvo type="percentile" val="50"/>
        <cfvo type="max"/>
        <color rgb="FFF8696B"/>
        <color rgb="FFFCFCFF"/>
        <color rgb="FF63BE7B"/>
      </colorScale>
    </cfRule>
  </conditionalFormatting>
  <conditionalFormatting sqref="N135:N139">
    <cfRule type="colorScale" priority="2">
      <colorScale>
        <cfvo type="min"/>
        <cfvo type="percentile" val="50"/>
        <cfvo type="max"/>
        <color rgb="FFF8696B"/>
        <color rgb="FFFCFCFF"/>
        <color rgb="FF63BE7B"/>
      </colorScale>
    </cfRule>
  </conditionalFormatting>
  <conditionalFormatting sqref="O135:O138">
    <cfRule type="colorScale" priority="1">
      <colorScale>
        <cfvo type="min"/>
        <cfvo type="percentile" val="50"/>
        <cfvo type="max"/>
        <color rgb="FFF8696B"/>
        <color rgb="FFFCFCFF"/>
        <color rgb="FF63BE7B"/>
      </colorScale>
    </cfRule>
  </conditionalFormatting>
  <pageMargins left="0.7" right="0.7" top="0.75" bottom="0.75" header="0.3" footer="0.3"/>
  <ignoredErrors>
    <ignoredError sqref="C6:G6"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B40-05D3-4A02-B999-7D77921159E4}">
  <sheetPr codeName="Sheet9"/>
  <dimension ref="B1:AL10013"/>
  <sheetViews>
    <sheetView workbookViewId="0">
      <selection activeCell="R23" sqref="R23"/>
    </sheetView>
  </sheetViews>
  <sheetFormatPr baseColWidth="10" defaultColWidth="8.83203125" defaultRowHeight="16" x14ac:dyDescent="0.2"/>
  <cols>
    <col min="13" max="13" width="9" style="77"/>
    <col min="31" max="31" width="9" style="77"/>
    <col min="36" max="36" width="8.1640625" bestFit="1" customWidth="1"/>
    <col min="37" max="37" width="9.6640625" bestFit="1" customWidth="1"/>
    <col min="38" max="38" width="18" bestFit="1" customWidth="1"/>
  </cols>
  <sheetData>
    <row r="1" spans="2:38" x14ac:dyDescent="0.2">
      <c r="B1" s="12" t="s">
        <v>270</v>
      </c>
      <c r="O1" s="12" t="s">
        <v>271</v>
      </c>
      <c r="AG1" s="12" t="s">
        <v>272</v>
      </c>
    </row>
    <row r="2" spans="2:38" x14ac:dyDescent="0.2">
      <c r="AJ2" t="s">
        <v>273</v>
      </c>
      <c r="AK2" t="s">
        <v>274</v>
      </c>
    </row>
    <row r="3" spans="2:38" x14ac:dyDescent="0.2">
      <c r="B3" s="12" t="s">
        <v>275</v>
      </c>
      <c r="D3" s="12" t="s">
        <v>276</v>
      </c>
      <c r="O3" s="67" t="str">
        <f ca="1">_xlfn.FORMULATEXT(O4)</f>
        <v>=NORM.S.INV(RANDARRAY(10000))</v>
      </c>
      <c r="X3" s="67" t="str">
        <f ca="1">_xlfn.FORMULATEXT(X4)</f>
        <v>=GAMMA.INV(RANDARRAY(10000),10,5)</v>
      </c>
      <c r="AJ3" t="s">
        <v>277</v>
      </c>
      <c r="AK3" s="2">
        <v>0.05</v>
      </c>
    </row>
    <row r="4" spans="2:38" x14ac:dyDescent="0.2">
      <c r="B4" s="67" t="str">
        <f ca="1">_xlfn.FORMULATEXT(B5)</f>
        <v>=RAND()</v>
      </c>
      <c r="D4" s="67" t="str">
        <f ca="1">_xlfn.FORMULATEXT(D5)</f>
        <v>=RANDARRAY(6,4,-2,10,TRUE)</v>
      </c>
      <c r="I4" s="67" t="str">
        <f ca="1">_xlfn.FORMULATEXT(I5)</f>
        <v>=RANDARRAY(2,5,0,1000, FALSE)</v>
      </c>
      <c r="O4" s="2" cm="1">
        <f t="array" aca="1" ref="O4:O10003" ca="1">_xlfn.NORM.S.INV(_xlfn.RANDARRAY(10000))</f>
        <v>0.9415144339768946</v>
      </c>
      <c r="X4" s="2" cm="1">
        <f t="array" aca="1" ref="X4:X10003" ca="1">_xlfn.GAMMA.INV(_xlfn.RANDARRAY(10000),10,5)</f>
        <v>38.576413619787374</v>
      </c>
      <c r="AJ4" t="s">
        <v>278</v>
      </c>
      <c r="AK4" s="2">
        <v>0.35</v>
      </c>
    </row>
    <row r="5" spans="2:38" x14ac:dyDescent="0.2">
      <c r="B5" s="2">
        <f ca="1">RAND()</f>
        <v>0.9383968907328184</v>
      </c>
      <c r="D5" s="2" cm="1">
        <f t="array" aca="1" ref="D5:G10" ca="1">_xlfn.RANDARRAY(6,4,-2,10,TRUE)</f>
        <v>8</v>
      </c>
      <c r="E5" s="2">
        <f ca="1"/>
        <v>8</v>
      </c>
      <c r="F5" s="2">
        <f ca="1"/>
        <v>0</v>
      </c>
      <c r="G5" s="2">
        <f ca="1"/>
        <v>9</v>
      </c>
      <c r="I5" s="2" cm="1">
        <f t="array" aca="1" ref="I5:M6" ca="1">_xlfn.RANDARRAY(2,5,0,1000, FALSE)</f>
        <v>180.78048618701735</v>
      </c>
      <c r="J5" s="2">
        <f ca="1"/>
        <v>57.828779396751315</v>
      </c>
      <c r="K5" s="2">
        <f ca="1"/>
        <v>471.33982806884069</v>
      </c>
      <c r="L5" s="2">
        <f ca="1"/>
        <v>651.63295280152226</v>
      </c>
      <c r="M5" s="90">
        <f ca="1"/>
        <v>135.79488138003637</v>
      </c>
      <c r="O5" s="2">
        <f ca="1"/>
        <v>0.36739270870523427</v>
      </c>
      <c r="X5" s="2">
        <f ca="1"/>
        <v>50.195017189022224</v>
      </c>
      <c r="AJ5" t="s">
        <v>279</v>
      </c>
      <c r="AK5" s="2">
        <v>0.6</v>
      </c>
    </row>
    <row r="6" spans="2:38" x14ac:dyDescent="0.2">
      <c r="D6" s="2">
        <f ca="1"/>
        <v>0</v>
      </c>
      <c r="E6" s="2">
        <f ca="1"/>
        <v>8</v>
      </c>
      <c r="F6" s="2">
        <f ca="1"/>
        <v>10</v>
      </c>
      <c r="G6" s="2">
        <f ca="1"/>
        <v>7</v>
      </c>
      <c r="I6" s="2">
        <f ca="1"/>
        <v>406.55625298451514</v>
      </c>
      <c r="J6" s="2">
        <f ca="1"/>
        <v>793.56131004081044</v>
      </c>
      <c r="K6" s="2">
        <f ca="1"/>
        <v>202.98917150058355</v>
      </c>
      <c r="L6" s="2">
        <f ca="1"/>
        <v>771.78085896375069</v>
      </c>
      <c r="M6" s="90">
        <f ca="1"/>
        <v>915.71461920850845</v>
      </c>
      <c r="O6" s="2">
        <f ca="1"/>
        <v>-1.7823543756607212</v>
      </c>
      <c r="X6" s="2">
        <f ca="1"/>
        <v>50.910477674785291</v>
      </c>
      <c r="AG6" s="67" t="str">
        <f ca="1">_xlfn.FORMULATEXT(AG8)</f>
        <v>=RANDARRAY(10000)</v>
      </c>
    </row>
    <row r="7" spans="2:38" x14ac:dyDescent="0.2">
      <c r="D7" s="2">
        <f ca="1"/>
        <v>7</v>
      </c>
      <c r="E7" s="2">
        <f ca="1"/>
        <v>5</v>
      </c>
      <c r="F7" s="2">
        <f ca="1"/>
        <v>3</v>
      </c>
      <c r="G7" s="2">
        <f ca="1"/>
        <v>10</v>
      </c>
      <c r="O7" s="2">
        <f ca="1"/>
        <v>-1.3714055296255847</v>
      </c>
      <c r="X7" s="2">
        <f ca="1"/>
        <v>44.610957355902904</v>
      </c>
      <c r="AG7" s="67" t="str">
        <f ca="1">_xlfn.FORMULATEXT(AH8)</f>
        <v>=IFS(AG8#&lt;=AK3,AJ3, (AG8#&gt;AK3)*(AG8#&lt;=AK3+AK4),AJ4, AG8#&gt;1-AK5,AJ5)</v>
      </c>
    </row>
    <row r="8" spans="2:38" x14ac:dyDescent="0.2">
      <c r="D8" s="2">
        <f ca="1"/>
        <v>5</v>
      </c>
      <c r="E8" s="2">
        <f ca="1"/>
        <v>0</v>
      </c>
      <c r="F8" s="2">
        <f ca="1"/>
        <v>-1</v>
      </c>
      <c r="G8" s="2">
        <f ca="1"/>
        <v>2</v>
      </c>
      <c r="O8" s="2">
        <f ca="1"/>
        <v>0.33646691700039605</v>
      </c>
      <c r="X8" s="2">
        <f ca="1"/>
        <v>60.220797710306215</v>
      </c>
      <c r="AG8" s="2" cm="1">
        <f t="array" aca="1" ref="AG8:AG10007" ca="1">_xlfn.RANDARRAY(10000)</f>
        <v>0.2139428010476816</v>
      </c>
      <c r="AH8" s="2" t="str" cm="1">
        <f t="array" aca="1" ref="AH8:AH10007" ca="1">_xlfn.IFS(_xlfn.ANCHORARRAY(AG8)&lt;=AK3,AJ3, (_xlfn.ANCHORARRAY(AG8)&gt;AK3)*(_xlfn.ANCHORARRAY(AG8)&lt;=AK3+AK4),AJ4,_xlfn.ANCHORARRAY( AG8)&gt;1-AK5,AJ5)</f>
        <v>OK</v>
      </c>
    </row>
    <row r="9" spans="2:38" x14ac:dyDescent="0.2">
      <c r="D9" s="2">
        <f ca="1"/>
        <v>6</v>
      </c>
      <c r="E9" s="2">
        <f ca="1"/>
        <v>1</v>
      </c>
      <c r="F9" s="2">
        <f ca="1"/>
        <v>2</v>
      </c>
      <c r="G9" s="2">
        <f ca="1"/>
        <v>6</v>
      </c>
      <c r="O9" s="2">
        <f ca="1"/>
        <v>-1.6048691454374153E-2</v>
      </c>
      <c r="X9" s="2">
        <f ca="1"/>
        <v>24.643524168101504</v>
      </c>
      <c r="AG9" s="2">
        <f ca="1"/>
        <v>0.84672930168572424</v>
      </c>
      <c r="AH9" s="2" t="str">
        <f ca="1"/>
        <v>Bad</v>
      </c>
      <c r="AJ9" t="s">
        <v>273</v>
      </c>
      <c r="AK9" t="s">
        <v>280</v>
      </c>
      <c r="AL9" t="s">
        <v>281</v>
      </c>
    </row>
    <row r="10" spans="2:38" x14ac:dyDescent="0.2">
      <c r="D10" s="2">
        <f ca="1"/>
        <v>7</v>
      </c>
      <c r="E10" s="2">
        <f ca="1"/>
        <v>8</v>
      </c>
      <c r="F10" s="2">
        <f ca="1"/>
        <v>4</v>
      </c>
      <c r="G10" s="2">
        <f ca="1"/>
        <v>0</v>
      </c>
      <c r="O10" s="2">
        <f ca="1"/>
        <v>-1.0110329172933434</v>
      </c>
      <c r="X10" s="2">
        <f ca="1"/>
        <v>59.287171007127448</v>
      </c>
      <c r="AG10" s="2">
        <f ca="1"/>
        <v>0.94563441401041781</v>
      </c>
      <c r="AH10" s="2" t="str">
        <f ca="1"/>
        <v>Bad</v>
      </c>
      <c r="AJ10" t="s">
        <v>277</v>
      </c>
      <c r="AK10">
        <f ca="1">COUNTIF(_xlfn.ANCHORARRAY($AH$8),"="&amp;AJ3)</f>
        <v>507</v>
      </c>
      <c r="AL10">
        <f ca="1">AK10/10000</f>
        <v>5.0700000000000002E-2</v>
      </c>
    </row>
    <row r="11" spans="2:38" x14ac:dyDescent="0.2">
      <c r="O11" s="2">
        <f ca="1"/>
        <v>-0.41286317711564202</v>
      </c>
      <c r="X11" s="2">
        <f ca="1"/>
        <v>33.970785670046347</v>
      </c>
      <c r="AG11" s="2">
        <f ca="1"/>
        <v>0.60390070111889416</v>
      </c>
      <c r="AH11" s="2" t="str">
        <f ca="1"/>
        <v>Bad</v>
      </c>
      <c r="AJ11" t="s">
        <v>278</v>
      </c>
      <c r="AK11">
        <f t="shared" ref="AK11:AK12" ca="1" si="0">COUNTIF(_xlfn.ANCHORARRAY($AH$8),"="&amp;AJ4)</f>
        <v>3504</v>
      </c>
      <c r="AL11">
        <f t="shared" ref="AL11:AL12" ca="1" si="1">AK11/10000</f>
        <v>0.35039999999999999</v>
      </c>
    </row>
    <row r="12" spans="2:38" x14ac:dyDescent="0.2">
      <c r="O12" s="2">
        <f ca="1"/>
        <v>0.67985416880243654</v>
      </c>
      <c r="X12" s="2">
        <f ca="1"/>
        <v>48.742786672726055</v>
      </c>
      <c r="AG12" s="2">
        <f ca="1"/>
        <v>0.62049145817688034</v>
      </c>
      <c r="AH12" s="2" t="str">
        <f ca="1"/>
        <v>Bad</v>
      </c>
      <c r="AJ12" t="s">
        <v>279</v>
      </c>
      <c r="AK12">
        <f t="shared" ca="1" si="0"/>
        <v>5989</v>
      </c>
      <c r="AL12">
        <f t="shared" ca="1" si="1"/>
        <v>0.59889999999999999</v>
      </c>
    </row>
    <row r="13" spans="2:38" x14ac:dyDescent="0.2">
      <c r="B13" s="67" t="str">
        <f ca="1">_xlfn.FORMULATEXT(B14)</f>
        <v>=RANDARRAY(10000)</v>
      </c>
      <c r="O13" s="2">
        <f ca="1"/>
        <v>-0.68342707482252696</v>
      </c>
      <c r="X13" s="2">
        <f ca="1"/>
        <v>55.497892226612215</v>
      </c>
      <c r="AG13" s="2">
        <f ca="1"/>
        <v>1.7565375977489195E-2</v>
      </c>
      <c r="AH13" s="2" t="str">
        <f ca="1"/>
        <v>Good</v>
      </c>
    </row>
    <row r="14" spans="2:38" x14ac:dyDescent="0.2">
      <c r="B14" s="2" cm="1">
        <f t="array" aca="1" ref="B14:B10013" ca="1">_xlfn.RANDARRAY(10000)</f>
        <v>0.76422564120156222</v>
      </c>
      <c r="O14" s="2">
        <f ca="1"/>
        <v>-1.3614672031877315</v>
      </c>
      <c r="X14" s="2">
        <f ca="1"/>
        <v>33.44154699984766</v>
      </c>
      <c r="AG14" s="2">
        <f ca="1"/>
        <v>0.29717650147798347</v>
      </c>
      <c r="AH14" s="2" t="str">
        <f ca="1"/>
        <v>OK</v>
      </c>
    </row>
    <row r="15" spans="2:38" x14ac:dyDescent="0.2">
      <c r="B15" s="2">
        <f ca="1"/>
        <v>0.53254512966848466</v>
      </c>
      <c r="O15" s="2">
        <f ca="1"/>
        <v>0.72064720222755785</v>
      </c>
      <c r="X15" s="2">
        <f ca="1"/>
        <v>50.078359202494255</v>
      </c>
      <c r="AG15" s="2">
        <f ca="1"/>
        <v>0.86437856863182838</v>
      </c>
      <c r="AH15" s="2" t="str">
        <f ca="1"/>
        <v>Bad</v>
      </c>
    </row>
    <row r="16" spans="2:38" x14ac:dyDescent="0.2">
      <c r="B16" s="2">
        <f ca="1"/>
        <v>0.68603717505855677</v>
      </c>
      <c r="O16" s="2">
        <f ca="1"/>
        <v>-0.48534761587634434</v>
      </c>
      <c r="X16" s="2">
        <f ca="1"/>
        <v>52.668609989492055</v>
      </c>
      <c r="AG16" s="2">
        <f ca="1"/>
        <v>0.76460827769380124</v>
      </c>
      <c r="AH16" s="2" t="str">
        <f ca="1"/>
        <v>Bad</v>
      </c>
    </row>
    <row r="17" spans="2:34" x14ac:dyDescent="0.2">
      <c r="B17" s="2">
        <f ca="1"/>
        <v>0.13903195695177861</v>
      </c>
      <c r="O17" s="2">
        <f ca="1"/>
        <v>-0.41844430867999277</v>
      </c>
      <c r="X17" s="2">
        <f ca="1"/>
        <v>31.411491575194624</v>
      </c>
      <c r="AG17" s="2">
        <f ca="1"/>
        <v>0.94820387703986642</v>
      </c>
      <c r="AH17" s="2" t="str">
        <f ca="1"/>
        <v>Bad</v>
      </c>
    </row>
    <row r="18" spans="2:34" x14ac:dyDescent="0.2">
      <c r="B18" s="2">
        <f ca="1"/>
        <v>0.40138089561594392</v>
      </c>
      <c r="O18" s="2">
        <f ca="1"/>
        <v>1.6945072081539332</v>
      </c>
      <c r="X18" s="2">
        <f ca="1"/>
        <v>74.775335582220094</v>
      </c>
      <c r="AG18" s="2">
        <f ca="1"/>
        <v>0.518537008134347</v>
      </c>
      <c r="AH18" s="2" t="str">
        <f ca="1"/>
        <v>Bad</v>
      </c>
    </row>
    <row r="19" spans="2:34" x14ac:dyDescent="0.2">
      <c r="B19" s="2">
        <f ca="1"/>
        <v>0.89575946623227498</v>
      </c>
      <c r="O19" s="2">
        <f ca="1"/>
        <v>0.17503062497917193</v>
      </c>
      <c r="Q19" t="s">
        <v>282</v>
      </c>
      <c r="R19" t="s">
        <v>283</v>
      </c>
      <c r="X19" s="2">
        <f ca="1"/>
        <v>35.222867538752482</v>
      </c>
      <c r="Z19" t="s">
        <v>282</v>
      </c>
      <c r="AA19" t="s">
        <v>284</v>
      </c>
      <c r="AG19" s="2">
        <f ca="1"/>
        <v>0.9730434219062909</v>
      </c>
      <c r="AH19" s="2" t="str">
        <f ca="1"/>
        <v>Bad</v>
      </c>
    </row>
    <row r="20" spans="2:34" x14ac:dyDescent="0.2">
      <c r="B20" s="2">
        <f ca="1"/>
        <v>0.94286516790332531</v>
      </c>
      <c r="O20" s="2">
        <f ca="1"/>
        <v>0.68801619213024989</v>
      </c>
      <c r="Q20">
        <f ca="1">AVERAGE(_xlfn.ANCHORARRAY(O4))</f>
        <v>7.8524921896485389E-5</v>
      </c>
      <c r="R20">
        <f ca="1">STDEV(_xlfn.ANCHORARRAY(O4))</f>
        <v>0.99580322471045291</v>
      </c>
      <c r="X20" s="2">
        <f ca="1"/>
        <v>40.537222653362932</v>
      </c>
      <c r="Z20">
        <f ca="1">AVERAGE(_xlfn.ANCHORARRAY(X4))</f>
        <v>50.01512002031739</v>
      </c>
      <c r="AA20">
        <f ca="1">VAR(_xlfn.ANCHORARRAY(X4))</f>
        <v>252.14305226185812</v>
      </c>
      <c r="AG20" s="2">
        <f ca="1"/>
        <v>0.31780396650198917</v>
      </c>
      <c r="AH20" s="2" t="str">
        <f ca="1"/>
        <v>OK</v>
      </c>
    </row>
    <row r="21" spans="2:34" x14ac:dyDescent="0.2">
      <c r="B21" s="2">
        <f ca="1"/>
        <v>0.11134380964697632</v>
      </c>
      <c r="O21" s="2">
        <f ca="1"/>
        <v>-0.69681587435805126</v>
      </c>
      <c r="X21" s="2">
        <f ca="1"/>
        <v>66.679195447091033</v>
      </c>
      <c r="AG21" s="2">
        <f ca="1"/>
        <v>5.4662622150415174E-2</v>
      </c>
      <c r="AH21" s="2" t="str">
        <f ca="1"/>
        <v>OK</v>
      </c>
    </row>
    <row r="22" spans="2:34" x14ac:dyDescent="0.2">
      <c r="B22" s="2">
        <f ca="1"/>
        <v>3.5640620900598829E-3</v>
      </c>
      <c r="O22" s="2">
        <f ca="1"/>
        <v>-0.98214934299436274</v>
      </c>
      <c r="X22" s="2">
        <f ca="1"/>
        <v>57.997231329902434</v>
      </c>
      <c r="Z22" s="67" t="s">
        <v>285</v>
      </c>
      <c r="AA22" s="67"/>
      <c r="AG22" s="2">
        <f ca="1"/>
        <v>0.16354279917055803</v>
      </c>
      <c r="AH22" s="2" t="str">
        <f ca="1"/>
        <v>OK</v>
      </c>
    </row>
    <row r="23" spans="2:34" x14ac:dyDescent="0.2">
      <c r="B23" s="2">
        <f ca="1"/>
        <v>0.83511865476010572</v>
      </c>
      <c r="O23" s="2">
        <f ca="1"/>
        <v>3.7881904742565579E-2</v>
      </c>
      <c r="X23" s="2">
        <f ca="1"/>
        <v>103.70274627811995</v>
      </c>
      <c r="Z23" s="67" t="s">
        <v>282</v>
      </c>
      <c r="AA23" s="67" t="s">
        <v>284</v>
      </c>
      <c r="AG23" s="2">
        <f ca="1"/>
        <v>0.96873830284314821</v>
      </c>
      <c r="AH23" s="2" t="str">
        <f ca="1"/>
        <v>Bad</v>
      </c>
    </row>
    <row r="24" spans="2:34" x14ac:dyDescent="0.2">
      <c r="B24" s="2">
        <f ca="1"/>
        <v>0.71219114837431907</v>
      </c>
      <c r="O24" s="2">
        <f ca="1"/>
        <v>-1.0001709599531701</v>
      </c>
      <c r="X24" s="2">
        <f ca="1"/>
        <v>29.666348196087124</v>
      </c>
      <c r="Z24" s="67">
        <f>10*5</f>
        <v>50</v>
      </c>
      <c r="AA24" s="67">
        <f>10*5^2</f>
        <v>250</v>
      </c>
      <c r="AG24" s="2">
        <f ca="1"/>
        <v>0.29259726039406986</v>
      </c>
      <c r="AH24" s="2" t="str">
        <f ca="1"/>
        <v>OK</v>
      </c>
    </row>
    <row r="25" spans="2:34" x14ac:dyDescent="0.2">
      <c r="B25" s="2">
        <f ca="1"/>
        <v>0.92005708344249437</v>
      </c>
      <c r="O25" s="2">
        <f ca="1"/>
        <v>-1.6828772976713846</v>
      </c>
      <c r="X25" s="2">
        <f ca="1"/>
        <v>34.869057585947857</v>
      </c>
      <c r="AG25" s="2">
        <f ca="1"/>
        <v>0.99219510947383305</v>
      </c>
      <c r="AH25" s="2" t="str">
        <f ca="1"/>
        <v>Bad</v>
      </c>
    </row>
    <row r="26" spans="2:34" x14ac:dyDescent="0.2">
      <c r="B26" s="2">
        <f ca="1"/>
        <v>0.3201408505406913</v>
      </c>
      <c r="O26" s="2">
        <f ca="1"/>
        <v>-0.70242880438428767</v>
      </c>
      <c r="X26" s="2">
        <f ca="1"/>
        <v>42.806853130706571</v>
      </c>
      <c r="AG26" s="2">
        <f ca="1"/>
        <v>0.12964998792672122</v>
      </c>
      <c r="AH26" s="2" t="str">
        <f ca="1"/>
        <v>OK</v>
      </c>
    </row>
    <row r="27" spans="2:34" x14ac:dyDescent="0.2">
      <c r="B27" s="2">
        <f ca="1"/>
        <v>0.12378964579209262</v>
      </c>
      <c r="O27" s="2">
        <f ca="1"/>
        <v>0.95946122550976976</v>
      </c>
      <c r="X27" s="2">
        <f ca="1"/>
        <v>78.764435113275496</v>
      </c>
      <c r="AG27" s="2">
        <f ca="1"/>
        <v>0.75821986108599404</v>
      </c>
      <c r="AH27" s="2" t="str">
        <f ca="1"/>
        <v>Bad</v>
      </c>
    </row>
    <row r="28" spans="2:34" x14ac:dyDescent="0.2">
      <c r="B28" s="2">
        <f ca="1"/>
        <v>0.11141918931616135</v>
      </c>
      <c r="O28" s="2">
        <f ca="1"/>
        <v>-0.77872759259907787</v>
      </c>
      <c r="X28" s="2">
        <f ca="1"/>
        <v>62.147785494651721</v>
      </c>
      <c r="AG28" s="2">
        <f ca="1"/>
        <v>0.14507105154992561</v>
      </c>
      <c r="AH28" s="2" t="str">
        <f ca="1"/>
        <v>OK</v>
      </c>
    </row>
    <row r="29" spans="2:34" x14ac:dyDescent="0.2">
      <c r="B29" s="2">
        <f ca="1"/>
        <v>0.77101124444845404</v>
      </c>
      <c r="O29" s="2">
        <f ca="1"/>
        <v>0.54242335549171472</v>
      </c>
      <c r="X29" s="2">
        <f ca="1"/>
        <v>51.374191226371231</v>
      </c>
      <c r="AG29" s="2">
        <f ca="1"/>
        <v>7.7586985425497135E-2</v>
      </c>
      <c r="AH29" s="2" t="str">
        <f ca="1"/>
        <v>OK</v>
      </c>
    </row>
    <row r="30" spans="2:34" x14ac:dyDescent="0.2">
      <c r="B30" s="2">
        <f ca="1"/>
        <v>0.4825500854727518</v>
      </c>
      <c r="D30" t="s">
        <v>282</v>
      </c>
      <c r="E30" t="s">
        <v>286</v>
      </c>
      <c r="O30" s="2">
        <f ca="1"/>
        <v>-2.1792993611720441</v>
      </c>
      <c r="X30" s="2">
        <f ca="1"/>
        <v>65.364324498344075</v>
      </c>
      <c r="AG30" s="2">
        <f ca="1"/>
        <v>0.25955449577621859</v>
      </c>
      <c r="AH30" s="2" t="str">
        <f ca="1"/>
        <v>OK</v>
      </c>
    </row>
    <row r="31" spans="2:34" x14ac:dyDescent="0.2">
      <c r="B31" s="2">
        <f ca="1"/>
        <v>0.3799689713780765</v>
      </c>
      <c r="D31">
        <f ca="1">AVERAGE(_xlfn.ANCHORARRAY(B14))</f>
        <v>0.50221681357801695</v>
      </c>
      <c r="E31">
        <f ca="1">VAR(_xlfn.ANCHORARRAY(B14))</f>
        <v>8.4443584165891108E-2</v>
      </c>
      <c r="O31" s="2">
        <f ca="1"/>
        <v>0.17868200567346221</v>
      </c>
      <c r="X31" s="2">
        <f ca="1"/>
        <v>51.124032249446955</v>
      </c>
      <c r="AG31" s="2">
        <f ca="1"/>
        <v>0.64194261890822313</v>
      </c>
      <c r="AH31" s="2" t="str">
        <f ca="1"/>
        <v>Bad</v>
      </c>
    </row>
    <row r="32" spans="2:34" x14ac:dyDescent="0.2">
      <c r="B32" s="2">
        <f ca="1"/>
        <v>0.36715312468414996</v>
      </c>
      <c r="O32" s="2">
        <f ca="1"/>
        <v>-0.81341439843026453</v>
      </c>
      <c r="X32" s="2">
        <f ca="1"/>
        <v>53.731512803426682</v>
      </c>
      <c r="AG32" s="2">
        <f ca="1"/>
        <v>0.88263054356957316</v>
      </c>
      <c r="AH32" s="2" t="str">
        <f ca="1"/>
        <v>Bad</v>
      </c>
    </row>
    <row r="33" spans="2:34" x14ac:dyDescent="0.2">
      <c r="B33" s="2">
        <f ca="1"/>
        <v>0.97557411376264902</v>
      </c>
      <c r="E33" s="67" t="s">
        <v>287</v>
      </c>
      <c r="O33" s="2">
        <f ca="1"/>
        <v>-2.4073199999600354</v>
      </c>
      <c r="X33" s="2">
        <f ca="1"/>
        <v>63.625229776572112</v>
      </c>
      <c r="AG33" s="2">
        <f ca="1"/>
        <v>0.38808136259952075</v>
      </c>
      <c r="AH33" s="2" t="str">
        <f ca="1"/>
        <v>OK</v>
      </c>
    </row>
    <row r="34" spans="2:34" x14ac:dyDescent="0.2">
      <c r="B34" s="2">
        <f ca="1"/>
        <v>0.39731748188283933</v>
      </c>
      <c r="E34" s="67">
        <f>1/12</f>
        <v>8.3333333333333329E-2</v>
      </c>
      <c r="O34" s="2">
        <f ca="1"/>
        <v>0.79279867753772149</v>
      </c>
      <c r="X34" s="2">
        <f ca="1"/>
        <v>69.686942016790113</v>
      </c>
      <c r="AG34" s="2">
        <f ca="1"/>
        <v>0.1406711195289172</v>
      </c>
      <c r="AH34" s="2" t="str">
        <f ca="1"/>
        <v>OK</v>
      </c>
    </row>
    <row r="35" spans="2:34" x14ac:dyDescent="0.2">
      <c r="B35" s="2">
        <f ca="1"/>
        <v>6.2031754131472772E-2</v>
      </c>
      <c r="O35" s="2">
        <f ca="1"/>
        <v>0.99312085896988367</v>
      </c>
      <c r="X35" s="2">
        <f ca="1"/>
        <v>40.710384986304113</v>
      </c>
      <c r="AG35" s="2">
        <f ca="1"/>
        <v>3.3564205408185277E-3</v>
      </c>
      <c r="AH35" s="2" t="str">
        <f ca="1"/>
        <v>Good</v>
      </c>
    </row>
    <row r="36" spans="2:34" x14ac:dyDescent="0.2">
      <c r="B36" s="2">
        <f ca="1"/>
        <v>0.57692642428812846</v>
      </c>
      <c r="O36" s="2">
        <f ca="1"/>
        <v>0.33400903708512342</v>
      </c>
      <c r="X36" s="2">
        <f ca="1"/>
        <v>60.446039604690078</v>
      </c>
      <c r="AG36" s="2">
        <f ca="1"/>
        <v>0.58249033412450313</v>
      </c>
      <c r="AH36" s="2" t="str">
        <f ca="1"/>
        <v>Bad</v>
      </c>
    </row>
    <row r="37" spans="2:34" x14ac:dyDescent="0.2">
      <c r="B37" s="2">
        <f ca="1"/>
        <v>0.71868728679969429</v>
      </c>
      <c r="O37" s="2">
        <f ca="1"/>
        <v>-2.443243959580788</v>
      </c>
      <c r="X37" s="2">
        <f ca="1"/>
        <v>66.256343707948858</v>
      </c>
      <c r="AG37" s="2">
        <f ca="1"/>
        <v>0.50239026109310991</v>
      </c>
      <c r="AH37" s="2" t="str">
        <f ca="1"/>
        <v>Bad</v>
      </c>
    </row>
    <row r="38" spans="2:34" x14ac:dyDescent="0.2">
      <c r="B38" s="2">
        <f ca="1"/>
        <v>0.20166488755801004</v>
      </c>
      <c r="O38" s="2">
        <f ca="1"/>
        <v>0.56236754571418368</v>
      </c>
      <c r="X38" s="2">
        <f ca="1"/>
        <v>97.744084283707934</v>
      </c>
      <c r="AG38" s="2">
        <f ca="1"/>
        <v>0.98232772265643331</v>
      </c>
      <c r="AH38" s="2" t="str">
        <f ca="1"/>
        <v>Bad</v>
      </c>
    </row>
    <row r="39" spans="2:34" x14ac:dyDescent="0.2">
      <c r="B39" s="2">
        <f ca="1"/>
        <v>1.103611251731218E-2</v>
      </c>
      <c r="O39" s="2">
        <f ca="1"/>
        <v>0.29035780962707197</v>
      </c>
      <c r="X39" s="2">
        <f ca="1"/>
        <v>53.100088772837296</v>
      </c>
      <c r="AG39" s="2">
        <f ca="1"/>
        <v>0.16719667461816634</v>
      </c>
      <c r="AH39" s="2" t="str">
        <f ca="1"/>
        <v>OK</v>
      </c>
    </row>
    <row r="40" spans="2:34" x14ac:dyDescent="0.2">
      <c r="B40" s="2">
        <f ca="1"/>
        <v>0.54078994598133567</v>
      </c>
      <c r="O40" s="2">
        <f ca="1"/>
        <v>2.0606723459512479</v>
      </c>
      <c r="X40" s="2">
        <f ca="1"/>
        <v>37.257079870826637</v>
      </c>
      <c r="AG40" s="2">
        <f ca="1"/>
        <v>0.56516889418701854</v>
      </c>
      <c r="AH40" s="2" t="str">
        <f ca="1"/>
        <v>Bad</v>
      </c>
    </row>
    <row r="41" spans="2:34" x14ac:dyDescent="0.2">
      <c r="B41" s="2">
        <f ca="1"/>
        <v>0.76182577353117376</v>
      </c>
      <c r="O41" s="2">
        <f ca="1"/>
        <v>0.70091512297540681</v>
      </c>
      <c r="X41" s="2">
        <f ca="1"/>
        <v>67.715383781324746</v>
      </c>
      <c r="AG41" s="2">
        <f ca="1"/>
        <v>0.75589897723787103</v>
      </c>
      <c r="AH41" s="2" t="str">
        <f ca="1"/>
        <v>Bad</v>
      </c>
    </row>
    <row r="42" spans="2:34" x14ac:dyDescent="0.2">
      <c r="B42" s="2">
        <f ca="1"/>
        <v>0.45522008699544259</v>
      </c>
      <c r="O42" s="2">
        <f ca="1"/>
        <v>1.3187740178349321</v>
      </c>
      <c r="X42" s="2">
        <f ca="1"/>
        <v>66.145701217667138</v>
      </c>
      <c r="AG42" s="2">
        <f ca="1"/>
        <v>0.97612753533773611</v>
      </c>
      <c r="AH42" s="2" t="str">
        <f ca="1"/>
        <v>Bad</v>
      </c>
    </row>
    <row r="43" spans="2:34" x14ac:dyDescent="0.2">
      <c r="B43" s="2">
        <f ca="1"/>
        <v>0.40497524249462069</v>
      </c>
      <c r="O43" s="2">
        <f ca="1"/>
        <v>-0.51361825775513226</v>
      </c>
      <c r="X43" s="2">
        <f ca="1"/>
        <v>30.441772332532175</v>
      </c>
      <c r="AG43" s="2">
        <f ca="1"/>
        <v>0.86430301091589601</v>
      </c>
      <c r="AH43" s="2" t="str">
        <f ca="1"/>
        <v>Bad</v>
      </c>
    </row>
    <row r="44" spans="2:34" x14ac:dyDescent="0.2">
      <c r="B44" s="2">
        <f ca="1"/>
        <v>0.14670992041424147</v>
      </c>
      <c r="O44" s="2">
        <f ca="1"/>
        <v>-1.8054769998284341</v>
      </c>
      <c r="X44" s="2">
        <f ca="1"/>
        <v>41.894062931323404</v>
      </c>
      <c r="AG44" s="2">
        <f ca="1"/>
        <v>0.75210322559567233</v>
      </c>
      <c r="AH44" s="2" t="str">
        <f ca="1"/>
        <v>Bad</v>
      </c>
    </row>
    <row r="45" spans="2:34" x14ac:dyDescent="0.2">
      <c r="B45" s="2">
        <f ca="1"/>
        <v>0.11495027292360871</v>
      </c>
      <c r="O45" s="2">
        <f ca="1"/>
        <v>-0.90721386038490937</v>
      </c>
      <c r="X45" s="2">
        <f ca="1"/>
        <v>13.585187128130752</v>
      </c>
      <c r="AG45" s="2">
        <f ca="1"/>
        <v>0.17758438639288365</v>
      </c>
      <c r="AH45" s="2" t="str">
        <f ca="1"/>
        <v>OK</v>
      </c>
    </row>
    <row r="46" spans="2:34" x14ac:dyDescent="0.2">
      <c r="B46" s="2">
        <f ca="1"/>
        <v>0.65555461313450603</v>
      </c>
      <c r="O46" s="2">
        <f ca="1"/>
        <v>-1.7264832336799023</v>
      </c>
      <c r="X46" s="2">
        <f ca="1"/>
        <v>41.176381416841195</v>
      </c>
      <c r="AG46" s="2">
        <f ca="1"/>
        <v>0.63253361345051262</v>
      </c>
      <c r="AH46" s="2" t="str">
        <f ca="1"/>
        <v>Bad</v>
      </c>
    </row>
    <row r="47" spans="2:34" x14ac:dyDescent="0.2">
      <c r="B47" s="2">
        <f ca="1"/>
        <v>0.98182874085920768</v>
      </c>
      <c r="O47" s="2">
        <f ca="1"/>
        <v>1.1899585192919722</v>
      </c>
      <c r="X47" s="2">
        <f ca="1"/>
        <v>40.585065167806974</v>
      </c>
      <c r="AG47" s="2">
        <f ca="1"/>
        <v>0.69469903174710956</v>
      </c>
      <c r="AH47" s="2" t="str">
        <f ca="1"/>
        <v>Bad</v>
      </c>
    </row>
    <row r="48" spans="2:34" x14ac:dyDescent="0.2">
      <c r="B48" s="2">
        <f ca="1"/>
        <v>0.63053637264188223</v>
      </c>
      <c r="O48" s="2">
        <f ca="1"/>
        <v>-1.3612861486709422</v>
      </c>
      <c r="X48" s="2">
        <f ca="1"/>
        <v>63.216727486335571</v>
      </c>
      <c r="AG48" s="2">
        <f ca="1"/>
        <v>0.78471487647370619</v>
      </c>
      <c r="AH48" s="2" t="str">
        <f ca="1"/>
        <v>Bad</v>
      </c>
    </row>
    <row r="49" spans="2:34" x14ac:dyDescent="0.2">
      <c r="B49" s="2">
        <f ca="1"/>
        <v>0.24077473832755647</v>
      </c>
      <c r="O49" s="2">
        <f ca="1"/>
        <v>0.48881299530992495</v>
      </c>
      <c r="X49" s="2">
        <f ca="1"/>
        <v>67.273039914801927</v>
      </c>
      <c r="AG49" s="2">
        <f ca="1"/>
        <v>0.20109890809483688</v>
      </c>
      <c r="AH49" s="2" t="str">
        <f ca="1"/>
        <v>OK</v>
      </c>
    </row>
    <row r="50" spans="2:34" x14ac:dyDescent="0.2">
      <c r="B50" s="2">
        <f ca="1"/>
        <v>0.21188223750213364</v>
      </c>
      <c r="O50" s="2">
        <f ca="1"/>
        <v>-0.13474146284912908</v>
      </c>
      <c r="X50" s="2">
        <f ca="1"/>
        <v>38.375593744251745</v>
      </c>
      <c r="AG50" s="2">
        <f ca="1"/>
        <v>0.81517399318123274</v>
      </c>
      <c r="AH50" s="2" t="str">
        <f ca="1"/>
        <v>Bad</v>
      </c>
    </row>
    <row r="51" spans="2:34" x14ac:dyDescent="0.2">
      <c r="B51" s="2">
        <f ca="1"/>
        <v>0.12737058747049712</v>
      </c>
      <c r="O51" s="2">
        <f ca="1"/>
        <v>-0.76390742839429482</v>
      </c>
      <c r="X51" s="2">
        <f ca="1"/>
        <v>71.864517874009621</v>
      </c>
      <c r="AG51" s="2">
        <f ca="1"/>
        <v>0.15161644984192391</v>
      </c>
      <c r="AH51" s="2" t="str">
        <f ca="1"/>
        <v>OK</v>
      </c>
    </row>
    <row r="52" spans="2:34" x14ac:dyDescent="0.2">
      <c r="B52" s="2">
        <f ca="1"/>
        <v>0.5609683415130633</v>
      </c>
      <c r="O52" s="2">
        <f ca="1"/>
        <v>1.0804318102413</v>
      </c>
      <c r="X52" s="2">
        <f ca="1"/>
        <v>63.919162042629139</v>
      </c>
      <c r="AG52" s="2">
        <f ca="1"/>
        <v>3.2039781494756392E-2</v>
      </c>
      <c r="AH52" s="2" t="str">
        <f ca="1"/>
        <v>Good</v>
      </c>
    </row>
    <row r="53" spans="2:34" x14ac:dyDescent="0.2">
      <c r="B53" s="2">
        <f ca="1"/>
        <v>0.63260866060034093</v>
      </c>
      <c r="O53" s="2">
        <f ca="1"/>
        <v>-1.2018896449702114</v>
      </c>
      <c r="X53" s="2">
        <f ca="1"/>
        <v>41.728243919780041</v>
      </c>
      <c r="AG53" s="2">
        <f ca="1"/>
        <v>0.65521201053627065</v>
      </c>
      <c r="AH53" s="2" t="str">
        <f ca="1"/>
        <v>Bad</v>
      </c>
    </row>
    <row r="54" spans="2:34" x14ac:dyDescent="0.2">
      <c r="B54" s="2">
        <f ca="1"/>
        <v>0.27275688246431806</v>
      </c>
      <c r="O54" s="2">
        <f ca="1"/>
        <v>-0.18042954180731879</v>
      </c>
      <c r="X54" s="2">
        <f ca="1"/>
        <v>70.616584920117361</v>
      </c>
      <c r="AG54" s="2">
        <f ca="1"/>
        <v>0.11989546951379593</v>
      </c>
      <c r="AH54" s="2" t="str">
        <f ca="1"/>
        <v>OK</v>
      </c>
    </row>
    <row r="55" spans="2:34" x14ac:dyDescent="0.2">
      <c r="B55" s="2">
        <f ca="1"/>
        <v>0.24015838765871389</v>
      </c>
      <c r="O55" s="2">
        <f ca="1"/>
        <v>-1.1812222609679346</v>
      </c>
      <c r="X55" s="2">
        <f ca="1"/>
        <v>50.070916625696391</v>
      </c>
      <c r="AG55" s="2">
        <f ca="1"/>
        <v>0.44747406458032923</v>
      </c>
      <c r="AH55" s="2" t="str">
        <f ca="1"/>
        <v>Bad</v>
      </c>
    </row>
    <row r="56" spans="2:34" x14ac:dyDescent="0.2">
      <c r="B56" s="2">
        <f ca="1"/>
        <v>0.58135268574447529</v>
      </c>
      <c r="O56" s="2">
        <f ca="1"/>
        <v>0.84969452806239776</v>
      </c>
      <c r="X56" s="2">
        <f ca="1"/>
        <v>33.079049619051403</v>
      </c>
      <c r="AG56" s="2">
        <f ca="1"/>
        <v>0.97875615810094696</v>
      </c>
      <c r="AH56" s="2" t="str">
        <f ca="1"/>
        <v>Bad</v>
      </c>
    </row>
    <row r="57" spans="2:34" x14ac:dyDescent="0.2">
      <c r="B57" s="2">
        <f ca="1"/>
        <v>0.83557408887759088</v>
      </c>
      <c r="O57" s="2">
        <f ca="1"/>
        <v>-0.87914447391895445</v>
      </c>
      <c r="X57" s="2">
        <f ca="1"/>
        <v>40.74300179650254</v>
      </c>
      <c r="AG57" s="2">
        <f ca="1"/>
        <v>0.12889081917864487</v>
      </c>
      <c r="AH57" s="2" t="str">
        <f ca="1"/>
        <v>OK</v>
      </c>
    </row>
    <row r="58" spans="2:34" x14ac:dyDescent="0.2">
      <c r="B58" s="2">
        <f ca="1"/>
        <v>0.15353537962377661</v>
      </c>
      <c r="O58" s="2">
        <f ca="1"/>
        <v>0.84061885396120417</v>
      </c>
      <c r="X58" s="2">
        <f ca="1"/>
        <v>60.848349595558446</v>
      </c>
      <c r="AG58" s="2">
        <f ca="1"/>
        <v>0.40119926789990057</v>
      </c>
      <c r="AH58" s="2" t="str">
        <f ca="1"/>
        <v>Bad</v>
      </c>
    </row>
    <row r="59" spans="2:34" x14ac:dyDescent="0.2">
      <c r="B59" s="2">
        <f ca="1"/>
        <v>0.23725923206585509</v>
      </c>
      <c r="O59" s="2">
        <f ca="1"/>
        <v>0.13694384030036508</v>
      </c>
      <c r="X59" s="2">
        <f ca="1"/>
        <v>61.623328743770358</v>
      </c>
      <c r="AG59" s="2">
        <f ca="1"/>
        <v>0.90457122050446248</v>
      </c>
      <c r="AH59" s="2" t="str">
        <f ca="1"/>
        <v>Bad</v>
      </c>
    </row>
    <row r="60" spans="2:34" x14ac:dyDescent="0.2">
      <c r="B60" s="2">
        <f ca="1"/>
        <v>6.4933942989405136E-2</v>
      </c>
      <c r="O60" s="2">
        <f ca="1"/>
        <v>6.0575996623341108E-2</v>
      </c>
      <c r="X60" s="2">
        <f ca="1"/>
        <v>59.212660183353051</v>
      </c>
      <c r="AG60" s="2">
        <f ca="1"/>
        <v>0.60549306544437731</v>
      </c>
      <c r="AH60" s="2" t="str">
        <f ca="1"/>
        <v>Bad</v>
      </c>
    </row>
    <row r="61" spans="2:34" x14ac:dyDescent="0.2">
      <c r="B61" s="2">
        <f ca="1"/>
        <v>0.81370637595489903</v>
      </c>
      <c r="O61" s="2">
        <f ca="1"/>
        <v>0.23173701586490617</v>
      </c>
      <c r="X61" s="2">
        <f ca="1"/>
        <v>21.036874396762602</v>
      </c>
      <c r="AG61" s="2">
        <f ca="1"/>
        <v>9.2607383615451733E-2</v>
      </c>
      <c r="AH61" s="2" t="str">
        <f ca="1"/>
        <v>OK</v>
      </c>
    </row>
    <row r="62" spans="2:34" x14ac:dyDescent="0.2">
      <c r="B62" s="2">
        <f ca="1"/>
        <v>0.52011562198366579</v>
      </c>
      <c r="O62" s="2">
        <f ca="1"/>
        <v>1.2091921430970292</v>
      </c>
      <c r="X62" s="2">
        <f ca="1"/>
        <v>24.776747349388785</v>
      </c>
      <c r="AG62" s="2">
        <f ca="1"/>
        <v>0.37775770496104011</v>
      </c>
      <c r="AH62" s="2" t="str">
        <f ca="1"/>
        <v>OK</v>
      </c>
    </row>
    <row r="63" spans="2:34" x14ac:dyDescent="0.2">
      <c r="B63" s="2">
        <f ca="1"/>
        <v>0.63109896774019769</v>
      </c>
      <c r="O63" s="2">
        <f ca="1"/>
        <v>0.46843301839037255</v>
      </c>
      <c r="X63" s="2">
        <f ca="1"/>
        <v>36.418134168977389</v>
      </c>
      <c r="AG63" s="2">
        <f ca="1"/>
        <v>0.18308414525437544</v>
      </c>
      <c r="AH63" s="2" t="str">
        <f ca="1"/>
        <v>OK</v>
      </c>
    </row>
    <row r="64" spans="2:34" x14ac:dyDescent="0.2">
      <c r="B64" s="2">
        <f ca="1"/>
        <v>0.74887571546853571</v>
      </c>
      <c r="O64" s="2">
        <f ca="1"/>
        <v>-1.3363023889420076</v>
      </c>
      <c r="X64" s="2">
        <f ca="1"/>
        <v>49.002975208444369</v>
      </c>
      <c r="AG64" s="2">
        <f ca="1"/>
        <v>0.17854897780544943</v>
      </c>
      <c r="AH64" s="2" t="str">
        <f ca="1"/>
        <v>OK</v>
      </c>
    </row>
    <row r="65" spans="2:34" x14ac:dyDescent="0.2">
      <c r="B65" s="2">
        <f ca="1"/>
        <v>0.51265294468786071</v>
      </c>
      <c r="O65" s="2">
        <f ca="1"/>
        <v>-0.8369579459206733</v>
      </c>
      <c r="X65" s="2">
        <f ca="1"/>
        <v>24.865171819319869</v>
      </c>
      <c r="AG65" s="2">
        <f ca="1"/>
        <v>0.35071782361653758</v>
      </c>
      <c r="AH65" s="2" t="str">
        <f ca="1"/>
        <v>OK</v>
      </c>
    </row>
    <row r="66" spans="2:34" x14ac:dyDescent="0.2">
      <c r="B66" s="2">
        <f ca="1"/>
        <v>0.8113973887507584</v>
      </c>
      <c r="O66" s="2">
        <f ca="1"/>
        <v>7.7598396669530029E-2</v>
      </c>
      <c r="X66" s="2">
        <f ca="1"/>
        <v>34.231578157043231</v>
      </c>
      <c r="AG66" s="2">
        <f ca="1"/>
        <v>0.66626966655492348</v>
      </c>
      <c r="AH66" s="2" t="str">
        <f ca="1"/>
        <v>Bad</v>
      </c>
    </row>
    <row r="67" spans="2:34" x14ac:dyDescent="0.2">
      <c r="B67" s="2">
        <f ca="1"/>
        <v>0.56435570503778498</v>
      </c>
      <c r="O67" s="2">
        <f ca="1"/>
        <v>-0.54441578519548073</v>
      </c>
      <c r="X67" s="2">
        <f ca="1"/>
        <v>75.099260269606916</v>
      </c>
      <c r="AG67" s="2">
        <f ca="1"/>
        <v>0.98179644609382888</v>
      </c>
      <c r="AH67" s="2" t="str">
        <f ca="1"/>
        <v>Bad</v>
      </c>
    </row>
    <row r="68" spans="2:34" x14ac:dyDescent="0.2">
      <c r="B68" s="2">
        <f ca="1"/>
        <v>0.76716279052649061</v>
      </c>
      <c r="O68" s="2">
        <f ca="1"/>
        <v>-1.1153708944808296</v>
      </c>
      <c r="X68" s="2">
        <f ca="1"/>
        <v>56.993960703090877</v>
      </c>
      <c r="AG68" s="2">
        <f ca="1"/>
        <v>0.19039795996341091</v>
      </c>
      <c r="AH68" s="2" t="str">
        <f ca="1"/>
        <v>OK</v>
      </c>
    </row>
    <row r="69" spans="2:34" x14ac:dyDescent="0.2">
      <c r="B69" s="2">
        <f ca="1"/>
        <v>0.3270192069196447</v>
      </c>
      <c r="O69" s="2">
        <f ca="1"/>
        <v>0.98799464016059158</v>
      </c>
      <c r="X69" s="2">
        <f ca="1"/>
        <v>48.325119950100508</v>
      </c>
      <c r="AG69" s="2">
        <f ca="1"/>
        <v>0.19169004280809698</v>
      </c>
      <c r="AH69" s="2" t="str">
        <f ca="1"/>
        <v>OK</v>
      </c>
    </row>
    <row r="70" spans="2:34" x14ac:dyDescent="0.2">
      <c r="B70" s="2">
        <f ca="1"/>
        <v>0.53651405253141204</v>
      </c>
      <c r="O70" s="2">
        <f ca="1"/>
        <v>-0.8232841120344877</v>
      </c>
      <c r="X70" s="2">
        <f ca="1"/>
        <v>36.012406057551701</v>
      </c>
      <c r="AG70" s="2">
        <f ca="1"/>
        <v>0.79270657833644131</v>
      </c>
      <c r="AH70" s="2" t="str">
        <f ca="1"/>
        <v>Bad</v>
      </c>
    </row>
    <row r="71" spans="2:34" x14ac:dyDescent="0.2">
      <c r="B71" s="2">
        <f ca="1"/>
        <v>0.45714158052351039</v>
      </c>
      <c r="O71" s="2">
        <f ca="1"/>
        <v>2.0469267531281554</v>
      </c>
      <c r="X71" s="2">
        <f ca="1"/>
        <v>64.685593893158838</v>
      </c>
      <c r="AG71" s="2">
        <f ca="1"/>
        <v>0.59108071049339905</v>
      </c>
      <c r="AH71" s="2" t="str">
        <f ca="1"/>
        <v>Bad</v>
      </c>
    </row>
    <row r="72" spans="2:34" x14ac:dyDescent="0.2">
      <c r="B72" s="2">
        <f ca="1"/>
        <v>0.32619280518283822</v>
      </c>
      <c r="O72" s="2">
        <f ca="1"/>
        <v>1.1134970092453709</v>
      </c>
      <c r="X72" s="2">
        <f ca="1"/>
        <v>39.920522776075188</v>
      </c>
      <c r="AG72" s="2">
        <f ca="1"/>
        <v>0.5740678165865265</v>
      </c>
      <c r="AH72" s="2" t="str">
        <f ca="1"/>
        <v>Bad</v>
      </c>
    </row>
    <row r="73" spans="2:34" x14ac:dyDescent="0.2">
      <c r="B73" s="2">
        <f ca="1"/>
        <v>0.75515048043863975</v>
      </c>
      <c r="O73" s="2">
        <f ca="1"/>
        <v>-1.9286565740691437</v>
      </c>
      <c r="X73" s="2">
        <f ca="1"/>
        <v>22.997208161151292</v>
      </c>
      <c r="AG73" s="2">
        <f ca="1"/>
        <v>0.72091536350639274</v>
      </c>
      <c r="AH73" s="2" t="str">
        <f ca="1"/>
        <v>Bad</v>
      </c>
    </row>
    <row r="74" spans="2:34" x14ac:dyDescent="0.2">
      <c r="B74" s="2">
        <f ca="1"/>
        <v>0.79654655028851162</v>
      </c>
      <c r="O74" s="2">
        <f ca="1"/>
        <v>-0.15417898449434597</v>
      </c>
      <c r="X74" s="2">
        <f ca="1"/>
        <v>51.172890209051701</v>
      </c>
      <c r="AG74" s="2">
        <f ca="1"/>
        <v>0.4830161474004746</v>
      </c>
      <c r="AH74" s="2" t="str">
        <f ca="1"/>
        <v>Bad</v>
      </c>
    </row>
    <row r="75" spans="2:34" x14ac:dyDescent="0.2">
      <c r="B75" s="2">
        <f ca="1"/>
        <v>0.21765389814916514</v>
      </c>
      <c r="O75" s="2">
        <f ca="1"/>
        <v>-0.62054485833493378</v>
      </c>
      <c r="X75" s="2">
        <f ca="1"/>
        <v>54.935655217579551</v>
      </c>
      <c r="AG75" s="2">
        <f ca="1"/>
        <v>0.16537319949147355</v>
      </c>
      <c r="AH75" s="2" t="str">
        <f ca="1"/>
        <v>OK</v>
      </c>
    </row>
    <row r="76" spans="2:34" x14ac:dyDescent="0.2">
      <c r="B76" s="2">
        <f ca="1"/>
        <v>0.30395623323503207</v>
      </c>
      <c r="O76" s="2">
        <f ca="1"/>
        <v>1.7844391530534267</v>
      </c>
      <c r="X76" s="2">
        <f ca="1"/>
        <v>45.744114530554619</v>
      </c>
      <c r="AG76" s="2">
        <f ca="1"/>
        <v>0.10345903257596656</v>
      </c>
      <c r="AH76" s="2" t="str">
        <f ca="1"/>
        <v>OK</v>
      </c>
    </row>
    <row r="77" spans="2:34" x14ac:dyDescent="0.2">
      <c r="B77" s="2">
        <f ca="1"/>
        <v>0.21946496398736648</v>
      </c>
      <c r="O77" s="2">
        <f ca="1"/>
        <v>0.25805919294185953</v>
      </c>
      <c r="X77" s="2">
        <f ca="1"/>
        <v>66.574453475685104</v>
      </c>
      <c r="AG77" s="2">
        <f ca="1"/>
        <v>0.7190898464719564</v>
      </c>
      <c r="AH77" s="2" t="str">
        <f ca="1"/>
        <v>Bad</v>
      </c>
    </row>
    <row r="78" spans="2:34" x14ac:dyDescent="0.2">
      <c r="B78" s="2">
        <f ca="1"/>
        <v>0.37024647734998428</v>
      </c>
      <c r="O78" s="2">
        <f ca="1"/>
        <v>5.4251096291255636E-2</v>
      </c>
      <c r="X78" s="2">
        <f ca="1"/>
        <v>45.084009036077994</v>
      </c>
      <c r="AG78" s="2">
        <f ca="1"/>
        <v>1.2536599506653978E-2</v>
      </c>
      <c r="AH78" s="2" t="str">
        <f ca="1"/>
        <v>Good</v>
      </c>
    </row>
    <row r="79" spans="2:34" x14ac:dyDescent="0.2">
      <c r="B79" s="2">
        <f ca="1"/>
        <v>0.67623393770362061</v>
      </c>
      <c r="O79" s="2">
        <f ca="1"/>
        <v>1.5477971894778051</v>
      </c>
      <c r="X79" s="2">
        <f ca="1"/>
        <v>50.34661745181949</v>
      </c>
      <c r="AG79" s="2">
        <f ca="1"/>
        <v>0.43662801788533168</v>
      </c>
      <c r="AH79" s="2" t="str">
        <f ca="1"/>
        <v>Bad</v>
      </c>
    </row>
    <row r="80" spans="2:34" x14ac:dyDescent="0.2">
      <c r="B80" s="2">
        <f ca="1"/>
        <v>0.73392513640226809</v>
      </c>
      <c r="O80" s="2">
        <f ca="1"/>
        <v>0.70762265161541393</v>
      </c>
      <c r="X80" s="2">
        <f ca="1"/>
        <v>44.521272347357709</v>
      </c>
      <c r="AG80" s="2">
        <f ca="1"/>
        <v>0.22101144125423944</v>
      </c>
      <c r="AH80" s="2" t="str">
        <f ca="1"/>
        <v>OK</v>
      </c>
    </row>
    <row r="81" spans="2:34" x14ac:dyDescent="0.2">
      <c r="B81" s="2">
        <f ca="1"/>
        <v>0.68283306640823516</v>
      </c>
      <c r="O81" s="2">
        <f ca="1"/>
        <v>0.47811048771417675</v>
      </c>
      <c r="X81" s="2">
        <f ca="1"/>
        <v>44.996794420072071</v>
      </c>
      <c r="AG81" s="2">
        <f ca="1"/>
        <v>0.29850724231082393</v>
      </c>
      <c r="AH81" s="2" t="str">
        <f ca="1"/>
        <v>OK</v>
      </c>
    </row>
    <row r="82" spans="2:34" x14ac:dyDescent="0.2">
      <c r="B82" s="2">
        <f ca="1"/>
        <v>0.48194528333452613</v>
      </c>
      <c r="O82" s="2">
        <f ca="1"/>
        <v>-1.3735052131384005</v>
      </c>
      <c r="X82" s="2">
        <f ca="1"/>
        <v>72.479723362906128</v>
      </c>
      <c r="AG82" s="2">
        <f ca="1"/>
        <v>0.59551317246872304</v>
      </c>
      <c r="AH82" s="2" t="str">
        <f ca="1"/>
        <v>Bad</v>
      </c>
    </row>
    <row r="83" spans="2:34" x14ac:dyDescent="0.2">
      <c r="B83" s="2">
        <f ca="1"/>
        <v>0.78259624656196247</v>
      </c>
      <c r="O83" s="2">
        <f ca="1"/>
        <v>-0.99986198902726819</v>
      </c>
      <c r="X83" s="2">
        <f ca="1"/>
        <v>47.252451915750953</v>
      </c>
      <c r="AG83" s="2">
        <f ca="1"/>
        <v>0.14218466650368811</v>
      </c>
      <c r="AH83" s="2" t="str">
        <f ca="1"/>
        <v>OK</v>
      </c>
    </row>
    <row r="84" spans="2:34" x14ac:dyDescent="0.2">
      <c r="B84" s="2">
        <f ca="1"/>
        <v>0.62640191821563929</v>
      </c>
      <c r="O84" s="2">
        <f ca="1"/>
        <v>-0.48710018749812306</v>
      </c>
      <c r="X84" s="2">
        <f ca="1"/>
        <v>46.712103378191465</v>
      </c>
      <c r="AG84" s="2">
        <f ca="1"/>
        <v>0.45959131982687884</v>
      </c>
      <c r="AH84" s="2" t="str">
        <f ca="1"/>
        <v>Bad</v>
      </c>
    </row>
    <row r="85" spans="2:34" x14ac:dyDescent="0.2">
      <c r="B85" s="2">
        <f ca="1"/>
        <v>0.6762091567785331</v>
      </c>
      <c r="O85" s="2">
        <f ca="1"/>
        <v>-0.92656372970588108</v>
      </c>
      <c r="X85" s="2">
        <f ca="1"/>
        <v>23.898303577629957</v>
      </c>
      <c r="AG85" s="2">
        <f ca="1"/>
        <v>0.36733055165345974</v>
      </c>
      <c r="AH85" s="2" t="str">
        <f ca="1"/>
        <v>OK</v>
      </c>
    </row>
    <row r="86" spans="2:34" x14ac:dyDescent="0.2">
      <c r="B86" s="2">
        <f ca="1"/>
        <v>1.5690061547807943E-2</v>
      </c>
      <c r="O86" s="2">
        <f ca="1"/>
        <v>0.29907951163059915</v>
      </c>
      <c r="X86" s="2">
        <f ca="1"/>
        <v>53.41527842713915</v>
      </c>
      <c r="AG86" s="2">
        <f ca="1"/>
        <v>0.10613848146021887</v>
      </c>
      <c r="AH86" s="2" t="str">
        <f ca="1"/>
        <v>OK</v>
      </c>
    </row>
    <row r="87" spans="2:34" x14ac:dyDescent="0.2">
      <c r="B87" s="2">
        <f ca="1"/>
        <v>7.9636780715374833E-2</v>
      </c>
      <c r="O87" s="2">
        <f ca="1"/>
        <v>-0.17571381029207858</v>
      </c>
      <c r="X87" s="2">
        <f ca="1"/>
        <v>59.523485727364537</v>
      </c>
      <c r="AG87" s="2">
        <f ca="1"/>
        <v>9.9715020427930234E-2</v>
      </c>
      <c r="AH87" s="2" t="str">
        <f ca="1"/>
        <v>OK</v>
      </c>
    </row>
    <row r="88" spans="2:34" x14ac:dyDescent="0.2">
      <c r="B88" s="2">
        <f ca="1"/>
        <v>3.5549970495010408E-2</v>
      </c>
      <c r="O88" s="2">
        <f ca="1"/>
        <v>0.47586189428618353</v>
      </c>
      <c r="X88" s="2">
        <f ca="1"/>
        <v>39.301520980345991</v>
      </c>
      <c r="AG88" s="2">
        <f ca="1"/>
        <v>0.92401152491420024</v>
      </c>
      <c r="AH88" s="2" t="str">
        <f ca="1"/>
        <v>Bad</v>
      </c>
    </row>
    <row r="89" spans="2:34" x14ac:dyDescent="0.2">
      <c r="B89" s="2">
        <f ca="1"/>
        <v>9.588507587348416E-2</v>
      </c>
      <c r="O89" s="2">
        <f ca="1"/>
        <v>-0.47651191544793342</v>
      </c>
      <c r="X89" s="2">
        <f ca="1"/>
        <v>62.061907313001925</v>
      </c>
      <c r="AG89" s="2">
        <f ca="1"/>
        <v>0.91671969261175823</v>
      </c>
      <c r="AH89" s="2" t="str">
        <f ca="1"/>
        <v>Bad</v>
      </c>
    </row>
    <row r="90" spans="2:34" x14ac:dyDescent="0.2">
      <c r="B90" s="2">
        <f ca="1"/>
        <v>0.61768261811164371</v>
      </c>
      <c r="O90" s="2">
        <f ca="1"/>
        <v>0.60459607907250523</v>
      </c>
      <c r="X90" s="2">
        <f ca="1"/>
        <v>48.373701344266152</v>
      </c>
      <c r="AG90" s="2">
        <f ca="1"/>
        <v>0.8364934861845108</v>
      </c>
      <c r="AH90" s="2" t="str">
        <f ca="1"/>
        <v>Bad</v>
      </c>
    </row>
    <row r="91" spans="2:34" x14ac:dyDescent="0.2">
      <c r="B91" s="2">
        <f ca="1"/>
        <v>0.44418466806153423</v>
      </c>
      <c r="O91" s="2">
        <f ca="1"/>
        <v>0.31808301526222388</v>
      </c>
      <c r="X91" s="2">
        <f ca="1"/>
        <v>53.015773934409893</v>
      </c>
      <c r="AG91" s="2">
        <f ca="1"/>
        <v>0.22598693410207304</v>
      </c>
      <c r="AH91" s="2" t="str">
        <f ca="1"/>
        <v>OK</v>
      </c>
    </row>
    <row r="92" spans="2:34" x14ac:dyDescent="0.2">
      <c r="B92" s="2">
        <f ca="1"/>
        <v>0.69273493647185491</v>
      </c>
      <c r="O92" s="2">
        <f ca="1"/>
        <v>0.54973325830045761</v>
      </c>
      <c r="X92" s="2">
        <f ca="1"/>
        <v>57.656314850182881</v>
      </c>
      <c r="AG92" s="2">
        <f ca="1"/>
        <v>0.15718333893204273</v>
      </c>
      <c r="AH92" s="2" t="str">
        <f ca="1"/>
        <v>OK</v>
      </c>
    </row>
    <row r="93" spans="2:34" x14ac:dyDescent="0.2">
      <c r="B93" s="2">
        <f ca="1"/>
        <v>0.24076796430789615</v>
      </c>
      <c r="O93" s="2">
        <f ca="1"/>
        <v>0.18043589591780437</v>
      </c>
      <c r="X93" s="2">
        <f ca="1"/>
        <v>59.750282434834752</v>
      </c>
      <c r="AG93" s="2">
        <f ca="1"/>
        <v>4.7868331118244623E-2</v>
      </c>
      <c r="AH93" s="2" t="str">
        <f ca="1"/>
        <v>Good</v>
      </c>
    </row>
    <row r="94" spans="2:34" x14ac:dyDescent="0.2">
      <c r="B94" s="2">
        <f ca="1"/>
        <v>0.18534526190477063</v>
      </c>
      <c r="O94" s="2">
        <f ca="1"/>
        <v>0.29601324716968447</v>
      </c>
      <c r="X94" s="2">
        <f ca="1"/>
        <v>21.977256633299941</v>
      </c>
      <c r="AG94" s="2">
        <f ca="1"/>
        <v>0.51016960889315688</v>
      </c>
      <c r="AH94" s="2" t="str">
        <f ca="1"/>
        <v>Bad</v>
      </c>
    </row>
    <row r="95" spans="2:34" x14ac:dyDescent="0.2">
      <c r="B95" s="2">
        <f ca="1"/>
        <v>0.53659187993881985</v>
      </c>
      <c r="O95" s="2">
        <f ca="1"/>
        <v>1.4123774256970194</v>
      </c>
      <c r="X95" s="2">
        <f ca="1"/>
        <v>28.385803293942892</v>
      </c>
      <c r="AG95" s="2">
        <f ca="1"/>
        <v>0.74903608300331914</v>
      </c>
      <c r="AH95" s="2" t="str">
        <f ca="1"/>
        <v>Bad</v>
      </c>
    </row>
    <row r="96" spans="2:34" x14ac:dyDescent="0.2">
      <c r="B96" s="2">
        <f ca="1"/>
        <v>0.92497080283683419</v>
      </c>
      <c r="O96" s="2">
        <f ca="1"/>
        <v>0.21108169483916042</v>
      </c>
      <c r="X96" s="2">
        <f ca="1"/>
        <v>29.455049635369804</v>
      </c>
      <c r="AG96" s="2">
        <f ca="1"/>
        <v>0.73717657853396323</v>
      </c>
      <c r="AH96" s="2" t="str">
        <f ca="1"/>
        <v>Bad</v>
      </c>
    </row>
    <row r="97" spans="2:34" x14ac:dyDescent="0.2">
      <c r="B97" s="2">
        <f ca="1"/>
        <v>0.24498345336814276</v>
      </c>
      <c r="O97" s="2">
        <f ca="1"/>
        <v>-1.6320300060695417E-2</v>
      </c>
      <c r="X97" s="2">
        <f ca="1"/>
        <v>54.484109174236153</v>
      </c>
      <c r="AG97" s="2">
        <f ca="1"/>
        <v>0.73532227562783725</v>
      </c>
      <c r="AH97" s="2" t="str">
        <f ca="1"/>
        <v>Bad</v>
      </c>
    </row>
    <row r="98" spans="2:34" x14ac:dyDescent="0.2">
      <c r="B98" s="2">
        <f ca="1"/>
        <v>1.9768260122372983E-2</v>
      </c>
      <c r="O98" s="2">
        <f ca="1"/>
        <v>0.68156660814173875</v>
      </c>
      <c r="X98" s="2">
        <f ca="1"/>
        <v>42.872071575705149</v>
      </c>
      <c r="AG98" s="2">
        <f ca="1"/>
        <v>0.39299784732834619</v>
      </c>
      <c r="AH98" s="2" t="str">
        <f ca="1"/>
        <v>OK</v>
      </c>
    </row>
    <row r="99" spans="2:34" x14ac:dyDescent="0.2">
      <c r="B99" s="2">
        <f ca="1"/>
        <v>0.39632430535422891</v>
      </c>
      <c r="O99" s="2">
        <f ca="1"/>
        <v>1.1819121138246043</v>
      </c>
      <c r="X99" s="2">
        <f ca="1"/>
        <v>80.909370333247566</v>
      </c>
      <c r="AG99" s="2">
        <f ca="1"/>
        <v>0.7170493435323404</v>
      </c>
      <c r="AH99" s="2" t="str">
        <f ca="1"/>
        <v>Bad</v>
      </c>
    </row>
    <row r="100" spans="2:34" x14ac:dyDescent="0.2">
      <c r="B100" s="2">
        <f ca="1"/>
        <v>0.6460340990559148</v>
      </c>
      <c r="O100" s="2">
        <f ca="1"/>
        <v>-0.58219887612651267</v>
      </c>
      <c r="X100" s="2">
        <f ca="1"/>
        <v>63.761837370222885</v>
      </c>
      <c r="AG100" s="2">
        <f ca="1"/>
        <v>0.1792430888405887</v>
      </c>
      <c r="AH100" s="2" t="str">
        <f ca="1"/>
        <v>OK</v>
      </c>
    </row>
    <row r="101" spans="2:34" x14ac:dyDescent="0.2">
      <c r="B101" s="2">
        <f ca="1"/>
        <v>0.19249661958072495</v>
      </c>
      <c r="O101" s="2">
        <f ca="1"/>
        <v>-0.2845503143865451</v>
      </c>
      <c r="X101" s="2">
        <f ca="1"/>
        <v>26.332185132747149</v>
      </c>
      <c r="AG101" s="2">
        <f ca="1"/>
        <v>0.70642765980550437</v>
      </c>
      <c r="AH101" s="2" t="str">
        <f ca="1"/>
        <v>Bad</v>
      </c>
    </row>
    <row r="102" spans="2:34" x14ac:dyDescent="0.2">
      <c r="B102" s="2">
        <f ca="1"/>
        <v>0.81959087471768277</v>
      </c>
      <c r="O102" s="2">
        <f ca="1"/>
        <v>-0.63316701088949745</v>
      </c>
      <c r="X102" s="2">
        <f ca="1"/>
        <v>45.88584267828324</v>
      </c>
      <c r="AG102" s="2">
        <f ca="1"/>
        <v>0.13708024269218466</v>
      </c>
      <c r="AH102" s="2" t="str">
        <f ca="1"/>
        <v>OK</v>
      </c>
    </row>
    <row r="103" spans="2:34" x14ac:dyDescent="0.2">
      <c r="B103" s="2">
        <f ca="1"/>
        <v>0.16409199923247519</v>
      </c>
      <c r="O103" s="2">
        <f ca="1"/>
        <v>1.2457566919707144</v>
      </c>
      <c r="X103" s="2">
        <f ca="1"/>
        <v>39.015929757582313</v>
      </c>
      <c r="AG103" s="2">
        <f ca="1"/>
        <v>0.4553152966899372</v>
      </c>
      <c r="AH103" s="2" t="str">
        <f ca="1"/>
        <v>Bad</v>
      </c>
    </row>
    <row r="104" spans="2:34" x14ac:dyDescent="0.2">
      <c r="B104" s="2">
        <f ca="1"/>
        <v>0.66183327517315127</v>
      </c>
      <c r="O104" s="2">
        <f ca="1"/>
        <v>1.1039469673667186</v>
      </c>
      <c r="X104" s="2">
        <f ca="1"/>
        <v>66.949998367565911</v>
      </c>
      <c r="AG104" s="2">
        <f ca="1"/>
        <v>0.74012848749947335</v>
      </c>
      <c r="AH104" s="2" t="str">
        <f ca="1"/>
        <v>Bad</v>
      </c>
    </row>
    <row r="105" spans="2:34" x14ac:dyDescent="0.2">
      <c r="B105" s="2">
        <f ca="1"/>
        <v>0.91684858506345424</v>
      </c>
      <c r="O105" s="2">
        <f ca="1"/>
        <v>2.0417520173781765</v>
      </c>
      <c r="X105" s="2">
        <f ca="1"/>
        <v>47.409189363690359</v>
      </c>
      <c r="AG105" s="2">
        <f ca="1"/>
        <v>0.105059821690902</v>
      </c>
      <c r="AH105" s="2" t="str">
        <f ca="1"/>
        <v>OK</v>
      </c>
    </row>
    <row r="106" spans="2:34" x14ac:dyDescent="0.2">
      <c r="B106" s="2">
        <f ca="1"/>
        <v>0.84266165654521608</v>
      </c>
      <c r="O106" s="2">
        <f ca="1"/>
        <v>-1.418442207683541</v>
      </c>
      <c r="X106" s="2">
        <f ca="1"/>
        <v>46.954383053972684</v>
      </c>
      <c r="AG106" s="2">
        <f ca="1"/>
        <v>0.8025908316967767</v>
      </c>
      <c r="AH106" s="2" t="str">
        <f ca="1"/>
        <v>Bad</v>
      </c>
    </row>
    <row r="107" spans="2:34" x14ac:dyDescent="0.2">
      <c r="B107" s="2">
        <f ca="1"/>
        <v>0.68144947662560584</v>
      </c>
      <c r="O107" s="2">
        <f ca="1"/>
        <v>-1.3436631477046286</v>
      </c>
      <c r="X107" s="2">
        <f ca="1"/>
        <v>28.176144215269975</v>
      </c>
      <c r="AG107" s="2">
        <f ca="1"/>
        <v>0.10825968286307019</v>
      </c>
      <c r="AH107" s="2" t="str">
        <f ca="1"/>
        <v>OK</v>
      </c>
    </row>
    <row r="108" spans="2:34" x14ac:dyDescent="0.2">
      <c r="B108" s="2">
        <f ca="1"/>
        <v>0.45792871019927528</v>
      </c>
      <c r="O108" s="2">
        <f ca="1"/>
        <v>0.27520623482129392</v>
      </c>
      <c r="X108" s="2">
        <f ca="1"/>
        <v>61.878136174521615</v>
      </c>
      <c r="AG108" s="2">
        <f ca="1"/>
        <v>0.52567478118354671</v>
      </c>
      <c r="AH108" s="2" t="str">
        <f ca="1"/>
        <v>Bad</v>
      </c>
    </row>
    <row r="109" spans="2:34" x14ac:dyDescent="0.2">
      <c r="B109" s="2">
        <f ca="1"/>
        <v>0.36139587836682208</v>
      </c>
      <c r="O109" s="2">
        <f ca="1"/>
        <v>0.99213202704750092</v>
      </c>
      <c r="X109" s="2">
        <f ca="1"/>
        <v>33.938229406479891</v>
      </c>
      <c r="AG109" s="2">
        <f ca="1"/>
        <v>0.68080522989534153</v>
      </c>
      <c r="AH109" s="2" t="str">
        <f ca="1"/>
        <v>Bad</v>
      </c>
    </row>
    <row r="110" spans="2:34" x14ac:dyDescent="0.2">
      <c r="B110" s="2">
        <f ca="1"/>
        <v>0.41633634218038984</v>
      </c>
      <c r="O110" s="2">
        <f ca="1"/>
        <v>1.2232482751599527</v>
      </c>
      <c r="X110" s="2">
        <f ca="1"/>
        <v>45.895217432656985</v>
      </c>
      <c r="AG110" s="2">
        <f ca="1"/>
        <v>0.21252178591901538</v>
      </c>
      <c r="AH110" s="2" t="str">
        <f ca="1"/>
        <v>OK</v>
      </c>
    </row>
    <row r="111" spans="2:34" x14ac:dyDescent="0.2">
      <c r="B111" s="2">
        <f ca="1"/>
        <v>0.12373850664008024</v>
      </c>
      <c r="O111" s="2">
        <f ca="1"/>
        <v>0.43236342953244067</v>
      </c>
      <c r="X111" s="2">
        <f ca="1"/>
        <v>62.856098292004106</v>
      </c>
      <c r="AG111" s="2">
        <f ca="1"/>
        <v>0.42685369659574302</v>
      </c>
      <c r="AH111" s="2" t="str">
        <f ca="1"/>
        <v>Bad</v>
      </c>
    </row>
    <row r="112" spans="2:34" x14ac:dyDescent="0.2">
      <c r="B112" s="2">
        <f ca="1"/>
        <v>0.74279476570880165</v>
      </c>
      <c r="O112" s="2">
        <f ca="1"/>
        <v>-1.0634402054696794</v>
      </c>
      <c r="X112" s="2">
        <f ca="1"/>
        <v>47.51603052986394</v>
      </c>
      <c r="AG112" s="2">
        <f ca="1"/>
        <v>0.14594012490977759</v>
      </c>
      <c r="AH112" s="2" t="str">
        <f ca="1"/>
        <v>OK</v>
      </c>
    </row>
    <row r="113" spans="2:34" x14ac:dyDescent="0.2">
      <c r="B113" s="2">
        <f ca="1"/>
        <v>0.87454744288821917</v>
      </c>
      <c r="O113" s="2">
        <f ca="1"/>
        <v>0.96239770136799863</v>
      </c>
      <c r="X113" s="2">
        <f ca="1"/>
        <v>45.811594325845221</v>
      </c>
      <c r="AG113" s="2">
        <f ca="1"/>
        <v>0.75192747705833551</v>
      </c>
      <c r="AH113" s="2" t="str">
        <f ca="1"/>
        <v>Bad</v>
      </c>
    </row>
    <row r="114" spans="2:34" x14ac:dyDescent="0.2">
      <c r="B114" s="2">
        <f ca="1"/>
        <v>0.73131744061582959</v>
      </c>
      <c r="O114" s="2">
        <f ca="1"/>
        <v>6.521825598485767E-2</v>
      </c>
      <c r="X114" s="2">
        <f ca="1"/>
        <v>71.817339386354377</v>
      </c>
      <c r="AG114" s="2">
        <f ca="1"/>
        <v>0.11566395904731008</v>
      </c>
      <c r="AH114" s="2" t="str">
        <f ca="1"/>
        <v>OK</v>
      </c>
    </row>
    <row r="115" spans="2:34" x14ac:dyDescent="0.2">
      <c r="B115" s="2">
        <f ca="1"/>
        <v>0.4489208104505662</v>
      </c>
      <c r="O115" s="2">
        <f ca="1"/>
        <v>0.14486730963892436</v>
      </c>
      <c r="X115" s="2">
        <f ca="1"/>
        <v>54.554589292338903</v>
      </c>
      <c r="AG115" s="2">
        <f ca="1"/>
        <v>0.71291212668244697</v>
      </c>
      <c r="AH115" s="2" t="str">
        <f ca="1"/>
        <v>Bad</v>
      </c>
    </row>
    <row r="116" spans="2:34" x14ac:dyDescent="0.2">
      <c r="B116" s="2">
        <f ca="1"/>
        <v>0.92758508771288839</v>
      </c>
      <c r="O116" s="2">
        <f ca="1"/>
        <v>1.4513484287206369</v>
      </c>
      <c r="X116" s="2">
        <f ca="1"/>
        <v>47.213837124315596</v>
      </c>
      <c r="AG116" s="2">
        <f ca="1"/>
        <v>0.49398042058038927</v>
      </c>
      <c r="AH116" s="2" t="str">
        <f ca="1"/>
        <v>Bad</v>
      </c>
    </row>
    <row r="117" spans="2:34" x14ac:dyDescent="0.2">
      <c r="B117" s="2">
        <f ca="1"/>
        <v>5.5679961337107287E-2</v>
      </c>
      <c r="O117" s="2">
        <f ca="1"/>
        <v>0.35094647365701748</v>
      </c>
      <c r="X117" s="2">
        <f ca="1"/>
        <v>48.779109914872969</v>
      </c>
      <c r="AG117" s="2">
        <f ca="1"/>
        <v>0.320640882040232</v>
      </c>
      <c r="AH117" s="2" t="str">
        <f ca="1"/>
        <v>OK</v>
      </c>
    </row>
    <row r="118" spans="2:34" x14ac:dyDescent="0.2">
      <c r="B118" s="2">
        <f ca="1"/>
        <v>0.97933443492612904</v>
      </c>
      <c r="O118" s="2">
        <f ca="1"/>
        <v>2.0658636802339094</v>
      </c>
      <c r="X118" s="2">
        <f ca="1"/>
        <v>40.293464619797504</v>
      </c>
      <c r="AG118" s="2">
        <f ca="1"/>
        <v>0.90615415122086751</v>
      </c>
      <c r="AH118" s="2" t="str">
        <f ca="1"/>
        <v>Bad</v>
      </c>
    </row>
    <row r="119" spans="2:34" x14ac:dyDescent="0.2">
      <c r="B119" s="2">
        <f ca="1"/>
        <v>0.46963535726502226</v>
      </c>
      <c r="O119" s="2">
        <f ca="1"/>
        <v>-0.9417318675145181</v>
      </c>
      <c r="X119" s="2">
        <f ca="1"/>
        <v>59.541670021632378</v>
      </c>
      <c r="AG119" s="2">
        <f ca="1"/>
        <v>0.6921258962928396</v>
      </c>
      <c r="AH119" s="2" t="str">
        <f ca="1"/>
        <v>Bad</v>
      </c>
    </row>
    <row r="120" spans="2:34" x14ac:dyDescent="0.2">
      <c r="B120" s="2">
        <f ca="1"/>
        <v>0.64132803252018489</v>
      </c>
      <c r="O120" s="2">
        <f ca="1"/>
        <v>1.6308145271695409</v>
      </c>
      <c r="X120" s="2">
        <f ca="1"/>
        <v>43.103513821403688</v>
      </c>
      <c r="AG120" s="2">
        <f ca="1"/>
        <v>8.9556790691063037E-2</v>
      </c>
      <c r="AH120" s="2" t="str">
        <f ca="1"/>
        <v>OK</v>
      </c>
    </row>
    <row r="121" spans="2:34" x14ac:dyDescent="0.2">
      <c r="B121" s="2">
        <f ca="1"/>
        <v>0.35904210012134197</v>
      </c>
      <c r="O121" s="2">
        <f ca="1"/>
        <v>1.1487225811836417</v>
      </c>
      <c r="X121" s="2">
        <f ca="1"/>
        <v>56.144858643131172</v>
      </c>
      <c r="AG121" s="2">
        <f ca="1"/>
        <v>0.64579202426011584</v>
      </c>
      <c r="AH121" s="2" t="str">
        <f ca="1"/>
        <v>Bad</v>
      </c>
    </row>
    <row r="122" spans="2:34" x14ac:dyDescent="0.2">
      <c r="B122" s="2">
        <f ca="1"/>
        <v>0.43594085753783718</v>
      </c>
      <c r="O122" s="2">
        <f ca="1"/>
        <v>-0.9968048186920756</v>
      </c>
      <c r="X122" s="2">
        <f ca="1"/>
        <v>71.505767270422808</v>
      </c>
      <c r="AG122" s="2">
        <f ca="1"/>
        <v>1.5091655237241985E-2</v>
      </c>
      <c r="AH122" s="2" t="str">
        <f ca="1"/>
        <v>Good</v>
      </c>
    </row>
    <row r="123" spans="2:34" x14ac:dyDescent="0.2">
      <c r="B123" s="2">
        <f ca="1"/>
        <v>0.53460217188231174</v>
      </c>
      <c r="O123" s="2">
        <f ca="1"/>
        <v>-1.0514079174469237</v>
      </c>
      <c r="X123" s="2">
        <f ca="1"/>
        <v>58.558318807336292</v>
      </c>
      <c r="AG123" s="2">
        <f ca="1"/>
        <v>0.96152631005091749</v>
      </c>
      <c r="AH123" s="2" t="str">
        <f ca="1"/>
        <v>Bad</v>
      </c>
    </row>
    <row r="124" spans="2:34" x14ac:dyDescent="0.2">
      <c r="B124" s="2">
        <f ca="1"/>
        <v>0.72948266528909222</v>
      </c>
      <c r="O124" s="2">
        <f ca="1"/>
        <v>0.84338097361304132</v>
      </c>
      <c r="X124" s="2">
        <f ca="1"/>
        <v>42.552512088906823</v>
      </c>
      <c r="AG124" s="2">
        <f ca="1"/>
        <v>0.33532098383947506</v>
      </c>
      <c r="AH124" s="2" t="str">
        <f ca="1"/>
        <v>OK</v>
      </c>
    </row>
    <row r="125" spans="2:34" x14ac:dyDescent="0.2">
      <c r="B125" s="2">
        <f ca="1"/>
        <v>0.67296752986546315</v>
      </c>
      <c r="O125" s="2">
        <f ca="1"/>
        <v>5.6048670398377999E-2</v>
      </c>
      <c r="X125" s="2">
        <f ca="1"/>
        <v>55.372189105249817</v>
      </c>
      <c r="AG125" s="2">
        <f ca="1"/>
        <v>0.60365824249216637</v>
      </c>
      <c r="AH125" s="2" t="str">
        <f ca="1"/>
        <v>Bad</v>
      </c>
    </row>
    <row r="126" spans="2:34" x14ac:dyDescent="0.2">
      <c r="B126" s="2">
        <f ca="1"/>
        <v>9.6521744269046916E-2</v>
      </c>
      <c r="O126" s="2">
        <f ca="1"/>
        <v>0.48063206572899103</v>
      </c>
      <c r="X126" s="2">
        <f ca="1"/>
        <v>37.810366084556279</v>
      </c>
      <c r="AG126" s="2">
        <f ca="1"/>
        <v>0.51914624066837112</v>
      </c>
      <c r="AH126" s="2" t="str">
        <f ca="1"/>
        <v>Bad</v>
      </c>
    </row>
    <row r="127" spans="2:34" x14ac:dyDescent="0.2">
      <c r="B127" s="2">
        <f ca="1"/>
        <v>0.68649024785663482</v>
      </c>
      <c r="O127" s="2">
        <f ca="1"/>
        <v>0.93874316321912299</v>
      </c>
      <c r="X127" s="2">
        <f ca="1"/>
        <v>42.417665286155035</v>
      </c>
      <c r="AG127" s="2">
        <f ca="1"/>
        <v>0.66181892284003507</v>
      </c>
      <c r="AH127" s="2" t="str">
        <f ca="1"/>
        <v>Bad</v>
      </c>
    </row>
    <row r="128" spans="2:34" x14ac:dyDescent="0.2">
      <c r="B128" s="2">
        <f ca="1"/>
        <v>0.32033453371722387</v>
      </c>
      <c r="O128" s="2">
        <f ca="1"/>
        <v>0.24798367166859575</v>
      </c>
      <c r="X128" s="2">
        <f ca="1"/>
        <v>39.338353088655829</v>
      </c>
      <c r="AG128" s="2">
        <f ca="1"/>
        <v>0.93440055193639315</v>
      </c>
      <c r="AH128" s="2" t="str">
        <f ca="1"/>
        <v>Bad</v>
      </c>
    </row>
    <row r="129" spans="2:34" x14ac:dyDescent="0.2">
      <c r="B129" s="2">
        <f ca="1"/>
        <v>0.53715436567704833</v>
      </c>
      <c r="O129" s="2">
        <f ca="1"/>
        <v>0.79043555017202782</v>
      </c>
      <c r="X129" s="2">
        <f ca="1"/>
        <v>56.72239818902051</v>
      </c>
      <c r="AG129" s="2">
        <f ca="1"/>
        <v>0.64977343025340595</v>
      </c>
      <c r="AH129" s="2" t="str">
        <f ca="1"/>
        <v>Bad</v>
      </c>
    </row>
    <row r="130" spans="2:34" x14ac:dyDescent="0.2">
      <c r="B130" s="2">
        <f ca="1"/>
        <v>0.88620416862561902</v>
      </c>
      <c r="O130" s="2">
        <f ca="1"/>
        <v>0.94766491159903976</v>
      </c>
      <c r="X130" s="2">
        <f ca="1"/>
        <v>35.252892942718944</v>
      </c>
      <c r="AG130" s="2">
        <f ca="1"/>
        <v>0.54178346988995041</v>
      </c>
      <c r="AH130" s="2" t="str">
        <f ca="1"/>
        <v>Bad</v>
      </c>
    </row>
    <row r="131" spans="2:34" x14ac:dyDescent="0.2">
      <c r="B131" s="2">
        <f ca="1"/>
        <v>0.21868767548067414</v>
      </c>
      <c r="O131" s="2">
        <f ca="1"/>
        <v>-0.58803789096795789</v>
      </c>
      <c r="X131" s="2">
        <f ca="1"/>
        <v>35.326097032574395</v>
      </c>
      <c r="AG131" s="2">
        <f ca="1"/>
        <v>0.34444437473819134</v>
      </c>
      <c r="AH131" s="2" t="str">
        <f ca="1"/>
        <v>OK</v>
      </c>
    </row>
    <row r="132" spans="2:34" x14ac:dyDescent="0.2">
      <c r="B132" s="2">
        <f ca="1"/>
        <v>0.18097303163589284</v>
      </c>
      <c r="O132" s="2">
        <f ca="1"/>
        <v>-0.74969669660781912</v>
      </c>
      <c r="X132" s="2">
        <f ca="1"/>
        <v>42.958292610883362</v>
      </c>
      <c r="AG132" s="2">
        <f ca="1"/>
        <v>0.36175396178416031</v>
      </c>
      <c r="AH132" s="2" t="str">
        <f ca="1"/>
        <v>OK</v>
      </c>
    </row>
    <row r="133" spans="2:34" x14ac:dyDescent="0.2">
      <c r="B133" s="2">
        <f ca="1"/>
        <v>0.15477576753723565</v>
      </c>
      <c r="O133" s="2">
        <f ca="1"/>
        <v>-0.86606345070353596</v>
      </c>
      <c r="X133" s="2">
        <f ca="1"/>
        <v>30.429275098879604</v>
      </c>
      <c r="AG133" s="2">
        <f ca="1"/>
        <v>0.90714091988366974</v>
      </c>
      <c r="AH133" s="2" t="str">
        <f ca="1"/>
        <v>Bad</v>
      </c>
    </row>
    <row r="134" spans="2:34" x14ac:dyDescent="0.2">
      <c r="B134" s="2">
        <f ca="1"/>
        <v>0.65544079989308224</v>
      </c>
      <c r="O134" s="2">
        <f ca="1"/>
        <v>0.67734110100295919</v>
      </c>
      <c r="X134" s="2">
        <f ca="1"/>
        <v>54.445417269563478</v>
      </c>
      <c r="AG134" s="2">
        <f ca="1"/>
        <v>0.1302088651938027</v>
      </c>
      <c r="AH134" s="2" t="str">
        <f ca="1"/>
        <v>OK</v>
      </c>
    </row>
    <row r="135" spans="2:34" x14ac:dyDescent="0.2">
      <c r="B135" s="2">
        <f ca="1"/>
        <v>0.71250156277437759</v>
      </c>
      <c r="O135" s="2">
        <f ca="1"/>
        <v>1.1926305549789933</v>
      </c>
      <c r="X135" s="2">
        <f ca="1"/>
        <v>48.781428107698275</v>
      </c>
      <c r="AG135" s="2">
        <f ca="1"/>
        <v>5.6844956320406093E-2</v>
      </c>
      <c r="AH135" s="2" t="str">
        <f ca="1"/>
        <v>OK</v>
      </c>
    </row>
    <row r="136" spans="2:34" x14ac:dyDescent="0.2">
      <c r="B136" s="2">
        <f ca="1"/>
        <v>0.27967111278177614</v>
      </c>
      <c r="O136" s="2">
        <f ca="1"/>
        <v>0.50410421686678919</v>
      </c>
      <c r="X136" s="2">
        <f ca="1"/>
        <v>45.290145428064605</v>
      </c>
      <c r="AG136" s="2">
        <f ca="1"/>
        <v>5.5129353755101196E-3</v>
      </c>
      <c r="AH136" s="2" t="str">
        <f ca="1"/>
        <v>Good</v>
      </c>
    </row>
    <row r="137" spans="2:34" x14ac:dyDescent="0.2">
      <c r="B137" s="2">
        <f ca="1"/>
        <v>0.65864099476959903</v>
      </c>
      <c r="O137" s="2">
        <f ca="1"/>
        <v>-0.44354853113974602</v>
      </c>
      <c r="X137" s="2">
        <f ca="1"/>
        <v>67.532185791926167</v>
      </c>
      <c r="AG137" s="2">
        <f ca="1"/>
        <v>0.86126790658951791</v>
      </c>
      <c r="AH137" s="2" t="str">
        <f ca="1"/>
        <v>Bad</v>
      </c>
    </row>
    <row r="138" spans="2:34" x14ac:dyDescent="0.2">
      <c r="B138" s="2">
        <f ca="1"/>
        <v>0.79592876948981739</v>
      </c>
      <c r="O138" s="2">
        <f ca="1"/>
        <v>-0.66835583988462299</v>
      </c>
      <c r="X138" s="2">
        <f ca="1"/>
        <v>39.654396146971315</v>
      </c>
      <c r="AG138" s="2">
        <f ca="1"/>
        <v>0.79057153861435236</v>
      </c>
      <c r="AH138" s="2" t="str">
        <f ca="1"/>
        <v>Bad</v>
      </c>
    </row>
    <row r="139" spans="2:34" x14ac:dyDescent="0.2">
      <c r="B139" s="2">
        <f ca="1"/>
        <v>0.36056125429400376</v>
      </c>
      <c r="O139" s="2">
        <f ca="1"/>
        <v>-1.1681647424304609</v>
      </c>
      <c r="X139" s="2">
        <f ca="1"/>
        <v>60.454418903238832</v>
      </c>
      <c r="AG139" s="2">
        <f ca="1"/>
        <v>0.36646156049928491</v>
      </c>
      <c r="AH139" s="2" t="str">
        <f ca="1"/>
        <v>OK</v>
      </c>
    </row>
    <row r="140" spans="2:34" x14ac:dyDescent="0.2">
      <c r="B140" s="2">
        <f ca="1"/>
        <v>0.70845565310064451</v>
      </c>
      <c r="O140" s="2">
        <f ca="1"/>
        <v>-1.7664820308807765</v>
      </c>
      <c r="X140" s="2">
        <f ca="1"/>
        <v>57.931229947334124</v>
      </c>
      <c r="AG140" s="2">
        <f ca="1"/>
        <v>0.18844341844049795</v>
      </c>
      <c r="AH140" s="2" t="str">
        <f ca="1"/>
        <v>OK</v>
      </c>
    </row>
    <row r="141" spans="2:34" x14ac:dyDescent="0.2">
      <c r="B141" s="2">
        <f ca="1"/>
        <v>0.11982246591952261</v>
      </c>
      <c r="O141" s="2">
        <f ca="1"/>
        <v>-9.319974679215462E-2</v>
      </c>
      <c r="X141" s="2">
        <f ca="1"/>
        <v>55.932013171134372</v>
      </c>
      <c r="AG141" s="2">
        <f ca="1"/>
        <v>0.72258562849383412</v>
      </c>
      <c r="AH141" s="2" t="str">
        <f ca="1"/>
        <v>Bad</v>
      </c>
    </row>
    <row r="142" spans="2:34" x14ac:dyDescent="0.2">
      <c r="B142" s="2">
        <f ca="1"/>
        <v>0.23383346438504216</v>
      </c>
      <c r="O142" s="2">
        <f ca="1"/>
        <v>-0.6628663638074872</v>
      </c>
      <c r="X142" s="2">
        <f ca="1"/>
        <v>63.933874937240603</v>
      </c>
      <c r="AG142" s="2">
        <f ca="1"/>
        <v>0.24539920066118892</v>
      </c>
      <c r="AH142" s="2" t="str">
        <f ca="1"/>
        <v>OK</v>
      </c>
    </row>
    <row r="143" spans="2:34" x14ac:dyDescent="0.2">
      <c r="B143" s="2">
        <f ca="1"/>
        <v>0.65543765081668792</v>
      </c>
      <c r="O143" s="2">
        <f ca="1"/>
        <v>0.53680310298044243</v>
      </c>
      <c r="X143" s="2">
        <f ca="1"/>
        <v>40.011759339087973</v>
      </c>
      <c r="AG143" s="2">
        <f ca="1"/>
        <v>0.5865327532012472</v>
      </c>
      <c r="AH143" s="2" t="str">
        <f ca="1"/>
        <v>Bad</v>
      </c>
    </row>
    <row r="144" spans="2:34" x14ac:dyDescent="0.2">
      <c r="B144" s="2">
        <f ca="1"/>
        <v>0.759977122881623</v>
      </c>
      <c r="O144" s="2">
        <f ca="1"/>
        <v>-0.99128408631140108</v>
      </c>
      <c r="X144" s="2">
        <f ca="1"/>
        <v>59.126113839284656</v>
      </c>
      <c r="AG144" s="2">
        <f ca="1"/>
        <v>0.74868838231472434</v>
      </c>
      <c r="AH144" s="2" t="str">
        <f ca="1"/>
        <v>Bad</v>
      </c>
    </row>
    <row r="145" spans="2:34" x14ac:dyDescent="0.2">
      <c r="B145" s="2">
        <f ca="1"/>
        <v>0.88125348620702515</v>
      </c>
      <c r="O145" s="2">
        <f ca="1"/>
        <v>-0.20875783069285705</v>
      </c>
      <c r="X145" s="2">
        <f ca="1"/>
        <v>32.822868861270734</v>
      </c>
      <c r="AG145" s="2">
        <f ca="1"/>
        <v>0.55067339295393625</v>
      </c>
      <c r="AH145" s="2" t="str">
        <f ca="1"/>
        <v>Bad</v>
      </c>
    </row>
    <row r="146" spans="2:34" x14ac:dyDescent="0.2">
      <c r="B146" s="2">
        <f ca="1"/>
        <v>6.6214889491635898E-2</v>
      </c>
      <c r="O146" s="2">
        <f ca="1"/>
        <v>-0.33151612941008085</v>
      </c>
      <c r="X146" s="2">
        <f ca="1"/>
        <v>54.069664369691175</v>
      </c>
      <c r="AG146" s="2">
        <f ca="1"/>
        <v>0.25393567288840702</v>
      </c>
      <c r="AH146" s="2" t="str">
        <f ca="1"/>
        <v>OK</v>
      </c>
    </row>
    <row r="147" spans="2:34" x14ac:dyDescent="0.2">
      <c r="B147" s="2">
        <f ca="1"/>
        <v>0.19585823379846623</v>
      </c>
      <c r="O147" s="2">
        <f ca="1"/>
        <v>1.3641169427243076</v>
      </c>
      <c r="X147" s="2">
        <f ca="1"/>
        <v>37.850142369354785</v>
      </c>
      <c r="AG147" s="2">
        <f ca="1"/>
        <v>9.340991405111132E-2</v>
      </c>
      <c r="AH147" s="2" t="str">
        <f ca="1"/>
        <v>OK</v>
      </c>
    </row>
    <row r="148" spans="2:34" x14ac:dyDescent="0.2">
      <c r="B148" s="2">
        <f ca="1"/>
        <v>0.13582238181220729</v>
      </c>
      <c r="O148" s="2">
        <f ca="1"/>
        <v>-0.75803971247419055</v>
      </c>
      <c r="X148" s="2">
        <f ca="1"/>
        <v>61.749628757719854</v>
      </c>
      <c r="AG148" s="2">
        <f ca="1"/>
        <v>0.42410966475881762</v>
      </c>
      <c r="AH148" s="2" t="str">
        <f ca="1"/>
        <v>Bad</v>
      </c>
    </row>
    <row r="149" spans="2:34" x14ac:dyDescent="0.2">
      <c r="B149" s="2">
        <f ca="1"/>
        <v>0.94589861937521547</v>
      </c>
      <c r="O149" s="2">
        <f ca="1"/>
        <v>2.0932677384137923</v>
      </c>
      <c r="X149" s="2">
        <f ca="1"/>
        <v>41.867887796586736</v>
      </c>
      <c r="AG149" s="2">
        <f ca="1"/>
        <v>0.49138289598232832</v>
      </c>
      <c r="AH149" s="2" t="str">
        <f ca="1"/>
        <v>Bad</v>
      </c>
    </row>
    <row r="150" spans="2:34" x14ac:dyDescent="0.2">
      <c r="B150" s="2">
        <f ca="1"/>
        <v>0.81631678909873329</v>
      </c>
      <c r="O150" s="2">
        <f ca="1"/>
        <v>7.2333796390710248E-2</v>
      </c>
      <c r="X150" s="2">
        <f ca="1"/>
        <v>56.270719611835204</v>
      </c>
      <c r="AG150" s="2">
        <f ca="1"/>
        <v>0.34531087214218847</v>
      </c>
      <c r="AH150" s="2" t="str">
        <f ca="1"/>
        <v>OK</v>
      </c>
    </row>
    <row r="151" spans="2:34" x14ac:dyDescent="0.2">
      <c r="B151" s="2">
        <f ca="1"/>
        <v>0.92886409074096954</v>
      </c>
      <c r="O151" s="2">
        <f ca="1"/>
        <v>-0.83795750907000965</v>
      </c>
      <c r="X151" s="2">
        <f ca="1"/>
        <v>67.983401141808443</v>
      </c>
      <c r="AG151" s="2">
        <f ca="1"/>
        <v>0.90208623551491862</v>
      </c>
      <c r="AH151" s="2" t="str">
        <f ca="1"/>
        <v>Bad</v>
      </c>
    </row>
    <row r="152" spans="2:34" x14ac:dyDescent="0.2">
      <c r="B152" s="2">
        <f ca="1"/>
        <v>0.55643617602830564</v>
      </c>
      <c r="O152" s="2">
        <f ca="1"/>
        <v>-1.0786061599782648</v>
      </c>
      <c r="X152" s="2">
        <f ca="1"/>
        <v>61.302630734229247</v>
      </c>
      <c r="AG152" s="2">
        <f ca="1"/>
        <v>0.25403654505396345</v>
      </c>
      <c r="AH152" s="2" t="str">
        <f ca="1"/>
        <v>OK</v>
      </c>
    </row>
    <row r="153" spans="2:34" x14ac:dyDescent="0.2">
      <c r="B153" s="2">
        <f ca="1"/>
        <v>0.4737724495705784</v>
      </c>
      <c r="O153" s="2">
        <f ca="1"/>
        <v>-0.13054003439496442</v>
      </c>
      <c r="X153" s="2">
        <f ca="1"/>
        <v>38.575447516395258</v>
      </c>
      <c r="AG153" s="2">
        <f ca="1"/>
        <v>0.49625048141870209</v>
      </c>
      <c r="AH153" s="2" t="str">
        <f ca="1"/>
        <v>Bad</v>
      </c>
    </row>
    <row r="154" spans="2:34" x14ac:dyDescent="0.2">
      <c r="B154" s="2">
        <f ca="1"/>
        <v>0.56234950275114515</v>
      </c>
      <c r="O154" s="2">
        <f ca="1"/>
        <v>-1.1314229437386052</v>
      </c>
      <c r="X154" s="2">
        <f ca="1"/>
        <v>53.539326449545221</v>
      </c>
      <c r="AG154" s="2">
        <f ca="1"/>
        <v>0.27604157200048096</v>
      </c>
      <c r="AH154" s="2" t="str">
        <f ca="1"/>
        <v>OK</v>
      </c>
    </row>
    <row r="155" spans="2:34" x14ac:dyDescent="0.2">
      <c r="B155" s="2">
        <f ca="1"/>
        <v>0.62238904589184596</v>
      </c>
      <c r="O155" s="2">
        <f ca="1"/>
        <v>1.6832329253382767</v>
      </c>
      <c r="X155" s="2">
        <f ca="1"/>
        <v>66.557982923239095</v>
      </c>
      <c r="AG155" s="2">
        <f ca="1"/>
        <v>0.92002433969036557</v>
      </c>
      <c r="AH155" s="2" t="str">
        <f ca="1"/>
        <v>Bad</v>
      </c>
    </row>
    <row r="156" spans="2:34" x14ac:dyDescent="0.2">
      <c r="B156" s="2">
        <f ca="1"/>
        <v>0.762474062217666</v>
      </c>
      <c r="O156" s="2">
        <f ca="1"/>
        <v>0.50190611787906403</v>
      </c>
      <c r="X156" s="2">
        <f ca="1"/>
        <v>31.513751295331524</v>
      </c>
      <c r="AG156" s="2">
        <f ca="1"/>
        <v>0.47748163951006695</v>
      </c>
      <c r="AH156" s="2" t="str">
        <f ca="1"/>
        <v>Bad</v>
      </c>
    </row>
    <row r="157" spans="2:34" x14ac:dyDescent="0.2">
      <c r="B157" s="2">
        <f ca="1"/>
        <v>0.5472437536302055</v>
      </c>
      <c r="O157" s="2">
        <f ca="1"/>
        <v>-0.38653103969587027</v>
      </c>
      <c r="X157" s="2">
        <f ca="1"/>
        <v>78.419013433699178</v>
      </c>
      <c r="AG157" s="2">
        <f ca="1"/>
        <v>0.12134753242870056</v>
      </c>
      <c r="AH157" s="2" t="str">
        <f ca="1"/>
        <v>OK</v>
      </c>
    </row>
    <row r="158" spans="2:34" x14ac:dyDescent="0.2">
      <c r="B158" s="2">
        <f ca="1"/>
        <v>0.18788070337541352</v>
      </c>
      <c r="O158" s="2">
        <f ca="1"/>
        <v>-0.69399558192203958</v>
      </c>
      <c r="X158" s="2">
        <f ca="1"/>
        <v>64.707508240113711</v>
      </c>
      <c r="AG158" s="2">
        <f ca="1"/>
        <v>0.88291838076194407</v>
      </c>
      <c r="AH158" s="2" t="str">
        <f ca="1"/>
        <v>Bad</v>
      </c>
    </row>
    <row r="159" spans="2:34" x14ac:dyDescent="0.2">
      <c r="B159" s="2">
        <f ca="1"/>
        <v>0.10928816629133631</v>
      </c>
      <c r="O159" s="2">
        <f ca="1"/>
        <v>-1.3821381644426283</v>
      </c>
      <c r="X159" s="2">
        <f ca="1"/>
        <v>30.776910255991311</v>
      </c>
      <c r="AG159" s="2">
        <f ca="1"/>
        <v>0.54476666190130163</v>
      </c>
      <c r="AH159" s="2" t="str">
        <f ca="1"/>
        <v>Bad</v>
      </c>
    </row>
    <row r="160" spans="2:34" x14ac:dyDescent="0.2">
      <c r="B160" s="2">
        <f ca="1"/>
        <v>0.52905208494822986</v>
      </c>
      <c r="O160" s="2">
        <f ca="1"/>
        <v>-0.75670384146427994</v>
      </c>
      <c r="X160" s="2">
        <f ca="1"/>
        <v>58.443213523413881</v>
      </c>
      <c r="AG160" s="2">
        <f ca="1"/>
        <v>0.5125755740529121</v>
      </c>
      <c r="AH160" s="2" t="str">
        <f ca="1"/>
        <v>Bad</v>
      </c>
    </row>
    <row r="161" spans="2:34" x14ac:dyDescent="0.2">
      <c r="B161" s="2">
        <f ca="1"/>
        <v>5.3343692419005606E-4</v>
      </c>
      <c r="O161" s="2">
        <f ca="1"/>
        <v>9.6485569919286612E-2</v>
      </c>
      <c r="X161" s="2">
        <f ca="1"/>
        <v>43.059352590777621</v>
      </c>
      <c r="AG161" s="2">
        <f ca="1"/>
        <v>0.30859860104842873</v>
      </c>
      <c r="AH161" s="2" t="str">
        <f ca="1"/>
        <v>OK</v>
      </c>
    </row>
    <row r="162" spans="2:34" x14ac:dyDescent="0.2">
      <c r="B162" s="2">
        <f ca="1"/>
        <v>2.1539951531976298E-2</v>
      </c>
      <c r="O162" s="2">
        <f ca="1"/>
        <v>3.9894699632489219E-2</v>
      </c>
      <c r="X162" s="2">
        <f ca="1"/>
        <v>48.614562396422741</v>
      </c>
      <c r="AG162" s="2">
        <f ca="1"/>
        <v>0.71731312313411544</v>
      </c>
      <c r="AH162" s="2" t="str">
        <f ca="1"/>
        <v>Bad</v>
      </c>
    </row>
    <row r="163" spans="2:34" x14ac:dyDescent="0.2">
      <c r="B163" s="2">
        <f ca="1"/>
        <v>0.18401856242705361</v>
      </c>
      <c r="O163" s="2">
        <f ca="1"/>
        <v>0.55967698721653181</v>
      </c>
      <c r="X163" s="2">
        <f ca="1"/>
        <v>58.727197836327527</v>
      </c>
      <c r="AG163" s="2">
        <f ca="1"/>
        <v>7.9384200001539673E-2</v>
      </c>
      <c r="AH163" s="2" t="str">
        <f ca="1"/>
        <v>OK</v>
      </c>
    </row>
    <row r="164" spans="2:34" x14ac:dyDescent="0.2">
      <c r="B164" s="2">
        <f ca="1"/>
        <v>0.56111398938269019</v>
      </c>
      <c r="O164" s="2">
        <f ca="1"/>
        <v>-0.41884102983007537</v>
      </c>
      <c r="X164" s="2">
        <f ca="1"/>
        <v>62.311187549348077</v>
      </c>
      <c r="AG164" s="2">
        <f ca="1"/>
        <v>0.16874277413985306</v>
      </c>
      <c r="AH164" s="2" t="str">
        <f ca="1"/>
        <v>OK</v>
      </c>
    </row>
    <row r="165" spans="2:34" x14ac:dyDescent="0.2">
      <c r="B165" s="2">
        <f ca="1"/>
        <v>0.49631378651988367</v>
      </c>
      <c r="O165" s="2">
        <f ca="1"/>
        <v>1.0138122604255833</v>
      </c>
      <c r="X165" s="2">
        <f ca="1"/>
        <v>48.634633898079464</v>
      </c>
      <c r="AG165" s="2">
        <f ca="1"/>
        <v>0.57731843273520367</v>
      </c>
      <c r="AH165" s="2" t="str">
        <f ca="1"/>
        <v>Bad</v>
      </c>
    </row>
    <row r="166" spans="2:34" x14ac:dyDescent="0.2">
      <c r="B166" s="2">
        <f ca="1"/>
        <v>0.39700553327995358</v>
      </c>
      <c r="O166" s="2">
        <f ca="1"/>
        <v>-0.82894510821170631</v>
      </c>
      <c r="X166" s="2">
        <f ca="1"/>
        <v>58.660350687037152</v>
      </c>
      <c r="AG166" s="2">
        <f ca="1"/>
        <v>0.95207969597364905</v>
      </c>
      <c r="AH166" s="2" t="str">
        <f ca="1"/>
        <v>Bad</v>
      </c>
    </row>
    <row r="167" spans="2:34" x14ac:dyDescent="0.2">
      <c r="B167" s="2">
        <f ca="1"/>
        <v>0.64649204818259465</v>
      </c>
      <c r="O167" s="2">
        <f ca="1"/>
        <v>-0.91876867545665797</v>
      </c>
      <c r="X167" s="2">
        <f ca="1"/>
        <v>37.633253467317388</v>
      </c>
      <c r="AG167" s="2">
        <f ca="1"/>
        <v>0.37300513507146138</v>
      </c>
      <c r="AH167" s="2" t="str">
        <f ca="1"/>
        <v>OK</v>
      </c>
    </row>
    <row r="168" spans="2:34" x14ac:dyDescent="0.2">
      <c r="B168" s="2">
        <f ca="1"/>
        <v>0.68407876060349282</v>
      </c>
      <c r="O168" s="2">
        <f ca="1"/>
        <v>6.272987779986916E-2</v>
      </c>
      <c r="X168" s="2">
        <f ca="1"/>
        <v>52.634352497831387</v>
      </c>
      <c r="AG168" s="2">
        <f ca="1"/>
        <v>0.19573575175092106</v>
      </c>
      <c r="AH168" s="2" t="str">
        <f ca="1"/>
        <v>OK</v>
      </c>
    </row>
    <row r="169" spans="2:34" x14ac:dyDescent="0.2">
      <c r="B169" s="2">
        <f ca="1"/>
        <v>0.34440599674716332</v>
      </c>
      <c r="O169" s="2">
        <f ca="1"/>
        <v>-0.52544418161729012</v>
      </c>
      <c r="X169" s="2">
        <f ca="1"/>
        <v>77.80305915093723</v>
      </c>
      <c r="AG169" s="2">
        <f ca="1"/>
        <v>0.658040871598504</v>
      </c>
      <c r="AH169" s="2" t="str">
        <f ca="1"/>
        <v>Bad</v>
      </c>
    </row>
    <row r="170" spans="2:34" x14ac:dyDescent="0.2">
      <c r="B170" s="2">
        <f ca="1"/>
        <v>0.49137644877424203</v>
      </c>
      <c r="O170" s="2">
        <f ca="1"/>
        <v>0.48000248325987344</v>
      </c>
      <c r="X170" s="2">
        <f ca="1"/>
        <v>63.543694928366499</v>
      </c>
      <c r="AG170" s="2">
        <f ca="1"/>
        <v>0.45102679598721385</v>
      </c>
      <c r="AH170" s="2" t="str">
        <f ca="1"/>
        <v>Bad</v>
      </c>
    </row>
    <row r="171" spans="2:34" x14ac:dyDescent="0.2">
      <c r="B171" s="2">
        <f ca="1"/>
        <v>0.89177978901958799</v>
      </c>
      <c r="O171" s="2">
        <f ca="1"/>
        <v>0.46935308564577172</v>
      </c>
      <c r="X171" s="2">
        <f ca="1"/>
        <v>48.68831398152092</v>
      </c>
      <c r="AG171" s="2">
        <f ca="1"/>
        <v>0.85798273631344113</v>
      </c>
      <c r="AH171" s="2" t="str">
        <f ca="1"/>
        <v>Bad</v>
      </c>
    </row>
    <row r="172" spans="2:34" x14ac:dyDescent="0.2">
      <c r="B172" s="2">
        <f ca="1"/>
        <v>0.13067665593172717</v>
      </c>
      <c r="O172" s="2">
        <f ca="1"/>
        <v>0.33606174141029177</v>
      </c>
      <c r="X172" s="2">
        <f ca="1"/>
        <v>59.501678039157994</v>
      </c>
      <c r="AG172" s="2">
        <f ca="1"/>
        <v>0.35539394239857525</v>
      </c>
      <c r="AH172" s="2" t="str">
        <f ca="1"/>
        <v>OK</v>
      </c>
    </row>
    <row r="173" spans="2:34" x14ac:dyDescent="0.2">
      <c r="B173" s="2">
        <f ca="1"/>
        <v>3.0236180708756999E-2</v>
      </c>
      <c r="O173" s="2">
        <f ca="1"/>
        <v>-0.41219954289351679</v>
      </c>
      <c r="X173" s="2">
        <f ca="1"/>
        <v>44.360398108567374</v>
      </c>
      <c r="AG173" s="2">
        <f ca="1"/>
        <v>0.12072611504685926</v>
      </c>
      <c r="AH173" s="2" t="str">
        <f ca="1"/>
        <v>OK</v>
      </c>
    </row>
    <row r="174" spans="2:34" x14ac:dyDescent="0.2">
      <c r="B174" s="2">
        <f ca="1"/>
        <v>0.98492095434674387</v>
      </c>
      <c r="O174" s="2">
        <f ca="1"/>
        <v>-0.7435747567620673</v>
      </c>
      <c r="X174" s="2">
        <f ca="1"/>
        <v>42.71865110398538</v>
      </c>
      <c r="AG174" s="2">
        <f ca="1"/>
        <v>0.68289055915621133</v>
      </c>
      <c r="AH174" s="2" t="str">
        <f ca="1"/>
        <v>Bad</v>
      </c>
    </row>
    <row r="175" spans="2:34" x14ac:dyDescent="0.2">
      <c r="B175" s="2">
        <f ca="1"/>
        <v>0.40839320080960295</v>
      </c>
      <c r="O175" s="2">
        <f ca="1"/>
        <v>-0.39613922150388664</v>
      </c>
      <c r="X175" s="2">
        <f ca="1"/>
        <v>43.467858473946173</v>
      </c>
      <c r="AG175" s="2">
        <f ca="1"/>
        <v>0.53591741341037125</v>
      </c>
      <c r="AH175" s="2" t="str">
        <f ca="1"/>
        <v>Bad</v>
      </c>
    </row>
    <row r="176" spans="2:34" x14ac:dyDescent="0.2">
      <c r="B176" s="2">
        <f ca="1"/>
        <v>0.5519213362851747</v>
      </c>
      <c r="O176" s="2">
        <f ca="1"/>
        <v>0.63738626169877699</v>
      </c>
      <c r="X176" s="2">
        <f ca="1"/>
        <v>24.816667400156689</v>
      </c>
      <c r="AG176" s="2">
        <f ca="1"/>
        <v>0.87812633594472733</v>
      </c>
      <c r="AH176" s="2" t="str">
        <f ca="1"/>
        <v>Bad</v>
      </c>
    </row>
    <row r="177" spans="2:34" x14ac:dyDescent="0.2">
      <c r="B177" s="2">
        <f ca="1"/>
        <v>0.47184954454626671</v>
      </c>
      <c r="O177" s="2">
        <f ca="1"/>
        <v>1.6410966891262598E-2</v>
      </c>
      <c r="X177" s="2">
        <f ca="1"/>
        <v>63.550878613846763</v>
      </c>
      <c r="AG177" s="2">
        <f ca="1"/>
        <v>0.57872730485002966</v>
      </c>
      <c r="AH177" s="2" t="str">
        <f ca="1"/>
        <v>Bad</v>
      </c>
    </row>
    <row r="178" spans="2:34" x14ac:dyDescent="0.2">
      <c r="B178" s="2">
        <f ca="1"/>
        <v>0.42427500377007665</v>
      </c>
      <c r="O178" s="2">
        <f ca="1"/>
        <v>-0.57212542530632071</v>
      </c>
      <c r="X178" s="2">
        <f ca="1"/>
        <v>40.567555645089151</v>
      </c>
      <c r="AG178" s="2">
        <f ca="1"/>
        <v>0.76395500066761701</v>
      </c>
      <c r="AH178" s="2" t="str">
        <f ca="1"/>
        <v>Bad</v>
      </c>
    </row>
    <row r="179" spans="2:34" x14ac:dyDescent="0.2">
      <c r="B179" s="2">
        <f ca="1"/>
        <v>0.15862765575774107</v>
      </c>
      <c r="O179" s="2">
        <f ca="1"/>
        <v>0.58140555454133813</v>
      </c>
      <c r="X179" s="2">
        <f ca="1"/>
        <v>30.495330371353624</v>
      </c>
      <c r="AG179" s="2">
        <f ca="1"/>
        <v>0.75939228062190001</v>
      </c>
      <c r="AH179" s="2" t="str">
        <f ca="1"/>
        <v>Bad</v>
      </c>
    </row>
    <row r="180" spans="2:34" x14ac:dyDescent="0.2">
      <c r="B180" s="2">
        <f ca="1"/>
        <v>0.19630232116530721</v>
      </c>
      <c r="O180" s="2">
        <f ca="1"/>
        <v>-0.89395975040025011</v>
      </c>
      <c r="X180" s="2">
        <f ca="1"/>
        <v>63.461371070398805</v>
      </c>
      <c r="AG180" s="2">
        <f ca="1"/>
        <v>0.84228310193668499</v>
      </c>
      <c r="AH180" s="2" t="str">
        <f ca="1"/>
        <v>Bad</v>
      </c>
    </row>
    <row r="181" spans="2:34" x14ac:dyDescent="0.2">
      <c r="B181" s="2">
        <f ca="1"/>
        <v>0.62827507800835725</v>
      </c>
      <c r="O181" s="2">
        <f ca="1"/>
        <v>1.4104675979538597</v>
      </c>
      <c r="X181" s="2">
        <f ca="1"/>
        <v>42.891279629242867</v>
      </c>
      <c r="AG181" s="2">
        <f ca="1"/>
        <v>0.52396657768009525</v>
      </c>
      <c r="AH181" s="2" t="str">
        <f ca="1"/>
        <v>Bad</v>
      </c>
    </row>
    <row r="182" spans="2:34" x14ac:dyDescent="0.2">
      <c r="B182" s="2">
        <f ca="1"/>
        <v>0.58253729113619768</v>
      </c>
      <c r="O182" s="2">
        <f ca="1"/>
        <v>-1.3582212397532873</v>
      </c>
      <c r="X182" s="2">
        <f ca="1"/>
        <v>64.161949317277688</v>
      </c>
      <c r="AG182" s="2">
        <f ca="1"/>
        <v>0.38157887251787703</v>
      </c>
      <c r="AH182" s="2" t="str">
        <f ca="1"/>
        <v>OK</v>
      </c>
    </row>
    <row r="183" spans="2:34" x14ac:dyDescent="0.2">
      <c r="B183" s="2">
        <f ca="1"/>
        <v>0.95043101181917145</v>
      </c>
      <c r="O183" s="2">
        <f ca="1"/>
        <v>0.53415627573248836</v>
      </c>
      <c r="X183" s="2">
        <f ca="1"/>
        <v>67.989392170773243</v>
      </c>
      <c r="AG183" s="2">
        <f ca="1"/>
        <v>0.12893105595298859</v>
      </c>
      <c r="AH183" s="2" t="str">
        <f ca="1"/>
        <v>OK</v>
      </c>
    </row>
    <row r="184" spans="2:34" x14ac:dyDescent="0.2">
      <c r="B184" s="2">
        <f ca="1"/>
        <v>0.58969815405550219</v>
      </c>
      <c r="O184" s="2">
        <f ca="1"/>
        <v>0.30307377954076381</v>
      </c>
      <c r="X184" s="2">
        <f ca="1"/>
        <v>56.128939120410067</v>
      </c>
      <c r="AG184" s="2">
        <f ca="1"/>
        <v>0.78210475145263669</v>
      </c>
      <c r="AH184" s="2" t="str">
        <f ca="1"/>
        <v>Bad</v>
      </c>
    </row>
    <row r="185" spans="2:34" x14ac:dyDescent="0.2">
      <c r="B185" s="2">
        <f ca="1"/>
        <v>0.9051656082807582</v>
      </c>
      <c r="O185" s="2">
        <f ca="1"/>
        <v>-0.91338435112355831</v>
      </c>
      <c r="X185" s="2">
        <f ca="1"/>
        <v>59.845772093876811</v>
      </c>
      <c r="AG185" s="2">
        <f ca="1"/>
        <v>0.73407791356481455</v>
      </c>
      <c r="AH185" s="2" t="str">
        <f ca="1"/>
        <v>Bad</v>
      </c>
    </row>
    <row r="186" spans="2:34" x14ac:dyDescent="0.2">
      <c r="B186" s="2">
        <f ca="1"/>
        <v>0.49911417265625424</v>
      </c>
      <c r="O186" s="2">
        <f ca="1"/>
        <v>6.8583271312575314E-2</v>
      </c>
      <c r="X186" s="2">
        <f ca="1"/>
        <v>47.10695978553585</v>
      </c>
      <c r="AG186" s="2">
        <f ca="1"/>
        <v>0.36945857258765136</v>
      </c>
      <c r="AH186" s="2" t="str">
        <f ca="1"/>
        <v>OK</v>
      </c>
    </row>
    <row r="187" spans="2:34" x14ac:dyDescent="0.2">
      <c r="B187" s="2">
        <f ca="1"/>
        <v>0.52540915124814802</v>
      </c>
      <c r="O187" s="2">
        <f ca="1"/>
        <v>-2.264963618350289</v>
      </c>
      <c r="X187" s="2">
        <f ca="1"/>
        <v>42.20050576725248</v>
      </c>
      <c r="AG187" s="2">
        <f ca="1"/>
        <v>0.44048023104257616</v>
      </c>
      <c r="AH187" s="2" t="str">
        <f ca="1"/>
        <v>Bad</v>
      </c>
    </row>
    <row r="188" spans="2:34" x14ac:dyDescent="0.2">
      <c r="B188" s="2">
        <f ca="1"/>
        <v>0.41588268787898275</v>
      </c>
      <c r="O188" s="2">
        <f ca="1"/>
        <v>0.69408984024914377</v>
      </c>
      <c r="X188" s="2">
        <f ca="1"/>
        <v>51.479609811434692</v>
      </c>
      <c r="AG188" s="2">
        <f ca="1"/>
        <v>9.4874037324862437E-2</v>
      </c>
      <c r="AH188" s="2" t="str">
        <f ca="1"/>
        <v>OK</v>
      </c>
    </row>
    <row r="189" spans="2:34" x14ac:dyDescent="0.2">
      <c r="B189" s="2">
        <f ca="1"/>
        <v>6.9481974686012027E-2</v>
      </c>
      <c r="O189" s="2">
        <f ca="1"/>
        <v>1.5264841063570926</v>
      </c>
      <c r="X189" s="2">
        <f ca="1"/>
        <v>46.075631580927841</v>
      </c>
      <c r="AG189" s="2">
        <f ca="1"/>
        <v>0.4872446677318476</v>
      </c>
      <c r="AH189" s="2" t="str">
        <f ca="1"/>
        <v>Bad</v>
      </c>
    </row>
    <row r="190" spans="2:34" x14ac:dyDescent="0.2">
      <c r="B190" s="2">
        <f ca="1"/>
        <v>0.91698264858393963</v>
      </c>
      <c r="O190" s="2">
        <f ca="1"/>
        <v>0.26090402794962286</v>
      </c>
      <c r="X190" s="2">
        <f ca="1"/>
        <v>35.176301972746863</v>
      </c>
      <c r="AG190" s="2">
        <f ca="1"/>
        <v>0.98642117621350134</v>
      </c>
      <c r="AH190" s="2" t="str">
        <f ca="1"/>
        <v>Bad</v>
      </c>
    </row>
    <row r="191" spans="2:34" x14ac:dyDescent="0.2">
      <c r="B191" s="2">
        <f ca="1"/>
        <v>0.96170858225705325</v>
      </c>
      <c r="O191" s="2">
        <f ca="1"/>
        <v>1.3966770995716133</v>
      </c>
      <c r="X191" s="2">
        <f ca="1"/>
        <v>55.434801074244064</v>
      </c>
      <c r="AG191" s="2">
        <f ca="1"/>
        <v>0.24864426214376079</v>
      </c>
      <c r="AH191" s="2" t="str">
        <f ca="1"/>
        <v>OK</v>
      </c>
    </row>
    <row r="192" spans="2:34" x14ac:dyDescent="0.2">
      <c r="B192" s="2">
        <f ca="1"/>
        <v>0.18912690911488417</v>
      </c>
      <c r="O192" s="2">
        <f ca="1"/>
        <v>1.3080761065857238</v>
      </c>
      <c r="X192" s="2">
        <f ca="1"/>
        <v>54.305160994780209</v>
      </c>
      <c r="AG192" s="2">
        <f ca="1"/>
        <v>8.8882791319015331E-2</v>
      </c>
      <c r="AH192" s="2" t="str">
        <f ca="1"/>
        <v>OK</v>
      </c>
    </row>
    <row r="193" spans="2:34" x14ac:dyDescent="0.2">
      <c r="B193" s="2">
        <f ca="1"/>
        <v>0.53883249539320976</v>
      </c>
      <c r="O193" s="2">
        <f ca="1"/>
        <v>0.24166111592632225</v>
      </c>
      <c r="X193" s="2">
        <f ca="1"/>
        <v>66.064469208544637</v>
      </c>
      <c r="AG193" s="2">
        <f ca="1"/>
        <v>0.59412118653701018</v>
      </c>
      <c r="AH193" s="2" t="str">
        <f ca="1"/>
        <v>Bad</v>
      </c>
    </row>
    <row r="194" spans="2:34" x14ac:dyDescent="0.2">
      <c r="B194" s="2">
        <f ca="1"/>
        <v>0.9356233221449306</v>
      </c>
      <c r="O194" s="2">
        <f ca="1"/>
        <v>0.34822162103430315</v>
      </c>
      <c r="X194" s="2">
        <f ca="1"/>
        <v>43.87268178087858</v>
      </c>
      <c r="AG194" s="2">
        <f ca="1"/>
        <v>0.62226091725181099</v>
      </c>
      <c r="AH194" s="2" t="str">
        <f ca="1"/>
        <v>Bad</v>
      </c>
    </row>
    <row r="195" spans="2:34" x14ac:dyDescent="0.2">
      <c r="B195" s="2">
        <f ca="1"/>
        <v>0.11082826095837439</v>
      </c>
      <c r="O195" s="2">
        <f ca="1"/>
        <v>0.9278819626043977</v>
      </c>
      <c r="X195" s="2">
        <f ca="1"/>
        <v>56.6900713159201</v>
      </c>
      <c r="AG195" s="2">
        <f ca="1"/>
        <v>0.53869360736783811</v>
      </c>
      <c r="AH195" s="2" t="str">
        <f ca="1"/>
        <v>Bad</v>
      </c>
    </row>
    <row r="196" spans="2:34" x14ac:dyDescent="0.2">
      <c r="B196" s="2">
        <f ca="1"/>
        <v>0.53825887359638558</v>
      </c>
      <c r="O196" s="2">
        <f ca="1"/>
        <v>7.4108090953695735E-2</v>
      </c>
      <c r="X196" s="2">
        <f ca="1"/>
        <v>25.220887506389744</v>
      </c>
      <c r="AG196" s="2">
        <f ca="1"/>
        <v>2.4634440002844649E-2</v>
      </c>
      <c r="AH196" s="2" t="str">
        <f ca="1"/>
        <v>Good</v>
      </c>
    </row>
    <row r="197" spans="2:34" x14ac:dyDescent="0.2">
      <c r="B197" s="2">
        <f ca="1"/>
        <v>0.35791680832070627</v>
      </c>
      <c r="O197" s="2">
        <f ca="1"/>
        <v>1.3446667784057</v>
      </c>
      <c r="X197" s="2">
        <f ca="1"/>
        <v>67.045019112505869</v>
      </c>
      <c r="AG197" s="2">
        <f ca="1"/>
        <v>0.83026922104329826</v>
      </c>
      <c r="AH197" s="2" t="str">
        <f ca="1"/>
        <v>Bad</v>
      </c>
    </row>
    <row r="198" spans="2:34" x14ac:dyDescent="0.2">
      <c r="B198" s="2">
        <f ca="1"/>
        <v>0.17534804501815371</v>
      </c>
      <c r="O198" s="2">
        <f ca="1"/>
        <v>6.8862853001929195E-2</v>
      </c>
      <c r="X198" s="2">
        <f ca="1"/>
        <v>39.142912414800911</v>
      </c>
      <c r="AG198" s="2">
        <f ca="1"/>
        <v>0.59022882146855649</v>
      </c>
      <c r="AH198" s="2" t="str">
        <f ca="1"/>
        <v>Bad</v>
      </c>
    </row>
    <row r="199" spans="2:34" x14ac:dyDescent="0.2">
      <c r="B199" s="2">
        <f ca="1"/>
        <v>0.62039632487473773</v>
      </c>
      <c r="O199" s="2">
        <f ca="1"/>
        <v>-0.44354015735290891</v>
      </c>
      <c r="X199" s="2">
        <f ca="1"/>
        <v>49.66014678945541</v>
      </c>
      <c r="AG199" s="2">
        <f ca="1"/>
        <v>0.37865748148018707</v>
      </c>
      <c r="AH199" s="2" t="str">
        <f ca="1"/>
        <v>OK</v>
      </c>
    </row>
    <row r="200" spans="2:34" x14ac:dyDescent="0.2">
      <c r="B200" s="2">
        <f ca="1"/>
        <v>0.75508313652684067</v>
      </c>
      <c r="O200" s="2">
        <f ca="1"/>
        <v>-1.7977401554667796</v>
      </c>
      <c r="X200" s="2">
        <f ca="1"/>
        <v>27.084245308901323</v>
      </c>
      <c r="AG200" s="2">
        <f ca="1"/>
        <v>0.16785558488602526</v>
      </c>
      <c r="AH200" s="2" t="str">
        <f ca="1"/>
        <v>OK</v>
      </c>
    </row>
    <row r="201" spans="2:34" x14ac:dyDescent="0.2">
      <c r="B201" s="2">
        <f ca="1"/>
        <v>0.28844945456394666</v>
      </c>
      <c r="O201" s="2">
        <f ca="1"/>
        <v>-7.287371102844889E-2</v>
      </c>
      <c r="X201" s="2">
        <f ca="1"/>
        <v>50.822684215091314</v>
      </c>
      <c r="AG201" s="2">
        <f ca="1"/>
        <v>0.3025559917810472</v>
      </c>
      <c r="AH201" s="2" t="str">
        <f ca="1"/>
        <v>OK</v>
      </c>
    </row>
    <row r="202" spans="2:34" x14ac:dyDescent="0.2">
      <c r="B202" s="2">
        <f ca="1"/>
        <v>0.93599798534532508</v>
      </c>
      <c r="O202" s="2">
        <f ca="1"/>
        <v>-0.73335078798592024</v>
      </c>
      <c r="X202" s="2">
        <f ca="1"/>
        <v>39.445034285803906</v>
      </c>
      <c r="AG202" s="2">
        <f ca="1"/>
        <v>0.54855397721098087</v>
      </c>
      <c r="AH202" s="2" t="str">
        <f ca="1"/>
        <v>Bad</v>
      </c>
    </row>
    <row r="203" spans="2:34" x14ac:dyDescent="0.2">
      <c r="B203" s="2">
        <f ca="1"/>
        <v>6.8687402440541057E-2</v>
      </c>
      <c r="O203" s="2">
        <f ca="1"/>
        <v>0.30892576314617493</v>
      </c>
      <c r="X203" s="2">
        <f ca="1"/>
        <v>38.298549020400912</v>
      </c>
      <c r="AG203" s="2">
        <f ca="1"/>
        <v>5.5614236561370101E-2</v>
      </c>
      <c r="AH203" s="2" t="str">
        <f ca="1"/>
        <v>OK</v>
      </c>
    </row>
    <row r="204" spans="2:34" x14ac:dyDescent="0.2">
      <c r="B204" s="2">
        <f ca="1"/>
        <v>0.51190019869633296</v>
      </c>
      <c r="O204" s="2">
        <f ca="1"/>
        <v>2.149653265043983</v>
      </c>
      <c r="X204" s="2">
        <f ca="1"/>
        <v>47.477417926572095</v>
      </c>
      <c r="AG204" s="2">
        <f ca="1"/>
        <v>2.8074843860036003E-2</v>
      </c>
      <c r="AH204" s="2" t="str">
        <f ca="1"/>
        <v>Good</v>
      </c>
    </row>
    <row r="205" spans="2:34" x14ac:dyDescent="0.2">
      <c r="B205" s="2">
        <f ca="1"/>
        <v>0.59673106638208551</v>
      </c>
      <c r="O205" s="2">
        <f ca="1"/>
        <v>-1.1843254195283039</v>
      </c>
      <c r="X205" s="2">
        <f ca="1"/>
        <v>46.515431804821915</v>
      </c>
      <c r="AG205" s="2">
        <f ca="1"/>
        <v>0.48791889236306574</v>
      </c>
      <c r="AH205" s="2" t="str">
        <f ca="1"/>
        <v>Bad</v>
      </c>
    </row>
    <row r="206" spans="2:34" x14ac:dyDescent="0.2">
      <c r="B206" s="2">
        <f ca="1"/>
        <v>0.69759967845381032</v>
      </c>
      <c r="O206" s="2">
        <f ca="1"/>
        <v>0.7549453314556227</v>
      </c>
      <c r="X206" s="2">
        <f ca="1"/>
        <v>33.79779350200532</v>
      </c>
      <c r="AG206" s="2">
        <f ca="1"/>
        <v>0.47061224942426105</v>
      </c>
      <c r="AH206" s="2" t="str">
        <f ca="1"/>
        <v>Bad</v>
      </c>
    </row>
    <row r="207" spans="2:34" x14ac:dyDescent="0.2">
      <c r="B207" s="2">
        <f ca="1"/>
        <v>0.21037808779700873</v>
      </c>
      <c r="O207" s="2">
        <f ca="1"/>
        <v>2.4666163561297627</v>
      </c>
      <c r="X207" s="2">
        <f ca="1"/>
        <v>38.781262831698491</v>
      </c>
      <c r="AG207" s="2">
        <f ca="1"/>
        <v>0.8278507301588145</v>
      </c>
      <c r="AH207" s="2" t="str">
        <f ca="1"/>
        <v>Bad</v>
      </c>
    </row>
    <row r="208" spans="2:34" x14ac:dyDescent="0.2">
      <c r="B208" s="2">
        <f ca="1"/>
        <v>0.94998996166879568</v>
      </c>
      <c r="O208" s="2">
        <f ca="1"/>
        <v>-0.84604711937842436</v>
      </c>
      <c r="X208" s="2">
        <f ca="1"/>
        <v>37.339957531806768</v>
      </c>
      <c r="AG208" s="2">
        <f ca="1"/>
        <v>0.48573266703137596</v>
      </c>
      <c r="AH208" s="2" t="str">
        <f ca="1"/>
        <v>Bad</v>
      </c>
    </row>
    <row r="209" spans="2:34" x14ac:dyDescent="0.2">
      <c r="B209" s="2">
        <f ca="1"/>
        <v>0.15484635215638387</v>
      </c>
      <c r="O209" s="2">
        <f ca="1"/>
        <v>-0.81252250416566574</v>
      </c>
      <c r="X209" s="2">
        <f ca="1"/>
        <v>36.103891390853619</v>
      </c>
      <c r="AG209" s="2">
        <f ca="1"/>
        <v>0.76528684604160246</v>
      </c>
      <c r="AH209" s="2" t="str">
        <f ca="1"/>
        <v>Bad</v>
      </c>
    </row>
    <row r="210" spans="2:34" x14ac:dyDescent="0.2">
      <c r="B210" s="2">
        <f ca="1"/>
        <v>0.83094708391163308</v>
      </c>
      <c r="O210" s="2">
        <f ca="1"/>
        <v>-6.6687566345498495E-2</v>
      </c>
      <c r="X210" s="2">
        <f ca="1"/>
        <v>28.105704313619448</v>
      </c>
      <c r="AG210" s="2">
        <f ca="1"/>
        <v>0.58636935417169167</v>
      </c>
      <c r="AH210" s="2" t="str">
        <f ca="1"/>
        <v>Bad</v>
      </c>
    </row>
    <row r="211" spans="2:34" x14ac:dyDescent="0.2">
      <c r="B211" s="2">
        <f ca="1"/>
        <v>0.84432913944700405</v>
      </c>
      <c r="O211" s="2">
        <f ca="1"/>
        <v>1.1041576738001191</v>
      </c>
      <c r="X211" s="2">
        <f ca="1"/>
        <v>58.451373076860108</v>
      </c>
      <c r="AG211" s="2">
        <f ca="1"/>
        <v>0.51183230982315919</v>
      </c>
      <c r="AH211" s="2" t="str">
        <f ca="1"/>
        <v>Bad</v>
      </c>
    </row>
    <row r="212" spans="2:34" x14ac:dyDescent="0.2">
      <c r="B212" s="2">
        <f ca="1"/>
        <v>0.50901016089686824</v>
      </c>
      <c r="O212" s="2">
        <f ca="1"/>
        <v>0.70937070883074749</v>
      </c>
      <c r="X212" s="2">
        <f ca="1"/>
        <v>38.376850987531526</v>
      </c>
      <c r="AG212" s="2">
        <f ca="1"/>
        <v>0.24088458459008599</v>
      </c>
      <c r="AH212" s="2" t="str">
        <f ca="1"/>
        <v>OK</v>
      </c>
    </row>
    <row r="213" spans="2:34" x14ac:dyDescent="0.2">
      <c r="B213" s="2">
        <f ca="1"/>
        <v>0.3937948441096113</v>
      </c>
      <c r="O213" s="2">
        <f ca="1"/>
        <v>0.55171236887949782</v>
      </c>
      <c r="X213" s="2">
        <f ca="1"/>
        <v>58.62911581202922</v>
      </c>
      <c r="AG213" s="2">
        <f ca="1"/>
        <v>0.1620135666000031</v>
      </c>
      <c r="AH213" s="2" t="str">
        <f ca="1"/>
        <v>OK</v>
      </c>
    </row>
    <row r="214" spans="2:34" x14ac:dyDescent="0.2">
      <c r="B214" s="2">
        <f ca="1"/>
        <v>0.88381648258331991</v>
      </c>
      <c r="O214" s="2">
        <f ca="1"/>
        <v>-1.0811006709435682</v>
      </c>
      <c r="X214" s="2">
        <f ca="1"/>
        <v>90.242759172811603</v>
      </c>
      <c r="AG214" s="2">
        <f ca="1"/>
        <v>0.20366064652485694</v>
      </c>
      <c r="AH214" s="2" t="str">
        <f ca="1"/>
        <v>OK</v>
      </c>
    </row>
    <row r="215" spans="2:34" x14ac:dyDescent="0.2">
      <c r="B215" s="2">
        <f ca="1"/>
        <v>0.7166660145187731</v>
      </c>
      <c r="O215" s="2">
        <f ca="1"/>
        <v>-1.203676992160764</v>
      </c>
      <c r="X215" s="2">
        <f ca="1"/>
        <v>52.637568421413256</v>
      </c>
      <c r="AG215" s="2">
        <f ca="1"/>
        <v>0.59585536949723528</v>
      </c>
      <c r="AH215" s="2" t="str">
        <f ca="1"/>
        <v>Bad</v>
      </c>
    </row>
    <row r="216" spans="2:34" x14ac:dyDescent="0.2">
      <c r="B216" s="2">
        <f ca="1"/>
        <v>0.93626130843471578</v>
      </c>
      <c r="O216" s="2">
        <f ca="1"/>
        <v>-0.2340916210459689</v>
      </c>
      <c r="X216" s="2">
        <f ca="1"/>
        <v>24.077388606162032</v>
      </c>
      <c r="AG216" s="2">
        <f ca="1"/>
        <v>0.41851716432864627</v>
      </c>
      <c r="AH216" s="2" t="str">
        <f ca="1"/>
        <v>Bad</v>
      </c>
    </row>
    <row r="217" spans="2:34" x14ac:dyDescent="0.2">
      <c r="B217" s="2">
        <f ca="1"/>
        <v>0.61418424243972591</v>
      </c>
      <c r="O217" s="2">
        <f ca="1"/>
        <v>0.65442763070565335</v>
      </c>
      <c r="X217" s="2">
        <f ca="1"/>
        <v>53.019895523105134</v>
      </c>
      <c r="AG217" s="2">
        <f ca="1"/>
        <v>0.95435642854871006</v>
      </c>
      <c r="AH217" s="2" t="str">
        <f ca="1"/>
        <v>Bad</v>
      </c>
    </row>
    <row r="218" spans="2:34" x14ac:dyDescent="0.2">
      <c r="B218" s="2">
        <f ca="1"/>
        <v>0.64838013007122886</v>
      </c>
      <c r="O218" s="2">
        <f ca="1"/>
        <v>0.44160623152825651</v>
      </c>
      <c r="X218" s="2">
        <f ca="1"/>
        <v>80.952746774747482</v>
      </c>
      <c r="AG218" s="2">
        <f ca="1"/>
        <v>0.15409061668492963</v>
      </c>
      <c r="AH218" s="2" t="str">
        <f ca="1"/>
        <v>OK</v>
      </c>
    </row>
    <row r="219" spans="2:34" x14ac:dyDescent="0.2">
      <c r="B219" s="2">
        <f ca="1"/>
        <v>0.23904834189681856</v>
      </c>
      <c r="O219" s="2">
        <f ca="1"/>
        <v>-0.14295620025806249</v>
      </c>
      <c r="X219" s="2">
        <f ca="1"/>
        <v>40.427584991820126</v>
      </c>
      <c r="AG219" s="2">
        <f ca="1"/>
        <v>0.26495121569762592</v>
      </c>
      <c r="AH219" s="2" t="str">
        <f ca="1"/>
        <v>OK</v>
      </c>
    </row>
    <row r="220" spans="2:34" x14ac:dyDescent="0.2">
      <c r="B220" s="2">
        <f ca="1"/>
        <v>0.15917831191320242</v>
      </c>
      <c r="O220" s="2">
        <f ca="1"/>
        <v>7.588206998474524E-2</v>
      </c>
      <c r="X220" s="2">
        <f ca="1"/>
        <v>43.99311728649775</v>
      </c>
      <c r="AG220" s="2">
        <f ca="1"/>
        <v>0.53207622151655132</v>
      </c>
      <c r="AH220" s="2" t="str">
        <f ca="1"/>
        <v>Bad</v>
      </c>
    </row>
    <row r="221" spans="2:34" x14ac:dyDescent="0.2">
      <c r="B221" s="2">
        <f ca="1"/>
        <v>0.83942076138691224</v>
      </c>
      <c r="O221" s="2">
        <f ca="1"/>
        <v>-1.1164998282143968</v>
      </c>
      <c r="X221" s="2">
        <f ca="1"/>
        <v>49.155291804592451</v>
      </c>
      <c r="AG221" s="2">
        <f ca="1"/>
        <v>0.58184868092426267</v>
      </c>
      <c r="AH221" s="2" t="str">
        <f ca="1"/>
        <v>Bad</v>
      </c>
    </row>
    <row r="222" spans="2:34" x14ac:dyDescent="0.2">
      <c r="B222" s="2">
        <f ca="1"/>
        <v>0.27852424183061841</v>
      </c>
      <c r="O222" s="2">
        <f ca="1"/>
        <v>-4.5105534109786946E-2</v>
      </c>
      <c r="X222" s="2">
        <f ca="1"/>
        <v>64.606316617241248</v>
      </c>
      <c r="AG222" s="2">
        <f ca="1"/>
        <v>0.11371186041149217</v>
      </c>
      <c r="AH222" s="2" t="str">
        <f ca="1"/>
        <v>OK</v>
      </c>
    </row>
    <row r="223" spans="2:34" x14ac:dyDescent="0.2">
      <c r="B223" s="2">
        <f ca="1"/>
        <v>0.29098775651636966</v>
      </c>
      <c r="O223" s="2">
        <f ca="1"/>
        <v>0.74842718633681937</v>
      </c>
      <c r="X223" s="2">
        <f ca="1"/>
        <v>55.646146639512359</v>
      </c>
      <c r="AG223" s="2">
        <f ca="1"/>
        <v>0.35645685006495786</v>
      </c>
      <c r="AH223" s="2" t="str">
        <f ca="1"/>
        <v>OK</v>
      </c>
    </row>
    <row r="224" spans="2:34" x14ac:dyDescent="0.2">
      <c r="B224" s="2">
        <f ca="1"/>
        <v>0.43332093368950009</v>
      </c>
      <c r="O224" s="2">
        <f ca="1"/>
        <v>5.6989191576765422E-2</v>
      </c>
      <c r="X224" s="2">
        <f ca="1"/>
        <v>44.538651360209911</v>
      </c>
      <c r="AG224" s="2">
        <f ca="1"/>
        <v>0.90748092778649259</v>
      </c>
      <c r="AH224" s="2" t="str">
        <f ca="1"/>
        <v>Bad</v>
      </c>
    </row>
    <row r="225" spans="2:34" x14ac:dyDescent="0.2">
      <c r="B225" s="2">
        <f ca="1"/>
        <v>0.79992592772671633</v>
      </c>
      <c r="O225" s="2">
        <f ca="1"/>
        <v>1.0605991662825989</v>
      </c>
      <c r="X225" s="2">
        <f ca="1"/>
        <v>55.483547719694215</v>
      </c>
      <c r="AG225" s="2">
        <f ca="1"/>
        <v>0.11768647657055187</v>
      </c>
      <c r="AH225" s="2" t="str">
        <f ca="1"/>
        <v>OK</v>
      </c>
    </row>
    <row r="226" spans="2:34" x14ac:dyDescent="0.2">
      <c r="B226" s="2">
        <f ca="1"/>
        <v>0.36194606202249568</v>
      </c>
      <c r="O226" s="2">
        <f ca="1"/>
        <v>0.3338635240198492</v>
      </c>
      <c r="X226" s="2">
        <f ca="1"/>
        <v>75.344882500210275</v>
      </c>
      <c r="AG226" s="2">
        <f ca="1"/>
        <v>2.5086466698394982E-2</v>
      </c>
      <c r="AH226" s="2" t="str">
        <f ca="1"/>
        <v>Good</v>
      </c>
    </row>
    <row r="227" spans="2:34" x14ac:dyDescent="0.2">
      <c r="B227" s="2">
        <f ca="1"/>
        <v>0.35729278846631707</v>
      </c>
      <c r="O227" s="2">
        <f ca="1"/>
        <v>2.6046825230433046</v>
      </c>
      <c r="X227" s="2">
        <f ca="1"/>
        <v>37.125852010949771</v>
      </c>
      <c r="AG227" s="2">
        <f ca="1"/>
        <v>0.26694510433534413</v>
      </c>
      <c r="AH227" s="2" t="str">
        <f ca="1"/>
        <v>OK</v>
      </c>
    </row>
    <row r="228" spans="2:34" x14ac:dyDescent="0.2">
      <c r="B228" s="2">
        <f ca="1"/>
        <v>8.7022278966479849E-2</v>
      </c>
      <c r="O228" s="2">
        <f ca="1"/>
        <v>0.29188534326365689</v>
      </c>
      <c r="X228" s="2">
        <f ca="1"/>
        <v>30.527735660479255</v>
      </c>
      <c r="AG228" s="2">
        <f ca="1"/>
        <v>0.50969762926989715</v>
      </c>
      <c r="AH228" s="2" t="str">
        <f ca="1"/>
        <v>Bad</v>
      </c>
    </row>
    <row r="229" spans="2:34" x14ac:dyDescent="0.2">
      <c r="B229" s="2">
        <f ca="1"/>
        <v>0.42163055660008331</v>
      </c>
      <c r="O229" s="2">
        <f ca="1"/>
        <v>-0.46489154751577166</v>
      </c>
      <c r="X229" s="2">
        <f ca="1"/>
        <v>46.190399853098363</v>
      </c>
      <c r="AG229" s="2">
        <f ca="1"/>
        <v>0.13905314173436323</v>
      </c>
      <c r="AH229" s="2" t="str">
        <f ca="1"/>
        <v>OK</v>
      </c>
    </row>
    <row r="230" spans="2:34" x14ac:dyDescent="0.2">
      <c r="B230" s="2">
        <f ca="1"/>
        <v>0.21040084925018299</v>
      </c>
      <c r="O230" s="2">
        <f ca="1"/>
        <v>0.88938022409078932</v>
      </c>
      <c r="X230" s="2">
        <f ca="1"/>
        <v>60.572459142073861</v>
      </c>
      <c r="AG230" s="2">
        <f ca="1"/>
        <v>0.57946321430868819</v>
      </c>
      <c r="AH230" s="2" t="str">
        <f ca="1"/>
        <v>Bad</v>
      </c>
    </row>
    <row r="231" spans="2:34" x14ac:dyDescent="0.2">
      <c r="B231" s="2">
        <f ca="1"/>
        <v>0.44003773594365492</v>
      </c>
      <c r="O231" s="2">
        <f ca="1"/>
        <v>-1.3666077205169294</v>
      </c>
      <c r="X231" s="2">
        <f ca="1"/>
        <v>30.03539838021176</v>
      </c>
      <c r="AG231" s="2">
        <f ca="1"/>
        <v>0.14236156677335599</v>
      </c>
      <c r="AH231" s="2" t="str">
        <f ca="1"/>
        <v>OK</v>
      </c>
    </row>
    <row r="232" spans="2:34" x14ac:dyDescent="0.2">
      <c r="B232" s="2">
        <f ca="1"/>
        <v>0.46310684486152742</v>
      </c>
      <c r="O232" s="2">
        <f ca="1"/>
        <v>0.74932395915135208</v>
      </c>
      <c r="X232" s="2">
        <f ca="1"/>
        <v>25.769306047972261</v>
      </c>
      <c r="AG232" s="2">
        <f ca="1"/>
        <v>0.71973393426519539</v>
      </c>
      <c r="AH232" s="2" t="str">
        <f ca="1"/>
        <v>Bad</v>
      </c>
    </row>
    <row r="233" spans="2:34" x14ac:dyDescent="0.2">
      <c r="B233" s="2">
        <f ca="1"/>
        <v>0.40124146224468049</v>
      </c>
      <c r="O233" s="2">
        <f ca="1"/>
        <v>-0.5638109828789506</v>
      </c>
      <c r="X233" s="2">
        <f ca="1"/>
        <v>59.28102164442987</v>
      </c>
      <c r="AG233" s="2">
        <f ca="1"/>
        <v>0.97523650085432312</v>
      </c>
      <c r="AH233" s="2" t="str">
        <f ca="1"/>
        <v>Bad</v>
      </c>
    </row>
    <row r="234" spans="2:34" x14ac:dyDescent="0.2">
      <c r="B234" s="2">
        <f ca="1"/>
        <v>0.86577528349348931</v>
      </c>
      <c r="O234" s="2">
        <f ca="1"/>
        <v>0.49130708401270595</v>
      </c>
      <c r="X234" s="2">
        <f ca="1"/>
        <v>59.172190079144322</v>
      </c>
      <c r="AG234" s="2">
        <f ca="1"/>
        <v>0.21853130631102213</v>
      </c>
      <c r="AH234" s="2" t="str">
        <f ca="1"/>
        <v>OK</v>
      </c>
    </row>
    <row r="235" spans="2:34" x14ac:dyDescent="0.2">
      <c r="B235" s="2">
        <f ca="1"/>
        <v>0.17933483201619094</v>
      </c>
      <c r="O235" s="2">
        <f ca="1"/>
        <v>-0.71564314481464186</v>
      </c>
      <c r="X235" s="2">
        <f ca="1"/>
        <v>81.27781004623607</v>
      </c>
      <c r="AG235" s="2">
        <f ca="1"/>
        <v>0.35467429848807219</v>
      </c>
      <c r="AH235" s="2" t="str">
        <f ca="1"/>
        <v>OK</v>
      </c>
    </row>
    <row r="236" spans="2:34" x14ac:dyDescent="0.2">
      <c r="B236" s="2">
        <f ca="1"/>
        <v>0.97087590175445526</v>
      </c>
      <c r="O236" s="2">
        <f ca="1"/>
        <v>-0.19484769397226773</v>
      </c>
      <c r="X236" s="2">
        <f ca="1"/>
        <v>31.488179083483487</v>
      </c>
      <c r="AG236" s="2">
        <f ca="1"/>
        <v>0.19705738301639641</v>
      </c>
      <c r="AH236" s="2" t="str">
        <f ca="1"/>
        <v>OK</v>
      </c>
    </row>
    <row r="237" spans="2:34" x14ac:dyDescent="0.2">
      <c r="B237" s="2">
        <f ca="1"/>
        <v>0.83176534579955108</v>
      </c>
      <c r="O237" s="2">
        <f ca="1"/>
        <v>-1.4426600488921661</v>
      </c>
      <c r="X237" s="2">
        <f ca="1"/>
        <v>47.411151944143469</v>
      </c>
      <c r="AG237" s="2">
        <f ca="1"/>
        <v>0.93416806362338134</v>
      </c>
      <c r="AH237" s="2" t="str">
        <f ca="1"/>
        <v>Bad</v>
      </c>
    </row>
    <row r="238" spans="2:34" x14ac:dyDescent="0.2">
      <c r="B238" s="2">
        <f ca="1"/>
        <v>0.93082235859322315</v>
      </c>
      <c r="O238" s="2">
        <f ca="1"/>
        <v>1.0217946928510646</v>
      </c>
      <c r="X238" s="2">
        <f ca="1"/>
        <v>55.153610559950081</v>
      </c>
      <c r="AG238" s="2">
        <f ca="1"/>
        <v>0.10692755980473034</v>
      </c>
      <c r="AH238" s="2" t="str">
        <f ca="1"/>
        <v>OK</v>
      </c>
    </row>
    <row r="239" spans="2:34" x14ac:dyDescent="0.2">
      <c r="B239" s="2">
        <f ca="1"/>
        <v>0.80990535830273647</v>
      </c>
      <c r="O239" s="2">
        <f ca="1"/>
        <v>0.11374226542275769</v>
      </c>
      <c r="X239" s="2">
        <f ca="1"/>
        <v>41.557351800358603</v>
      </c>
      <c r="AG239" s="2">
        <f ca="1"/>
        <v>0.54782375568001473</v>
      </c>
      <c r="AH239" s="2" t="str">
        <f ca="1"/>
        <v>Bad</v>
      </c>
    </row>
    <row r="240" spans="2:34" x14ac:dyDescent="0.2">
      <c r="B240" s="2">
        <f ca="1"/>
        <v>0.18392692293540258</v>
      </c>
      <c r="O240" s="2">
        <f ca="1"/>
        <v>-0.32098900295465893</v>
      </c>
      <c r="X240" s="2">
        <f ca="1"/>
        <v>64.296417725480438</v>
      </c>
      <c r="AG240" s="2">
        <f ca="1"/>
        <v>0.75609994869349784</v>
      </c>
      <c r="AH240" s="2" t="str">
        <f ca="1"/>
        <v>Bad</v>
      </c>
    </row>
    <row r="241" spans="2:34" x14ac:dyDescent="0.2">
      <c r="B241" s="2">
        <f ca="1"/>
        <v>0.15455786942693428</v>
      </c>
      <c r="O241" s="2">
        <f ca="1"/>
        <v>0.2354947141108914</v>
      </c>
      <c r="X241" s="2">
        <f ca="1"/>
        <v>34.236591092725021</v>
      </c>
      <c r="AG241" s="2">
        <f ca="1"/>
        <v>6.5240733016561858E-2</v>
      </c>
      <c r="AH241" s="2" t="str">
        <f ca="1"/>
        <v>OK</v>
      </c>
    </row>
    <row r="242" spans="2:34" x14ac:dyDescent="0.2">
      <c r="B242" s="2">
        <f ca="1"/>
        <v>0.73108780734691359</v>
      </c>
      <c r="O242" s="2">
        <f ca="1"/>
        <v>-1.4400219238759855</v>
      </c>
      <c r="X242" s="2">
        <f ca="1"/>
        <v>35.558693564609783</v>
      </c>
      <c r="AG242" s="2">
        <f ca="1"/>
        <v>0.66682235374855603</v>
      </c>
      <c r="AH242" s="2" t="str">
        <f ca="1"/>
        <v>Bad</v>
      </c>
    </row>
    <row r="243" spans="2:34" x14ac:dyDescent="0.2">
      <c r="B243" s="2">
        <f ca="1"/>
        <v>0.51018866579545818</v>
      </c>
      <c r="O243" s="2">
        <f ca="1"/>
        <v>0.40712300314281874</v>
      </c>
      <c r="X243" s="2">
        <f ca="1"/>
        <v>22.090282647330714</v>
      </c>
      <c r="AG243" s="2">
        <f ca="1"/>
        <v>0.6035849924751393</v>
      </c>
      <c r="AH243" s="2" t="str">
        <f ca="1"/>
        <v>Bad</v>
      </c>
    </row>
    <row r="244" spans="2:34" x14ac:dyDescent="0.2">
      <c r="B244" s="2">
        <f ca="1"/>
        <v>0.44116241959131708</v>
      </c>
      <c r="O244" s="2">
        <f ca="1"/>
        <v>0.70647281334431988</v>
      </c>
      <c r="X244" s="2">
        <f ca="1"/>
        <v>76.194917508481893</v>
      </c>
      <c r="AG244" s="2">
        <f ca="1"/>
        <v>4.6056472925396719E-2</v>
      </c>
      <c r="AH244" s="2" t="str">
        <f ca="1"/>
        <v>Good</v>
      </c>
    </row>
    <row r="245" spans="2:34" x14ac:dyDescent="0.2">
      <c r="B245" s="2">
        <f ca="1"/>
        <v>0.52200660814188016</v>
      </c>
      <c r="O245" s="2">
        <f ca="1"/>
        <v>-1.0740382392084025</v>
      </c>
      <c r="X245" s="2">
        <f ca="1"/>
        <v>36.097329121710438</v>
      </c>
      <c r="AG245" s="2">
        <f ca="1"/>
        <v>0.58434483417360261</v>
      </c>
      <c r="AH245" s="2" t="str">
        <f ca="1"/>
        <v>Bad</v>
      </c>
    </row>
    <row r="246" spans="2:34" x14ac:dyDescent="0.2">
      <c r="B246" s="2">
        <f ca="1"/>
        <v>8.2338265091990603E-2</v>
      </c>
      <c r="O246" s="2">
        <f ca="1"/>
        <v>0.35149609747297533</v>
      </c>
      <c r="X246" s="2">
        <f ca="1"/>
        <v>36.498691427478327</v>
      </c>
      <c r="AG246" s="2">
        <f ca="1"/>
        <v>0.95455216040767121</v>
      </c>
      <c r="AH246" s="2" t="str">
        <f ca="1"/>
        <v>Bad</v>
      </c>
    </row>
    <row r="247" spans="2:34" x14ac:dyDescent="0.2">
      <c r="B247" s="2">
        <f ca="1"/>
        <v>0.37527489217507726</v>
      </c>
      <c r="O247" s="2">
        <f ca="1"/>
        <v>1.6470274444010218</v>
      </c>
      <c r="X247" s="2">
        <f ca="1"/>
        <v>62.687678036473969</v>
      </c>
      <c r="AG247" s="2">
        <f ca="1"/>
        <v>0.98637378007186549</v>
      </c>
      <c r="AH247" s="2" t="str">
        <f ca="1"/>
        <v>Bad</v>
      </c>
    </row>
    <row r="248" spans="2:34" x14ac:dyDescent="0.2">
      <c r="B248" s="2">
        <f ca="1"/>
        <v>0.8772382495431057</v>
      </c>
      <c r="O248" s="2">
        <f ca="1"/>
        <v>0.30339438823146531</v>
      </c>
      <c r="X248" s="2">
        <f ca="1"/>
        <v>31.382576452208241</v>
      </c>
      <c r="AG248" s="2">
        <f ca="1"/>
        <v>0.77069805457684026</v>
      </c>
      <c r="AH248" s="2" t="str">
        <f ca="1"/>
        <v>Bad</v>
      </c>
    </row>
    <row r="249" spans="2:34" x14ac:dyDescent="0.2">
      <c r="B249" s="2">
        <f ca="1"/>
        <v>2.8084868234945048E-2</v>
      </c>
      <c r="O249" s="2">
        <f ca="1"/>
        <v>1.2741162424517711</v>
      </c>
      <c r="X249" s="2">
        <f ca="1"/>
        <v>25.098821204952788</v>
      </c>
      <c r="AG249" s="2">
        <f ca="1"/>
        <v>0.5056423249762465</v>
      </c>
      <c r="AH249" s="2" t="str">
        <f ca="1"/>
        <v>Bad</v>
      </c>
    </row>
    <row r="250" spans="2:34" x14ac:dyDescent="0.2">
      <c r="B250" s="2">
        <f ca="1"/>
        <v>0.34083072742445908</v>
      </c>
      <c r="O250" s="2">
        <f ca="1"/>
        <v>-0.64195288681783313</v>
      </c>
      <c r="X250" s="2">
        <f ca="1"/>
        <v>69.98811081254955</v>
      </c>
      <c r="AG250" s="2">
        <f ca="1"/>
        <v>0.74191611207596075</v>
      </c>
      <c r="AH250" s="2" t="str">
        <f ca="1"/>
        <v>Bad</v>
      </c>
    </row>
    <row r="251" spans="2:34" x14ac:dyDescent="0.2">
      <c r="B251" s="2">
        <f ca="1"/>
        <v>0.83490914572111374</v>
      </c>
      <c r="O251" s="2">
        <f ca="1"/>
        <v>-0.76009194323270191</v>
      </c>
      <c r="X251" s="2">
        <f ca="1"/>
        <v>16.417140037224925</v>
      </c>
      <c r="AG251" s="2">
        <f ca="1"/>
        <v>0.91190001901626094</v>
      </c>
      <c r="AH251" s="2" t="str">
        <f ca="1"/>
        <v>Bad</v>
      </c>
    </row>
    <row r="252" spans="2:34" x14ac:dyDescent="0.2">
      <c r="B252" s="2">
        <f ca="1"/>
        <v>0.58635354939475426</v>
      </c>
      <c r="O252" s="2">
        <f ca="1"/>
        <v>0.87385618215598404</v>
      </c>
      <c r="X252" s="2">
        <f ca="1"/>
        <v>43.405582324233933</v>
      </c>
      <c r="AG252" s="2">
        <f ca="1"/>
        <v>0.46956376639604946</v>
      </c>
      <c r="AH252" s="2" t="str">
        <f ca="1"/>
        <v>Bad</v>
      </c>
    </row>
    <row r="253" spans="2:34" x14ac:dyDescent="0.2">
      <c r="B253" s="2">
        <f ca="1"/>
        <v>0.5710811027531042</v>
      </c>
      <c r="O253" s="2">
        <f ca="1"/>
        <v>-6.4780364200597032E-2</v>
      </c>
      <c r="X253" s="2">
        <f ca="1"/>
        <v>54.12026866755977</v>
      </c>
      <c r="AG253" s="2">
        <f ca="1"/>
        <v>0.47359249020921368</v>
      </c>
      <c r="AH253" s="2" t="str">
        <f ca="1"/>
        <v>Bad</v>
      </c>
    </row>
    <row r="254" spans="2:34" x14ac:dyDescent="0.2">
      <c r="B254" s="2">
        <f ca="1"/>
        <v>0.37681716413593236</v>
      </c>
      <c r="O254" s="2">
        <f ca="1"/>
        <v>-0.97889183288148163</v>
      </c>
      <c r="X254" s="2">
        <f ca="1"/>
        <v>33.607743375770667</v>
      </c>
      <c r="AG254" s="2">
        <f ca="1"/>
        <v>0.46673053442132062</v>
      </c>
      <c r="AH254" s="2" t="str">
        <f ca="1"/>
        <v>Bad</v>
      </c>
    </row>
    <row r="255" spans="2:34" x14ac:dyDescent="0.2">
      <c r="B255" s="2">
        <f ca="1"/>
        <v>0.34222049270141386</v>
      </c>
      <c r="O255" s="2">
        <f ca="1"/>
        <v>-0.5624496107745417</v>
      </c>
      <c r="X255" s="2">
        <f ca="1"/>
        <v>39.523318326824466</v>
      </c>
      <c r="AG255" s="2">
        <f ca="1"/>
        <v>0.58827057093228752</v>
      </c>
      <c r="AH255" s="2" t="str">
        <f ca="1"/>
        <v>Bad</v>
      </c>
    </row>
    <row r="256" spans="2:34" x14ac:dyDescent="0.2">
      <c r="B256" s="2">
        <f ca="1"/>
        <v>0.53884450496702319</v>
      </c>
      <c r="O256" s="2">
        <f ca="1"/>
        <v>-0.20508140148420245</v>
      </c>
      <c r="X256" s="2">
        <f ca="1"/>
        <v>56.172207345062041</v>
      </c>
      <c r="AG256" s="2">
        <f ca="1"/>
        <v>0.53513657330698816</v>
      </c>
      <c r="AH256" s="2" t="str">
        <f ca="1"/>
        <v>Bad</v>
      </c>
    </row>
    <row r="257" spans="2:34" x14ac:dyDescent="0.2">
      <c r="B257" s="2">
        <f ca="1"/>
        <v>0.39883465108843352</v>
      </c>
      <c r="O257" s="2">
        <f ca="1"/>
        <v>-2.1522704134528041</v>
      </c>
      <c r="X257" s="2">
        <f ca="1"/>
        <v>52.542179286101131</v>
      </c>
      <c r="AG257" s="2">
        <f ca="1"/>
        <v>0.27173681882500444</v>
      </c>
      <c r="AH257" s="2" t="str">
        <f ca="1"/>
        <v>OK</v>
      </c>
    </row>
    <row r="258" spans="2:34" x14ac:dyDescent="0.2">
      <c r="B258" s="2">
        <f ca="1"/>
        <v>0.17924782435681808</v>
      </c>
      <c r="O258" s="2">
        <f ca="1"/>
        <v>-0.37731999482858258</v>
      </c>
      <c r="X258" s="2">
        <f ca="1"/>
        <v>48.4712347118137</v>
      </c>
      <c r="AG258" s="2">
        <f ca="1"/>
        <v>0.25503679762813958</v>
      </c>
      <c r="AH258" s="2" t="str">
        <f ca="1"/>
        <v>OK</v>
      </c>
    </row>
    <row r="259" spans="2:34" x14ac:dyDescent="0.2">
      <c r="B259" s="2">
        <f ca="1"/>
        <v>0.16081759416251074</v>
      </c>
      <c r="O259" s="2">
        <f ca="1"/>
        <v>-1.1359750246891083</v>
      </c>
      <c r="X259" s="2">
        <f ca="1"/>
        <v>57.250666455920452</v>
      </c>
      <c r="AG259" s="2">
        <f ca="1"/>
        <v>0.97157302353893771</v>
      </c>
      <c r="AH259" s="2" t="str">
        <f ca="1"/>
        <v>Bad</v>
      </c>
    </row>
    <row r="260" spans="2:34" x14ac:dyDescent="0.2">
      <c r="B260" s="2">
        <f ca="1"/>
        <v>0.63981591582192743</v>
      </c>
      <c r="O260" s="2">
        <f ca="1"/>
        <v>-0.28500875339045095</v>
      </c>
      <c r="X260" s="2">
        <f ca="1"/>
        <v>29.479572387362015</v>
      </c>
      <c r="AG260" s="2">
        <f ca="1"/>
        <v>7.6400371295305192E-2</v>
      </c>
      <c r="AH260" s="2" t="str">
        <f ca="1"/>
        <v>OK</v>
      </c>
    </row>
    <row r="261" spans="2:34" x14ac:dyDescent="0.2">
      <c r="B261" s="2">
        <f ca="1"/>
        <v>0.62309380746096465</v>
      </c>
      <c r="O261" s="2">
        <f ca="1"/>
        <v>0.30887788505743302</v>
      </c>
      <c r="X261" s="2">
        <f ca="1"/>
        <v>28.224489018444491</v>
      </c>
      <c r="AG261" s="2">
        <f ca="1"/>
        <v>0.11667692088542125</v>
      </c>
      <c r="AH261" s="2" t="str">
        <f ca="1"/>
        <v>OK</v>
      </c>
    </row>
    <row r="262" spans="2:34" x14ac:dyDescent="0.2">
      <c r="B262" s="2">
        <f ca="1"/>
        <v>0.34086574799555747</v>
      </c>
      <c r="O262" s="2">
        <f ca="1"/>
        <v>-0.82384422248785028</v>
      </c>
      <c r="X262" s="2">
        <f ca="1"/>
        <v>49.459717136533364</v>
      </c>
      <c r="AG262" s="2">
        <f ca="1"/>
        <v>6.297082902416995E-2</v>
      </c>
      <c r="AH262" s="2" t="str">
        <f ca="1"/>
        <v>OK</v>
      </c>
    </row>
    <row r="263" spans="2:34" x14ac:dyDescent="0.2">
      <c r="B263" s="2">
        <f ca="1"/>
        <v>0.87032967158040808</v>
      </c>
      <c r="O263" s="2">
        <f ca="1"/>
        <v>-1.5574955973343543</v>
      </c>
      <c r="X263" s="2">
        <f ca="1"/>
        <v>61.555922621327859</v>
      </c>
      <c r="AG263" s="2">
        <f ca="1"/>
        <v>0.13719079782135801</v>
      </c>
      <c r="AH263" s="2" t="str">
        <f ca="1"/>
        <v>OK</v>
      </c>
    </row>
    <row r="264" spans="2:34" x14ac:dyDescent="0.2">
      <c r="B264" s="2">
        <f ca="1"/>
        <v>0.64792280795512358</v>
      </c>
      <c r="O264" s="2">
        <f ca="1"/>
        <v>1.1217878224684916</v>
      </c>
      <c r="X264" s="2">
        <f ca="1"/>
        <v>47.783349271640816</v>
      </c>
      <c r="AG264" s="2">
        <f ca="1"/>
        <v>0.89637952930699583</v>
      </c>
      <c r="AH264" s="2" t="str">
        <f ca="1"/>
        <v>Bad</v>
      </c>
    </row>
    <row r="265" spans="2:34" x14ac:dyDescent="0.2">
      <c r="B265" s="2">
        <f ca="1"/>
        <v>0.68601879002397248</v>
      </c>
      <c r="O265" s="2">
        <f ca="1"/>
        <v>-1.9228627785853314</v>
      </c>
      <c r="X265" s="2">
        <f ca="1"/>
        <v>50.536750677420514</v>
      </c>
      <c r="AG265" s="2">
        <f ca="1"/>
        <v>0.30591460283066541</v>
      </c>
      <c r="AH265" s="2" t="str">
        <f ca="1"/>
        <v>OK</v>
      </c>
    </row>
    <row r="266" spans="2:34" x14ac:dyDescent="0.2">
      <c r="B266" s="2">
        <f ca="1"/>
        <v>0.61206964207949621</v>
      </c>
      <c r="O266" s="2">
        <f ca="1"/>
        <v>0.10164115020990945</v>
      </c>
      <c r="X266" s="2">
        <f ca="1"/>
        <v>33.949034736184259</v>
      </c>
      <c r="AG266" s="2">
        <f ca="1"/>
        <v>0.25264346405165239</v>
      </c>
      <c r="AH266" s="2" t="str">
        <f ca="1"/>
        <v>OK</v>
      </c>
    </row>
    <row r="267" spans="2:34" x14ac:dyDescent="0.2">
      <c r="B267" s="2">
        <f ca="1"/>
        <v>8.4255894523161512E-2</v>
      </c>
      <c r="O267" s="2">
        <f ca="1"/>
        <v>-0.71457735702942282</v>
      </c>
      <c r="X267" s="2">
        <f ca="1"/>
        <v>43.152563144657606</v>
      </c>
      <c r="AG267" s="2">
        <f ca="1"/>
        <v>0.40946576314277072</v>
      </c>
      <c r="AH267" s="2" t="str">
        <f ca="1"/>
        <v>Bad</v>
      </c>
    </row>
    <row r="268" spans="2:34" x14ac:dyDescent="0.2">
      <c r="B268" s="2">
        <f ca="1"/>
        <v>0.95193406169955375</v>
      </c>
      <c r="O268" s="2">
        <f ca="1"/>
        <v>-0.57714842000614586</v>
      </c>
      <c r="X268" s="2">
        <f ca="1"/>
        <v>34.585180477265737</v>
      </c>
      <c r="AG268" s="2">
        <f ca="1"/>
        <v>0.63332435606778925</v>
      </c>
      <c r="AH268" s="2" t="str">
        <f ca="1"/>
        <v>Bad</v>
      </c>
    </row>
    <row r="269" spans="2:34" x14ac:dyDescent="0.2">
      <c r="B269" s="2">
        <f ca="1"/>
        <v>0.22406837484259023</v>
      </c>
      <c r="O269" s="2">
        <f ca="1"/>
        <v>-5.3529642964884792E-2</v>
      </c>
      <c r="X269" s="2">
        <f ca="1"/>
        <v>81.591762540722087</v>
      </c>
      <c r="AG269" s="2">
        <f ca="1"/>
        <v>0.93020719271965224</v>
      </c>
      <c r="AH269" s="2" t="str">
        <f ca="1"/>
        <v>Bad</v>
      </c>
    </row>
    <row r="270" spans="2:34" x14ac:dyDescent="0.2">
      <c r="B270" s="2">
        <f ca="1"/>
        <v>0.24071895393571263</v>
      </c>
      <c r="O270" s="2">
        <f ca="1"/>
        <v>1.0880982372053214</v>
      </c>
      <c r="X270" s="2">
        <f ca="1"/>
        <v>29.933595455032666</v>
      </c>
      <c r="AG270" s="2">
        <f ca="1"/>
        <v>0.53402134539639845</v>
      </c>
      <c r="AH270" s="2" t="str">
        <f ca="1"/>
        <v>Bad</v>
      </c>
    </row>
    <row r="271" spans="2:34" x14ac:dyDescent="0.2">
      <c r="B271" s="2">
        <f ca="1"/>
        <v>0.61786591198391383</v>
      </c>
      <c r="O271" s="2">
        <f ca="1"/>
        <v>-1.2996951217188495</v>
      </c>
      <c r="X271" s="2">
        <f ca="1"/>
        <v>52.019393117983405</v>
      </c>
      <c r="AG271" s="2">
        <f ca="1"/>
        <v>0.78539684936647913</v>
      </c>
      <c r="AH271" s="2" t="str">
        <f ca="1"/>
        <v>Bad</v>
      </c>
    </row>
    <row r="272" spans="2:34" x14ac:dyDescent="0.2">
      <c r="B272" s="2">
        <f ca="1"/>
        <v>0.38363146290269157</v>
      </c>
      <c r="O272" s="2">
        <f ca="1"/>
        <v>2.8096434213481234</v>
      </c>
      <c r="X272" s="2">
        <f ca="1"/>
        <v>42.111047942333748</v>
      </c>
      <c r="AG272" s="2">
        <f ca="1"/>
        <v>0.8533207657805002</v>
      </c>
      <c r="AH272" s="2" t="str">
        <f ca="1"/>
        <v>Bad</v>
      </c>
    </row>
    <row r="273" spans="2:34" x14ac:dyDescent="0.2">
      <c r="B273" s="2">
        <f ca="1"/>
        <v>0.15386775377498907</v>
      </c>
      <c r="O273" s="2">
        <f ca="1"/>
        <v>1.3332332275630385</v>
      </c>
      <c r="X273" s="2">
        <f ca="1"/>
        <v>42.175528499305727</v>
      </c>
      <c r="AG273" s="2">
        <f ca="1"/>
        <v>0.14185190791276803</v>
      </c>
      <c r="AH273" s="2" t="str">
        <f ca="1"/>
        <v>OK</v>
      </c>
    </row>
    <row r="274" spans="2:34" x14ac:dyDescent="0.2">
      <c r="B274" s="2">
        <f ca="1"/>
        <v>0.52212775439357806</v>
      </c>
      <c r="O274" s="2">
        <f ca="1"/>
        <v>-1.0347461646061438</v>
      </c>
      <c r="X274" s="2">
        <f ca="1"/>
        <v>46.198429766580944</v>
      </c>
      <c r="AG274" s="2">
        <f ca="1"/>
        <v>0.4692884619202351</v>
      </c>
      <c r="AH274" s="2" t="str">
        <f ca="1"/>
        <v>Bad</v>
      </c>
    </row>
    <row r="275" spans="2:34" x14ac:dyDescent="0.2">
      <c r="B275" s="2">
        <f ca="1"/>
        <v>0.29415240117464014</v>
      </c>
      <c r="O275" s="2">
        <f ca="1"/>
        <v>1.1528558684587384</v>
      </c>
      <c r="X275" s="2">
        <f ca="1"/>
        <v>63.526392284933664</v>
      </c>
      <c r="AG275" s="2">
        <f ca="1"/>
        <v>0.52345419634320667</v>
      </c>
      <c r="AH275" s="2" t="str">
        <f ca="1"/>
        <v>Bad</v>
      </c>
    </row>
    <row r="276" spans="2:34" x14ac:dyDescent="0.2">
      <c r="B276" s="2">
        <f ca="1"/>
        <v>0.57152680977407355</v>
      </c>
      <c r="O276" s="2">
        <f ca="1"/>
        <v>-0.82676396469952029</v>
      </c>
      <c r="X276" s="2">
        <f ca="1"/>
        <v>69.854573330171689</v>
      </c>
      <c r="AG276" s="2">
        <f ca="1"/>
        <v>0.15781878623436985</v>
      </c>
      <c r="AH276" s="2" t="str">
        <f ca="1"/>
        <v>OK</v>
      </c>
    </row>
    <row r="277" spans="2:34" x14ac:dyDescent="0.2">
      <c r="B277" s="2">
        <f ca="1"/>
        <v>0.95009846385708863</v>
      </c>
      <c r="O277" s="2">
        <f ca="1"/>
        <v>-1.3492911064826483</v>
      </c>
      <c r="X277" s="2">
        <f ca="1"/>
        <v>41.976399270333374</v>
      </c>
      <c r="AG277" s="2">
        <f ca="1"/>
        <v>0.36787705664943449</v>
      </c>
      <c r="AH277" s="2" t="str">
        <f ca="1"/>
        <v>OK</v>
      </c>
    </row>
    <row r="278" spans="2:34" x14ac:dyDescent="0.2">
      <c r="B278" s="2">
        <f ca="1"/>
        <v>2.9508422020445568E-2</v>
      </c>
      <c r="O278" s="2">
        <f ca="1"/>
        <v>-0.37116374425595122</v>
      </c>
      <c r="X278" s="2">
        <f ca="1"/>
        <v>58.610290134062765</v>
      </c>
      <c r="AG278" s="2">
        <f ca="1"/>
        <v>0.32437012858915515</v>
      </c>
      <c r="AH278" s="2" t="str">
        <f ca="1"/>
        <v>OK</v>
      </c>
    </row>
    <row r="279" spans="2:34" x14ac:dyDescent="0.2">
      <c r="B279" s="2">
        <f ca="1"/>
        <v>0.61864569475364717</v>
      </c>
      <c r="O279" s="2">
        <f ca="1"/>
        <v>1.5931470809113883</v>
      </c>
      <c r="X279" s="2">
        <f ca="1"/>
        <v>35.695504697727593</v>
      </c>
      <c r="AG279" s="2">
        <f ca="1"/>
        <v>0.78322388629856254</v>
      </c>
      <c r="AH279" s="2" t="str">
        <f ca="1"/>
        <v>Bad</v>
      </c>
    </row>
    <row r="280" spans="2:34" x14ac:dyDescent="0.2">
      <c r="B280" s="2">
        <f ca="1"/>
        <v>0.15306658803399764</v>
      </c>
      <c r="O280" s="2">
        <f ca="1"/>
        <v>0.30156277325445946</v>
      </c>
      <c r="X280" s="2">
        <f ca="1"/>
        <v>76.69708180531839</v>
      </c>
      <c r="AG280" s="2">
        <f ca="1"/>
        <v>0.93015522560381036</v>
      </c>
      <c r="AH280" s="2" t="str">
        <f ca="1"/>
        <v>Bad</v>
      </c>
    </row>
    <row r="281" spans="2:34" x14ac:dyDescent="0.2">
      <c r="B281" s="2">
        <f ca="1"/>
        <v>0.79872254517606756</v>
      </c>
      <c r="O281" s="2">
        <f ca="1"/>
        <v>-0.92628403464070996</v>
      </c>
      <c r="X281" s="2">
        <f ca="1"/>
        <v>27.913427302309639</v>
      </c>
      <c r="AG281" s="2">
        <f ca="1"/>
        <v>4.1417212647058887E-2</v>
      </c>
      <c r="AH281" s="2" t="str">
        <f ca="1"/>
        <v>Good</v>
      </c>
    </row>
    <row r="282" spans="2:34" x14ac:dyDescent="0.2">
      <c r="B282" s="2">
        <f ca="1"/>
        <v>0.48146585088796434</v>
      </c>
      <c r="O282" s="2">
        <f ca="1"/>
        <v>1.9513697436535669</v>
      </c>
      <c r="X282" s="2">
        <f ca="1"/>
        <v>44.65243450037913</v>
      </c>
      <c r="AG282" s="2">
        <f ca="1"/>
        <v>0.82212695471699959</v>
      </c>
      <c r="AH282" s="2" t="str">
        <f ca="1"/>
        <v>Bad</v>
      </c>
    </row>
    <row r="283" spans="2:34" x14ac:dyDescent="0.2">
      <c r="B283" s="2">
        <f ca="1"/>
        <v>0.99026604273130814</v>
      </c>
      <c r="O283" s="2">
        <f ca="1"/>
        <v>-1.0404973231334489</v>
      </c>
      <c r="X283" s="2">
        <f ca="1"/>
        <v>45.90498147318818</v>
      </c>
      <c r="AG283" s="2">
        <f ca="1"/>
        <v>0.88229473138072234</v>
      </c>
      <c r="AH283" s="2" t="str">
        <f ca="1"/>
        <v>Bad</v>
      </c>
    </row>
    <row r="284" spans="2:34" x14ac:dyDescent="0.2">
      <c r="B284" s="2">
        <f ca="1"/>
        <v>0.80900733118417945</v>
      </c>
      <c r="O284" s="2">
        <f ca="1"/>
        <v>1.6998048973031903</v>
      </c>
      <c r="X284" s="2">
        <f ca="1"/>
        <v>26.331614395997043</v>
      </c>
      <c r="AG284" s="2">
        <f ca="1"/>
        <v>6.2132191601981468E-2</v>
      </c>
      <c r="AH284" s="2" t="str">
        <f ca="1"/>
        <v>OK</v>
      </c>
    </row>
    <row r="285" spans="2:34" x14ac:dyDescent="0.2">
      <c r="B285" s="2">
        <f ca="1"/>
        <v>0.98600794814034676</v>
      </c>
      <c r="O285" s="2">
        <f ca="1"/>
        <v>0.84612784097414351</v>
      </c>
      <c r="X285" s="2">
        <f ca="1"/>
        <v>43.198659345906577</v>
      </c>
      <c r="AG285" s="2">
        <f ca="1"/>
        <v>0.92957430147414866</v>
      </c>
      <c r="AH285" s="2" t="str">
        <f ca="1"/>
        <v>Bad</v>
      </c>
    </row>
    <row r="286" spans="2:34" x14ac:dyDescent="0.2">
      <c r="B286" s="2">
        <f ca="1"/>
        <v>0.44551135877765247</v>
      </c>
      <c r="O286" s="2">
        <f ca="1"/>
        <v>-1.5707844650552183</v>
      </c>
      <c r="X286" s="2">
        <f ca="1"/>
        <v>41.775191830020766</v>
      </c>
      <c r="AG286" s="2">
        <f ca="1"/>
        <v>0.999574106389024</v>
      </c>
      <c r="AH286" s="2" t="str">
        <f ca="1"/>
        <v>Bad</v>
      </c>
    </row>
    <row r="287" spans="2:34" x14ac:dyDescent="0.2">
      <c r="B287" s="2">
        <f ca="1"/>
        <v>0.87725207225355595</v>
      </c>
      <c r="O287" s="2">
        <f ca="1"/>
        <v>0.36768900216641631</v>
      </c>
      <c r="X287" s="2">
        <f ca="1"/>
        <v>51.612252174307841</v>
      </c>
      <c r="AG287" s="2">
        <f ca="1"/>
        <v>0.70982692300364758</v>
      </c>
      <c r="AH287" s="2" t="str">
        <f ca="1"/>
        <v>Bad</v>
      </c>
    </row>
    <row r="288" spans="2:34" x14ac:dyDescent="0.2">
      <c r="B288" s="2">
        <f ca="1"/>
        <v>0.90386153298337968</v>
      </c>
      <c r="O288" s="2">
        <f ca="1"/>
        <v>-1.6404323524019551</v>
      </c>
      <c r="X288" s="2">
        <f ca="1"/>
        <v>59.66250375312864</v>
      </c>
      <c r="AG288" s="2">
        <f ca="1"/>
        <v>0.56217689011455896</v>
      </c>
      <c r="AH288" s="2" t="str">
        <f ca="1"/>
        <v>Bad</v>
      </c>
    </row>
    <row r="289" spans="2:34" x14ac:dyDescent="0.2">
      <c r="B289" s="2">
        <f ca="1"/>
        <v>0.6326629347302839</v>
      </c>
      <c r="O289" s="2">
        <f ca="1"/>
        <v>0.99834170735935757</v>
      </c>
      <c r="X289" s="2">
        <f ca="1"/>
        <v>51.522495981290263</v>
      </c>
      <c r="AG289" s="2">
        <f ca="1"/>
        <v>0.43832591452915981</v>
      </c>
      <c r="AH289" s="2" t="str">
        <f ca="1"/>
        <v>Bad</v>
      </c>
    </row>
    <row r="290" spans="2:34" x14ac:dyDescent="0.2">
      <c r="B290" s="2">
        <f ca="1"/>
        <v>0.4697202870947601</v>
      </c>
      <c r="O290" s="2">
        <f ca="1"/>
        <v>0.87777823573521574</v>
      </c>
      <c r="X290" s="2">
        <f ca="1"/>
        <v>44.817334023219708</v>
      </c>
      <c r="AG290" s="2">
        <f ca="1"/>
        <v>0.43992948133829657</v>
      </c>
      <c r="AH290" s="2" t="str">
        <f ca="1"/>
        <v>Bad</v>
      </c>
    </row>
    <row r="291" spans="2:34" x14ac:dyDescent="0.2">
      <c r="B291" s="2">
        <f ca="1"/>
        <v>0.37099568659619009</v>
      </c>
      <c r="O291" s="2">
        <f ca="1"/>
        <v>-4.1492267109409328E-2</v>
      </c>
      <c r="X291" s="2">
        <f ca="1"/>
        <v>34.081934130107861</v>
      </c>
      <c r="AG291" s="2">
        <f ca="1"/>
        <v>0.10814401437131682</v>
      </c>
      <c r="AH291" s="2" t="str">
        <f ca="1"/>
        <v>OK</v>
      </c>
    </row>
    <row r="292" spans="2:34" x14ac:dyDescent="0.2">
      <c r="B292" s="2">
        <f ca="1"/>
        <v>9.2436264048216366E-2</v>
      </c>
      <c r="O292" s="2">
        <f ca="1"/>
        <v>1.0545666709194148</v>
      </c>
      <c r="X292" s="2">
        <f ca="1"/>
        <v>41.219261125653205</v>
      </c>
      <c r="AG292" s="2">
        <f ca="1"/>
        <v>0.20383517612546509</v>
      </c>
      <c r="AH292" s="2" t="str">
        <f ca="1"/>
        <v>OK</v>
      </c>
    </row>
    <row r="293" spans="2:34" x14ac:dyDescent="0.2">
      <c r="B293" s="2">
        <f ca="1"/>
        <v>0.75676551408604875</v>
      </c>
      <c r="O293" s="2">
        <f ca="1"/>
        <v>1.4945112032744465</v>
      </c>
      <c r="X293" s="2">
        <f ca="1"/>
        <v>31.369289639004606</v>
      </c>
      <c r="AG293" s="2">
        <f ca="1"/>
        <v>9.2172418777983989E-2</v>
      </c>
      <c r="AH293" s="2" t="str">
        <f ca="1"/>
        <v>OK</v>
      </c>
    </row>
    <row r="294" spans="2:34" x14ac:dyDescent="0.2">
      <c r="B294" s="2">
        <f ca="1"/>
        <v>2.0846655826176397E-2</v>
      </c>
      <c r="O294" s="2">
        <f ca="1"/>
        <v>0.28926630251693214</v>
      </c>
      <c r="X294" s="2">
        <f ca="1"/>
        <v>88.852279061130076</v>
      </c>
      <c r="AG294" s="2">
        <f ca="1"/>
        <v>0.90389937398290465</v>
      </c>
      <c r="AH294" s="2" t="str">
        <f ca="1"/>
        <v>Bad</v>
      </c>
    </row>
    <row r="295" spans="2:34" x14ac:dyDescent="0.2">
      <c r="B295" s="2">
        <f ca="1"/>
        <v>9.5686332704318922E-3</v>
      </c>
      <c r="O295" s="2">
        <f ca="1"/>
        <v>0.28065057963904771</v>
      </c>
      <c r="X295" s="2">
        <f ca="1"/>
        <v>48.452135122661026</v>
      </c>
      <c r="AG295" s="2">
        <f ca="1"/>
        <v>0.32276240985803506</v>
      </c>
      <c r="AH295" s="2" t="str">
        <f ca="1"/>
        <v>OK</v>
      </c>
    </row>
    <row r="296" spans="2:34" x14ac:dyDescent="0.2">
      <c r="B296" s="2">
        <f ca="1"/>
        <v>0.10787583931947475</v>
      </c>
      <c r="O296" s="2">
        <f ca="1"/>
        <v>-0.76271066784263764</v>
      </c>
      <c r="X296" s="2">
        <f ca="1"/>
        <v>33.354800575318222</v>
      </c>
      <c r="AG296" s="2">
        <f ca="1"/>
        <v>0.83415224101719043</v>
      </c>
      <c r="AH296" s="2" t="str">
        <f ca="1"/>
        <v>Bad</v>
      </c>
    </row>
    <row r="297" spans="2:34" x14ac:dyDescent="0.2">
      <c r="B297" s="2">
        <f ca="1"/>
        <v>0.94667776344020682</v>
      </c>
      <c r="O297" s="2">
        <f ca="1"/>
        <v>0.4632099574656286</v>
      </c>
      <c r="X297" s="2">
        <f ca="1"/>
        <v>62.473831921808511</v>
      </c>
      <c r="AG297" s="2">
        <f ca="1"/>
        <v>0.36911315984457738</v>
      </c>
      <c r="AH297" s="2" t="str">
        <f ca="1"/>
        <v>OK</v>
      </c>
    </row>
    <row r="298" spans="2:34" x14ac:dyDescent="0.2">
      <c r="B298" s="2">
        <f ca="1"/>
        <v>0.7378715128469262</v>
      </c>
      <c r="O298" s="2">
        <f ca="1"/>
        <v>-0.5657840057705853</v>
      </c>
      <c r="X298" s="2">
        <f ca="1"/>
        <v>67.856998119833818</v>
      </c>
      <c r="AG298" s="2">
        <f ca="1"/>
        <v>0.39363080189285493</v>
      </c>
      <c r="AH298" s="2" t="str">
        <f ca="1"/>
        <v>OK</v>
      </c>
    </row>
    <row r="299" spans="2:34" x14ac:dyDescent="0.2">
      <c r="B299" s="2">
        <f ca="1"/>
        <v>0.62063644168224052</v>
      </c>
      <c r="O299" s="2">
        <f ca="1"/>
        <v>0.45631805744131809</v>
      </c>
      <c r="X299" s="2">
        <f ca="1"/>
        <v>38.579340705574374</v>
      </c>
      <c r="AG299" s="2">
        <f ca="1"/>
        <v>0.19634142201442928</v>
      </c>
      <c r="AH299" s="2" t="str">
        <f ca="1"/>
        <v>OK</v>
      </c>
    </row>
    <row r="300" spans="2:34" x14ac:dyDescent="0.2">
      <c r="B300" s="2">
        <f ca="1"/>
        <v>0.25965049794912387</v>
      </c>
      <c r="O300" s="2">
        <f ca="1"/>
        <v>-0.75918550812503693</v>
      </c>
      <c r="X300" s="2">
        <f ca="1"/>
        <v>75.800881350078612</v>
      </c>
      <c r="AG300" s="2">
        <f ca="1"/>
        <v>0.25247941207602564</v>
      </c>
      <c r="AH300" s="2" t="str">
        <f ca="1"/>
        <v>OK</v>
      </c>
    </row>
    <row r="301" spans="2:34" x14ac:dyDescent="0.2">
      <c r="B301" s="2">
        <f ca="1"/>
        <v>4.8160040564633633E-2</v>
      </c>
      <c r="O301" s="2">
        <f ca="1"/>
        <v>-0.61117291507524096</v>
      </c>
      <c r="X301" s="2">
        <f ca="1"/>
        <v>51.44366186596617</v>
      </c>
      <c r="AG301" s="2">
        <f ca="1"/>
        <v>0.23037633013565406</v>
      </c>
      <c r="AH301" s="2" t="str">
        <f ca="1"/>
        <v>OK</v>
      </c>
    </row>
    <row r="302" spans="2:34" x14ac:dyDescent="0.2">
      <c r="B302" s="2">
        <f ca="1"/>
        <v>3.5703640182738194E-3</v>
      </c>
      <c r="O302" s="2">
        <f ca="1"/>
        <v>0.65626725933379249</v>
      </c>
      <c r="X302" s="2">
        <f ca="1"/>
        <v>50.278686394651217</v>
      </c>
      <c r="AG302" s="2">
        <f ca="1"/>
        <v>0.9684853844045358</v>
      </c>
      <c r="AH302" s="2" t="str">
        <f ca="1"/>
        <v>Bad</v>
      </c>
    </row>
    <row r="303" spans="2:34" x14ac:dyDescent="0.2">
      <c r="B303" s="2">
        <f ca="1"/>
        <v>0.20686577134707962</v>
      </c>
      <c r="O303" s="2">
        <f ca="1"/>
        <v>0.69370010197423371</v>
      </c>
      <c r="X303" s="2">
        <f ca="1"/>
        <v>37.022590426881202</v>
      </c>
      <c r="AG303" s="2">
        <f ca="1"/>
        <v>2.1372074595422674E-3</v>
      </c>
      <c r="AH303" s="2" t="str">
        <f ca="1"/>
        <v>Good</v>
      </c>
    </row>
    <row r="304" spans="2:34" x14ac:dyDescent="0.2">
      <c r="B304" s="2">
        <f ca="1"/>
        <v>0.66322115750859378</v>
      </c>
      <c r="O304" s="2">
        <f ca="1"/>
        <v>0.93216895430110591</v>
      </c>
      <c r="X304" s="2">
        <f ca="1"/>
        <v>48.656897715537362</v>
      </c>
      <c r="AG304" s="2">
        <f ca="1"/>
        <v>0.55236088418369222</v>
      </c>
      <c r="AH304" s="2" t="str">
        <f ca="1"/>
        <v>Bad</v>
      </c>
    </row>
    <row r="305" spans="2:34" x14ac:dyDescent="0.2">
      <c r="B305" s="2">
        <f ca="1"/>
        <v>0.10649641620513695</v>
      </c>
      <c r="O305" s="2">
        <f ca="1"/>
        <v>0.34317435429351328</v>
      </c>
      <c r="X305" s="2">
        <f ca="1"/>
        <v>51.287043594090001</v>
      </c>
      <c r="AG305" s="2">
        <f ca="1"/>
        <v>0.84760584869598632</v>
      </c>
      <c r="AH305" s="2" t="str">
        <f ca="1"/>
        <v>Bad</v>
      </c>
    </row>
    <row r="306" spans="2:34" x14ac:dyDescent="0.2">
      <c r="B306" s="2">
        <f ca="1"/>
        <v>0.86770980700198019</v>
      </c>
      <c r="O306" s="2">
        <f ca="1"/>
        <v>2.1181520423498608</v>
      </c>
      <c r="X306" s="2">
        <f ca="1"/>
        <v>71.33936900459652</v>
      </c>
      <c r="AG306" s="2">
        <f ca="1"/>
        <v>0.14698851166260951</v>
      </c>
      <c r="AH306" s="2" t="str">
        <f ca="1"/>
        <v>OK</v>
      </c>
    </row>
    <row r="307" spans="2:34" x14ac:dyDescent="0.2">
      <c r="B307" s="2">
        <f ca="1"/>
        <v>0.567577889541653</v>
      </c>
      <c r="O307" s="2">
        <f ca="1"/>
        <v>-1.2822456442974646</v>
      </c>
      <c r="X307" s="2">
        <f ca="1"/>
        <v>60.536696304048647</v>
      </c>
      <c r="AG307" s="2">
        <f ca="1"/>
        <v>0.89710854210451463</v>
      </c>
      <c r="AH307" s="2" t="str">
        <f ca="1"/>
        <v>Bad</v>
      </c>
    </row>
    <row r="308" spans="2:34" x14ac:dyDescent="0.2">
      <c r="B308" s="2">
        <f ca="1"/>
        <v>0.88854743933725944</v>
      </c>
      <c r="O308" s="2">
        <f ca="1"/>
        <v>0.21134066570747367</v>
      </c>
      <c r="X308" s="2">
        <f ca="1"/>
        <v>52.794096094706418</v>
      </c>
      <c r="AG308" s="2">
        <f ca="1"/>
        <v>0.97106832479877059</v>
      </c>
      <c r="AH308" s="2" t="str">
        <f ca="1"/>
        <v>Bad</v>
      </c>
    </row>
    <row r="309" spans="2:34" x14ac:dyDescent="0.2">
      <c r="B309" s="2">
        <f ca="1"/>
        <v>0.8656296398471035</v>
      </c>
      <c r="O309" s="2">
        <f ca="1"/>
        <v>-0.87134853133477785</v>
      </c>
      <c r="X309" s="2">
        <f ca="1"/>
        <v>35.891443736690817</v>
      </c>
      <c r="AG309" s="2">
        <f ca="1"/>
        <v>0.55904547526692072</v>
      </c>
      <c r="AH309" s="2" t="str">
        <f ca="1"/>
        <v>Bad</v>
      </c>
    </row>
    <row r="310" spans="2:34" x14ac:dyDescent="0.2">
      <c r="B310" s="2">
        <f ca="1"/>
        <v>0.77042095324491178</v>
      </c>
      <c r="O310" s="2">
        <f ca="1"/>
        <v>0.70821916701011856</v>
      </c>
      <c r="X310" s="2">
        <f ca="1"/>
        <v>68.387555778868943</v>
      </c>
      <c r="AG310" s="2">
        <f ca="1"/>
        <v>0.44506827654074743</v>
      </c>
      <c r="AH310" s="2" t="str">
        <f ca="1"/>
        <v>Bad</v>
      </c>
    </row>
    <row r="311" spans="2:34" x14ac:dyDescent="0.2">
      <c r="B311" s="2">
        <f ca="1"/>
        <v>0.19773957906445516</v>
      </c>
      <c r="O311" s="2">
        <f ca="1"/>
        <v>-0.30609226374886095</v>
      </c>
      <c r="X311" s="2">
        <f ca="1"/>
        <v>61.651070076559293</v>
      </c>
      <c r="AG311" s="2">
        <f ca="1"/>
        <v>6.3966012394810257E-2</v>
      </c>
      <c r="AH311" s="2" t="str">
        <f ca="1"/>
        <v>OK</v>
      </c>
    </row>
    <row r="312" spans="2:34" x14ac:dyDescent="0.2">
      <c r="B312" s="2">
        <f ca="1"/>
        <v>0.61848662010595046</v>
      </c>
      <c r="O312" s="2">
        <f ca="1"/>
        <v>-1.2978601008512951</v>
      </c>
      <c r="X312" s="2">
        <f ca="1"/>
        <v>41.555971941271736</v>
      </c>
      <c r="AG312" s="2">
        <f ca="1"/>
        <v>0.99480349753600472</v>
      </c>
      <c r="AH312" s="2" t="str">
        <f ca="1"/>
        <v>Bad</v>
      </c>
    </row>
    <row r="313" spans="2:34" x14ac:dyDescent="0.2">
      <c r="B313" s="2">
        <f ca="1"/>
        <v>0.96389930489983455</v>
      </c>
      <c r="O313" s="2">
        <f ca="1"/>
        <v>1.4731377064663251</v>
      </c>
      <c r="X313" s="2">
        <f ca="1"/>
        <v>28.660227954733649</v>
      </c>
      <c r="AG313" s="2">
        <f ca="1"/>
        <v>0.69111886740736717</v>
      </c>
      <c r="AH313" s="2" t="str">
        <f ca="1"/>
        <v>Bad</v>
      </c>
    </row>
    <row r="314" spans="2:34" x14ac:dyDescent="0.2">
      <c r="B314" s="2">
        <f ca="1"/>
        <v>4.4822048250931612E-2</v>
      </c>
      <c r="O314" s="2">
        <f ca="1"/>
        <v>1.0321623915676013</v>
      </c>
      <c r="X314" s="2">
        <f ca="1"/>
        <v>70.860215915379513</v>
      </c>
      <c r="AG314" s="2">
        <f ca="1"/>
        <v>0.70279564608771161</v>
      </c>
      <c r="AH314" s="2" t="str">
        <f ca="1"/>
        <v>Bad</v>
      </c>
    </row>
    <row r="315" spans="2:34" x14ac:dyDescent="0.2">
      <c r="B315" s="2">
        <f ca="1"/>
        <v>0.64698108207372207</v>
      </c>
      <c r="O315" s="2">
        <f ca="1"/>
        <v>-0.31081766696919272</v>
      </c>
      <c r="X315" s="2">
        <f ca="1"/>
        <v>72.68076427633406</v>
      </c>
      <c r="AG315" s="2">
        <f ca="1"/>
        <v>7.2672768230937823E-2</v>
      </c>
      <c r="AH315" s="2" t="str">
        <f ca="1"/>
        <v>OK</v>
      </c>
    </row>
    <row r="316" spans="2:34" x14ac:dyDescent="0.2">
      <c r="B316" s="2">
        <f ca="1"/>
        <v>0.9856737914478908</v>
      </c>
      <c r="O316" s="2">
        <f ca="1"/>
        <v>1.4310265777933739</v>
      </c>
      <c r="X316" s="2">
        <f ca="1"/>
        <v>40.281696738198917</v>
      </c>
      <c r="AG316" s="2">
        <f ca="1"/>
        <v>0.97428230455274134</v>
      </c>
      <c r="AH316" s="2" t="str">
        <f ca="1"/>
        <v>Bad</v>
      </c>
    </row>
    <row r="317" spans="2:34" x14ac:dyDescent="0.2">
      <c r="B317" s="2">
        <f ca="1"/>
        <v>0.50729902961216666</v>
      </c>
      <c r="O317" s="2">
        <f ca="1"/>
        <v>1.1394925870399562</v>
      </c>
      <c r="X317" s="2">
        <f ca="1"/>
        <v>50.002942412024744</v>
      </c>
      <c r="AG317" s="2">
        <f ca="1"/>
        <v>0.90267475474383274</v>
      </c>
      <c r="AH317" s="2" t="str">
        <f ca="1"/>
        <v>Bad</v>
      </c>
    </row>
    <row r="318" spans="2:34" x14ac:dyDescent="0.2">
      <c r="B318" s="2">
        <f ca="1"/>
        <v>0.96156640698011175</v>
      </c>
      <c r="O318" s="2">
        <f ca="1"/>
        <v>-1.5740606956778662</v>
      </c>
      <c r="X318" s="2">
        <f ca="1"/>
        <v>62.547367147173716</v>
      </c>
      <c r="AG318" s="2">
        <f ca="1"/>
        <v>0.68969289501701025</v>
      </c>
      <c r="AH318" s="2" t="str">
        <f ca="1"/>
        <v>Bad</v>
      </c>
    </row>
    <row r="319" spans="2:34" x14ac:dyDescent="0.2">
      <c r="B319" s="2">
        <f ca="1"/>
        <v>0.71110724450527352</v>
      </c>
      <c r="O319" s="2">
        <f ca="1"/>
        <v>-2.2497946508091018</v>
      </c>
      <c r="X319" s="2">
        <f ca="1"/>
        <v>54.365877469699662</v>
      </c>
      <c r="AG319" s="2">
        <f ca="1"/>
        <v>4.4585816232434849E-2</v>
      </c>
      <c r="AH319" s="2" t="str">
        <f ca="1"/>
        <v>Good</v>
      </c>
    </row>
    <row r="320" spans="2:34" x14ac:dyDescent="0.2">
      <c r="B320" s="2">
        <f ca="1"/>
        <v>0.67578578094967612</v>
      </c>
      <c r="O320" s="2">
        <f ca="1"/>
        <v>-1.3827205948324317</v>
      </c>
      <c r="X320" s="2">
        <f ca="1"/>
        <v>47.059575950337759</v>
      </c>
      <c r="AG320" s="2">
        <f ca="1"/>
        <v>0.59546018794149558</v>
      </c>
      <c r="AH320" s="2" t="str">
        <f ca="1"/>
        <v>Bad</v>
      </c>
    </row>
    <row r="321" spans="2:34" x14ac:dyDescent="0.2">
      <c r="B321" s="2">
        <f ca="1"/>
        <v>0.33534518632059029</v>
      </c>
      <c r="O321" s="2">
        <f ca="1"/>
        <v>0.98417667501013806</v>
      </c>
      <c r="X321" s="2">
        <f ca="1"/>
        <v>27.386341554273454</v>
      </c>
      <c r="AG321" s="2">
        <f ca="1"/>
        <v>0.94349346037982773</v>
      </c>
      <c r="AH321" s="2" t="str">
        <f ca="1"/>
        <v>Bad</v>
      </c>
    </row>
    <row r="322" spans="2:34" x14ac:dyDescent="0.2">
      <c r="B322" s="2">
        <f ca="1"/>
        <v>0.88533889507500207</v>
      </c>
      <c r="O322" s="2">
        <f ca="1"/>
        <v>0.50390874518608508</v>
      </c>
      <c r="X322" s="2">
        <f ca="1"/>
        <v>51.037507761710884</v>
      </c>
      <c r="AG322" s="2">
        <f ca="1"/>
        <v>0.78582421720017726</v>
      </c>
      <c r="AH322" s="2" t="str">
        <f ca="1"/>
        <v>Bad</v>
      </c>
    </row>
    <row r="323" spans="2:34" x14ac:dyDescent="0.2">
      <c r="B323" s="2">
        <f ca="1"/>
        <v>0.98939742531366459</v>
      </c>
      <c r="O323" s="2">
        <f ca="1"/>
        <v>-1.0630544449278312</v>
      </c>
      <c r="X323" s="2">
        <f ca="1"/>
        <v>50.492508934011212</v>
      </c>
      <c r="AG323" s="2">
        <f ca="1"/>
        <v>0.57786761006811549</v>
      </c>
      <c r="AH323" s="2" t="str">
        <f ca="1"/>
        <v>Bad</v>
      </c>
    </row>
    <row r="324" spans="2:34" x14ac:dyDescent="0.2">
      <c r="B324" s="2">
        <f ca="1"/>
        <v>0.59369531418587362</v>
      </c>
      <c r="O324" s="2">
        <f ca="1"/>
        <v>0.10634625270104185</v>
      </c>
      <c r="X324" s="2">
        <f ca="1"/>
        <v>36.655496908536939</v>
      </c>
      <c r="AG324" s="2">
        <f ca="1"/>
        <v>0.77841447503588457</v>
      </c>
      <c r="AH324" s="2" t="str">
        <f ca="1"/>
        <v>Bad</v>
      </c>
    </row>
    <row r="325" spans="2:34" x14ac:dyDescent="0.2">
      <c r="B325" s="2">
        <f ca="1"/>
        <v>0.25242394595583462</v>
      </c>
      <c r="O325" s="2">
        <f ca="1"/>
        <v>0.80912235954339906</v>
      </c>
      <c r="X325" s="2">
        <f ca="1"/>
        <v>55.450265861046979</v>
      </c>
      <c r="AG325" s="2">
        <f ca="1"/>
        <v>0.18561004115762092</v>
      </c>
      <c r="AH325" s="2" t="str">
        <f ca="1"/>
        <v>OK</v>
      </c>
    </row>
    <row r="326" spans="2:34" x14ac:dyDescent="0.2">
      <c r="B326" s="2">
        <f ca="1"/>
        <v>0.2853324278147007</v>
      </c>
      <c r="O326" s="2">
        <f ca="1"/>
        <v>-0.77322191928959394</v>
      </c>
      <c r="X326" s="2">
        <f ca="1"/>
        <v>44.421080001869264</v>
      </c>
      <c r="AG326" s="2">
        <f ca="1"/>
        <v>0.80567509654965597</v>
      </c>
      <c r="AH326" s="2" t="str">
        <f ca="1"/>
        <v>Bad</v>
      </c>
    </row>
    <row r="327" spans="2:34" x14ac:dyDescent="0.2">
      <c r="B327" s="2">
        <f ca="1"/>
        <v>0.52550509638576859</v>
      </c>
      <c r="O327" s="2">
        <f ca="1"/>
        <v>-0.30988002315546237</v>
      </c>
      <c r="X327" s="2">
        <f ca="1"/>
        <v>30.315706955602295</v>
      </c>
      <c r="AG327" s="2">
        <f ca="1"/>
        <v>0.31696860201255839</v>
      </c>
      <c r="AH327" s="2" t="str">
        <f ca="1"/>
        <v>OK</v>
      </c>
    </row>
    <row r="328" spans="2:34" x14ac:dyDescent="0.2">
      <c r="B328" s="2">
        <f ca="1"/>
        <v>0.58914089194273056</v>
      </c>
      <c r="O328" s="2">
        <f ca="1"/>
        <v>-1.2530808173709942</v>
      </c>
      <c r="X328" s="2">
        <f ca="1"/>
        <v>53.991851226629713</v>
      </c>
      <c r="AG328" s="2">
        <f ca="1"/>
        <v>0.52143778345965419</v>
      </c>
      <c r="AH328" s="2" t="str">
        <f ca="1"/>
        <v>Bad</v>
      </c>
    </row>
    <row r="329" spans="2:34" x14ac:dyDescent="0.2">
      <c r="B329" s="2">
        <f ca="1"/>
        <v>0.98697994707244163</v>
      </c>
      <c r="O329" s="2">
        <f ca="1"/>
        <v>-2.4718995516158673</v>
      </c>
      <c r="X329" s="2">
        <f ca="1"/>
        <v>51.556158046923713</v>
      </c>
      <c r="AG329" s="2">
        <f ca="1"/>
        <v>0.82828425647762782</v>
      </c>
      <c r="AH329" s="2" t="str">
        <f ca="1"/>
        <v>Bad</v>
      </c>
    </row>
    <row r="330" spans="2:34" x14ac:dyDescent="0.2">
      <c r="B330" s="2">
        <f ca="1"/>
        <v>0.66570137955904474</v>
      </c>
      <c r="O330" s="2">
        <f ca="1"/>
        <v>0.31991491553041984</v>
      </c>
      <c r="X330" s="2">
        <f ca="1"/>
        <v>41.951660819371632</v>
      </c>
      <c r="AG330" s="2">
        <f ca="1"/>
        <v>0.60985988828376292</v>
      </c>
      <c r="AH330" s="2" t="str">
        <f ca="1"/>
        <v>Bad</v>
      </c>
    </row>
    <row r="331" spans="2:34" x14ac:dyDescent="0.2">
      <c r="B331" s="2">
        <f ca="1"/>
        <v>0.57635585281737067</v>
      </c>
      <c r="O331" s="2">
        <f ca="1"/>
        <v>-8.9124952299556623E-2</v>
      </c>
      <c r="X331" s="2">
        <f ca="1"/>
        <v>43.198505304660017</v>
      </c>
      <c r="AG331" s="2">
        <f ca="1"/>
        <v>0.35181237048910452</v>
      </c>
      <c r="AH331" s="2" t="str">
        <f ca="1"/>
        <v>OK</v>
      </c>
    </row>
    <row r="332" spans="2:34" x14ac:dyDescent="0.2">
      <c r="B332" s="2">
        <f ca="1"/>
        <v>0.1377808078395617</v>
      </c>
      <c r="O332" s="2">
        <f ca="1"/>
        <v>1.4729436383169376</v>
      </c>
      <c r="X332" s="2">
        <f ca="1"/>
        <v>47.429538414717157</v>
      </c>
      <c r="AG332" s="2">
        <f ca="1"/>
        <v>0.91733073236289653</v>
      </c>
      <c r="AH332" s="2" t="str">
        <f ca="1"/>
        <v>Bad</v>
      </c>
    </row>
    <row r="333" spans="2:34" x14ac:dyDescent="0.2">
      <c r="B333" s="2">
        <f ca="1"/>
        <v>0.35636720058415272</v>
      </c>
      <c r="O333" s="2">
        <f ca="1"/>
        <v>1.8915150746911167</v>
      </c>
      <c r="X333" s="2">
        <f ca="1"/>
        <v>39.043618634266551</v>
      </c>
      <c r="AG333" s="2">
        <f ca="1"/>
        <v>0.18518444560221869</v>
      </c>
      <c r="AH333" s="2" t="str">
        <f ca="1"/>
        <v>OK</v>
      </c>
    </row>
    <row r="334" spans="2:34" x14ac:dyDescent="0.2">
      <c r="B334" s="2">
        <f ca="1"/>
        <v>0.8639346587790917</v>
      </c>
      <c r="O334" s="2">
        <f ca="1"/>
        <v>-1.930341136921923</v>
      </c>
      <c r="X334" s="2">
        <f ca="1"/>
        <v>43.144268887356233</v>
      </c>
      <c r="AG334" s="2">
        <f ca="1"/>
        <v>0.18771123421929703</v>
      </c>
      <c r="AH334" s="2" t="str">
        <f ca="1"/>
        <v>OK</v>
      </c>
    </row>
    <row r="335" spans="2:34" x14ac:dyDescent="0.2">
      <c r="B335" s="2">
        <f ca="1"/>
        <v>0.10232082601223458</v>
      </c>
      <c r="O335" s="2">
        <f ca="1"/>
        <v>-0.96485928135607268</v>
      </c>
      <c r="X335" s="2">
        <f ca="1"/>
        <v>71.930284608344977</v>
      </c>
      <c r="AG335" s="2">
        <f ca="1"/>
        <v>1.2173620615119729E-2</v>
      </c>
      <c r="AH335" s="2" t="str">
        <f ca="1"/>
        <v>Good</v>
      </c>
    </row>
    <row r="336" spans="2:34" x14ac:dyDescent="0.2">
      <c r="B336" s="2">
        <f ca="1"/>
        <v>0.1230261870850462</v>
      </c>
      <c r="O336" s="2">
        <f ca="1"/>
        <v>0.21839371801401231</v>
      </c>
      <c r="X336" s="2">
        <f ca="1"/>
        <v>43.455474767305446</v>
      </c>
      <c r="AG336" s="2">
        <f ca="1"/>
        <v>0.39087254709117092</v>
      </c>
      <c r="AH336" s="2" t="str">
        <f ca="1"/>
        <v>OK</v>
      </c>
    </row>
    <row r="337" spans="2:34" x14ac:dyDescent="0.2">
      <c r="B337" s="2">
        <f ca="1"/>
        <v>0.50032342558103626</v>
      </c>
      <c r="O337" s="2">
        <f ca="1"/>
        <v>0.38534663012183895</v>
      </c>
      <c r="X337" s="2">
        <f ca="1"/>
        <v>46.089023959946182</v>
      </c>
      <c r="AG337" s="2">
        <f ca="1"/>
        <v>0.88869261534776722</v>
      </c>
      <c r="AH337" s="2" t="str">
        <f ca="1"/>
        <v>Bad</v>
      </c>
    </row>
    <row r="338" spans="2:34" x14ac:dyDescent="0.2">
      <c r="B338" s="2">
        <f ca="1"/>
        <v>0.55164919018202152</v>
      </c>
      <c r="O338" s="2">
        <f ca="1"/>
        <v>-2.3228782756290784</v>
      </c>
      <c r="X338" s="2">
        <f ca="1"/>
        <v>27.381439872702764</v>
      </c>
      <c r="AG338" s="2">
        <f ca="1"/>
        <v>0.93817863294216752</v>
      </c>
      <c r="AH338" s="2" t="str">
        <f ca="1"/>
        <v>Bad</v>
      </c>
    </row>
    <row r="339" spans="2:34" x14ac:dyDescent="0.2">
      <c r="B339" s="2">
        <f ca="1"/>
        <v>0.94408839665403965</v>
      </c>
      <c r="O339" s="2">
        <f ca="1"/>
        <v>-0.72323827475152602</v>
      </c>
      <c r="X339" s="2">
        <f ca="1"/>
        <v>46.520650502652956</v>
      </c>
      <c r="AG339" s="2">
        <f ca="1"/>
        <v>0.83090319467529805</v>
      </c>
      <c r="AH339" s="2" t="str">
        <f ca="1"/>
        <v>Bad</v>
      </c>
    </row>
    <row r="340" spans="2:34" x14ac:dyDescent="0.2">
      <c r="B340" s="2">
        <f ca="1"/>
        <v>0.40071365340662579</v>
      </c>
      <c r="O340" s="2">
        <f ca="1"/>
        <v>1.2608117084420127</v>
      </c>
      <c r="X340" s="2">
        <f ca="1"/>
        <v>62.948038658005729</v>
      </c>
      <c r="AG340" s="2">
        <f ca="1"/>
        <v>0.11817035738414039</v>
      </c>
      <c r="AH340" s="2" t="str">
        <f ca="1"/>
        <v>OK</v>
      </c>
    </row>
    <row r="341" spans="2:34" x14ac:dyDescent="0.2">
      <c r="B341" s="2">
        <f ca="1"/>
        <v>0.93816793845454627</v>
      </c>
      <c r="O341" s="2">
        <f ca="1"/>
        <v>-1.0634876283576735</v>
      </c>
      <c r="X341" s="2">
        <f ca="1"/>
        <v>52.472001621098592</v>
      </c>
      <c r="AG341" s="2">
        <f ca="1"/>
        <v>0.37769497166570876</v>
      </c>
      <c r="AH341" s="2" t="str">
        <f ca="1"/>
        <v>OK</v>
      </c>
    </row>
    <row r="342" spans="2:34" x14ac:dyDescent="0.2">
      <c r="B342" s="2">
        <f ca="1"/>
        <v>0.69028114958036091</v>
      </c>
      <c r="O342" s="2">
        <f ca="1"/>
        <v>0.60874739588623561</v>
      </c>
      <c r="X342" s="2">
        <f ca="1"/>
        <v>52.925878285141195</v>
      </c>
      <c r="AG342" s="2">
        <f ca="1"/>
        <v>0.78934635460558811</v>
      </c>
      <c r="AH342" s="2" t="str">
        <f ca="1"/>
        <v>Bad</v>
      </c>
    </row>
    <row r="343" spans="2:34" x14ac:dyDescent="0.2">
      <c r="B343" s="2">
        <f ca="1"/>
        <v>7.8054144342731169E-2</v>
      </c>
      <c r="O343" s="2">
        <f ca="1"/>
        <v>2.4166374391033174</v>
      </c>
      <c r="X343" s="2">
        <f ca="1"/>
        <v>62.594237802436517</v>
      </c>
      <c r="AG343" s="2">
        <f ca="1"/>
        <v>0.22010452829042304</v>
      </c>
      <c r="AH343" s="2" t="str">
        <f ca="1"/>
        <v>OK</v>
      </c>
    </row>
    <row r="344" spans="2:34" x14ac:dyDescent="0.2">
      <c r="B344" s="2">
        <f ca="1"/>
        <v>0.23120241747318393</v>
      </c>
      <c r="O344" s="2">
        <f ca="1"/>
        <v>-0.4447539248990906</v>
      </c>
      <c r="X344" s="2">
        <f ca="1"/>
        <v>88.844276610525995</v>
      </c>
      <c r="AG344" s="2">
        <f ca="1"/>
        <v>0.40653725291177656</v>
      </c>
      <c r="AH344" s="2" t="str">
        <f ca="1"/>
        <v>Bad</v>
      </c>
    </row>
    <row r="345" spans="2:34" x14ac:dyDescent="0.2">
      <c r="B345" s="2">
        <f ca="1"/>
        <v>0.70376161893971401</v>
      </c>
      <c r="O345" s="2">
        <f ca="1"/>
        <v>-2.3592874541857158</v>
      </c>
      <c r="X345" s="2">
        <f ca="1"/>
        <v>53.701618524073908</v>
      </c>
      <c r="AG345" s="2">
        <f ca="1"/>
        <v>0.84349173256362731</v>
      </c>
      <c r="AH345" s="2" t="str">
        <f ca="1"/>
        <v>Bad</v>
      </c>
    </row>
    <row r="346" spans="2:34" x14ac:dyDescent="0.2">
      <c r="B346" s="2">
        <f ca="1"/>
        <v>0.40198589950619779</v>
      </c>
      <c r="O346" s="2">
        <f ca="1"/>
        <v>-0.31221429040980747</v>
      </c>
      <c r="X346" s="2">
        <f ca="1"/>
        <v>52.886379003797835</v>
      </c>
      <c r="AG346" s="2">
        <f ca="1"/>
        <v>0.68663391564135745</v>
      </c>
      <c r="AH346" s="2" t="str">
        <f ca="1"/>
        <v>Bad</v>
      </c>
    </row>
    <row r="347" spans="2:34" x14ac:dyDescent="0.2">
      <c r="B347" s="2">
        <f ca="1"/>
        <v>0.3351944416444077</v>
      </c>
      <c r="O347" s="2">
        <f ca="1"/>
        <v>1.0272620467622589</v>
      </c>
      <c r="X347" s="2">
        <f ca="1"/>
        <v>66.280577873062157</v>
      </c>
      <c r="AG347" s="2">
        <f ca="1"/>
        <v>0.5261555917087346</v>
      </c>
      <c r="AH347" s="2" t="str">
        <f ca="1"/>
        <v>Bad</v>
      </c>
    </row>
    <row r="348" spans="2:34" x14ac:dyDescent="0.2">
      <c r="B348" s="2">
        <f ca="1"/>
        <v>0.24352099003933492</v>
      </c>
      <c r="O348" s="2">
        <f ca="1"/>
        <v>1.7755802592397503</v>
      </c>
      <c r="X348" s="2">
        <f ca="1"/>
        <v>41.013522539845198</v>
      </c>
      <c r="AG348" s="2">
        <f ca="1"/>
        <v>0.28594871036898306</v>
      </c>
      <c r="AH348" s="2" t="str">
        <f ca="1"/>
        <v>OK</v>
      </c>
    </row>
    <row r="349" spans="2:34" x14ac:dyDescent="0.2">
      <c r="B349" s="2">
        <f ca="1"/>
        <v>0.38414742997508533</v>
      </c>
      <c r="O349" s="2">
        <f ca="1"/>
        <v>-0.4017554355033815</v>
      </c>
      <c r="X349" s="2">
        <f ca="1"/>
        <v>22.177744288499959</v>
      </c>
      <c r="AG349" s="2">
        <f ca="1"/>
        <v>0.7000667372398921</v>
      </c>
      <c r="AH349" s="2" t="str">
        <f ca="1"/>
        <v>Bad</v>
      </c>
    </row>
    <row r="350" spans="2:34" x14ac:dyDescent="0.2">
      <c r="B350" s="2">
        <f ca="1"/>
        <v>8.1510677927522757E-2</v>
      </c>
      <c r="O350" s="2">
        <f ca="1"/>
        <v>-1.1206590821224081</v>
      </c>
      <c r="X350" s="2">
        <f ca="1"/>
        <v>60.586358561674025</v>
      </c>
      <c r="AG350" s="2">
        <f ca="1"/>
        <v>0.53531962416287326</v>
      </c>
      <c r="AH350" s="2" t="str">
        <f ca="1"/>
        <v>Bad</v>
      </c>
    </row>
    <row r="351" spans="2:34" x14ac:dyDescent="0.2">
      <c r="B351" s="2">
        <f ca="1"/>
        <v>0.93590417241020329</v>
      </c>
      <c r="O351" s="2">
        <f ca="1"/>
        <v>-0.12582965172133695</v>
      </c>
      <c r="X351" s="2">
        <f ca="1"/>
        <v>18.662136839911053</v>
      </c>
      <c r="AG351" s="2">
        <f ca="1"/>
        <v>0.89203222340062038</v>
      </c>
      <c r="AH351" s="2" t="str">
        <f ca="1"/>
        <v>Bad</v>
      </c>
    </row>
    <row r="352" spans="2:34" x14ac:dyDescent="0.2">
      <c r="B352" s="2">
        <f ca="1"/>
        <v>0.29991007592508367</v>
      </c>
      <c r="O352" s="2">
        <f ca="1"/>
        <v>-0.15775256896979481</v>
      </c>
      <c r="X352" s="2">
        <f ca="1"/>
        <v>49.297279856354201</v>
      </c>
      <c r="AG352" s="2">
        <f ca="1"/>
        <v>0.87482420294033192</v>
      </c>
      <c r="AH352" s="2" t="str">
        <f ca="1"/>
        <v>Bad</v>
      </c>
    </row>
    <row r="353" spans="2:34" x14ac:dyDescent="0.2">
      <c r="B353" s="2">
        <f ca="1"/>
        <v>0.16326003907628417</v>
      </c>
      <c r="O353" s="2">
        <f ca="1"/>
        <v>-1.540088739722302</v>
      </c>
      <c r="X353" s="2">
        <f ca="1"/>
        <v>31.092235210410031</v>
      </c>
      <c r="AG353" s="2">
        <f ca="1"/>
        <v>0.23177071607395527</v>
      </c>
      <c r="AH353" s="2" t="str">
        <f ca="1"/>
        <v>OK</v>
      </c>
    </row>
    <row r="354" spans="2:34" x14ac:dyDescent="0.2">
      <c r="B354" s="2">
        <f ca="1"/>
        <v>0.10704888412874891</v>
      </c>
      <c r="O354" s="2">
        <f ca="1"/>
        <v>0.60255183789825828</v>
      </c>
      <c r="X354" s="2">
        <f ca="1"/>
        <v>49.239195215605136</v>
      </c>
      <c r="AG354" s="2">
        <f ca="1"/>
        <v>0.40304921149176498</v>
      </c>
      <c r="AH354" s="2" t="str">
        <f ca="1"/>
        <v>Bad</v>
      </c>
    </row>
    <row r="355" spans="2:34" x14ac:dyDescent="0.2">
      <c r="B355" s="2">
        <f ca="1"/>
        <v>0.41389713916795934</v>
      </c>
      <c r="O355" s="2">
        <f ca="1"/>
        <v>-1.0403925417625399</v>
      </c>
      <c r="X355" s="2">
        <f ca="1"/>
        <v>55.62096841589824</v>
      </c>
      <c r="AG355" s="2">
        <f ca="1"/>
        <v>0.19634165047207186</v>
      </c>
      <c r="AH355" s="2" t="str">
        <f ca="1"/>
        <v>OK</v>
      </c>
    </row>
    <row r="356" spans="2:34" x14ac:dyDescent="0.2">
      <c r="B356" s="2">
        <f ca="1"/>
        <v>1.3530295963155803E-2</v>
      </c>
      <c r="O356" s="2">
        <f ca="1"/>
        <v>-0.96127199058556645</v>
      </c>
      <c r="X356" s="2">
        <f ca="1"/>
        <v>45.362645412391828</v>
      </c>
      <c r="AG356" s="2">
        <f ca="1"/>
        <v>0.9187362339699412</v>
      </c>
      <c r="AH356" s="2" t="str">
        <f ca="1"/>
        <v>Bad</v>
      </c>
    </row>
    <row r="357" spans="2:34" x14ac:dyDescent="0.2">
      <c r="B357" s="2">
        <f ca="1"/>
        <v>0.43729715464722174</v>
      </c>
      <c r="O357" s="2">
        <f ca="1"/>
        <v>-0.58225725054706767</v>
      </c>
      <c r="X357" s="2">
        <f ca="1"/>
        <v>64.720486100991295</v>
      </c>
      <c r="AG357" s="2">
        <f ca="1"/>
        <v>9.6512328915382639E-2</v>
      </c>
      <c r="AH357" s="2" t="str">
        <f ca="1"/>
        <v>OK</v>
      </c>
    </row>
    <row r="358" spans="2:34" x14ac:dyDescent="0.2">
      <c r="B358" s="2">
        <f ca="1"/>
        <v>0.13761186902918454</v>
      </c>
      <c r="O358" s="2">
        <f ca="1"/>
        <v>2.8209682418259288</v>
      </c>
      <c r="X358" s="2">
        <f ca="1"/>
        <v>36.201381935157734</v>
      </c>
      <c r="AG358" s="2">
        <f ca="1"/>
        <v>7.9543649646953485E-2</v>
      </c>
      <c r="AH358" s="2" t="str">
        <f ca="1"/>
        <v>OK</v>
      </c>
    </row>
    <row r="359" spans="2:34" x14ac:dyDescent="0.2">
      <c r="B359" s="2">
        <f ca="1"/>
        <v>0.30820607065354877</v>
      </c>
      <c r="O359" s="2">
        <f ca="1"/>
        <v>-0.31800333297471411</v>
      </c>
      <c r="X359" s="2">
        <f ca="1"/>
        <v>59.300317322777076</v>
      </c>
      <c r="AG359" s="2">
        <f ca="1"/>
        <v>0.43617974390462955</v>
      </c>
      <c r="AH359" s="2" t="str">
        <f ca="1"/>
        <v>Bad</v>
      </c>
    </row>
    <row r="360" spans="2:34" x14ac:dyDescent="0.2">
      <c r="B360" s="2">
        <f ca="1"/>
        <v>0.51027186593797613</v>
      </c>
      <c r="O360" s="2">
        <f ca="1"/>
        <v>0.55349089759044834</v>
      </c>
      <c r="X360" s="2">
        <f ca="1"/>
        <v>67.070086091571341</v>
      </c>
      <c r="AG360" s="2">
        <f ca="1"/>
        <v>0.47164063671495704</v>
      </c>
      <c r="AH360" s="2" t="str">
        <f ca="1"/>
        <v>Bad</v>
      </c>
    </row>
    <row r="361" spans="2:34" x14ac:dyDescent="0.2">
      <c r="B361" s="2">
        <f ca="1"/>
        <v>0.18272162021520622</v>
      </c>
      <c r="O361" s="2">
        <f ca="1"/>
        <v>1.2334281986789262</v>
      </c>
      <c r="X361" s="2">
        <f ca="1"/>
        <v>40.404413237850683</v>
      </c>
      <c r="AG361" s="2">
        <f ca="1"/>
        <v>0.27053892508082877</v>
      </c>
      <c r="AH361" s="2" t="str">
        <f ca="1"/>
        <v>OK</v>
      </c>
    </row>
    <row r="362" spans="2:34" x14ac:dyDescent="0.2">
      <c r="B362" s="2">
        <f ca="1"/>
        <v>0.87893684855506771</v>
      </c>
      <c r="O362" s="2">
        <f ca="1"/>
        <v>-0.36346202042242376</v>
      </c>
      <c r="X362" s="2">
        <f ca="1"/>
        <v>26.877188685482306</v>
      </c>
      <c r="AG362" s="2">
        <f ca="1"/>
        <v>4.2349440951233497E-2</v>
      </c>
      <c r="AH362" s="2" t="str">
        <f ca="1"/>
        <v>Good</v>
      </c>
    </row>
    <row r="363" spans="2:34" x14ac:dyDescent="0.2">
      <c r="B363" s="2">
        <f ca="1"/>
        <v>0.64958137461278387</v>
      </c>
      <c r="O363" s="2">
        <f ca="1"/>
        <v>-0.75768275891227133</v>
      </c>
      <c r="X363" s="2">
        <f ca="1"/>
        <v>70.921274452258288</v>
      </c>
      <c r="AG363" s="2">
        <f ca="1"/>
        <v>0.44139528808257822</v>
      </c>
      <c r="AH363" s="2" t="str">
        <f ca="1"/>
        <v>Bad</v>
      </c>
    </row>
    <row r="364" spans="2:34" x14ac:dyDescent="0.2">
      <c r="B364" s="2">
        <f ca="1"/>
        <v>0.78263357128875155</v>
      </c>
      <c r="O364" s="2">
        <f ca="1"/>
        <v>-0.45159901040826</v>
      </c>
      <c r="X364" s="2">
        <f ca="1"/>
        <v>66.43620030997559</v>
      </c>
      <c r="AG364" s="2">
        <f ca="1"/>
        <v>0.25205219899433917</v>
      </c>
      <c r="AH364" s="2" t="str">
        <f ca="1"/>
        <v>OK</v>
      </c>
    </row>
    <row r="365" spans="2:34" x14ac:dyDescent="0.2">
      <c r="B365" s="2">
        <f ca="1"/>
        <v>0.84866786680981199</v>
      </c>
      <c r="O365" s="2">
        <f ca="1"/>
        <v>-1.1349114869484915</v>
      </c>
      <c r="X365" s="2">
        <f ca="1"/>
        <v>70.178839734374421</v>
      </c>
      <c r="AG365" s="2">
        <f ca="1"/>
        <v>0.15612119224799903</v>
      </c>
      <c r="AH365" s="2" t="str">
        <f ca="1"/>
        <v>OK</v>
      </c>
    </row>
    <row r="366" spans="2:34" x14ac:dyDescent="0.2">
      <c r="B366" s="2">
        <f ca="1"/>
        <v>1.7516287548040577E-2</v>
      </c>
      <c r="O366" s="2">
        <f ca="1"/>
        <v>1.1926339756389479</v>
      </c>
      <c r="X366" s="2">
        <f ca="1"/>
        <v>49.271149776460625</v>
      </c>
      <c r="AG366" s="2">
        <f ca="1"/>
        <v>4.3262000831083558E-3</v>
      </c>
      <c r="AH366" s="2" t="str">
        <f ca="1"/>
        <v>Good</v>
      </c>
    </row>
    <row r="367" spans="2:34" x14ac:dyDescent="0.2">
      <c r="B367" s="2">
        <f ca="1"/>
        <v>0.33672194871517913</v>
      </c>
      <c r="O367" s="2">
        <f ca="1"/>
        <v>0.60768230432884418</v>
      </c>
      <c r="X367" s="2">
        <f ca="1"/>
        <v>68.148011414666342</v>
      </c>
      <c r="AG367" s="2">
        <f ca="1"/>
        <v>0.54447600312717315</v>
      </c>
      <c r="AH367" s="2" t="str">
        <f ca="1"/>
        <v>Bad</v>
      </c>
    </row>
    <row r="368" spans="2:34" x14ac:dyDescent="0.2">
      <c r="B368" s="2">
        <f ca="1"/>
        <v>0.17343590788886343</v>
      </c>
      <c r="O368" s="2">
        <f ca="1"/>
        <v>0.96568525763088564</v>
      </c>
      <c r="X368" s="2">
        <f ca="1"/>
        <v>48.742070505049746</v>
      </c>
      <c r="AG368" s="2">
        <f ca="1"/>
        <v>0.94567208119749879</v>
      </c>
      <c r="AH368" s="2" t="str">
        <f ca="1"/>
        <v>Bad</v>
      </c>
    </row>
    <row r="369" spans="2:34" x14ac:dyDescent="0.2">
      <c r="B369" s="2">
        <f ca="1"/>
        <v>0.23570987223517625</v>
      </c>
      <c r="O369" s="2">
        <f ca="1"/>
        <v>-0.36305456097856292</v>
      </c>
      <c r="X369" s="2">
        <f ca="1"/>
        <v>44.697021554869295</v>
      </c>
      <c r="AG369" s="2">
        <f ca="1"/>
        <v>0.68026471728270654</v>
      </c>
      <c r="AH369" s="2" t="str">
        <f ca="1"/>
        <v>Bad</v>
      </c>
    </row>
    <row r="370" spans="2:34" x14ac:dyDescent="0.2">
      <c r="B370" s="2">
        <f ca="1"/>
        <v>0.50678512317006263</v>
      </c>
      <c r="O370" s="2">
        <f ca="1"/>
        <v>-0.51540638557388674</v>
      </c>
      <c r="X370" s="2">
        <f ca="1"/>
        <v>59.053046203056681</v>
      </c>
      <c r="AG370" s="2">
        <f ca="1"/>
        <v>5.9779236767999233E-2</v>
      </c>
      <c r="AH370" s="2" t="str">
        <f ca="1"/>
        <v>OK</v>
      </c>
    </row>
    <row r="371" spans="2:34" x14ac:dyDescent="0.2">
      <c r="B371" s="2">
        <f ca="1"/>
        <v>0.65432065742140266</v>
      </c>
      <c r="O371" s="2">
        <f ca="1"/>
        <v>0.69953706507971813</v>
      </c>
      <c r="X371" s="2">
        <f ca="1"/>
        <v>53.42125174461227</v>
      </c>
      <c r="AG371" s="2">
        <f ca="1"/>
        <v>0.76454471310036398</v>
      </c>
      <c r="AH371" s="2" t="str">
        <f ca="1"/>
        <v>Bad</v>
      </c>
    </row>
    <row r="372" spans="2:34" x14ac:dyDescent="0.2">
      <c r="B372" s="2">
        <f ca="1"/>
        <v>0.99670867505648486</v>
      </c>
      <c r="O372" s="2">
        <f ca="1"/>
        <v>1.0501081285119234</v>
      </c>
      <c r="X372" s="2">
        <f ca="1"/>
        <v>48.258752551567369</v>
      </c>
      <c r="AG372" s="2">
        <f ca="1"/>
        <v>5.9297610052578609E-2</v>
      </c>
      <c r="AH372" s="2" t="str">
        <f ca="1"/>
        <v>OK</v>
      </c>
    </row>
    <row r="373" spans="2:34" x14ac:dyDescent="0.2">
      <c r="B373" s="2">
        <f ca="1"/>
        <v>4.2280894340149811E-2</v>
      </c>
      <c r="O373" s="2">
        <f ca="1"/>
        <v>-0.65164430869123613</v>
      </c>
      <c r="X373" s="2">
        <f ca="1"/>
        <v>46.780537446168665</v>
      </c>
      <c r="AG373" s="2">
        <f ca="1"/>
        <v>0.17291764827200939</v>
      </c>
      <c r="AH373" s="2" t="str">
        <f ca="1"/>
        <v>OK</v>
      </c>
    </row>
    <row r="374" spans="2:34" x14ac:dyDescent="0.2">
      <c r="B374" s="2">
        <f ca="1"/>
        <v>0.13821446136413074</v>
      </c>
      <c r="O374" s="2">
        <f ca="1"/>
        <v>0.20132070435005084</v>
      </c>
      <c r="X374" s="2">
        <f ca="1"/>
        <v>72.582346099438297</v>
      </c>
      <c r="AG374" s="2">
        <f ca="1"/>
        <v>0.99802227105565144</v>
      </c>
      <c r="AH374" s="2" t="str">
        <f ca="1"/>
        <v>Bad</v>
      </c>
    </row>
    <row r="375" spans="2:34" x14ac:dyDescent="0.2">
      <c r="B375" s="2">
        <f ca="1"/>
        <v>0.35332002329754308</v>
      </c>
      <c r="O375" s="2">
        <f ca="1"/>
        <v>-6.1086370960236933E-2</v>
      </c>
      <c r="X375" s="2">
        <f ca="1"/>
        <v>27.083357108851125</v>
      </c>
      <c r="AG375" s="2">
        <f ca="1"/>
        <v>0.14435615216131326</v>
      </c>
      <c r="AH375" s="2" t="str">
        <f ca="1"/>
        <v>OK</v>
      </c>
    </row>
    <row r="376" spans="2:34" x14ac:dyDescent="0.2">
      <c r="B376" s="2">
        <f ca="1"/>
        <v>0.38186073276227828</v>
      </c>
      <c r="O376" s="2">
        <f ca="1"/>
        <v>8.3749412177863969E-2</v>
      </c>
      <c r="X376" s="2">
        <f ca="1"/>
        <v>47.422049583355204</v>
      </c>
      <c r="AG376" s="2">
        <f ca="1"/>
        <v>0.76150048694569139</v>
      </c>
      <c r="AH376" s="2" t="str">
        <f ca="1"/>
        <v>Bad</v>
      </c>
    </row>
    <row r="377" spans="2:34" x14ac:dyDescent="0.2">
      <c r="B377" s="2">
        <f ca="1"/>
        <v>0.91045466500840799</v>
      </c>
      <c r="O377" s="2">
        <f ca="1"/>
        <v>-0.55443635434345528</v>
      </c>
      <c r="X377" s="2">
        <f ca="1"/>
        <v>42.517138764753597</v>
      </c>
      <c r="AG377" s="2">
        <f ca="1"/>
        <v>0.25323375103394419</v>
      </c>
      <c r="AH377" s="2" t="str">
        <f ca="1"/>
        <v>OK</v>
      </c>
    </row>
    <row r="378" spans="2:34" x14ac:dyDescent="0.2">
      <c r="B378" s="2">
        <f ca="1"/>
        <v>0.57561314322192736</v>
      </c>
      <c r="O378" s="2">
        <f ca="1"/>
        <v>0.43558394046771681</v>
      </c>
      <c r="X378" s="2">
        <f ca="1"/>
        <v>62.439485282247126</v>
      </c>
      <c r="AG378" s="2">
        <f ca="1"/>
        <v>0.73342496937495527</v>
      </c>
      <c r="AH378" s="2" t="str">
        <f ca="1"/>
        <v>Bad</v>
      </c>
    </row>
    <row r="379" spans="2:34" x14ac:dyDescent="0.2">
      <c r="B379" s="2">
        <f ca="1"/>
        <v>0.21224753509941263</v>
      </c>
      <c r="O379" s="2">
        <f ca="1"/>
        <v>-0.65587204414138267</v>
      </c>
      <c r="X379" s="2">
        <f ca="1"/>
        <v>42.647728766968463</v>
      </c>
      <c r="AG379" s="2">
        <f ca="1"/>
        <v>0.18378146502280734</v>
      </c>
      <c r="AH379" s="2" t="str">
        <f ca="1"/>
        <v>OK</v>
      </c>
    </row>
    <row r="380" spans="2:34" x14ac:dyDescent="0.2">
      <c r="B380" s="2">
        <f ca="1"/>
        <v>0.58453770270259442</v>
      </c>
      <c r="O380" s="2">
        <f ca="1"/>
        <v>0.57534962506414133</v>
      </c>
      <c r="X380" s="2">
        <f ca="1"/>
        <v>33.5517631646468</v>
      </c>
      <c r="AG380" s="2">
        <f ca="1"/>
        <v>0.77571644828307784</v>
      </c>
      <c r="AH380" s="2" t="str">
        <f ca="1"/>
        <v>Bad</v>
      </c>
    </row>
    <row r="381" spans="2:34" x14ac:dyDescent="0.2">
      <c r="B381" s="2">
        <f ca="1"/>
        <v>0.15980134768044363</v>
      </c>
      <c r="O381" s="2">
        <f ca="1"/>
        <v>0.39715000521144894</v>
      </c>
      <c r="X381" s="2">
        <f ca="1"/>
        <v>42.950745137134696</v>
      </c>
      <c r="AG381" s="2">
        <f ca="1"/>
        <v>0.8692005133941958</v>
      </c>
      <c r="AH381" s="2" t="str">
        <f ca="1"/>
        <v>Bad</v>
      </c>
    </row>
    <row r="382" spans="2:34" x14ac:dyDescent="0.2">
      <c r="B382" s="2">
        <f ca="1"/>
        <v>4.7430015827521599E-2</v>
      </c>
      <c r="O382" s="2">
        <f ca="1"/>
        <v>-0.77231641037456722</v>
      </c>
      <c r="X382" s="2">
        <f ca="1"/>
        <v>57.36330191378638</v>
      </c>
      <c r="AG382" s="2">
        <f ca="1"/>
        <v>0.18875895723615077</v>
      </c>
      <c r="AH382" s="2" t="str">
        <f ca="1"/>
        <v>OK</v>
      </c>
    </row>
    <row r="383" spans="2:34" x14ac:dyDescent="0.2">
      <c r="B383" s="2">
        <f ca="1"/>
        <v>0.59988948489380878</v>
      </c>
      <c r="O383" s="2">
        <f ca="1"/>
        <v>-0.80859699460011014</v>
      </c>
      <c r="X383" s="2">
        <f ca="1"/>
        <v>35.623908182397884</v>
      </c>
      <c r="AG383" s="2">
        <f ca="1"/>
        <v>4.8560563824563197E-2</v>
      </c>
      <c r="AH383" s="2" t="str">
        <f ca="1"/>
        <v>Good</v>
      </c>
    </row>
    <row r="384" spans="2:34" x14ac:dyDescent="0.2">
      <c r="B384" s="2">
        <f ca="1"/>
        <v>0.18883010099186293</v>
      </c>
      <c r="O384" s="2">
        <f ca="1"/>
        <v>0.42045603801857528</v>
      </c>
      <c r="X384" s="2">
        <f ca="1"/>
        <v>89.962662901468434</v>
      </c>
      <c r="AG384" s="2">
        <f ca="1"/>
        <v>0.34763973108017532</v>
      </c>
      <c r="AH384" s="2" t="str">
        <f ca="1"/>
        <v>OK</v>
      </c>
    </row>
    <row r="385" spans="2:34" x14ac:dyDescent="0.2">
      <c r="B385" s="2">
        <f ca="1"/>
        <v>0.66448842547930487</v>
      </c>
      <c r="O385" s="2">
        <f ca="1"/>
        <v>0.71132255390923582</v>
      </c>
      <c r="X385" s="2">
        <f ca="1"/>
        <v>58.083109292790951</v>
      </c>
      <c r="AG385" s="2">
        <f ca="1"/>
        <v>0.54545078629464983</v>
      </c>
      <c r="AH385" s="2" t="str">
        <f ca="1"/>
        <v>Bad</v>
      </c>
    </row>
    <row r="386" spans="2:34" x14ac:dyDescent="0.2">
      <c r="B386" s="2">
        <f ca="1"/>
        <v>0.52465455667979488</v>
      </c>
      <c r="O386" s="2">
        <f ca="1"/>
        <v>-0.77643466243714698</v>
      </c>
      <c r="X386" s="2">
        <f ca="1"/>
        <v>67.477851054902374</v>
      </c>
      <c r="AG386" s="2">
        <f ca="1"/>
        <v>0.81181391599320984</v>
      </c>
      <c r="AH386" s="2" t="str">
        <f ca="1"/>
        <v>Bad</v>
      </c>
    </row>
    <row r="387" spans="2:34" x14ac:dyDescent="0.2">
      <c r="B387" s="2">
        <f ca="1"/>
        <v>0.14807978065216942</v>
      </c>
      <c r="O387" s="2">
        <f ca="1"/>
        <v>-1.269245207336543</v>
      </c>
      <c r="X387" s="2">
        <f ca="1"/>
        <v>53.294437947824555</v>
      </c>
      <c r="AG387" s="2">
        <f ca="1"/>
        <v>0.30696712908690316</v>
      </c>
      <c r="AH387" s="2" t="str">
        <f ca="1"/>
        <v>OK</v>
      </c>
    </row>
    <row r="388" spans="2:34" x14ac:dyDescent="0.2">
      <c r="B388" s="2">
        <f ca="1"/>
        <v>0.50868559546307135</v>
      </c>
      <c r="O388" s="2">
        <f ca="1"/>
        <v>0.71184522908316872</v>
      </c>
      <c r="X388" s="2">
        <f ca="1"/>
        <v>30.009676142090193</v>
      </c>
      <c r="AG388" s="2">
        <f ca="1"/>
        <v>0.71133161071552231</v>
      </c>
      <c r="AH388" s="2" t="str">
        <f ca="1"/>
        <v>Bad</v>
      </c>
    </row>
    <row r="389" spans="2:34" x14ac:dyDescent="0.2">
      <c r="B389" s="2">
        <f ca="1"/>
        <v>0.57109680278045571</v>
      </c>
      <c r="O389" s="2">
        <f ca="1"/>
        <v>-0.23085767830939571</v>
      </c>
      <c r="X389" s="2">
        <f ca="1"/>
        <v>63.480404057893566</v>
      </c>
      <c r="AG389" s="2">
        <f ca="1"/>
        <v>0.29445058782198896</v>
      </c>
      <c r="AH389" s="2" t="str">
        <f ca="1"/>
        <v>OK</v>
      </c>
    </row>
    <row r="390" spans="2:34" x14ac:dyDescent="0.2">
      <c r="B390" s="2">
        <f ca="1"/>
        <v>0.65034654531329128</v>
      </c>
      <c r="O390" s="2">
        <f ca="1"/>
        <v>-2.107709056394262</v>
      </c>
      <c r="X390" s="2">
        <f ca="1"/>
        <v>45.915426906732968</v>
      </c>
      <c r="AG390" s="2">
        <f ca="1"/>
        <v>0.26112973304344878</v>
      </c>
      <c r="AH390" s="2" t="str">
        <f ca="1"/>
        <v>OK</v>
      </c>
    </row>
    <row r="391" spans="2:34" x14ac:dyDescent="0.2">
      <c r="B391" s="2">
        <f ca="1"/>
        <v>0.38470296974767626</v>
      </c>
      <c r="O391" s="2">
        <f ca="1"/>
        <v>-1.1191660824577458</v>
      </c>
      <c r="X391" s="2">
        <f ca="1"/>
        <v>45.378251739612054</v>
      </c>
      <c r="AG391" s="2">
        <f ca="1"/>
        <v>0.56873734458031566</v>
      </c>
      <c r="AH391" s="2" t="str">
        <f ca="1"/>
        <v>Bad</v>
      </c>
    </row>
    <row r="392" spans="2:34" x14ac:dyDescent="0.2">
      <c r="B392" s="2">
        <f ca="1"/>
        <v>0.8727230289332053</v>
      </c>
      <c r="O392" s="2">
        <f ca="1"/>
        <v>0.343620105165306</v>
      </c>
      <c r="X392" s="2">
        <f ca="1"/>
        <v>61.898624481256768</v>
      </c>
      <c r="AG392" s="2">
        <f ca="1"/>
        <v>0.96437581373612646</v>
      </c>
      <c r="AH392" s="2" t="str">
        <f ca="1"/>
        <v>Bad</v>
      </c>
    </row>
    <row r="393" spans="2:34" x14ac:dyDescent="0.2">
      <c r="B393" s="2">
        <f ca="1"/>
        <v>0.67479549935126348</v>
      </c>
      <c r="O393" s="2">
        <f ca="1"/>
        <v>-1.6458172368431931</v>
      </c>
      <c r="X393" s="2">
        <f ca="1"/>
        <v>56.055659805532514</v>
      </c>
      <c r="AG393" s="2">
        <f ca="1"/>
        <v>0.62865017042840754</v>
      </c>
      <c r="AH393" s="2" t="str">
        <f ca="1"/>
        <v>Bad</v>
      </c>
    </row>
    <row r="394" spans="2:34" x14ac:dyDescent="0.2">
      <c r="B394" s="2">
        <f ca="1"/>
        <v>0.8799854498512869</v>
      </c>
      <c r="O394" s="2">
        <f ca="1"/>
        <v>-1.5585838461444912</v>
      </c>
      <c r="X394" s="2">
        <f ca="1"/>
        <v>33.535425145554498</v>
      </c>
      <c r="AG394" s="2">
        <f ca="1"/>
        <v>0.47688371591235801</v>
      </c>
      <c r="AH394" s="2" t="str">
        <f ca="1"/>
        <v>Bad</v>
      </c>
    </row>
    <row r="395" spans="2:34" x14ac:dyDescent="0.2">
      <c r="B395" s="2">
        <f ca="1"/>
        <v>0.4346378472906578</v>
      </c>
      <c r="O395" s="2">
        <f ca="1"/>
        <v>-0.28386653203512735</v>
      </c>
      <c r="X395" s="2">
        <f ca="1"/>
        <v>31.228599837003074</v>
      </c>
      <c r="AG395" s="2">
        <f ca="1"/>
        <v>0.1775033128183543</v>
      </c>
      <c r="AH395" s="2" t="str">
        <f ca="1"/>
        <v>OK</v>
      </c>
    </row>
    <row r="396" spans="2:34" x14ac:dyDescent="0.2">
      <c r="B396" s="2">
        <f ca="1"/>
        <v>0.90951780813375849</v>
      </c>
      <c r="O396" s="2">
        <f ca="1"/>
        <v>-0.33771075260929151</v>
      </c>
      <c r="X396" s="2">
        <f ca="1"/>
        <v>56.296458013767811</v>
      </c>
      <c r="AG396" s="2">
        <f ca="1"/>
        <v>0.8477566899101201</v>
      </c>
      <c r="AH396" s="2" t="str">
        <f ca="1"/>
        <v>Bad</v>
      </c>
    </row>
    <row r="397" spans="2:34" x14ac:dyDescent="0.2">
      <c r="B397" s="2">
        <f ca="1"/>
        <v>0.25630863484728561</v>
      </c>
      <c r="O397" s="2">
        <f ca="1"/>
        <v>1.0912905065845611</v>
      </c>
      <c r="X397" s="2">
        <f ca="1"/>
        <v>52.314926417317196</v>
      </c>
      <c r="AG397" s="2">
        <f ca="1"/>
        <v>0.71282361231687119</v>
      </c>
      <c r="AH397" s="2" t="str">
        <f ca="1"/>
        <v>Bad</v>
      </c>
    </row>
    <row r="398" spans="2:34" x14ac:dyDescent="0.2">
      <c r="B398" s="2">
        <f ca="1"/>
        <v>0.95421423165009633</v>
      </c>
      <c r="O398" s="2">
        <f ca="1"/>
        <v>-1.0019771562702215</v>
      </c>
      <c r="X398" s="2">
        <f ca="1"/>
        <v>67.784202443828576</v>
      </c>
      <c r="AG398" s="2">
        <f ca="1"/>
        <v>0.89297688436803657</v>
      </c>
      <c r="AH398" s="2" t="str">
        <f ca="1"/>
        <v>Bad</v>
      </c>
    </row>
    <row r="399" spans="2:34" x14ac:dyDescent="0.2">
      <c r="B399" s="2">
        <f ca="1"/>
        <v>0.90524935183286614</v>
      </c>
      <c r="O399" s="2">
        <f ca="1"/>
        <v>2.0888462289399414</v>
      </c>
      <c r="X399" s="2">
        <f ca="1"/>
        <v>49.096342255053031</v>
      </c>
      <c r="AG399" s="2">
        <f ca="1"/>
        <v>0.38277234349873868</v>
      </c>
      <c r="AH399" s="2" t="str">
        <f ca="1"/>
        <v>OK</v>
      </c>
    </row>
    <row r="400" spans="2:34" x14ac:dyDescent="0.2">
      <c r="B400" s="2">
        <f ca="1"/>
        <v>0.67735663469332241</v>
      </c>
      <c r="O400" s="2">
        <f ca="1"/>
        <v>-0.37655339332557408</v>
      </c>
      <c r="X400" s="2">
        <f ca="1"/>
        <v>52.410829965007665</v>
      </c>
      <c r="AG400" s="2">
        <f ca="1"/>
        <v>0.42384011132599908</v>
      </c>
      <c r="AH400" s="2" t="str">
        <f ca="1"/>
        <v>Bad</v>
      </c>
    </row>
    <row r="401" spans="2:34" x14ac:dyDescent="0.2">
      <c r="B401" s="2">
        <f ca="1"/>
        <v>0.37311717297520319</v>
      </c>
      <c r="O401" s="2">
        <f ca="1"/>
        <v>-0.27771096583914134</v>
      </c>
      <c r="X401" s="2">
        <f ca="1"/>
        <v>40.026918868524469</v>
      </c>
      <c r="AG401" s="2">
        <f ca="1"/>
        <v>0.11714457067911943</v>
      </c>
      <c r="AH401" s="2" t="str">
        <f ca="1"/>
        <v>OK</v>
      </c>
    </row>
    <row r="402" spans="2:34" x14ac:dyDescent="0.2">
      <c r="B402" s="2">
        <f ca="1"/>
        <v>0.6357939100113581</v>
      </c>
      <c r="O402" s="2">
        <f ca="1"/>
        <v>0.74396399523777179</v>
      </c>
      <c r="X402" s="2">
        <f ca="1"/>
        <v>60.668457115109589</v>
      </c>
      <c r="AG402" s="2">
        <f ca="1"/>
        <v>0.4222421721252263</v>
      </c>
      <c r="AH402" s="2" t="str">
        <f ca="1"/>
        <v>Bad</v>
      </c>
    </row>
    <row r="403" spans="2:34" x14ac:dyDescent="0.2">
      <c r="B403" s="2">
        <f ca="1"/>
        <v>0.28543937093924376</v>
      </c>
      <c r="O403" s="2">
        <f ca="1"/>
        <v>-0.20115160892743442</v>
      </c>
      <c r="X403" s="2">
        <f ca="1"/>
        <v>50.286657746462026</v>
      </c>
      <c r="AG403" s="2">
        <f ca="1"/>
        <v>0.21616866490469078</v>
      </c>
      <c r="AH403" s="2" t="str">
        <f ca="1"/>
        <v>OK</v>
      </c>
    </row>
    <row r="404" spans="2:34" x14ac:dyDescent="0.2">
      <c r="B404" s="2">
        <f ca="1"/>
        <v>0.28945941136711673</v>
      </c>
      <c r="O404" s="2">
        <f ca="1"/>
        <v>6.7371166203073707E-2</v>
      </c>
      <c r="X404" s="2">
        <f ca="1"/>
        <v>18.409448600563334</v>
      </c>
      <c r="AG404" s="2">
        <f ca="1"/>
        <v>0.87611714843550037</v>
      </c>
      <c r="AH404" s="2" t="str">
        <f ca="1"/>
        <v>Bad</v>
      </c>
    </row>
    <row r="405" spans="2:34" x14ac:dyDescent="0.2">
      <c r="B405" s="2">
        <f ca="1"/>
        <v>0.19865228879116503</v>
      </c>
      <c r="O405" s="2">
        <f ca="1"/>
        <v>1.608027695519201</v>
      </c>
      <c r="X405" s="2">
        <f ca="1"/>
        <v>49.300183239403346</v>
      </c>
      <c r="AG405" s="2">
        <f ca="1"/>
        <v>0.43333211658225412</v>
      </c>
      <c r="AH405" s="2" t="str">
        <f ca="1"/>
        <v>Bad</v>
      </c>
    </row>
    <row r="406" spans="2:34" x14ac:dyDescent="0.2">
      <c r="B406" s="2">
        <f ca="1"/>
        <v>4.2321836695855986E-2</v>
      </c>
      <c r="O406" s="2">
        <f ca="1"/>
        <v>-0.97207651848737342</v>
      </c>
      <c r="X406" s="2">
        <f ca="1"/>
        <v>50.386276983648926</v>
      </c>
      <c r="AG406" s="2">
        <f ca="1"/>
        <v>0.53621558726271368</v>
      </c>
      <c r="AH406" s="2" t="str">
        <f ca="1"/>
        <v>Bad</v>
      </c>
    </row>
    <row r="407" spans="2:34" x14ac:dyDescent="0.2">
      <c r="B407" s="2">
        <f ca="1"/>
        <v>0.30959570089247879</v>
      </c>
      <c r="O407" s="2">
        <f ca="1"/>
        <v>0.84068010862323539</v>
      </c>
      <c r="X407" s="2">
        <f ca="1"/>
        <v>69.726476485998489</v>
      </c>
      <c r="AG407" s="2">
        <f ca="1"/>
        <v>0.99993437486964454</v>
      </c>
      <c r="AH407" s="2" t="str">
        <f ca="1"/>
        <v>Bad</v>
      </c>
    </row>
    <row r="408" spans="2:34" x14ac:dyDescent="0.2">
      <c r="B408" s="2">
        <f ca="1"/>
        <v>0.45404103631850412</v>
      </c>
      <c r="O408" s="2">
        <f ca="1"/>
        <v>-0.71347633022142143</v>
      </c>
      <c r="X408" s="2">
        <f ca="1"/>
        <v>69.709370568391364</v>
      </c>
      <c r="AG408" s="2">
        <f ca="1"/>
        <v>0.31465081442714449</v>
      </c>
      <c r="AH408" s="2" t="str">
        <f ca="1"/>
        <v>OK</v>
      </c>
    </row>
    <row r="409" spans="2:34" x14ac:dyDescent="0.2">
      <c r="B409" s="2">
        <f ca="1"/>
        <v>0.27164235515830315</v>
      </c>
      <c r="O409" s="2">
        <f ca="1"/>
        <v>0.52781699985146291</v>
      </c>
      <c r="X409" s="2">
        <f ca="1"/>
        <v>36.40137932095935</v>
      </c>
      <c r="AG409" s="2">
        <f ca="1"/>
        <v>0.53325986125287339</v>
      </c>
      <c r="AH409" s="2" t="str">
        <f ca="1"/>
        <v>Bad</v>
      </c>
    </row>
    <row r="410" spans="2:34" x14ac:dyDescent="0.2">
      <c r="B410" s="2">
        <f ca="1"/>
        <v>0.51089713797592484</v>
      </c>
      <c r="O410" s="2">
        <f ca="1"/>
        <v>0.21030541870627667</v>
      </c>
      <c r="X410" s="2">
        <f ca="1"/>
        <v>39.673399808734246</v>
      </c>
      <c r="AG410" s="2">
        <f ca="1"/>
        <v>8.4612265219734528E-3</v>
      </c>
      <c r="AH410" s="2" t="str">
        <f ca="1"/>
        <v>Good</v>
      </c>
    </row>
    <row r="411" spans="2:34" x14ac:dyDescent="0.2">
      <c r="B411" s="2">
        <f ca="1"/>
        <v>0.71445080750517875</v>
      </c>
      <c r="O411" s="2">
        <f ca="1"/>
        <v>-1.1406334737574628</v>
      </c>
      <c r="X411" s="2">
        <f ca="1"/>
        <v>42.478975609367609</v>
      </c>
      <c r="AG411" s="2">
        <f ca="1"/>
        <v>0.41270312067065573</v>
      </c>
      <c r="AH411" s="2" t="str">
        <f ca="1"/>
        <v>Bad</v>
      </c>
    </row>
    <row r="412" spans="2:34" x14ac:dyDescent="0.2">
      <c r="B412" s="2">
        <f ca="1"/>
        <v>0.42307755961466875</v>
      </c>
      <c r="O412" s="2">
        <f ca="1"/>
        <v>1.8794924037637377</v>
      </c>
      <c r="X412" s="2">
        <f ca="1"/>
        <v>47.502951730788602</v>
      </c>
      <c r="AG412" s="2">
        <f ca="1"/>
        <v>0.7244851802300134</v>
      </c>
      <c r="AH412" s="2" t="str">
        <f ca="1"/>
        <v>Bad</v>
      </c>
    </row>
    <row r="413" spans="2:34" x14ac:dyDescent="0.2">
      <c r="B413" s="2">
        <f ca="1"/>
        <v>0.81955799415801356</v>
      </c>
      <c r="O413" s="2">
        <f ca="1"/>
        <v>0.42770053491308369</v>
      </c>
      <c r="X413" s="2">
        <f ca="1"/>
        <v>30.056036278862557</v>
      </c>
      <c r="AG413" s="2">
        <f ca="1"/>
        <v>0.60439254746752402</v>
      </c>
      <c r="AH413" s="2" t="str">
        <f ca="1"/>
        <v>Bad</v>
      </c>
    </row>
    <row r="414" spans="2:34" x14ac:dyDescent="0.2">
      <c r="B414" s="2">
        <f ca="1"/>
        <v>0.86327819379489079</v>
      </c>
      <c r="O414" s="2">
        <f ca="1"/>
        <v>1.5098955709435653</v>
      </c>
      <c r="X414" s="2">
        <f ca="1"/>
        <v>27.856361996793876</v>
      </c>
      <c r="AG414" s="2">
        <f ca="1"/>
        <v>0.88737389552976298</v>
      </c>
      <c r="AH414" s="2" t="str">
        <f ca="1"/>
        <v>Bad</v>
      </c>
    </row>
    <row r="415" spans="2:34" x14ac:dyDescent="0.2">
      <c r="B415" s="2">
        <f ca="1"/>
        <v>0.75068072003661013</v>
      </c>
      <c r="O415" s="2">
        <f ca="1"/>
        <v>0.25666455195496324</v>
      </c>
      <c r="X415" s="2">
        <f ca="1"/>
        <v>52.526824734352893</v>
      </c>
      <c r="AG415" s="2">
        <f ca="1"/>
        <v>0.15950291526553029</v>
      </c>
      <c r="AH415" s="2" t="str">
        <f ca="1"/>
        <v>OK</v>
      </c>
    </row>
    <row r="416" spans="2:34" x14ac:dyDescent="0.2">
      <c r="B416" s="2">
        <f ca="1"/>
        <v>0.5969264470618727</v>
      </c>
      <c r="O416" s="2">
        <f ca="1"/>
        <v>-1.5062875158150015</v>
      </c>
      <c r="X416" s="2">
        <f ca="1"/>
        <v>91.078071256378564</v>
      </c>
      <c r="AG416" s="2">
        <f ca="1"/>
        <v>0.70039053150938146</v>
      </c>
      <c r="AH416" s="2" t="str">
        <f ca="1"/>
        <v>Bad</v>
      </c>
    </row>
    <row r="417" spans="2:34" x14ac:dyDescent="0.2">
      <c r="B417" s="2">
        <f ca="1"/>
        <v>0.99839571226549784</v>
      </c>
      <c r="O417" s="2">
        <f ca="1"/>
        <v>-0.210267906031708</v>
      </c>
      <c r="X417" s="2">
        <f ca="1"/>
        <v>80.469717934589653</v>
      </c>
      <c r="AG417" s="2">
        <f ca="1"/>
        <v>0.24298573325883233</v>
      </c>
      <c r="AH417" s="2" t="str">
        <f ca="1"/>
        <v>OK</v>
      </c>
    </row>
    <row r="418" spans="2:34" x14ac:dyDescent="0.2">
      <c r="B418" s="2">
        <f ca="1"/>
        <v>0.96002149052465446</v>
      </c>
      <c r="O418" s="2">
        <f ca="1"/>
        <v>-0.36373344979753647</v>
      </c>
      <c r="X418" s="2">
        <f ca="1"/>
        <v>48.699833602946143</v>
      </c>
      <c r="AG418" s="2">
        <f ca="1"/>
        <v>0.69133399677555452</v>
      </c>
      <c r="AH418" s="2" t="str">
        <f ca="1"/>
        <v>Bad</v>
      </c>
    </row>
    <row r="419" spans="2:34" x14ac:dyDescent="0.2">
      <c r="B419" s="2">
        <f ca="1"/>
        <v>0.59357350639750561</v>
      </c>
      <c r="O419" s="2">
        <f ca="1"/>
        <v>-1.3470567315637541</v>
      </c>
      <c r="X419" s="2">
        <f ca="1"/>
        <v>54.581442177245314</v>
      </c>
      <c r="AG419" s="2">
        <f ca="1"/>
        <v>0.81709292527168875</v>
      </c>
      <c r="AH419" s="2" t="str">
        <f ca="1"/>
        <v>Bad</v>
      </c>
    </row>
    <row r="420" spans="2:34" x14ac:dyDescent="0.2">
      <c r="B420" s="2">
        <f ca="1"/>
        <v>0.2006653772676108</v>
      </c>
      <c r="O420" s="2">
        <f ca="1"/>
        <v>-3.7402514232847947E-2</v>
      </c>
      <c r="X420" s="2">
        <f ca="1"/>
        <v>60.252651814613721</v>
      </c>
      <c r="AG420" s="2">
        <f ca="1"/>
        <v>0.41019298030496154</v>
      </c>
      <c r="AH420" s="2" t="str">
        <f ca="1"/>
        <v>Bad</v>
      </c>
    </row>
    <row r="421" spans="2:34" x14ac:dyDescent="0.2">
      <c r="B421" s="2">
        <f ca="1"/>
        <v>0.27478483054894198</v>
      </c>
      <c r="O421" s="2">
        <f ca="1"/>
        <v>-0.30681955552678847</v>
      </c>
      <c r="X421" s="2">
        <f ca="1"/>
        <v>53.815842685031228</v>
      </c>
      <c r="AG421" s="2">
        <f ca="1"/>
        <v>0.99933169744480099</v>
      </c>
      <c r="AH421" s="2" t="str">
        <f ca="1"/>
        <v>Bad</v>
      </c>
    </row>
    <row r="422" spans="2:34" x14ac:dyDescent="0.2">
      <c r="B422" s="2">
        <f ca="1"/>
        <v>0.91890894978850102</v>
      </c>
      <c r="O422" s="2">
        <f ca="1"/>
        <v>0.20259578794824493</v>
      </c>
      <c r="X422" s="2">
        <f ca="1"/>
        <v>54.776067852244296</v>
      </c>
      <c r="AG422" s="2">
        <f ca="1"/>
        <v>0.67803125221637139</v>
      </c>
      <c r="AH422" s="2" t="str">
        <f ca="1"/>
        <v>Bad</v>
      </c>
    </row>
    <row r="423" spans="2:34" x14ac:dyDescent="0.2">
      <c r="B423" s="2">
        <f ca="1"/>
        <v>0.86047454898147602</v>
      </c>
      <c r="O423" s="2">
        <f ca="1"/>
        <v>-0.76178087381741721</v>
      </c>
      <c r="X423" s="2">
        <f ca="1"/>
        <v>48.562369352576255</v>
      </c>
      <c r="AG423" s="2">
        <f ca="1"/>
        <v>0.41534639818363983</v>
      </c>
      <c r="AH423" s="2" t="str">
        <f ca="1"/>
        <v>Bad</v>
      </c>
    </row>
    <row r="424" spans="2:34" x14ac:dyDescent="0.2">
      <c r="B424" s="2">
        <f ca="1"/>
        <v>0.26867763457587435</v>
      </c>
      <c r="O424" s="2">
        <f ca="1"/>
        <v>0.26714816315510875</v>
      </c>
      <c r="X424" s="2">
        <f ca="1"/>
        <v>42.124735891747122</v>
      </c>
      <c r="AG424" s="2">
        <f ca="1"/>
        <v>0.69511961742560313</v>
      </c>
      <c r="AH424" s="2" t="str">
        <f ca="1"/>
        <v>Bad</v>
      </c>
    </row>
    <row r="425" spans="2:34" x14ac:dyDescent="0.2">
      <c r="B425" s="2">
        <f ca="1"/>
        <v>0.49819262698854416</v>
      </c>
      <c r="O425" s="2">
        <f ca="1"/>
        <v>0.24200544207448255</v>
      </c>
      <c r="X425" s="2">
        <f ca="1"/>
        <v>70.02301011361574</v>
      </c>
      <c r="AG425" s="2">
        <f ca="1"/>
        <v>5.9303265915839454E-2</v>
      </c>
      <c r="AH425" s="2" t="str">
        <f ca="1"/>
        <v>OK</v>
      </c>
    </row>
    <row r="426" spans="2:34" x14ac:dyDescent="0.2">
      <c r="B426" s="2">
        <f ca="1"/>
        <v>0.10387305450559792</v>
      </c>
      <c r="O426" s="2">
        <f ca="1"/>
        <v>-0.20300582505865639</v>
      </c>
      <c r="X426" s="2">
        <f ca="1"/>
        <v>73.296675942132723</v>
      </c>
      <c r="AG426" s="2">
        <f ca="1"/>
        <v>0.3627445835818659</v>
      </c>
      <c r="AH426" s="2" t="str">
        <f ca="1"/>
        <v>OK</v>
      </c>
    </row>
    <row r="427" spans="2:34" x14ac:dyDescent="0.2">
      <c r="B427" s="2">
        <f ca="1"/>
        <v>0.94993793271542537</v>
      </c>
      <c r="O427" s="2">
        <f ca="1"/>
        <v>-2.3220298054708954</v>
      </c>
      <c r="X427" s="2">
        <f ca="1"/>
        <v>37.551577315392606</v>
      </c>
      <c r="AG427" s="2">
        <f ca="1"/>
        <v>0.63086189341322929</v>
      </c>
      <c r="AH427" s="2" t="str">
        <f ca="1"/>
        <v>Bad</v>
      </c>
    </row>
    <row r="428" spans="2:34" x14ac:dyDescent="0.2">
      <c r="B428" s="2">
        <f ca="1"/>
        <v>0.24497674217359355</v>
      </c>
      <c r="O428" s="2">
        <f ca="1"/>
        <v>-0.19965349787182968</v>
      </c>
      <c r="X428" s="2">
        <f ca="1"/>
        <v>40.871489316190875</v>
      </c>
      <c r="AG428" s="2">
        <f ca="1"/>
        <v>0.6942397973687835</v>
      </c>
      <c r="AH428" s="2" t="str">
        <f ca="1"/>
        <v>Bad</v>
      </c>
    </row>
    <row r="429" spans="2:34" x14ac:dyDescent="0.2">
      <c r="B429" s="2">
        <f ca="1"/>
        <v>0.33215453262807415</v>
      </c>
      <c r="O429" s="2">
        <f ca="1"/>
        <v>-1.9923617443423103</v>
      </c>
      <c r="X429" s="2">
        <f ca="1"/>
        <v>46.493537267210357</v>
      </c>
      <c r="AG429" s="2">
        <f ca="1"/>
        <v>0.11055862858001131</v>
      </c>
      <c r="AH429" s="2" t="str">
        <f ca="1"/>
        <v>OK</v>
      </c>
    </row>
    <row r="430" spans="2:34" x14ac:dyDescent="0.2">
      <c r="B430" s="2">
        <f ca="1"/>
        <v>0.81120479038031257</v>
      </c>
      <c r="O430" s="2">
        <f ca="1"/>
        <v>0.2255120135000428</v>
      </c>
      <c r="X430" s="2">
        <f ca="1"/>
        <v>66.244887973488275</v>
      </c>
      <c r="AG430" s="2">
        <f ca="1"/>
        <v>0.4424477427369311</v>
      </c>
      <c r="AH430" s="2" t="str">
        <f ca="1"/>
        <v>Bad</v>
      </c>
    </row>
    <row r="431" spans="2:34" x14ac:dyDescent="0.2">
      <c r="B431" s="2">
        <f ca="1"/>
        <v>0.22449978881267052</v>
      </c>
      <c r="O431" s="2">
        <f ca="1"/>
        <v>-0.80996254614759522</v>
      </c>
      <c r="X431" s="2">
        <f ca="1"/>
        <v>46.322913960768695</v>
      </c>
      <c r="AG431" s="2">
        <f ca="1"/>
        <v>0.64056324674679677</v>
      </c>
      <c r="AH431" s="2" t="str">
        <f ca="1"/>
        <v>Bad</v>
      </c>
    </row>
    <row r="432" spans="2:34" x14ac:dyDescent="0.2">
      <c r="B432" s="2">
        <f ca="1"/>
        <v>0.91382686408534086</v>
      </c>
      <c r="O432" s="2">
        <f ca="1"/>
        <v>-0.74072450360894038</v>
      </c>
      <c r="X432" s="2">
        <f ca="1"/>
        <v>94.191730187919958</v>
      </c>
      <c r="AG432" s="2">
        <f ca="1"/>
        <v>0.92320852594649994</v>
      </c>
      <c r="AH432" s="2" t="str">
        <f ca="1"/>
        <v>Bad</v>
      </c>
    </row>
    <row r="433" spans="2:34" x14ac:dyDescent="0.2">
      <c r="B433" s="2">
        <f ca="1"/>
        <v>0.9598193189635722</v>
      </c>
      <c r="O433" s="2">
        <f ca="1"/>
        <v>-1.6875167700746692</v>
      </c>
      <c r="X433" s="2">
        <f ca="1"/>
        <v>42.809097285468205</v>
      </c>
      <c r="AG433" s="2">
        <f ca="1"/>
        <v>0.56732391954662686</v>
      </c>
      <c r="AH433" s="2" t="str">
        <f ca="1"/>
        <v>Bad</v>
      </c>
    </row>
    <row r="434" spans="2:34" x14ac:dyDescent="0.2">
      <c r="B434" s="2">
        <f ca="1"/>
        <v>0.12320169037929873</v>
      </c>
      <c r="O434" s="2">
        <f ca="1"/>
        <v>0.14163290311534213</v>
      </c>
      <c r="X434" s="2">
        <f ca="1"/>
        <v>30.509867348729504</v>
      </c>
      <c r="AG434" s="2">
        <f ca="1"/>
        <v>0.78663657983802682</v>
      </c>
      <c r="AH434" s="2" t="str">
        <f ca="1"/>
        <v>Bad</v>
      </c>
    </row>
    <row r="435" spans="2:34" x14ac:dyDescent="0.2">
      <c r="B435" s="2">
        <f ca="1"/>
        <v>0.19372096127124272</v>
      </c>
      <c r="O435" s="2">
        <f ca="1"/>
        <v>0.53682934858703402</v>
      </c>
      <c r="X435" s="2">
        <f ca="1"/>
        <v>47.448227507340647</v>
      </c>
      <c r="AG435" s="2">
        <f ca="1"/>
        <v>0.16244921182041172</v>
      </c>
      <c r="AH435" s="2" t="str">
        <f ca="1"/>
        <v>OK</v>
      </c>
    </row>
    <row r="436" spans="2:34" x14ac:dyDescent="0.2">
      <c r="B436" s="2">
        <f ca="1"/>
        <v>0.44634438425015555</v>
      </c>
      <c r="O436" s="2">
        <f ca="1"/>
        <v>-0.85209577558098903</v>
      </c>
      <c r="X436" s="2">
        <f ca="1"/>
        <v>61.719628355198743</v>
      </c>
      <c r="AG436" s="2">
        <f ca="1"/>
        <v>0.64448391597371035</v>
      </c>
      <c r="AH436" s="2" t="str">
        <f ca="1"/>
        <v>Bad</v>
      </c>
    </row>
    <row r="437" spans="2:34" x14ac:dyDescent="0.2">
      <c r="B437" s="2">
        <f ca="1"/>
        <v>0.52482600340245056</v>
      </c>
      <c r="O437" s="2">
        <f ca="1"/>
        <v>1.4889960186918572</v>
      </c>
      <c r="X437" s="2">
        <f ca="1"/>
        <v>54.626145612651328</v>
      </c>
      <c r="AG437" s="2">
        <f ca="1"/>
        <v>0.47553914724533031</v>
      </c>
      <c r="AH437" s="2" t="str">
        <f ca="1"/>
        <v>Bad</v>
      </c>
    </row>
    <row r="438" spans="2:34" x14ac:dyDescent="0.2">
      <c r="B438" s="2">
        <f ca="1"/>
        <v>0.96018900041257349</v>
      </c>
      <c r="O438" s="2">
        <f ca="1"/>
        <v>-0.92587686182675422</v>
      </c>
      <c r="X438" s="2">
        <f ca="1"/>
        <v>49.311863915374786</v>
      </c>
      <c r="AG438" s="2">
        <f ca="1"/>
        <v>0.9111342040902628</v>
      </c>
      <c r="AH438" s="2" t="str">
        <f ca="1"/>
        <v>Bad</v>
      </c>
    </row>
    <row r="439" spans="2:34" x14ac:dyDescent="0.2">
      <c r="B439" s="2">
        <f ca="1"/>
        <v>0.57525478722002377</v>
      </c>
      <c r="O439" s="2">
        <f ca="1"/>
        <v>-1.252086967568435</v>
      </c>
      <c r="X439" s="2">
        <f ca="1"/>
        <v>28.084254465922825</v>
      </c>
      <c r="AG439" s="2">
        <f ca="1"/>
        <v>0.8004361732518197</v>
      </c>
      <c r="AH439" s="2" t="str">
        <f ca="1"/>
        <v>Bad</v>
      </c>
    </row>
    <row r="440" spans="2:34" x14ac:dyDescent="0.2">
      <c r="B440" s="2">
        <f ca="1"/>
        <v>0.38634037974750157</v>
      </c>
      <c r="O440" s="2">
        <f ca="1"/>
        <v>-0.337506023868548</v>
      </c>
      <c r="X440" s="2">
        <f ca="1"/>
        <v>39.963431836907773</v>
      </c>
      <c r="AG440" s="2">
        <f ca="1"/>
        <v>0.49376587866694588</v>
      </c>
      <c r="AH440" s="2" t="str">
        <f ca="1"/>
        <v>Bad</v>
      </c>
    </row>
    <row r="441" spans="2:34" x14ac:dyDescent="0.2">
      <c r="B441" s="2">
        <f ca="1"/>
        <v>0.56674861901198481</v>
      </c>
      <c r="O441" s="2">
        <f ca="1"/>
        <v>-1.3172183575895293</v>
      </c>
      <c r="X441" s="2">
        <f ca="1"/>
        <v>88.387462431079456</v>
      </c>
      <c r="AG441" s="2">
        <f ca="1"/>
        <v>0.25155844181217413</v>
      </c>
      <c r="AH441" s="2" t="str">
        <f ca="1"/>
        <v>OK</v>
      </c>
    </row>
    <row r="442" spans="2:34" x14ac:dyDescent="0.2">
      <c r="B442" s="2">
        <f ca="1"/>
        <v>0.92443237720214233</v>
      </c>
      <c r="O442" s="2">
        <f ca="1"/>
        <v>-0.5448542442532297</v>
      </c>
      <c r="X442" s="2">
        <f ca="1"/>
        <v>48.613835224950648</v>
      </c>
      <c r="AG442" s="2">
        <f ca="1"/>
        <v>0.21318379383784247</v>
      </c>
      <c r="AH442" s="2" t="str">
        <f ca="1"/>
        <v>OK</v>
      </c>
    </row>
    <row r="443" spans="2:34" x14ac:dyDescent="0.2">
      <c r="B443" s="2">
        <f ca="1"/>
        <v>0.12624151555318996</v>
      </c>
      <c r="O443" s="2">
        <f ca="1"/>
        <v>-0.22037019119745918</v>
      </c>
      <c r="X443" s="2">
        <f ca="1"/>
        <v>48.93783379301798</v>
      </c>
      <c r="AG443" s="2">
        <f ca="1"/>
        <v>9.7379672658577832E-2</v>
      </c>
      <c r="AH443" s="2" t="str">
        <f ca="1"/>
        <v>OK</v>
      </c>
    </row>
    <row r="444" spans="2:34" x14ac:dyDescent="0.2">
      <c r="B444" s="2">
        <f ca="1"/>
        <v>0.70673199479166038</v>
      </c>
      <c r="O444" s="2">
        <f ca="1"/>
        <v>1.3755029530483955</v>
      </c>
      <c r="X444" s="2">
        <f ca="1"/>
        <v>28.321715346431251</v>
      </c>
      <c r="AG444" s="2">
        <f ca="1"/>
        <v>0.10131268813289185</v>
      </c>
      <c r="AH444" s="2" t="str">
        <f ca="1"/>
        <v>OK</v>
      </c>
    </row>
    <row r="445" spans="2:34" x14ac:dyDescent="0.2">
      <c r="B445" s="2">
        <f ca="1"/>
        <v>0.79919242095573684</v>
      </c>
      <c r="O445" s="2">
        <f ca="1"/>
        <v>1.2491730355227753</v>
      </c>
      <c r="X445" s="2">
        <f ca="1"/>
        <v>48.640167042135545</v>
      </c>
      <c r="AG445" s="2">
        <f ca="1"/>
        <v>0.52374041964705365</v>
      </c>
      <c r="AH445" s="2" t="str">
        <f ca="1"/>
        <v>Bad</v>
      </c>
    </row>
    <row r="446" spans="2:34" x14ac:dyDescent="0.2">
      <c r="B446" s="2">
        <f ca="1"/>
        <v>6.4095370508442606E-2</v>
      </c>
      <c r="O446" s="2">
        <f ca="1"/>
        <v>-0.15435061229935201</v>
      </c>
      <c r="X446" s="2">
        <f ca="1"/>
        <v>23.896094523944761</v>
      </c>
      <c r="AG446" s="2">
        <f ca="1"/>
        <v>0.35062356314999032</v>
      </c>
      <c r="AH446" s="2" t="str">
        <f ca="1"/>
        <v>OK</v>
      </c>
    </row>
    <row r="447" spans="2:34" x14ac:dyDescent="0.2">
      <c r="B447" s="2">
        <f ca="1"/>
        <v>0.47986611216015285</v>
      </c>
      <c r="O447" s="2">
        <f ca="1"/>
        <v>0.31781456723651441</v>
      </c>
      <c r="X447" s="2">
        <f ca="1"/>
        <v>21.710906132053154</v>
      </c>
      <c r="AG447" s="2">
        <f ca="1"/>
        <v>0.56710292408946628</v>
      </c>
      <c r="AH447" s="2" t="str">
        <f ca="1"/>
        <v>Bad</v>
      </c>
    </row>
    <row r="448" spans="2:34" x14ac:dyDescent="0.2">
      <c r="B448" s="2">
        <f ca="1"/>
        <v>0.84655343225359503</v>
      </c>
      <c r="O448" s="2">
        <f ca="1"/>
        <v>1.0254285481628995</v>
      </c>
      <c r="X448" s="2">
        <f ca="1"/>
        <v>72.088101456877098</v>
      </c>
      <c r="AG448" s="2">
        <f ca="1"/>
        <v>0.95167481573922941</v>
      </c>
      <c r="AH448" s="2" t="str">
        <f ca="1"/>
        <v>Bad</v>
      </c>
    </row>
    <row r="449" spans="2:34" x14ac:dyDescent="0.2">
      <c r="B449" s="2">
        <f ca="1"/>
        <v>0.71853600699210673</v>
      </c>
      <c r="O449" s="2">
        <f ca="1"/>
        <v>0.13385454872503297</v>
      </c>
      <c r="X449" s="2">
        <f ca="1"/>
        <v>59.9913814911652</v>
      </c>
      <c r="AG449" s="2">
        <f ca="1"/>
        <v>0.16786382318095971</v>
      </c>
      <c r="AH449" s="2" t="str">
        <f ca="1"/>
        <v>OK</v>
      </c>
    </row>
    <row r="450" spans="2:34" x14ac:dyDescent="0.2">
      <c r="B450" s="2">
        <f ca="1"/>
        <v>0.8394295603953339</v>
      </c>
      <c r="O450" s="2">
        <f ca="1"/>
        <v>-1.4868666550323228</v>
      </c>
      <c r="X450" s="2">
        <f ca="1"/>
        <v>40.541403523500733</v>
      </c>
      <c r="AG450" s="2">
        <f ca="1"/>
        <v>0.56087110311336241</v>
      </c>
      <c r="AH450" s="2" t="str">
        <f ca="1"/>
        <v>Bad</v>
      </c>
    </row>
    <row r="451" spans="2:34" x14ac:dyDescent="0.2">
      <c r="B451" s="2">
        <f ca="1"/>
        <v>0.44291988569760887</v>
      </c>
      <c r="O451" s="2">
        <f ca="1"/>
        <v>-2.2259482820433507</v>
      </c>
      <c r="X451" s="2">
        <f ca="1"/>
        <v>89.809416293293637</v>
      </c>
      <c r="AG451" s="2">
        <f ca="1"/>
        <v>0.81459039684704804</v>
      </c>
      <c r="AH451" s="2" t="str">
        <f ca="1"/>
        <v>Bad</v>
      </c>
    </row>
    <row r="452" spans="2:34" x14ac:dyDescent="0.2">
      <c r="B452" s="2">
        <f ca="1"/>
        <v>0.78862385009673264</v>
      </c>
      <c r="O452" s="2">
        <f ca="1"/>
        <v>1.3772248567459879</v>
      </c>
      <c r="X452" s="2">
        <f ca="1"/>
        <v>57.497095061224826</v>
      </c>
      <c r="AG452" s="2">
        <f ca="1"/>
        <v>0.23583110512583527</v>
      </c>
      <c r="AH452" s="2" t="str">
        <f ca="1"/>
        <v>OK</v>
      </c>
    </row>
    <row r="453" spans="2:34" x14ac:dyDescent="0.2">
      <c r="B453" s="2">
        <f ca="1"/>
        <v>0.10495184909383082</v>
      </c>
      <c r="O453" s="2">
        <f ca="1"/>
        <v>-0.52694280746159161</v>
      </c>
      <c r="X453" s="2">
        <f ca="1"/>
        <v>78.88058938005392</v>
      </c>
      <c r="AG453" s="2">
        <f ca="1"/>
        <v>0.93760271077132384</v>
      </c>
      <c r="AH453" s="2" t="str">
        <f ca="1"/>
        <v>Bad</v>
      </c>
    </row>
    <row r="454" spans="2:34" x14ac:dyDescent="0.2">
      <c r="B454" s="2">
        <f ca="1"/>
        <v>0.9667278591897781</v>
      </c>
      <c r="O454" s="2">
        <f ca="1"/>
        <v>-1.0394157053073625E-2</v>
      </c>
      <c r="X454" s="2">
        <f ca="1"/>
        <v>45.063488510360095</v>
      </c>
      <c r="AG454" s="2">
        <f ca="1"/>
        <v>0.89166353020074807</v>
      </c>
      <c r="AH454" s="2" t="str">
        <f ca="1"/>
        <v>Bad</v>
      </c>
    </row>
    <row r="455" spans="2:34" x14ac:dyDescent="0.2">
      <c r="B455" s="2">
        <f ca="1"/>
        <v>0.24263236517837039</v>
      </c>
      <c r="O455" s="2">
        <f ca="1"/>
        <v>-0.1229076314331926</v>
      </c>
      <c r="X455" s="2">
        <f ca="1"/>
        <v>27.532750525683451</v>
      </c>
      <c r="AG455" s="2">
        <f ca="1"/>
        <v>0.13457156793825464</v>
      </c>
      <c r="AH455" s="2" t="str">
        <f ca="1"/>
        <v>OK</v>
      </c>
    </row>
    <row r="456" spans="2:34" x14ac:dyDescent="0.2">
      <c r="B456" s="2">
        <f ca="1"/>
        <v>8.1608505906038076E-2</v>
      </c>
      <c r="O456" s="2">
        <f ca="1"/>
        <v>0.56495627476728005</v>
      </c>
      <c r="X456" s="2">
        <f ca="1"/>
        <v>51.441647874081546</v>
      </c>
      <c r="AG456" s="2">
        <f ca="1"/>
        <v>0.89922645267741164</v>
      </c>
      <c r="AH456" s="2" t="str">
        <f ca="1"/>
        <v>Bad</v>
      </c>
    </row>
    <row r="457" spans="2:34" x14ac:dyDescent="0.2">
      <c r="B457" s="2">
        <f ca="1"/>
        <v>8.8089507969480341E-2</v>
      </c>
      <c r="O457" s="2">
        <f ca="1"/>
        <v>0.35822032247020391</v>
      </c>
      <c r="X457" s="2">
        <f ca="1"/>
        <v>66.556912355195678</v>
      </c>
      <c r="AG457" s="2">
        <f ca="1"/>
        <v>9.1243941062524314E-2</v>
      </c>
      <c r="AH457" s="2" t="str">
        <f ca="1"/>
        <v>OK</v>
      </c>
    </row>
    <row r="458" spans="2:34" x14ac:dyDescent="0.2">
      <c r="B458" s="2">
        <f ca="1"/>
        <v>0.3090659974300427</v>
      </c>
      <c r="O458" s="2">
        <f ca="1"/>
        <v>2.0042030981438828</v>
      </c>
      <c r="X458" s="2">
        <f ca="1"/>
        <v>51.125293458586263</v>
      </c>
      <c r="AG458" s="2">
        <f ca="1"/>
        <v>3.7075083521626473E-2</v>
      </c>
      <c r="AH458" s="2" t="str">
        <f ca="1"/>
        <v>Good</v>
      </c>
    </row>
    <row r="459" spans="2:34" x14ac:dyDescent="0.2">
      <c r="B459" s="2">
        <f ca="1"/>
        <v>0.28127733077316663</v>
      </c>
      <c r="O459" s="2">
        <f ca="1"/>
        <v>-4.8088265615895548E-2</v>
      </c>
      <c r="X459" s="2">
        <f ca="1"/>
        <v>38.517497935912878</v>
      </c>
      <c r="AG459" s="2">
        <f ca="1"/>
        <v>0.18132187354493867</v>
      </c>
      <c r="AH459" s="2" t="str">
        <f ca="1"/>
        <v>OK</v>
      </c>
    </row>
    <row r="460" spans="2:34" x14ac:dyDescent="0.2">
      <c r="B460" s="2">
        <f ca="1"/>
        <v>0.42519366711111739</v>
      </c>
      <c r="O460" s="2">
        <f ca="1"/>
        <v>0.97165408622517635</v>
      </c>
      <c r="X460" s="2">
        <f ca="1"/>
        <v>53.26422538688351</v>
      </c>
      <c r="AG460" s="2">
        <f ca="1"/>
        <v>0.10122279758448727</v>
      </c>
      <c r="AH460" s="2" t="str">
        <f ca="1"/>
        <v>OK</v>
      </c>
    </row>
    <row r="461" spans="2:34" x14ac:dyDescent="0.2">
      <c r="B461" s="2">
        <f ca="1"/>
        <v>0.88076381198957421</v>
      </c>
      <c r="O461" s="2">
        <f ca="1"/>
        <v>-1.234847475115368</v>
      </c>
      <c r="X461" s="2">
        <f ca="1"/>
        <v>50.370559332370071</v>
      </c>
      <c r="AG461" s="2">
        <f ca="1"/>
        <v>0.41171021672669994</v>
      </c>
      <c r="AH461" s="2" t="str">
        <f ca="1"/>
        <v>Bad</v>
      </c>
    </row>
    <row r="462" spans="2:34" x14ac:dyDescent="0.2">
      <c r="B462" s="2">
        <f ca="1"/>
        <v>0.48237433035476185</v>
      </c>
      <c r="O462" s="2">
        <f ca="1"/>
        <v>-9.7828002694670818E-2</v>
      </c>
      <c r="X462" s="2">
        <f ca="1"/>
        <v>76.073344025065211</v>
      </c>
      <c r="AG462" s="2">
        <f ca="1"/>
        <v>0.39204313051221362</v>
      </c>
      <c r="AH462" s="2" t="str">
        <f ca="1"/>
        <v>OK</v>
      </c>
    </row>
    <row r="463" spans="2:34" x14ac:dyDescent="0.2">
      <c r="B463" s="2">
        <f ca="1"/>
        <v>0.97301050817208701</v>
      </c>
      <c r="O463" s="2">
        <f ca="1"/>
        <v>-0.234628081492924</v>
      </c>
      <c r="X463" s="2">
        <f ca="1"/>
        <v>81.871113915540334</v>
      </c>
      <c r="AG463" s="2">
        <f ca="1"/>
        <v>0.12125313482619515</v>
      </c>
      <c r="AH463" s="2" t="str">
        <f ca="1"/>
        <v>OK</v>
      </c>
    </row>
    <row r="464" spans="2:34" x14ac:dyDescent="0.2">
      <c r="B464" s="2">
        <f ca="1"/>
        <v>0.86010838361226383</v>
      </c>
      <c r="O464" s="2">
        <f ca="1"/>
        <v>5.301056253103964E-2</v>
      </c>
      <c r="X464" s="2">
        <f ca="1"/>
        <v>40.19067937618054</v>
      </c>
      <c r="AG464" s="2">
        <f ca="1"/>
        <v>0.67536535957080535</v>
      </c>
      <c r="AH464" s="2" t="str">
        <f ca="1"/>
        <v>Bad</v>
      </c>
    </row>
    <row r="465" spans="2:34" x14ac:dyDescent="0.2">
      <c r="B465" s="2">
        <f ca="1"/>
        <v>0.5993917942007303</v>
      </c>
      <c r="O465" s="2">
        <f ca="1"/>
        <v>0.88847054415962035</v>
      </c>
      <c r="X465" s="2">
        <f ca="1"/>
        <v>22.410939929644972</v>
      </c>
      <c r="AG465" s="2">
        <f ca="1"/>
        <v>0.2353602918170925</v>
      </c>
      <c r="AH465" s="2" t="str">
        <f ca="1"/>
        <v>OK</v>
      </c>
    </row>
    <row r="466" spans="2:34" x14ac:dyDescent="0.2">
      <c r="B466" s="2">
        <f ca="1"/>
        <v>0.19132723299865617</v>
      </c>
      <c r="O466" s="2">
        <f ca="1"/>
        <v>-2.1094295594845152</v>
      </c>
      <c r="X466" s="2">
        <f ca="1"/>
        <v>50.386319824671439</v>
      </c>
      <c r="AG466" s="2">
        <f ca="1"/>
        <v>0.23562063655139576</v>
      </c>
      <c r="AH466" s="2" t="str">
        <f ca="1"/>
        <v>OK</v>
      </c>
    </row>
    <row r="467" spans="2:34" x14ac:dyDescent="0.2">
      <c r="B467" s="2">
        <f ca="1"/>
        <v>0.91509544023892864</v>
      </c>
      <c r="O467" s="2">
        <f ca="1"/>
        <v>-0.70852477418256321</v>
      </c>
      <c r="X467" s="2">
        <f ca="1"/>
        <v>58.329868166970087</v>
      </c>
      <c r="AG467" s="2">
        <f ca="1"/>
        <v>0.5701806646271963</v>
      </c>
      <c r="AH467" s="2" t="str">
        <f ca="1"/>
        <v>Bad</v>
      </c>
    </row>
    <row r="468" spans="2:34" x14ac:dyDescent="0.2">
      <c r="B468" s="2">
        <f ca="1"/>
        <v>0.88886694284776979</v>
      </c>
      <c r="O468" s="2">
        <f ca="1"/>
        <v>-0.61382281688217832</v>
      </c>
      <c r="X468" s="2">
        <f ca="1"/>
        <v>73.87195532613994</v>
      </c>
      <c r="AG468" s="2">
        <f ca="1"/>
        <v>0.58825865858577764</v>
      </c>
      <c r="AH468" s="2" t="str">
        <f ca="1"/>
        <v>Bad</v>
      </c>
    </row>
    <row r="469" spans="2:34" x14ac:dyDescent="0.2">
      <c r="B469" s="2">
        <f ca="1"/>
        <v>5.3435836922783864E-2</v>
      </c>
      <c r="O469" s="2">
        <f ca="1"/>
        <v>-1.2117494733516001</v>
      </c>
      <c r="X469" s="2">
        <f ca="1"/>
        <v>49.267047210352708</v>
      </c>
      <c r="AG469" s="2">
        <f ca="1"/>
        <v>0.45239641444696588</v>
      </c>
      <c r="AH469" s="2" t="str">
        <f ca="1"/>
        <v>Bad</v>
      </c>
    </row>
    <row r="470" spans="2:34" x14ac:dyDescent="0.2">
      <c r="B470" s="2">
        <f ca="1"/>
        <v>0.43425407212189326</v>
      </c>
      <c r="O470" s="2">
        <f ca="1"/>
        <v>0.81795491293564104</v>
      </c>
      <c r="X470" s="2">
        <f ca="1"/>
        <v>55.286707062218341</v>
      </c>
      <c r="AG470" s="2">
        <f ca="1"/>
        <v>0.68713272966372729</v>
      </c>
      <c r="AH470" s="2" t="str">
        <f ca="1"/>
        <v>Bad</v>
      </c>
    </row>
    <row r="471" spans="2:34" x14ac:dyDescent="0.2">
      <c r="B471" s="2">
        <f ca="1"/>
        <v>0.25825915000132182</v>
      </c>
      <c r="O471" s="2">
        <f ca="1"/>
        <v>-3.917761235899919E-3</v>
      </c>
      <c r="X471" s="2">
        <f ca="1"/>
        <v>49.139903489068971</v>
      </c>
      <c r="AG471" s="2">
        <f ca="1"/>
        <v>8.6831030954785948E-3</v>
      </c>
      <c r="AH471" s="2" t="str">
        <f ca="1"/>
        <v>Good</v>
      </c>
    </row>
    <row r="472" spans="2:34" x14ac:dyDescent="0.2">
      <c r="B472" s="2">
        <f ca="1"/>
        <v>0.33707566137998923</v>
      </c>
      <c r="O472" s="2">
        <f ca="1"/>
        <v>-0.102220784272715</v>
      </c>
      <c r="X472" s="2">
        <f ca="1"/>
        <v>28.939249976125932</v>
      </c>
      <c r="AG472" s="2">
        <f ca="1"/>
        <v>0.1013634237923815</v>
      </c>
      <c r="AH472" s="2" t="str">
        <f ca="1"/>
        <v>OK</v>
      </c>
    </row>
    <row r="473" spans="2:34" x14ac:dyDescent="0.2">
      <c r="B473" s="2">
        <f ca="1"/>
        <v>0.86856178980430454</v>
      </c>
      <c r="O473" s="2">
        <f ca="1"/>
        <v>-2.4167615325838679E-2</v>
      </c>
      <c r="X473" s="2">
        <f ca="1"/>
        <v>50.152133133362462</v>
      </c>
      <c r="AG473" s="2">
        <f ca="1"/>
        <v>0.29008884408231772</v>
      </c>
      <c r="AH473" s="2" t="str">
        <f ca="1"/>
        <v>OK</v>
      </c>
    </row>
    <row r="474" spans="2:34" x14ac:dyDescent="0.2">
      <c r="B474" s="2">
        <f ca="1"/>
        <v>0.22615537547217945</v>
      </c>
      <c r="O474" s="2">
        <f ca="1"/>
        <v>0.46456201366895306</v>
      </c>
      <c r="X474" s="2">
        <f ca="1"/>
        <v>42.332209429401885</v>
      </c>
      <c r="AG474" s="2">
        <f ca="1"/>
        <v>1.8118656393151022E-2</v>
      </c>
      <c r="AH474" s="2" t="str">
        <f ca="1"/>
        <v>Good</v>
      </c>
    </row>
    <row r="475" spans="2:34" x14ac:dyDescent="0.2">
      <c r="B475" s="2">
        <f ca="1"/>
        <v>0.64768215597381595</v>
      </c>
      <c r="O475" s="2">
        <f ca="1"/>
        <v>-1.7593036706477827</v>
      </c>
      <c r="X475" s="2">
        <f ca="1"/>
        <v>69.25606088000697</v>
      </c>
      <c r="AG475" s="2">
        <f ca="1"/>
        <v>6.993403402107301E-2</v>
      </c>
      <c r="AH475" s="2" t="str">
        <f ca="1"/>
        <v>OK</v>
      </c>
    </row>
    <row r="476" spans="2:34" x14ac:dyDescent="0.2">
      <c r="B476" s="2">
        <f ca="1"/>
        <v>0.27818103392782345</v>
      </c>
      <c r="O476" s="2">
        <f ca="1"/>
        <v>-0.92888940158040167</v>
      </c>
      <c r="X476" s="2">
        <f ca="1"/>
        <v>47.962439835550327</v>
      </c>
      <c r="AG476" s="2">
        <f ca="1"/>
        <v>0.44642899692816895</v>
      </c>
      <c r="AH476" s="2" t="str">
        <f ca="1"/>
        <v>Bad</v>
      </c>
    </row>
    <row r="477" spans="2:34" x14ac:dyDescent="0.2">
      <c r="B477" s="2">
        <f ca="1"/>
        <v>0.65066059164953516</v>
      </c>
      <c r="O477" s="2">
        <f ca="1"/>
        <v>-2.1488956558649499</v>
      </c>
      <c r="X477" s="2">
        <f ca="1"/>
        <v>55.178034069391742</v>
      </c>
      <c r="AG477" s="2">
        <f ca="1"/>
        <v>0.47361216078676005</v>
      </c>
      <c r="AH477" s="2" t="str">
        <f ca="1"/>
        <v>Bad</v>
      </c>
    </row>
    <row r="478" spans="2:34" x14ac:dyDescent="0.2">
      <c r="B478" s="2">
        <f ca="1"/>
        <v>0.68426626261394752</v>
      </c>
      <c r="O478" s="2">
        <f ca="1"/>
        <v>0.18440772640090689</v>
      </c>
      <c r="X478" s="2">
        <f ca="1"/>
        <v>55.085970862585569</v>
      </c>
      <c r="AG478" s="2">
        <f ca="1"/>
        <v>0.61735908774630488</v>
      </c>
      <c r="AH478" s="2" t="str">
        <f ca="1"/>
        <v>Bad</v>
      </c>
    </row>
    <row r="479" spans="2:34" x14ac:dyDescent="0.2">
      <c r="B479" s="2">
        <f ca="1"/>
        <v>0.99248889053645439</v>
      </c>
      <c r="O479" s="2">
        <f ca="1"/>
        <v>0.30356255301386564</v>
      </c>
      <c r="X479" s="2">
        <f ca="1"/>
        <v>43.793513425643475</v>
      </c>
      <c r="AG479" s="2">
        <f ca="1"/>
        <v>0.15515675049982547</v>
      </c>
      <c r="AH479" s="2" t="str">
        <f ca="1"/>
        <v>OK</v>
      </c>
    </row>
    <row r="480" spans="2:34" x14ac:dyDescent="0.2">
      <c r="B480" s="2">
        <f ca="1"/>
        <v>0.37667451065336532</v>
      </c>
      <c r="O480" s="2">
        <f ca="1"/>
        <v>-0.54173991489573292</v>
      </c>
      <c r="X480" s="2">
        <f ca="1"/>
        <v>58.424212988555453</v>
      </c>
      <c r="AG480" s="2">
        <f ca="1"/>
        <v>0.87327072869842914</v>
      </c>
      <c r="AH480" s="2" t="str">
        <f ca="1"/>
        <v>Bad</v>
      </c>
    </row>
    <row r="481" spans="2:34" x14ac:dyDescent="0.2">
      <c r="B481" s="2">
        <f ca="1"/>
        <v>0.63169506397391251</v>
      </c>
      <c r="O481" s="2">
        <f ca="1"/>
        <v>0.81194600613994461</v>
      </c>
      <c r="X481" s="2">
        <f ca="1"/>
        <v>35.168081803544531</v>
      </c>
      <c r="AG481" s="2">
        <f ca="1"/>
        <v>0.35118080603318913</v>
      </c>
      <c r="AH481" s="2" t="str">
        <f ca="1"/>
        <v>OK</v>
      </c>
    </row>
    <row r="482" spans="2:34" x14ac:dyDescent="0.2">
      <c r="B482" s="2">
        <f ca="1"/>
        <v>0.17297449184775981</v>
      </c>
      <c r="O482" s="2">
        <f ca="1"/>
        <v>0.35982083943809368</v>
      </c>
      <c r="X482" s="2">
        <f ca="1"/>
        <v>63.479308567000388</v>
      </c>
      <c r="AG482" s="2">
        <f ca="1"/>
        <v>0.43143053966612221</v>
      </c>
      <c r="AH482" s="2" t="str">
        <f ca="1"/>
        <v>Bad</v>
      </c>
    </row>
    <row r="483" spans="2:34" x14ac:dyDescent="0.2">
      <c r="B483" s="2">
        <f ca="1"/>
        <v>0.58217521572296382</v>
      </c>
      <c r="O483" s="2">
        <f ca="1"/>
        <v>-0.2444030982653258</v>
      </c>
      <c r="X483" s="2">
        <f ca="1"/>
        <v>54.872567097060561</v>
      </c>
      <c r="AG483" s="2">
        <f ca="1"/>
        <v>9.0407488778127432E-2</v>
      </c>
      <c r="AH483" s="2" t="str">
        <f ca="1"/>
        <v>OK</v>
      </c>
    </row>
    <row r="484" spans="2:34" x14ac:dyDescent="0.2">
      <c r="B484" s="2">
        <f ca="1"/>
        <v>0.30874883169428236</v>
      </c>
      <c r="O484" s="2">
        <f ca="1"/>
        <v>0.89666741701490627</v>
      </c>
      <c r="X484" s="2">
        <f ca="1"/>
        <v>71.331960461249849</v>
      </c>
      <c r="AG484" s="2">
        <f ca="1"/>
        <v>1.0667174855102379E-2</v>
      </c>
      <c r="AH484" s="2" t="str">
        <f ca="1"/>
        <v>Good</v>
      </c>
    </row>
    <row r="485" spans="2:34" x14ac:dyDescent="0.2">
      <c r="B485" s="2">
        <f ca="1"/>
        <v>0.7565902323686271</v>
      </c>
      <c r="O485" s="2">
        <f ca="1"/>
        <v>-0.53694024999601075</v>
      </c>
      <c r="X485" s="2">
        <f ca="1"/>
        <v>46.205049568173031</v>
      </c>
      <c r="AG485" s="2">
        <f ca="1"/>
        <v>0.92380601616626645</v>
      </c>
      <c r="AH485" s="2" t="str">
        <f ca="1"/>
        <v>Bad</v>
      </c>
    </row>
    <row r="486" spans="2:34" x14ac:dyDescent="0.2">
      <c r="B486" s="2">
        <f ca="1"/>
        <v>0.2578693883392027</v>
      </c>
      <c r="O486" s="2">
        <f ca="1"/>
        <v>-0.80499347844849356</v>
      </c>
      <c r="X486" s="2">
        <f ca="1"/>
        <v>82.12043901076504</v>
      </c>
      <c r="AG486" s="2">
        <f ca="1"/>
        <v>0.84411618854928916</v>
      </c>
      <c r="AH486" s="2" t="str">
        <f ca="1"/>
        <v>Bad</v>
      </c>
    </row>
    <row r="487" spans="2:34" x14ac:dyDescent="0.2">
      <c r="B487" s="2">
        <f ca="1"/>
        <v>0.19638821603873158</v>
      </c>
      <c r="O487" s="2">
        <f ca="1"/>
        <v>-0.13835498378916386</v>
      </c>
      <c r="X487" s="2">
        <f ca="1"/>
        <v>74.400455891076263</v>
      </c>
      <c r="AG487" s="2">
        <f ca="1"/>
        <v>0.12196440592047297</v>
      </c>
      <c r="AH487" s="2" t="str">
        <f ca="1"/>
        <v>OK</v>
      </c>
    </row>
    <row r="488" spans="2:34" x14ac:dyDescent="0.2">
      <c r="B488" s="2">
        <f ca="1"/>
        <v>0.1845880059889391</v>
      </c>
      <c r="O488" s="2">
        <f ca="1"/>
        <v>0.87341127201884172</v>
      </c>
      <c r="X488" s="2">
        <f ca="1"/>
        <v>69.015881072517402</v>
      </c>
      <c r="AG488" s="2">
        <f ca="1"/>
        <v>0.92391266792280824</v>
      </c>
      <c r="AH488" s="2" t="str">
        <f ca="1"/>
        <v>Bad</v>
      </c>
    </row>
    <row r="489" spans="2:34" x14ac:dyDescent="0.2">
      <c r="B489" s="2">
        <f ca="1"/>
        <v>8.3295899568495591E-2</v>
      </c>
      <c r="O489" s="2">
        <f ca="1"/>
        <v>1.4560704782142868</v>
      </c>
      <c r="X489" s="2">
        <f ca="1"/>
        <v>77.840533214614823</v>
      </c>
      <c r="AG489" s="2">
        <f ca="1"/>
        <v>0.24337189242012136</v>
      </c>
      <c r="AH489" s="2" t="str">
        <f ca="1"/>
        <v>OK</v>
      </c>
    </row>
    <row r="490" spans="2:34" x14ac:dyDescent="0.2">
      <c r="B490" s="2">
        <f ca="1"/>
        <v>0.12957189742924924</v>
      </c>
      <c r="O490" s="2">
        <f ca="1"/>
        <v>1.3589906059404764</v>
      </c>
      <c r="X490" s="2">
        <f ca="1"/>
        <v>36.35332110747045</v>
      </c>
      <c r="AG490" s="2">
        <f ca="1"/>
        <v>0.79717573089793103</v>
      </c>
      <c r="AH490" s="2" t="str">
        <f ca="1"/>
        <v>Bad</v>
      </c>
    </row>
    <row r="491" spans="2:34" x14ac:dyDescent="0.2">
      <c r="B491" s="2">
        <f ca="1"/>
        <v>0.3923786558865332</v>
      </c>
      <c r="O491" s="2">
        <f ca="1"/>
        <v>-1.2934466013237786</v>
      </c>
      <c r="X491" s="2">
        <f ca="1"/>
        <v>38.500842732932767</v>
      </c>
      <c r="AG491" s="2">
        <f ca="1"/>
        <v>0.45832969393830125</v>
      </c>
      <c r="AH491" s="2" t="str">
        <f ca="1"/>
        <v>Bad</v>
      </c>
    </row>
    <row r="492" spans="2:34" x14ac:dyDescent="0.2">
      <c r="B492" s="2">
        <f ca="1"/>
        <v>0.61325815494112734</v>
      </c>
      <c r="O492" s="2">
        <f ca="1"/>
        <v>-0.57877536130835405</v>
      </c>
      <c r="X492" s="2">
        <f ca="1"/>
        <v>33.074568079055517</v>
      </c>
      <c r="AG492" s="2">
        <f ca="1"/>
        <v>0.68876471422540653</v>
      </c>
      <c r="AH492" s="2" t="str">
        <f ca="1"/>
        <v>Bad</v>
      </c>
    </row>
    <row r="493" spans="2:34" x14ac:dyDescent="0.2">
      <c r="B493" s="2">
        <f ca="1"/>
        <v>0.40542734176266171</v>
      </c>
      <c r="O493" s="2">
        <f ca="1"/>
        <v>0.66338710643238408</v>
      </c>
      <c r="X493" s="2">
        <f ca="1"/>
        <v>47.764917100540146</v>
      </c>
      <c r="AG493" s="2">
        <f ca="1"/>
        <v>0.44717175220460104</v>
      </c>
      <c r="AH493" s="2" t="str">
        <f ca="1"/>
        <v>Bad</v>
      </c>
    </row>
    <row r="494" spans="2:34" x14ac:dyDescent="0.2">
      <c r="B494" s="2">
        <f ca="1"/>
        <v>9.2782429870860827E-2</v>
      </c>
      <c r="O494" s="2">
        <f ca="1"/>
        <v>2.8805179604381745</v>
      </c>
      <c r="X494" s="2">
        <f ca="1"/>
        <v>28.709383056425107</v>
      </c>
      <c r="AG494" s="2">
        <f ca="1"/>
        <v>9.8903758038443534E-2</v>
      </c>
      <c r="AH494" s="2" t="str">
        <f ca="1"/>
        <v>OK</v>
      </c>
    </row>
    <row r="495" spans="2:34" x14ac:dyDescent="0.2">
      <c r="B495" s="2">
        <f ca="1"/>
        <v>0.83324529871243125</v>
      </c>
      <c r="O495" s="2">
        <f ca="1"/>
        <v>-0.12764672761775514</v>
      </c>
      <c r="X495" s="2">
        <f ca="1"/>
        <v>59.132793735643531</v>
      </c>
      <c r="AG495" s="2">
        <f ca="1"/>
        <v>0.4137615882318959</v>
      </c>
      <c r="AH495" s="2" t="str">
        <f ca="1"/>
        <v>Bad</v>
      </c>
    </row>
    <row r="496" spans="2:34" x14ac:dyDescent="0.2">
      <c r="B496" s="2">
        <f ca="1"/>
        <v>0.24010986957445191</v>
      </c>
      <c r="O496" s="2">
        <f ca="1"/>
        <v>-1.1889560548051572</v>
      </c>
      <c r="X496" s="2">
        <f ca="1"/>
        <v>37.124497684620607</v>
      </c>
      <c r="AG496" s="2">
        <f ca="1"/>
        <v>0.43807734332472026</v>
      </c>
      <c r="AH496" s="2" t="str">
        <f ca="1"/>
        <v>Bad</v>
      </c>
    </row>
    <row r="497" spans="2:34" x14ac:dyDescent="0.2">
      <c r="B497" s="2">
        <f ca="1"/>
        <v>0.88278215922030578</v>
      </c>
      <c r="O497" s="2">
        <f ca="1"/>
        <v>-0.57662432633428085</v>
      </c>
      <c r="X497" s="2">
        <f ca="1"/>
        <v>60.205378218362434</v>
      </c>
      <c r="AG497" s="2">
        <f ca="1"/>
        <v>0.93747215571707265</v>
      </c>
      <c r="AH497" s="2" t="str">
        <f ca="1"/>
        <v>Bad</v>
      </c>
    </row>
    <row r="498" spans="2:34" x14ac:dyDescent="0.2">
      <c r="B498" s="2">
        <f ca="1"/>
        <v>9.8621098347176472E-2</v>
      </c>
      <c r="O498" s="2">
        <f ca="1"/>
        <v>-0.97356895915023278</v>
      </c>
      <c r="X498" s="2">
        <f ca="1"/>
        <v>43.288388431576585</v>
      </c>
      <c r="AG498" s="2">
        <f ca="1"/>
        <v>0.62323000262276396</v>
      </c>
      <c r="AH498" s="2" t="str">
        <f ca="1"/>
        <v>Bad</v>
      </c>
    </row>
    <row r="499" spans="2:34" x14ac:dyDescent="0.2">
      <c r="B499" s="2">
        <f ca="1"/>
        <v>0.15267227984287302</v>
      </c>
      <c r="O499" s="2">
        <f ca="1"/>
        <v>-0.83655465410521823</v>
      </c>
      <c r="X499" s="2">
        <f ca="1"/>
        <v>64.865820445469041</v>
      </c>
      <c r="AG499" s="2">
        <f ca="1"/>
        <v>0.94159490959028358</v>
      </c>
      <c r="AH499" s="2" t="str">
        <f ca="1"/>
        <v>Bad</v>
      </c>
    </row>
    <row r="500" spans="2:34" x14ac:dyDescent="0.2">
      <c r="B500" s="2">
        <f ca="1"/>
        <v>0.97469844321230581</v>
      </c>
      <c r="O500" s="2">
        <f ca="1"/>
        <v>0.53346762670584147</v>
      </c>
      <c r="X500" s="2">
        <f ca="1"/>
        <v>39.043938338196782</v>
      </c>
      <c r="AG500" s="2">
        <f ca="1"/>
        <v>0.71097270405243296</v>
      </c>
      <c r="AH500" s="2" t="str">
        <f ca="1"/>
        <v>Bad</v>
      </c>
    </row>
    <row r="501" spans="2:34" x14ac:dyDescent="0.2">
      <c r="B501" s="2">
        <f ca="1"/>
        <v>0.60503863496488752</v>
      </c>
      <c r="O501" s="2">
        <f ca="1"/>
        <v>0.51761597580302898</v>
      </c>
      <c r="X501" s="2">
        <f ca="1"/>
        <v>46.843738236290719</v>
      </c>
      <c r="AG501" s="2">
        <f ca="1"/>
        <v>8.2873369993787804E-3</v>
      </c>
      <c r="AH501" s="2" t="str">
        <f ca="1"/>
        <v>Good</v>
      </c>
    </row>
    <row r="502" spans="2:34" x14ac:dyDescent="0.2">
      <c r="B502" s="2">
        <f ca="1"/>
        <v>0.21074583104013467</v>
      </c>
      <c r="O502" s="2">
        <f ca="1"/>
        <v>0.47461255239942823</v>
      </c>
      <c r="X502" s="2">
        <f ca="1"/>
        <v>64.095869868120303</v>
      </c>
      <c r="AG502" s="2">
        <f ca="1"/>
        <v>0.46166004235311364</v>
      </c>
      <c r="AH502" s="2" t="str">
        <f ca="1"/>
        <v>Bad</v>
      </c>
    </row>
    <row r="503" spans="2:34" x14ac:dyDescent="0.2">
      <c r="B503" s="2">
        <f ca="1"/>
        <v>0.20675848134262487</v>
      </c>
      <c r="O503" s="2">
        <f ca="1"/>
        <v>-0.24325016562275673</v>
      </c>
      <c r="X503" s="2">
        <f ca="1"/>
        <v>54.89511136864035</v>
      </c>
      <c r="AG503" s="2">
        <f ca="1"/>
        <v>0.87100568137883871</v>
      </c>
      <c r="AH503" s="2" t="str">
        <f ca="1"/>
        <v>Bad</v>
      </c>
    </row>
    <row r="504" spans="2:34" x14ac:dyDescent="0.2">
      <c r="B504" s="2">
        <f ca="1"/>
        <v>0.1233156744360957</v>
      </c>
      <c r="O504" s="2">
        <f ca="1"/>
        <v>-0.85654111864200988</v>
      </c>
      <c r="X504" s="2">
        <f ca="1"/>
        <v>31.564949308771965</v>
      </c>
      <c r="AG504" s="2">
        <f ca="1"/>
        <v>7.7029303990533649E-2</v>
      </c>
      <c r="AH504" s="2" t="str">
        <f ca="1"/>
        <v>OK</v>
      </c>
    </row>
    <row r="505" spans="2:34" x14ac:dyDescent="0.2">
      <c r="B505" s="2">
        <f ca="1"/>
        <v>0.27100528715505301</v>
      </c>
      <c r="O505" s="2">
        <f ca="1"/>
        <v>0.56210806377565992</v>
      </c>
      <c r="X505" s="2">
        <f ca="1"/>
        <v>40.638188968214372</v>
      </c>
      <c r="AG505" s="2">
        <f ca="1"/>
        <v>0.76464572103662598</v>
      </c>
      <c r="AH505" s="2" t="str">
        <f ca="1"/>
        <v>Bad</v>
      </c>
    </row>
    <row r="506" spans="2:34" x14ac:dyDescent="0.2">
      <c r="B506" s="2">
        <f ca="1"/>
        <v>0.40154339102052394</v>
      </c>
      <c r="O506" s="2">
        <f ca="1"/>
        <v>1.8261494197997383</v>
      </c>
      <c r="X506" s="2">
        <f ca="1"/>
        <v>33.470812215399725</v>
      </c>
      <c r="AG506" s="2">
        <f ca="1"/>
        <v>0.72774331624661315</v>
      </c>
      <c r="AH506" s="2" t="str">
        <f ca="1"/>
        <v>Bad</v>
      </c>
    </row>
    <row r="507" spans="2:34" x14ac:dyDescent="0.2">
      <c r="B507" s="2">
        <f ca="1"/>
        <v>0.26452081459755772</v>
      </c>
      <c r="O507" s="2">
        <f ca="1"/>
        <v>-0.19619790826614331</v>
      </c>
      <c r="X507" s="2">
        <f ca="1"/>
        <v>45.611223452784685</v>
      </c>
      <c r="AG507" s="2">
        <f ca="1"/>
        <v>0.53885196401611002</v>
      </c>
      <c r="AH507" s="2" t="str">
        <f ca="1"/>
        <v>Bad</v>
      </c>
    </row>
    <row r="508" spans="2:34" x14ac:dyDescent="0.2">
      <c r="B508" s="2">
        <f ca="1"/>
        <v>0.40117946025331763</v>
      </c>
      <c r="O508" s="2">
        <f ca="1"/>
        <v>-4.3663766654830738E-2</v>
      </c>
      <c r="X508" s="2">
        <f ca="1"/>
        <v>37.737726422651384</v>
      </c>
      <c r="AG508" s="2">
        <f ca="1"/>
        <v>0.62408004442831766</v>
      </c>
      <c r="AH508" s="2" t="str">
        <f ca="1"/>
        <v>Bad</v>
      </c>
    </row>
    <row r="509" spans="2:34" x14ac:dyDescent="0.2">
      <c r="B509" s="2">
        <f ca="1"/>
        <v>0.605854160215477</v>
      </c>
      <c r="O509" s="2">
        <f ca="1"/>
        <v>-0.38945160419293362</v>
      </c>
      <c r="X509" s="2">
        <f ca="1"/>
        <v>70.224600049549338</v>
      </c>
      <c r="AG509" s="2">
        <f ca="1"/>
        <v>0.44646779047191831</v>
      </c>
      <c r="AH509" s="2" t="str">
        <f ca="1"/>
        <v>Bad</v>
      </c>
    </row>
    <row r="510" spans="2:34" x14ac:dyDescent="0.2">
      <c r="B510" s="2">
        <f ca="1"/>
        <v>0.5393020962100914</v>
      </c>
      <c r="O510" s="2">
        <f ca="1"/>
        <v>-1.3393602349752163</v>
      </c>
      <c r="X510" s="2">
        <f ca="1"/>
        <v>43.848881131932735</v>
      </c>
      <c r="AG510" s="2">
        <f ca="1"/>
        <v>0.87296810967144722</v>
      </c>
      <c r="AH510" s="2" t="str">
        <f ca="1"/>
        <v>Bad</v>
      </c>
    </row>
    <row r="511" spans="2:34" x14ac:dyDescent="0.2">
      <c r="B511" s="2">
        <f ca="1"/>
        <v>0.79745066406801346</v>
      </c>
      <c r="O511" s="2">
        <f ca="1"/>
        <v>-0.60870573773440173</v>
      </c>
      <c r="X511" s="2">
        <f ca="1"/>
        <v>33.390122975548977</v>
      </c>
      <c r="AG511" s="2">
        <f ca="1"/>
        <v>0.65221862274528664</v>
      </c>
      <c r="AH511" s="2" t="str">
        <f ca="1"/>
        <v>Bad</v>
      </c>
    </row>
    <row r="512" spans="2:34" x14ac:dyDescent="0.2">
      <c r="B512" s="2">
        <f ca="1"/>
        <v>8.9352586221385311E-2</v>
      </c>
      <c r="O512" s="2">
        <f ca="1"/>
        <v>-0.258969372219363</v>
      </c>
      <c r="X512" s="2">
        <f ca="1"/>
        <v>43.718501600373898</v>
      </c>
      <c r="AG512" s="2">
        <f ca="1"/>
        <v>0.53033392296184556</v>
      </c>
      <c r="AH512" s="2" t="str">
        <f ca="1"/>
        <v>Bad</v>
      </c>
    </row>
    <row r="513" spans="2:34" x14ac:dyDescent="0.2">
      <c r="B513" s="2">
        <f ca="1"/>
        <v>0.76664944511271127</v>
      </c>
      <c r="O513" s="2">
        <f ca="1"/>
        <v>-0.25738419257227407</v>
      </c>
      <c r="X513" s="2">
        <f ca="1"/>
        <v>46.067904913377532</v>
      </c>
      <c r="AG513" s="2">
        <f ca="1"/>
        <v>0.48771385865363892</v>
      </c>
      <c r="AH513" s="2" t="str">
        <f ca="1"/>
        <v>Bad</v>
      </c>
    </row>
    <row r="514" spans="2:34" x14ac:dyDescent="0.2">
      <c r="B514" s="2">
        <f ca="1"/>
        <v>0.3033525510712709</v>
      </c>
      <c r="O514" s="2">
        <f ca="1"/>
        <v>-1.0534362204684531</v>
      </c>
      <c r="X514" s="2">
        <f ca="1"/>
        <v>57.8965471093695</v>
      </c>
      <c r="AG514" s="2">
        <f ca="1"/>
        <v>0.30838676330635528</v>
      </c>
      <c r="AH514" s="2" t="str">
        <f ca="1"/>
        <v>OK</v>
      </c>
    </row>
    <row r="515" spans="2:34" x14ac:dyDescent="0.2">
      <c r="B515" s="2">
        <f ca="1"/>
        <v>0.62564115472939896</v>
      </c>
      <c r="O515" s="2">
        <f ca="1"/>
        <v>0.61536456986836219</v>
      </c>
      <c r="X515" s="2">
        <f ca="1"/>
        <v>65.327994487617886</v>
      </c>
      <c r="AG515" s="2">
        <f ca="1"/>
        <v>0.68818232048807748</v>
      </c>
      <c r="AH515" s="2" t="str">
        <f ca="1"/>
        <v>Bad</v>
      </c>
    </row>
    <row r="516" spans="2:34" x14ac:dyDescent="0.2">
      <c r="B516" s="2">
        <f ca="1"/>
        <v>0.78818465477800803</v>
      </c>
      <c r="O516" s="2">
        <f ca="1"/>
        <v>-1.8001998932515617</v>
      </c>
      <c r="X516" s="2">
        <f ca="1"/>
        <v>34.968496597056046</v>
      </c>
      <c r="AG516" s="2">
        <f ca="1"/>
        <v>0.48088982020100901</v>
      </c>
      <c r="AH516" s="2" t="str">
        <f ca="1"/>
        <v>Bad</v>
      </c>
    </row>
    <row r="517" spans="2:34" x14ac:dyDescent="0.2">
      <c r="B517" s="2">
        <f ca="1"/>
        <v>0.2936761249890727</v>
      </c>
      <c r="O517" s="2">
        <f ca="1"/>
        <v>-1.4458459455409536</v>
      </c>
      <c r="X517" s="2">
        <f ca="1"/>
        <v>49.562807570349761</v>
      </c>
      <c r="AG517" s="2">
        <f ca="1"/>
        <v>0.76882117373981074</v>
      </c>
      <c r="AH517" s="2" t="str">
        <f ca="1"/>
        <v>Bad</v>
      </c>
    </row>
    <row r="518" spans="2:34" x14ac:dyDescent="0.2">
      <c r="B518" s="2">
        <f ca="1"/>
        <v>0.10700507829757888</v>
      </c>
      <c r="O518" s="2">
        <f ca="1"/>
        <v>-0.55863611254323808</v>
      </c>
      <c r="X518" s="2">
        <f ca="1"/>
        <v>48.606522743836919</v>
      </c>
      <c r="AG518" s="2">
        <f ca="1"/>
        <v>0.19793255953014088</v>
      </c>
      <c r="AH518" s="2" t="str">
        <f ca="1"/>
        <v>OK</v>
      </c>
    </row>
    <row r="519" spans="2:34" x14ac:dyDescent="0.2">
      <c r="B519" s="2">
        <f ca="1"/>
        <v>0.50772089465998826</v>
      </c>
      <c r="O519" s="2">
        <f ca="1"/>
        <v>0.93784466305157899</v>
      </c>
      <c r="X519" s="2">
        <f ca="1"/>
        <v>45.741537246743391</v>
      </c>
      <c r="AG519" s="2">
        <f ca="1"/>
        <v>0.50147715050621233</v>
      </c>
      <c r="AH519" s="2" t="str">
        <f ca="1"/>
        <v>Bad</v>
      </c>
    </row>
    <row r="520" spans="2:34" x14ac:dyDescent="0.2">
      <c r="B520" s="2">
        <f ca="1"/>
        <v>9.463724650571792E-2</v>
      </c>
      <c r="O520" s="2">
        <f ca="1"/>
        <v>0.67995725210141511</v>
      </c>
      <c r="X520" s="2">
        <f ca="1"/>
        <v>80.6697078115115</v>
      </c>
      <c r="AG520" s="2">
        <f ca="1"/>
        <v>0.82690689362897296</v>
      </c>
      <c r="AH520" s="2" t="str">
        <f ca="1"/>
        <v>Bad</v>
      </c>
    </row>
    <row r="521" spans="2:34" x14ac:dyDescent="0.2">
      <c r="B521" s="2">
        <f ca="1"/>
        <v>0.47630680697267946</v>
      </c>
      <c r="O521" s="2">
        <f ca="1"/>
        <v>-0.10199466649953313</v>
      </c>
      <c r="X521" s="2">
        <f ca="1"/>
        <v>33.723913773541213</v>
      </c>
      <c r="AG521" s="2">
        <f ca="1"/>
        <v>0.86143802261654767</v>
      </c>
      <c r="AH521" s="2" t="str">
        <f ca="1"/>
        <v>Bad</v>
      </c>
    </row>
    <row r="522" spans="2:34" x14ac:dyDescent="0.2">
      <c r="B522" s="2">
        <f ca="1"/>
        <v>0.12712127553194885</v>
      </c>
      <c r="O522" s="2">
        <f ca="1"/>
        <v>1.0376583567743323</v>
      </c>
      <c r="X522" s="2">
        <f ca="1"/>
        <v>70.970087067231091</v>
      </c>
      <c r="AG522" s="2">
        <f ca="1"/>
        <v>8.714074619842016E-2</v>
      </c>
      <c r="AH522" s="2" t="str">
        <f ca="1"/>
        <v>OK</v>
      </c>
    </row>
    <row r="523" spans="2:34" x14ac:dyDescent="0.2">
      <c r="B523" s="2">
        <f ca="1"/>
        <v>0.15375452048816429</v>
      </c>
      <c r="O523" s="2">
        <f ca="1"/>
        <v>1.1865614790678973</v>
      </c>
      <c r="X523" s="2">
        <f ca="1"/>
        <v>51.322128952245343</v>
      </c>
      <c r="AG523" s="2">
        <f ca="1"/>
        <v>0.35607989604161516</v>
      </c>
      <c r="AH523" s="2" t="str">
        <f ca="1"/>
        <v>OK</v>
      </c>
    </row>
    <row r="524" spans="2:34" x14ac:dyDescent="0.2">
      <c r="B524" s="2">
        <f ca="1"/>
        <v>0.24424450601378322</v>
      </c>
      <c r="O524" s="2">
        <f ca="1"/>
        <v>0.98624563270710996</v>
      </c>
      <c r="X524" s="2">
        <f ca="1"/>
        <v>42.894943055629312</v>
      </c>
      <c r="AG524" s="2">
        <f ca="1"/>
        <v>0.23412655492781731</v>
      </c>
      <c r="AH524" s="2" t="str">
        <f ca="1"/>
        <v>OK</v>
      </c>
    </row>
    <row r="525" spans="2:34" x14ac:dyDescent="0.2">
      <c r="B525" s="2">
        <f ca="1"/>
        <v>0.19066967417968184</v>
      </c>
      <c r="O525" s="2">
        <f ca="1"/>
        <v>-0.68378443742447126</v>
      </c>
      <c r="X525" s="2">
        <f ca="1"/>
        <v>58.220716378772835</v>
      </c>
      <c r="AG525" s="2">
        <f ca="1"/>
        <v>0.15885059968954973</v>
      </c>
      <c r="AH525" s="2" t="str">
        <f ca="1"/>
        <v>OK</v>
      </c>
    </row>
    <row r="526" spans="2:34" x14ac:dyDescent="0.2">
      <c r="B526" s="2">
        <f ca="1"/>
        <v>2.9307279196748581E-2</v>
      </c>
      <c r="O526" s="2">
        <f ca="1"/>
        <v>-0.7106089356201577</v>
      </c>
      <c r="X526" s="2">
        <f ca="1"/>
        <v>48.050819496588353</v>
      </c>
      <c r="AG526" s="2">
        <f ca="1"/>
        <v>0.66806766115558336</v>
      </c>
      <c r="AH526" s="2" t="str">
        <f ca="1"/>
        <v>Bad</v>
      </c>
    </row>
    <row r="527" spans="2:34" x14ac:dyDescent="0.2">
      <c r="B527" s="2">
        <f ca="1"/>
        <v>0.71959519569534569</v>
      </c>
      <c r="O527" s="2">
        <f ca="1"/>
        <v>-1.1475601113017624</v>
      </c>
      <c r="X527" s="2">
        <f ca="1"/>
        <v>37.019664756934027</v>
      </c>
      <c r="AG527" s="2">
        <f ca="1"/>
        <v>0.77719917168760411</v>
      </c>
      <c r="AH527" s="2" t="str">
        <f ca="1"/>
        <v>Bad</v>
      </c>
    </row>
    <row r="528" spans="2:34" x14ac:dyDescent="0.2">
      <c r="B528" s="2">
        <f ca="1"/>
        <v>0.40031253030687508</v>
      </c>
      <c r="O528" s="2">
        <f ca="1"/>
        <v>-1.3002170314439312</v>
      </c>
      <c r="X528" s="2">
        <f ca="1"/>
        <v>42.894419620052005</v>
      </c>
      <c r="AG528" s="2">
        <f ca="1"/>
        <v>5.9184875099257184E-2</v>
      </c>
      <c r="AH528" s="2" t="str">
        <f ca="1"/>
        <v>OK</v>
      </c>
    </row>
    <row r="529" spans="2:34" x14ac:dyDescent="0.2">
      <c r="B529" s="2">
        <f ca="1"/>
        <v>0.84137795521755887</v>
      </c>
      <c r="O529" s="2">
        <f ca="1"/>
        <v>0.22715523220876266</v>
      </c>
      <c r="X529" s="2">
        <f ca="1"/>
        <v>65.273913430287109</v>
      </c>
      <c r="AG529" s="2">
        <f ca="1"/>
        <v>0.32815664195157623</v>
      </c>
      <c r="AH529" s="2" t="str">
        <f ca="1"/>
        <v>OK</v>
      </c>
    </row>
    <row r="530" spans="2:34" x14ac:dyDescent="0.2">
      <c r="B530" s="2">
        <f ca="1"/>
        <v>0.75196069529144061</v>
      </c>
      <c r="O530" s="2">
        <f ca="1"/>
        <v>1.1989529448246745</v>
      </c>
      <c r="X530" s="2">
        <f ca="1"/>
        <v>43.240770079371259</v>
      </c>
      <c r="AG530" s="2">
        <f ca="1"/>
        <v>0.42952002851512372</v>
      </c>
      <c r="AH530" s="2" t="str">
        <f ca="1"/>
        <v>Bad</v>
      </c>
    </row>
    <row r="531" spans="2:34" x14ac:dyDescent="0.2">
      <c r="B531" s="2">
        <f ca="1"/>
        <v>0.3641528518466508</v>
      </c>
      <c r="O531" s="2">
        <f ca="1"/>
        <v>-2.1561849320271191</v>
      </c>
      <c r="X531" s="2">
        <f ca="1"/>
        <v>78.20391135810587</v>
      </c>
      <c r="AG531" s="2">
        <f ca="1"/>
        <v>0.4084220947009225</v>
      </c>
      <c r="AH531" s="2" t="str">
        <f ca="1"/>
        <v>Bad</v>
      </c>
    </row>
    <row r="532" spans="2:34" x14ac:dyDescent="0.2">
      <c r="B532" s="2">
        <f ca="1"/>
        <v>0.50421991785920173</v>
      </c>
      <c r="O532" s="2">
        <f ca="1"/>
        <v>1.7739635775727431</v>
      </c>
      <c r="X532" s="2">
        <f ca="1"/>
        <v>41.859887863064642</v>
      </c>
      <c r="AG532" s="2">
        <f ca="1"/>
        <v>0.45213125425797362</v>
      </c>
      <c r="AH532" s="2" t="str">
        <f ca="1"/>
        <v>Bad</v>
      </c>
    </row>
    <row r="533" spans="2:34" x14ac:dyDescent="0.2">
      <c r="B533" s="2">
        <f ca="1"/>
        <v>0.56922542229160644</v>
      </c>
      <c r="O533" s="2">
        <f ca="1"/>
        <v>-1.720248698677957</v>
      </c>
      <c r="X533" s="2">
        <f ca="1"/>
        <v>48.519218647856064</v>
      </c>
      <c r="AG533" s="2">
        <f ca="1"/>
        <v>0.20670507254424719</v>
      </c>
      <c r="AH533" s="2" t="str">
        <f ca="1"/>
        <v>OK</v>
      </c>
    </row>
    <row r="534" spans="2:34" x14ac:dyDescent="0.2">
      <c r="B534" s="2">
        <f ca="1"/>
        <v>0.41538629770215674</v>
      </c>
      <c r="O534" s="2">
        <f ca="1"/>
        <v>-0.4130244595934161</v>
      </c>
      <c r="X534" s="2">
        <f ca="1"/>
        <v>86.994094052277575</v>
      </c>
      <c r="AG534" s="2">
        <f ca="1"/>
        <v>0.76340941841971643</v>
      </c>
      <c r="AH534" s="2" t="str">
        <f ca="1"/>
        <v>Bad</v>
      </c>
    </row>
    <row r="535" spans="2:34" x14ac:dyDescent="0.2">
      <c r="B535" s="2">
        <f ca="1"/>
        <v>0.96858526642219744</v>
      </c>
      <c r="O535" s="2">
        <f ca="1"/>
        <v>0.99907487408466567</v>
      </c>
      <c r="X535" s="2">
        <f ca="1"/>
        <v>65.777788809128353</v>
      </c>
      <c r="AG535" s="2">
        <f ca="1"/>
        <v>0.23935593055485227</v>
      </c>
      <c r="AH535" s="2" t="str">
        <f ca="1"/>
        <v>OK</v>
      </c>
    </row>
    <row r="536" spans="2:34" x14ac:dyDescent="0.2">
      <c r="B536" s="2">
        <f ca="1"/>
        <v>0.98538356723932563</v>
      </c>
      <c r="O536" s="2">
        <f ca="1"/>
        <v>-0.65005900003355732</v>
      </c>
      <c r="X536" s="2">
        <f ca="1"/>
        <v>42.293832885877421</v>
      </c>
      <c r="AG536" s="2">
        <f ca="1"/>
        <v>0.72582029706380902</v>
      </c>
      <c r="AH536" s="2" t="str">
        <f ca="1"/>
        <v>Bad</v>
      </c>
    </row>
    <row r="537" spans="2:34" x14ac:dyDescent="0.2">
      <c r="B537" s="2">
        <f ca="1"/>
        <v>0.98706071541741758</v>
      </c>
      <c r="O537" s="2">
        <f ca="1"/>
        <v>5.6075803395799435E-2</v>
      </c>
      <c r="X537" s="2">
        <f ca="1"/>
        <v>40.42231342104445</v>
      </c>
      <c r="AG537" s="2">
        <f ca="1"/>
        <v>0.65638971533807888</v>
      </c>
      <c r="AH537" s="2" t="str">
        <f ca="1"/>
        <v>Bad</v>
      </c>
    </row>
    <row r="538" spans="2:34" x14ac:dyDescent="0.2">
      <c r="B538" s="2">
        <f ca="1"/>
        <v>0.8702909644519643</v>
      </c>
      <c r="O538" s="2">
        <f ca="1"/>
        <v>1.5849717595492658</v>
      </c>
      <c r="X538" s="2">
        <f ca="1"/>
        <v>39.183313474119792</v>
      </c>
      <c r="AG538" s="2">
        <f ca="1"/>
        <v>0.40499766557857475</v>
      </c>
      <c r="AH538" s="2" t="str">
        <f ca="1"/>
        <v>Bad</v>
      </c>
    </row>
    <row r="539" spans="2:34" x14ac:dyDescent="0.2">
      <c r="B539" s="2">
        <f ca="1"/>
        <v>0.76864427120396184</v>
      </c>
      <c r="O539" s="2">
        <f ca="1"/>
        <v>1.1573420184988195</v>
      </c>
      <c r="X539" s="2">
        <f ca="1"/>
        <v>65.889813445073884</v>
      </c>
      <c r="AG539" s="2">
        <f ca="1"/>
        <v>0.78721268674744849</v>
      </c>
      <c r="AH539" s="2" t="str">
        <f ca="1"/>
        <v>Bad</v>
      </c>
    </row>
    <row r="540" spans="2:34" x14ac:dyDescent="0.2">
      <c r="B540" s="2">
        <f ca="1"/>
        <v>0.58717671121252168</v>
      </c>
      <c r="O540" s="2">
        <f ca="1"/>
        <v>0.40053860885820136</v>
      </c>
      <c r="X540" s="2">
        <f ca="1"/>
        <v>40.039852022856152</v>
      </c>
      <c r="AG540" s="2">
        <f ca="1"/>
        <v>0.39833940451656535</v>
      </c>
      <c r="AH540" s="2" t="str">
        <f ca="1"/>
        <v>OK</v>
      </c>
    </row>
    <row r="541" spans="2:34" x14ac:dyDescent="0.2">
      <c r="B541" s="2">
        <f ca="1"/>
        <v>0.98128020113531766</v>
      </c>
      <c r="O541" s="2">
        <f ca="1"/>
        <v>-0.15013553187870027</v>
      </c>
      <c r="X541" s="2">
        <f ca="1"/>
        <v>51.352204742311855</v>
      </c>
      <c r="AG541" s="2">
        <f ca="1"/>
        <v>0.71504474290656761</v>
      </c>
      <c r="AH541" s="2" t="str">
        <f ca="1"/>
        <v>Bad</v>
      </c>
    </row>
    <row r="542" spans="2:34" x14ac:dyDescent="0.2">
      <c r="B542" s="2">
        <f ca="1"/>
        <v>0.9217351859835512</v>
      </c>
      <c r="O542" s="2">
        <f ca="1"/>
        <v>-0.48780736649276102</v>
      </c>
      <c r="X542" s="2">
        <f ca="1"/>
        <v>66.040173670320527</v>
      </c>
      <c r="AG542" s="2">
        <f ca="1"/>
        <v>0.2895938522950654</v>
      </c>
      <c r="AH542" s="2" t="str">
        <f ca="1"/>
        <v>OK</v>
      </c>
    </row>
    <row r="543" spans="2:34" x14ac:dyDescent="0.2">
      <c r="B543" s="2">
        <f ca="1"/>
        <v>0.66102415754047805</v>
      </c>
      <c r="O543" s="2">
        <f ca="1"/>
        <v>1.0933166111275798</v>
      </c>
      <c r="X543" s="2">
        <f ca="1"/>
        <v>32.722137770041265</v>
      </c>
      <c r="AG543" s="2">
        <f ca="1"/>
        <v>0.68449853497845159</v>
      </c>
      <c r="AH543" s="2" t="str">
        <f ca="1"/>
        <v>Bad</v>
      </c>
    </row>
    <row r="544" spans="2:34" x14ac:dyDescent="0.2">
      <c r="B544" s="2">
        <f ca="1"/>
        <v>0.50523231925697565</v>
      </c>
      <c r="O544" s="2">
        <f ca="1"/>
        <v>0.42080071377265038</v>
      </c>
      <c r="X544" s="2">
        <f ca="1"/>
        <v>45.457355904610957</v>
      </c>
      <c r="AG544" s="2">
        <f ca="1"/>
        <v>0.18109783334908003</v>
      </c>
      <c r="AH544" s="2" t="str">
        <f ca="1"/>
        <v>OK</v>
      </c>
    </row>
    <row r="545" spans="2:34" x14ac:dyDescent="0.2">
      <c r="B545" s="2">
        <f ca="1"/>
        <v>0.81012135486395609</v>
      </c>
      <c r="O545" s="2">
        <f ca="1"/>
        <v>0.58208196868896878</v>
      </c>
      <c r="X545" s="2">
        <f ca="1"/>
        <v>75.667390845903981</v>
      </c>
      <c r="AG545" s="2">
        <f ca="1"/>
        <v>0.25439521441533985</v>
      </c>
      <c r="AH545" s="2" t="str">
        <f ca="1"/>
        <v>OK</v>
      </c>
    </row>
    <row r="546" spans="2:34" x14ac:dyDescent="0.2">
      <c r="B546" s="2">
        <f ca="1"/>
        <v>0.70056053556315279</v>
      </c>
      <c r="O546" s="2">
        <f ca="1"/>
        <v>-0.25843437524062202</v>
      </c>
      <c r="X546" s="2">
        <f ca="1"/>
        <v>28.496095610663762</v>
      </c>
      <c r="AG546" s="2">
        <f ca="1"/>
        <v>2.3609007423320394E-2</v>
      </c>
      <c r="AH546" s="2" t="str">
        <f ca="1"/>
        <v>Good</v>
      </c>
    </row>
    <row r="547" spans="2:34" x14ac:dyDescent="0.2">
      <c r="B547" s="2">
        <f ca="1"/>
        <v>0.93736261675633559</v>
      </c>
      <c r="O547" s="2">
        <f ca="1"/>
        <v>0.34101312534734635</v>
      </c>
      <c r="X547" s="2">
        <f ca="1"/>
        <v>12.521747415657561</v>
      </c>
      <c r="AG547" s="2">
        <f ca="1"/>
        <v>7.8820768018186049E-2</v>
      </c>
      <c r="AH547" s="2" t="str">
        <f ca="1"/>
        <v>OK</v>
      </c>
    </row>
    <row r="548" spans="2:34" x14ac:dyDescent="0.2">
      <c r="B548" s="2">
        <f ca="1"/>
        <v>0.70371898741727135</v>
      </c>
      <c r="O548" s="2">
        <f ca="1"/>
        <v>0.23572677563456554</v>
      </c>
      <c r="X548" s="2">
        <f ca="1"/>
        <v>40.578460414478698</v>
      </c>
      <c r="AG548" s="2">
        <f ca="1"/>
        <v>0.69082003621161281</v>
      </c>
      <c r="AH548" s="2" t="str">
        <f ca="1"/>
        <v>Bad</v>
      </c>
    </row>
    <row r="549" spans="2:34" x14ac:dyDescent="0.2">
      <c r="B549" s="2">
        <f ca="1"/>
        <v>0.91718664261551086</v>
      </c>
      <c r="O549" s="2">
        <f ca="1"/>
        <v>-0.79352574895118677</v>
      </c>
      <c r="X549" s="2">
        <f ca="1"/>
        <v>51.345819254862199</v>
      </c>
      <c r="AG549" s="2">
        <f ca="1"/>
        <v>0.61562555044130152</v>
      </c>
      <c r="AH549" s="2" t="str">
        <f ca="1"/>
        <v>Bad</v>
      </c>
    </row>
    <row r="550" spans="2:34" x14ac:dyDescent="0.2">
      <c r="B550" s="2">
        <f ca="1"/>
        <v>0.61763152804836863</v>
      </c>
      <c r="O550" s="2">
        <f ca="1"/>
        <v>0.48140500012726029</v>
      </c>
      <c r="X550" s="2">
        <f ca="1"/>
        <v>55.558321673296113</v>
      </c>
      <c r="AG550" s="2">
        <f ca="1"/>
        <v>0.74641899408987822</v>
      </c>
      <c r="AH550" s="2" t="str">
        <f ca="1"/>
        <v>Bad</v>
      </c>
    </row>
    <row r="551" spans="2:34" x14ac:dyDescent="0.2">
      <c r="B551" s="2">
        <f ca="1"/>
        <v>5.573055158512874E-2</v>
      </c>
      <c r="O551" s="2">
        <f ca="1"/>
        <v>-0.49592839151415408</v>
      </c>
      <c r="X551" s="2">
        <f ca="1"/>
        <v>79.975241935910418</v>
      </c>
      <c r="AG551" s="2">
        <f ca="1"/>
        <v>0.73852256297424312</v>
      </c>
      <c r="AH551" s="2" t="str">
        <f ca="1"/>
        <v>Bad</v>
      </c>
    </row>
    <row r="552" spans="2:34" x14ac:dyDescent="0.2">
      <c r="B552" s="2">
        <f ca="1"/>
        <v>0.53285107269902698</v>
      </c>
      <c r="O552" s="2">
        <f ca="1"/>
        <v>0.34972464892471344</v>
      </c>
      <c r="X552" s="2">
        <f ca="1"/>
        <v>49.036431465177806</v>
      </c>
      <c r="AG552" s="2">
        <f ca="1"/>
        <v>0.87124551198665912</v>
      </c>
      <c r="AH552" s="2" t="str">
        <f ca="1"/>
        <v>Bad</v>
      </c>
    </row>
    <row r="553" spans="2:34" x14ac:dyDescent="0.2">
      <c r="B553" s="2">
        <f ca="1"/>
        <v>0.93659673587804626</v>
      </c>
      <c r="O553" s="2">
        <f ca="1"/>
        <v>-5.6963429955447266E-2</v>
      </c>
      <c r="X553" s="2">
        <f ca="1"/>
        <v>27.986786010615042</v>
      </c>
      <c r="AG553" s="2">
        <f ca="1"/>
        <v>0.51523358869768554</v>
      </c>
      <c r="AH553" s="2" t="str">
        <f ca="1"/>
        <v>Bad</v>
      </c>
    </row>
    <row r="554" spans="2:34" x14ac:dyDescent="0.2">
      <c r="B554" s="2">
        <f ca="1"/>
        <v>5.5758748704101802E-2</v>
      </c>
      <c r="O554" s="2">
        <f ca="1"/>
        <v>1.3221006581678503</v>
      </c>
      <c r="X554" s="2">
        <f ca="1"/>
        <v>39.317503919271729</v>
      </c>
      <c r="AG554" s="2">
        <f ca="1"/>
        <v>0.63531785829985954</v>
      </c>
      <c r="AH554" s="2" t="str">
        <f ca="1"/>
        <v>Bad</v>
      </c>
    </row>
    <row r="555" spans="2:34" x14ac:dyDescent="0.2">
      <c r="B555" s="2">
        <f ca="1"/>
        <v>0.89403536330336575</v>
      </c>
      <c r="O555" s="2">
        <f ca="1"/>
        <v>9.6336479128901878E-2</v>
      </c>
      <c r="X555" s="2">
        <f ca="1"/>
        <v>90.80131195905463</v>
      </c>
      <c r="AG555" s="2">
        <f ca="1"/>
        <v>6.9708530344001707E-2</v>
      </c>
      <c r="AH555" s="2" t="str">
        <f ca="1"/>
        <v>OK</v>
      </c>
    </row>
    <row r="556" spans="2:34" x14ac:dyDescent="0.2">
      <c r="B556" s="2">
        <f ca="1"/>
        <v>0.38184379868535179</v>
      </c>
      <c r="O556" s="2">
        <f ca="1"/>
        <v>-1.2974120755275549</v>
      </c>
      <c r="X556" s="2">
        <f ca="1"/>
        <v>45.068058786235916</v>
      </c>
      <c r="AG556" s="2">
        <f ca="1"/>
        <v>0.90310810758609961</v>
      </c>
      <c r="AH556" s="2" t="str">
        <f ca="1"/>
        <v>Bad</v>
      </c>
    </row>
    <row r="557" spans="2:34" x14ac:dyDescent="0.2">
      <c r="B557" s="2">
        <f ca="1"/>
        <v>5.0403468176933641E-2</v>
      </c>
      <c r="O557" s="2">
        <f ca="1"/>
        <v>0.23057707695246957</v>
      </c>
      <c r="X557" s="2">
        <f ca="1"/>
        <v>36.721840311418525</v>
      </c>
      <c r="AG557" s="2">
        <f ca="1"/>
        <v>0.976004202162293</v>
      </c>
      <c r="AH557" s="2" t="str">
        <f ca="1"/>
        <v>Bad</v>
      </c>
    </row>
    <row r="558" spans="2:34" x14ac:dyDescent="0.2">
      <c r="B558" s="2">
        <f ca="1"/>
        <v>0.31743945679259955</v>
      </c>
      <c r="O558" s="2">
        <f ca="1"/>
        <v>-0.82626921473662263</v>
      </c>
      <c r="X558" s="2">
        <f ca="1"/>
        <v>50.927609309525678</v>
      </c>
      <c r="AG558" s="2">
        <f ca="1"/>
        <v>0.33106163770242691</v>
      </c>
      <c r="AH558" s="2" t="str">
        <f ca="1"/>
        <v>OK</v>
      </c>
    </row>
    <row r="559" spans="2:34" x14ac:dyDescent="0.2">
      <c r="B559" s="2">
        <f ca="1"/>
        <v>5.9419803988605802E-2</v>
      </c>
      <c r="O559" s="2">
        <f ca="1"/>
        <v>1.1636351806148968</v>
      </c>
      <c r="X559" s="2">
        <f ca="1"/>
        <v>58.31391517969486</v>
      </c>
      <c r="AG559" s="2">
        <f ca="1"/>
        <v>0.76682548171768383</v>
      </c>
      <c r="AH559" s="2" t="str">
        <f ca="1"/>
        <v>Bad</v>
      </c>
    </row>
    <row r="560" spans="2:34" x14ac:dyDescent="0.2">
      <c r="B560" s="2">
        <f ca="1"/>
        <v>0.74536068315995663</v>
      </c>
      <c r="O560" s="2">
        <f ca="1"/>
        <v>-0.88587794336861869</v>
      </c>
      <c r="X560" s="2">
        <f ca="1"/>
        <v>46.117824933684645</v>
      </c>
      <c r="AG560" s="2">
        <f ca="1"/>
        <v>0.83126103979044075</v>
      </c>
      <c r="AH560" s="2" t="str">
        <f ca="1"/>
        <v>Bad</v>
      </c>
    </row>
    <row r="561" spans="2:34" x14ac:dyDescent="0.2">
      <c r="B561" s="2">
        <f ca="1"/>
        <v>0.90872779789838654</v>
      </c>
      <c r="O561" s="2">
        <f ca="1"/>
        <v>0.48517312617197156</v>
      </c>
      <c r="X561" s="2">
        <f ca="1"/>
        <v>32.750711269439378</v>
      </c>
      <c r="AG561" s="2">
        <f ca="1"/>
        <v>0.6901355235635418</v>
      </c>
      <c r="AH561" s="2" t="str">
        <f ca="1"/>
        <v>Bad</v>
      </c>
    </row>
    <row r="562" spans="2:34" x14ac:dyDescent="0.2">
      <c r="B562" s="2">
        <f ca="1"/>
        <v>0.26868135725034414</v>
      </c>
      <c r="O562" s="2">
        <f ca="1"/>
        <v>-0.66427448124959987</v>
      </c>
      <c r="X562" s="2">
        <f ca="1"/>
        <v>38.33879521214098</v>
      </c>
      <c r="AG562" s="2">
        <f ca="1"/>
        <v>0.11153438767587165</v>
      </c>
      <c r="AH562" s="2" t="str">
        <f ca="1"/>
        <v>OK</v>
      </c>
    </row>
    <row r="563" spans="2:34" x14ac:dyDescent="0.2">
      <c r="B563" s="2">
        <f ca="1"/>
        <v>0.84941625126338827</v>
      </c>
      <c r="O563" s="2">
        <f ca="1"/>
        <v>1.0070539139123498</v>
      </c>
      <c r="X563" s="2">
        <f ca="1"/>
        <v>112.45478292174099</v>
      </c>
      <c r="AG563" s="2">
        <f ca="1"/>
        <v>0.92171056036555776</v>
      </c>
      <c r="AH563" s="2" t="str">
        <f ca="1"/>
        <v>Bad</v>
      </c>
    </row>
    <row r="564" spans="2:34" x14ac:dyDescent="0.2">
      <c r="B564" s="2">
        <f ca="1"/>
        <v>0.91671660739435912</v>
      </c>
      <c r="O564" s="2">
        <f ca="1"/>
        <v>-2.0670090898203188</v>
      </c>
      <c r="X564" s="2">
        <f ca="1"/>
        <v>53.557453292352719</v>
      </c>
      <c r="AG564" s="2">
        <f ca="1"/>
        <v>0.67499408344466305</v>
      </c>
      <c r="AH564" s="2" t="str">
        <f ca="1"/>
        <v>Bad</v>
      </c>
    </row>
    <row r="565" spans="2:34" x14ac:dyDescent="0.2">
      <c r="B565" s="2">
        <f ca="1"/>
        <v>0.38166386117475648</v>
      </c>
      <c r="O565" s="2">
        <f ca="1"/>
        <v>-1.6826443222467284</v>
      </c>
      <c r="X565" s="2">
        <f ca="1"/>
        <v>69.032242009938315</v>
      </c>
      <c r="AG565" s="2">
        <f ca="1"/>
        <v>4.43559857527831E-2</v>
      </c>
      <c r="AH565" s="2" t="str">
        <f ca="1"/>
        <v>Good</v>
      </c>
    </row>
    <row r="566" spans="2:34" x14ac:dyDescent="0.2">
      <c r="B566" s="2">
        <f ca="1"/>
        <v>0.46817395921705063</v>
      </c>
      <c r="O566" s="2">
        <f ca="1"/>
        <v>0.27956774237039317</v>
      </c>
      <c r="X566" s="2">
        <f ca="1"/>
        <v>50.593854913586924</v>
      </c>
      <c r="AG566" s="2">
        <f ca="1"/>
        <v>0.42033452298711715</v>
      </c>
      <c r="AH566" s="2" t="str">
        <f ca="1"/>
        <v>Bad</v>
      </c>
    </row>
    <row r="567" spans="2:34" x14ac:dyDescent="0.2">
      <c r="B567" s="2">
        <f ca="1"/>
        <v>0.66121910171273846</v>
      </c>
      <c r="O567" s="2">
        <f ca="1"/>
        <v>-0.13491775587411109</v>
      </c>
      <c r="X567" s="2">
        <f ca="1"/>
        <v>83.840149696333</v>
      </c>
      <c r="AG567" s="2">
        <f ca="1"/>
        <v>0.63788260026372434</v>
      </c>
      <c r="AH567" s="2" t="str">
        <f ca="1"/>
        <v>Bad</v>
      </c>
    </row>
    <row r="568" spans="2:34" x14ac:dyDescent="0.2">
      <c r="B568" s="2">
        <f ca="1"/>
        <v>0.47727220185646302</v>
      </c>
      <c r="O568" s="2">
        <f ca="1"/>
        <v>-0.10288148592345943</v>
      </c>
      <c r="X568" s="2">
        <f ca="1"/>
        <v>46.993699132490427</v>
      </c>
      <c r="AG568" s="2">
        <f ca="1"/>
        <v>0.21972089007775053</v>
      </c>
      <c r="AH568" s="2" t="str">
        <f ca="1"/>
        <v>OK</v>
      </c>
    </row>
    <row r="569" spans="2:34" x14ac:dyDescent="0.2">
      <c r="B569" s="2">
        <f ca="1"/>
        <v>0.37215523576472331</v>
      </c>
      <c r="O569" s="2">
        <f ca="1"/>
        <v>0.74521975308043198</v>
      </c>
      <c r="X569" s="2">
        <f ca="1"/>
        <v>34.973798037874481</v>
      </c>
      <c r="AG569" s="2">
        <f ca="1"/>
        <v>1.1679900224357276E-2</v>
      </c>
      <c r="AH569" s="2" t="str">
        <f ca="1"/>
        <v>Good</v>
      </c>
    </row>
    <row r="570" spans="2:34" x14ac:dyDescent="0.2">
      <c r="B570" s="2">
        <f ca="1"/>
        <v>0.87913429801221143</v>
      </c>
      <c r="O570" s="2">
        <f ca="1"/>
        <v>1.0468912756022812</v>
      </c>
      <c r="X570" s="2">
        <f ca="1"/>
        <v>41.896098383653552</v>
      </c>
      <c r="AG570" s="2">
        <f ca="1"/>
        <v>0.85086754041831614</v>
      </c>
      <c r="AH570" s="2" t="str">
        <f ca="1"/>
        <v>Bad</v>
      </c>
    </row>
    <row r="571" spans="2:34" x14ac:dyDescent="0.2">
      <c r="B571" s="2">
        <f ca="1"/>
        <v>0.36040224925710018</v>
      </c>
      <c r="O571" s="2">
        <f ca="1"/>
        <v>0.33391458275845387</v>
      </c>
      <c r="X571" s="2">
        <f ca="1"/>
        <v>20.274949580191929</v>
      </c>
      <c r="AG571" s="2">
        <f ca="1"/>
        <v>0.18454982056663893</v>
      </c>
      <c r="AH571" s="2" t="str">
        <f ca="1"/>
        <v>OK</v>
      </c>
    </row>
    <row r="572" spans="2:34" x14ac:dyDescent="0.2">
      <c r="B572" s="2">
        <f ca="1"/>
        <v>0.38037633265429771</v>
      </c>
      <c r="O572" s="2">
        <f ca="1"/>
        <v>-8.5049131522954624E-2</v>
      </c>
      <c r="X572" s="2">
        <f ca="1"/>
        <v>61.642737168813902</v>
      </c>
      <c r="AG572" s="2">
        <f ca="1"/>
        <v>0.57252890117881017</v>
      </c>
      <c r="AH572" s="2" t="str">
        <f ca="1"/>
        <v>Bad</v>
      </c>
    </row>
    <row r="573" spans="2:34" x14ac:dyDescent="0.2">
      <c r="B573" s="2">
        <f ca="1"/>
        <v>0.71458250969887849</v>
      </c>
      <c r="O573" s="2">
        <f ca="1"/>
        <v>0.24433719465262865</v>
      </c>
      <c r="X573" s="2">
        <f ca="1"/>
        <v>33.761725355695937</v>
      </c>
      <c r="AG573" s="2">
        <f ca="1"/>
        <v>0.88538268898898553</v>
      </c>
      <c r="AH573" s="2" t="str">
        <f ca="1"/>
        <v>Bad</v>
      </c>
    </row>
    <row r="574" spans="2:34" x14ac:dyDescent="0.2">
      <c r="B574" s="2">
        <f ca="1"/>
        <v>0.23803883107448098</v>
      </c>
      <c r="O574" s="2">
        <f ca="1"/>
        <v>0.36967688761966455</v>
      </c>
      <c r="X574" s="2">
        <f ca="1"/>
        <v>32.758315468730856</v>
      </c>
      <c r="AG574" s="2">
        <f ca="1"/>
        <v>0.46038691038198598</v>
      </c>
      <c r="AH574" s="2" t="str">
        <f ca="1"/>
        <v>Bad</v>
      </c>
    </row>
    <row r="575" spans="2:34" x14ac:dyDescent="0.2">
      <c r="B575" s="2">
        <f ca="1"/>
        <v>0.23039274789219566</v>
      </c>
      <c r="O575" s="2">
        <f ca="1"/>
        <v>-1.1748600982587076</v>
      </c>
      <c r="X575" s="2">
        <f ca="1"/>
        <v>34.770503961603609</v>
      </c>
      <c r="AG575" s="2">
        <f ca="1"/>
        <v>0.52470262741692753</v>
      </c>
      <c r="AH575" s="2" t="str">
        <f ca="1"/>
        <v>Bad</v>
      </c>
    </row>
    <row r="576" spans="2:34" x14ac:dyDescent="0.2">
      <c r="B576" s="2">
        <f ca="1"/>
        <v>0.89553521177053752</v>
      </c>
      <c r="O576" s="2">
        <f ca="1"/>
        <v>0.25626967740790135</v>
      </c>
      <c r="X576" s="2">
        <f ca="1"/>
        <v>42.116144687727584</v>
      </c>
      <c r="AG576" s="2">
        <f ca="1"/>
        <v>0.34827284791875868</v>
      </c>
      <c r="AH576" s="2" t="str">
        <f ca="1"/>
        <v>OK</v>
      </c>
    </row>
    <row r="577" spans="2:34" x14ac:dyDescent="0.2">
      <c r="B577" s="2">
        <f ca="1"/>
        <v>0.91590107433217072</v>
      </c>
      <c r="O577" s="2">
        <f ca="1"/>
        <v>0.35045004653454809</v>
      </c>
      <c r="X577" s="2">
        <f ca="1"/>
        <v>55.064044487176567</v>
      </c>
      <c r="AG577" s="2">
        <f ca="1"/>
        <v>0.86228138699959755</v>
      </c>
      <c r="AH577" s="2" t="str">
        <f ca="1"/>
        <v>Bad</v>
      </c>
    </row>
    <row r="578" spans="2:34" x14ac:dyDescent="0.2">
      <c r="B578" s="2">
        <f ca="1"/>
        <v>0.92709634256260287</v>
      </c>
      <c r="O578" s="2">
        <f ca="1"/>
        <v>1.0993029615906562</v>
      </c>
      <c r="X578" s="2">
        <f ca="1"/>
        <v>40.379384638921998</v>
      </c>
      <c r="AG578" s="2">
        <f ca="1"/>
        <v>0.36976394532398094</v>
      </c>
      <c r="AH578" s="2" t="str">
        <f ca="1"/>
        <v>OK</v>
      </c>
    </row>
    <row r="579" spans="2:34" x14ac:dyDescent="0.2">
      <c r="B579" s="2">
        <f ca="1"/>
        <v>0.83923132111289744</v>
      </c>
      <c r="O579" s="2">
        <f ca="1"/>
        <v>-0.33514282055536876</v>
      </c>
      <c r="X579" s="2">
        <f ca="1"/>
        <v>36.762500805894021</v>
      </c>
      <c r="AG579" s="2">
        <f ca="1"/>
        <v>0.73162227342523201</v>
      </c>
      <c r="AH579" s="2" t="str">
        <f ca="1"/>
        <v>Bad</v>
      </c>
    </row>
    <row r="580" spans="2:34" x14ac:dyDescent="0.2">
      <c r="B580" s="2">
        <f ca="1"/>
        <v>0.58158872953345764</v>
      </c>
      <c r="O580" s="2">
        <f ca="1"/>
        <v>-7.611892131179325E-2</v>
      </c>
      <c r="X580" s="2">
        <f ca="1"/>
        <v>52.696624716670861</v>
      </c>
      <c r="AG580" s="2">
        <f ca="1"/>
        <v>0.10028697436141898</v>
      </c>
      <c r="AH580" s="2" t="str">
        <f ca="1"/>
        <v>OK</v>
      </c>
    </row>
    <row r="581" spans="2:34" x14ac:dyDescent="0.2">
      <c r="B581" s="2">
        <f ca="1"/>
        <v>0.33002262366191593</v>
      </c>
      <c r="O581" s="2">
        <f ca="1"/>
        <v>0.42598755843435543</v>
      </c>
      <c r="X581" s="2">
        <f ca="1"/>
        <v>57.564322485696884</v>
      </c>
      <c r="AG581" s="2">
        <f ca="1"/>
        <v>0.89607472175205016</v>
      </c>
      <c r="AH581" s="2" t="str">
        <f ca="1"/>
        <v>Bad</v>
      </c>
    </row>
    <row r="582" spans="2:34" x14ac:dyDescent="0.2">
      <c r="B582" s="2">
        <f ca="1"/>
        <v>0.76172158371375032</v>
      </c>
      <c r="O582" s="2">
        <f ca="1"/>
        <v>-0.31192661012243877</v>
      </c>
      <c r="X582" s="2">
        <f ca="1"/>
        <v>28.862733799474185</v>
      </c>
      <c r="AG582" s="2">
        <f ca="1"/>
        <v>0.99271317992822294</v>
      </c>
      <c r="AH582" s="2" t="str">
        <f ca="1"/>
        <v>Bad</v>
      </c>
    </row>
    <row r="583" spans="2:34" x14ac:dyDescent="0.2">
      <c r="B583" s="2">
        <f ca="1"/>
        <v>0.22691465193153504</v>
      </c>
      <c r="O583" s="2">
        <f ca="1"/>
        <v>-1.2455763029368718</v>
      </c>
      <c r="X583" s="2">
        <f ca="1"/>
        <v>76.54346874532736</v>
      </c>
      <c r="AG583" s="2">
        <f ca="1"/>
        <v>0.62549319460819186</v>
      </c>
      <c r="AH583" s="2" t="str">
        <f ca="1"/>
        <v>Bad</v>
      </c>
    </row>
    <row r="584" spans="2:34" x14ac:dyDescent="0.2">
      <c r="B584" s="2">
        <f ca="1"/>
        <v>0.45711769177233941</v>
      </c>
      <c r="O584" s="2">
        <f ca="1"/>
        <v>0.27956425246380351</v>
      </c>
      <c r="X584" s="2">
        <f ca="1"/>
        <v>39.90539799717898</v>
      </c>
      <c r="AG584" s="2">
        <f ca="1"/>
        <v>0.92239704309841719</v>
      </c>
      <c r="AH584" s="2" t="str">
        <f ca="1"/>
        <v>Bad</v>
      </c>
    </row>
    <row r="585" spans="2:34" x14ac:dyDescent="0.2">
      <c r="B585" s="2">
        <f ca="1"/>
        <v>0.93262200983688737</v>
      </c>
      <c r="O585" s="2">
        <f ca="1"/>
        <v>1.6424184579554215</v>
      </c>
      <c r="X585" s="2">
        <f ca="1"/>
        <v>42.494127524173344</v>
      </c>
      <c r="AG585" s="2">
        <f ca="1"/>
        <v>5.5788034386902163E-2</v>
      </c>
      <c r="AH585" s="2" t="str">
        <f ca="1"/>
        <v>OK</v>
      </c>
    </row>
    <row r="586" spans="2:34" x14ac:dyDescent="0.2">
      <c r="B586" s="2">
        <f ca="1"/>
        <v>0.79025656204964823</v>
      </c>
      <c r="O586" s="2">
        <f ca="1"/>
        <v>-1.6230360998464746</v>
      </c>
      <c r="X586" s="2">
        <f ca="1"/>
        <v>37.809868413898144</v>
      </c>
      <c r="AG586" s="2">
        <f ca="1"/>
        <v>0.31241083257530144</v>
      </c>
      <c r="AH586" s="2" t="str">
        <f ca="1"/>
        <v>OK</v>
      </c>
    </row>
    <row r="587" spans="2:34" x14ac:dyDescent="0.2">
      <c r="B587" s="2">
        <f ca="1"/>
        <v>0.73448383705203457</v>
      </c>
      <c r="O587" s="2">
        <f ca="1"/>
        <v>-1.6273911032700885</v>
      </c>
      <c r="X587" s="2">
        <f ca="1"/>
        <v>43.908352782925888</v>
      </c>
      <c r="AG587" s="2">
        <f ca="1"/>
        <v>0.21005597950138388</v>
      </c>
      <c r="AH587" s="2" t="str">
        <f ca="1"/>
        <v>OK</v>
      </c>
    </row>
    <row r="588" spans="2:34" x14ac:dyDescent="0.2">
      <c r="B588" s="2">
        <f ca="1"/>
        <v>0.27175530246670765</v>
      </c>
      <c r="O588" s="2">
        <f ca="1"/>
        <v>0.40874853990753068</v>
      </c>
      <c r="X588" s="2">
        <f ca="1"/>
        <v>80.014081623078198</v>
      </c>
      <c r="AG588" s="2">
        <f ca="1"/>
        <v>0.11095795052145419</v>
      </c>
      <c r="AH588" s="2" t="str">
        <f ca="1"/>
        <v>OK</v>
      </c>
    </row>
    <row r="589" spans="2:34" x14ac:dyDescent="0.2">
      <c r="B589" s="2">
        <f ca="1"/>
        <v>0.86518210012022245</v>
      </c>
      <c r="O589" s="2">
        <f ca="1"/>
        <v>1.123778442546187</v>
      </c>
      <c r="X589" s="2">
        <f ca="1"/>
        <v>56.523356368969161</v>
      </c>
      <c r="AG589" s="2">
        <f ca="1"/>
        <v>0.58759317122080468</v>
      </c>
      <c r="AH589" s="2" t="str">
        <f ca="1"/>
        <v>Bad</v>
      </c>
    </row>
    <row r="590" spans="2:34" x14ac:dyDescent="0.2">
      <c r="B590" s="2">
        <f ca="1"/>
        <v>0.38271727556833279</v>
      </c>
      <c r="O590" s="2">
        <f ca="1"/>
        <v>-4.5949761868506182E-2</v>
      </c>
      <c r="X590" s="2">
        <f ca="1"/>
        <v>47.536304864409196</v>
      </c>
      <c r="AG590" s="2">
        <f ca="1"/>
        <v>0.64724359952053745</v>
      </c>
      <c r="AH590" s="2" t="str">
        <f ca="1"/>
        <v>Bad</v>
      </c>
    </row>
    <row r="591" spans="2:34" x14ac:dyDescent="0.2">
      <c r="B591" s="2">
        <f ca="1"/>
        <v>0.27392264647135933</v>
      </c>
      <c r="O591" s="2">
        <f ca="1"/>
        <v>1.7281970792399421</v>
      </c>
      <c r="X591" s="2">
        <f ca="1"/>
        <v>63.542734130735653</v>
      </c>
      <c r="AG591" s="2">
        <f ca="1"/>
        <v>0.57620720732530906</v>
      </c>
      <c r="AH591" s="2" t="str">
        <f ca="1"/>
        <v>Bad</v>
      </c>
    </row>
    <row r="592" spans="2:34" x14ac:dyDescent="0.2">
      <c r="B592" s="2">
        <f ca="1"/>
        <v>0.42495382723181652</v>
      </c>
      <c r="O592" s="2">
        <f ca="1"/>
        <v>0.57193908954379891</v>
      </c>
      <c r="X592" s="2">
        <f ca="1"/>
        <v>51.422458083976821</v>
      </c>
      <c r="AG592" s="2">
        <f ca="1"/>
        <v>0.93759376395705685</v>
      </c>
      <c r="AH592" s="2" t="str">
        <f ca="1"/>
        <v>Bad</v>
      </c>
    </row>
    <row r="593" spans="2:34" x14ac:dyDescent="0.2">
      <c r="B593" s="2">
        <f ca="1"/>
        <v>0.59664758479294178</v>
      </c>
      <c r="O593" s="2">
        <f ca="1"/>
        <v>0.41324109239277818</v>
      </c>
      <c r="X593" s="2">
        <f ca="1"/>
        <v>24.038896090242069</v>
      </c>
      <c r="AG593" s="2">
        <f ca="1"/>
        <v>0.17937554755544349</v>
      </c>
      <c r="AH593" s="2" t="str">
        <f ca="1"/>
        <v>OK</v>
      </c>
    </row>
    <row r="594" spans="2:34" x14ac:dyDescent="0.2">
      <c r="B594" s="2">
        <f ca="1"/>
        <v>0.77682077781752557</v>
      </c>
      <c r="O594" s="2">
        <f ca="1"/>
        <v>0.38497334289002494</v>
      </c>
      <c r="X594" s="2">
        <f ca="1"/>
        <v>27.582066886523133</v>
      </c>
      <c r="AG594" s="2">
        <f ca="1"/>
        <v>0.70199435807530963</v>
      </c>
      <c r="AH594" s="2" t="str">
        <f ca="1"/>
        <v>Bad</v>
      </c>
    </row>
    <row r="595" spans="2:34" x14ac:dyDescent="0.2">
      <c r="B595" s="2">
        <f ca="1"/>
        <v>0.70054710830077771</v>
      </c>
      <c r="O595" s="2">
        <f ca="1"/>
        <v>-0.31929907618517062</v>
      </c>
      <c r="X595" s="2">
        <f ca="1"/>
        <v>43.769691731897296</v>
      </c>
      <c r="AG595" s="2">
        <f ca="1"/>
        <v>0.67273515628711089</v>
      </c>
      <c r="AH595" s="2" t="str">
        <f ca="1"/>
        <v>Bad</v>
      </c>
    </row>
    <row r="596" spans="2:34" x14ac:dyDescent="0.2">
      <c r="B596" s="2">
        <f ca="1"/>
        <v>0.55349682290325797</v>
      </c>
      <c r="O596" s="2">
        <f ca="1"/>
        <v>-0.59694807848571896</v>
      </c>
      <c r="X596" s="2">
        <f ca="1"/>
        <v>26.482646415520247</v>
      </c>
      <c r="AG596" s="2">
        <f ca="1"/>
        <v>0.16135519905296603</v>
      </c>
      <c r="AH596" s="2" t="str">
        <f ca="1"/>
        <v>OK</v>
      </c>
    </row>
    <row r="597" spans="2:34" x14ac:dyDescent="0.2">
      <c r="B597" s="2">
        <f ca="1"/>
        <v>0.71759771972679465</v>
      </c>
      <c r="O597" s="2">
        <f ca="1"/>
        <v>0.6755351222139242</v>
      </c>
      <c r="X597" s="2">
        <f ca="1"/>
        <v>81.487287540558455</v>
      </c>
      <c r="AG597" s="2">
        <f ca="1"/>
        <v>0.60896530569792739</v>
      </c>
      <c r="AH597" s="2" t="str">
        <f ca="1"/>
        <v>Bad</v>
      </c>
    </row>
    <row r="598" spans="2:34" x14ac:dyDescent="0.2">
      <c r="B598" s="2">
        <f ca="1"/>
        <v>0.40352012158257655</v>
      </c>
      <c r="O598" s="2">
        <f ca="1"/>
        <v>0.57648550804291487</v>
      </c>
      <c r="X598" s="2">
        <f ca="1"/>
        <v>56.777489176045684</v>
      </c>
      <c r="AG598" s="2">
        <f ca="1"/>
        <v>0.9331869175550791</v>
      </c>
      <c r="AH598" s="2" t="str">
        <f ca="1"/>
        <v>Bad</v>
      </c>
    </row>
    <row r="599" spans="2:34" x14ac:dyDescent="0.2">
      <c r="B599" s="2">
        <f ca="1"/>
        <v>0.6984055543052996</v>
      </c>
      <c r="O599" s="2">
        <f ca="1"/>
        <v>1.8778083006863996E-2</v>
      </c>
      <c r="X599" s="2">
        <f ca="1"/>
        <v>65.1358837130757</v>
      </c>
      <c r="AG599" s="2">
        <f ca="1"/>
        <v>0.29614167313212625</v>
      </c>
      <c r="AH599" s="2" t="str">
        <f ca="1"/>
        <v>OK</v>
      </c>
    </row>
    <row r="600" spans="2:34" x14ac:dyDescent="0.2">
      <c r="B600" s="2">
        <f ca="1"/>
        <v>0.85540942826991651</v>
      </c>
      <c r="O600" s="2">
        <f ca="1"/>
        <v>1.3098998102207122</v>
      </c>
      <c r="X600" s="2">
        <f ca="1"/>
        <v>74.101679070913491</v>
      </c>
      <c r="AG600" s="2">
        <f ca="1"/>
        <v>0.75921520804719878</v>
      </c>
      <c r="AH600" s="2" t="str">
        <f ca="1"/>
        <v>Bad</v>
      </c>
    </row>
    <row r="601" spans="2:34" x14ac:dyDescent="0.2">
      <c r="B601" s="2">
        <f ca="1"/>
        <v>0.59928933163540088</v>
      </c>
      <c r="O601" s="2">
        <f ca="1"/>
        <v>-0.58922536014561977</v>
      </c>
      <c r="X601" s="2">
        <f ca="1"/>
        <v>26.197228379418011</v>
      </c>
      <c r="AG601" s="2">
        <f ca="1"/>
        <v>0.63949172577522084</v>
      </c>
      <c r="AH601" s="2" t="str">
        <f ca="1"/>
        <v>Bad</v>
      </c>
    </row>
    <row r="602" spans="2:34" x14ac:dyDescent="0.2">
      <c r="B602" s="2">
        <f ca="1"/>
        <v>0.55696648902734736</v>
      </c>
      <c r="O602" s="2">
        <f ca="1"/>
        <v>-0.12403315684904047</v>
      </c>
      <c r="X602" s="2">
        <f ca="1"/>
        <v>36.946437198544565</v>
      </c>
      <c r="AG602" s="2">
        <f ca="1"/>
        <v>0.63356892850306612</v>
      </c>
      <c r="AH602" s="2" t="str">
        <f ca="1"/>
        <v>Bad</v>
      </c>
    </row>
    <row r="603" spans="2:34" x14ac:dyDescent="0.2">
      <c r="B603" s="2">
        <f ca="1"/>
        <v>0.91187567014535653</v>
      </c>
      <c r="O603" s="2">
        <f ca="1"/>
        <v>1.5077795932232625</v>
      </c>
      <c r="X603" s="2">
        <f ca="1"/>
        <v>57.948636196271757</v>
      </c>
      <c r="AG603" s="2">
        <f ca="1"/>
        <v>0.24824317095260162</v>
      </c>
      <c r="AH603" s="2" t="str">
        <f ca="1"/>
        <v>OK</v>
      </c>
    </row>
    <row r="604" spans="2:34" x14ac:dyDescent="0.2">
      <c r="B604" s="2">
        <f ca="1"/>
        <v>0.4847294339651953</v>
      </c>
      <c r="O604" s="2">
        <f ca="1"/>
        <v>0.80523899980310787</v>
      </c>
      <c r="X604" s="2">
        <f ca="1"/>
        <v>58.987271008935593</v>
      </c>
      <c r="AG604" s="2">
        <f ca="1"/>
        <v>0.93112802744934875</v>
      </c>
      <c r="AH604" s="2" t="str">
        <f ca="1"/>
        <v>Bad</v>
      </c>
    </row>
    <row r="605" spans="2:34" x14ac:dyDescent="0.2">
      <c r="B605" s="2">
        <f ca="1"/>
        <v>6.3401871231999252E-2</v>
      </c>
      <c r="O605" s="2">
        <f ca="1"/>
        <v>7.4188035895513494E-3</v>
      </c>
      <c r="X605" s="2">
        <f ca="1"/>
        <v>71.587192627804839</v>
      </c>
      <c r="AG605" s="2">
        <f ca="1"/>
        <v>0.67293612211431997</v>
      </c>
      <c r="AH605" s="2" t="str">
        <f ca="1"/>
        <v>Bad</v>
      </c>
    </row>
    <row r="606" spans="2:34" x14ac:dyDescent="0.2">
      <c r="B606" s="2">
        <f ca="1"/>
        <v>0.74059619621687189</v>
      </c>
      <c r="O606" s="2">
        <f ca="1"/>
        <v>0.74956569861444033</v>
      </c>
      <c r="X606" s="2">
        <f ca="1"/>
        <v>54.713847598409949</v>
      </c>
      <c r="AG606" s="2">
        <f ca="1"/>
        <v>0.93975744263027594</v>
      </c>
      <c r="AH606" s="2" t="str">
        <f ca="1"/>
        <v>Bad</v>
      </c>
    </row>
    <row r="607" spans="2:34" x14ac:dyDescent="0.2">
      <c r="B607" s="2">
        <f ca="1"/>
        <v>0.56230545503615725</v>
      </c>
      <c r="O607" s="2">
        <f ca="1"/>
        <v>-0.72971065310715855</v>
      </c>
      <c r="X607" s="2">
        <f ca="1"/>
        <v>49.25352755372721</v>
      </c>
      <c r="AG607" s="2">
        <f ca="1"/>
        <v>0.71117028661130588</v>
      </c>
      <c r="AH607" s="2" t="str">
        <f ca="1"/>
        <v>Bad</v>
      </c>
    </row>
    <row r="608" spans="2:34" x14ac:dyDescent="0.2">
      <c r="B608" s="2">
        <f ca="1"/>
        <v>0.49584390538667145</v>
      </c>
      <c r="O608" s="2">
        <f ca="1"/>
        <v>0.26274381800765712</v>
      </c>
      <c r="X608" s="2">
        <f ca="1"/>
        <v>35.716550418279901</v>
      </c>
      <c r="AG608" s="2">
        <f ca="1"/>
        <v>0.90814540422897316</v>
      </c>
      <c r="AH608" s="2" t="str">
        <f ca="1"/>
        <v>Bad</v>
      </c>
    </row>
    <row r="609" spans="2:34" x14ac:dyDescent="0.2">
      <c r="B609" s="2">
        <f ca="1"/>
        <v>0.55868513242327533</v>
      </c>
      <c r="O609" s="2">
        <f ca="1"/>
        <v>1.1216092940547493</v>
      </c>
      <c r="X609" s="2">
        <f ca="1"/>
        <v>26.213021370184645</v>
      </c>
      <c r="AG609" s="2">
        <f ca="1"/>
        <v>0.72988470665857474</v>
      </c>
      <c r="AH609" s="2" t="str">
        <f ca="1"/>
        <v>Bad</v>
      </c>
    </row>
    <row r="610" spans="2:34" x14ac:dyDescent="0.2">
      <c r="B610" s="2">
        <f ca="1"/>
        <v>2.266387235127798E-2</v>
      </c>
      <c r="O610" s="2">
        <f ca="1"/>
        <v>-0.2812406458401443</v>
      </c>
      <c r="X610" s="2">
        <f ca="1"/>
        <v>40.494476448724789</v>
      </c>
      <c r="AG610" s="2">
        <f ca="1"/>
        <v>0.97997369916437171</v>
      </c>
      <c r="AH610" s="2" t="str">
        <f ca="1"/>
        <v>Bad</v>
      </c>
    </row>
    <row r="611" spans="2:34" x14ac:dyDescent="0.2">
      <c r="B611" s="2">
        <f ca="1"/>
        <v>0.29266802993995666</v>
      </c>
      <c r="O611" s="2">
        <f ca="1"/>
        <v>0.20960390228582057</v>
      </c>
      <c r="X611" s="2">
        <f ca="1"/>
        <v>74.54312602232153</v>
      </c>
      <c r="AG611" s="2">
        <f ca="1"/>
        <v>0.65456756628958135</v>
      </c>
      <c r="AH611" s="2" t="str">
        <f ca="1"/>
        <v>Bad</v>
      </c>
    </row>
    <row r="612" spans="2:34" x14ac:dyDescent="0.2">
      <c r="B612" s="2">
        <f ca="1"/>
        <v>0.85239835403128694</v>
      </c>
      <c r="O612" s="2">
        <f ca="1"/>
        <v>0.17850172911379317</v>
      </c>
      <c r="X612" s="2">
        <f ca="1"/>
        <v>47.835174271604544</v>
      </c>
      <c r="AG612" s="2">
        <f ca="1"/>
        <v>0.41055447654836597</v>
      </c>
      <c r="AH612" s="2" t="str">
        <f ca="1"/>
        <v>Bad</v>
      </c>
    </row>
    <row r="613" spans="2:34" x14ac:dyDescent="0.2">
      <c r="B613" s="2">
        <f ca="1"/>
        <v>0.40768739866336556</v>
      </c>
      <c r="O613" s="2">
        <f ca="1"/>
        <v>-0.98922390634773527</v>
      </c>
      <c r="X613" s="2">
        <f ca="1"/>
        <v>42.005583954731563</v>
      </c>
      <c r="AG613" s="2">
        <f ca="1"/>
        <v>0.6253382342586824</v>
      </c>
      <c r="AH613" s="2" t="str">
        <f ca="1"/>
        <v>Bad</v>
      </c>
    </row>
    <row r="614" spans="2:34" x14ac:dyDescent="0.2">
      <c r="B614" s="2">
        <f ca="1"/>
        <v>4.6234082798798593E-2</v>
      </c>
      <c r="O614" s="2">
        <f ca="1"/>
        <v>0.23444904533945174</v>
      </c>
      <c r="X614" s="2">
        <f ca="1"/>
        <v>60.645070944075677</v>
      </c>
      <c r="AG614" s="2">
        <f ca="1"/>
        <v>6.7040558904711611E-2</v>
      </c>
      <c r="AH614" s="2" t="str">
        <f ca="1"/>
        <v>OK</v>
      </c>
    </row>
    <row r="615" spans="2:34" x14ac:dyDescent="0.2">
      <c r="B615" s="2">
        <f ca="1"/>
        <v>0.46472196413007838</v>
      </c>
      <c r="O615" s="2">
        <f ca="1"/>
        <v>-0.68622344576379746</v>
      </c>
      <c r="X615" s="2">
        <f ca="1"/>
        <v>27.809974837007424</v>
      </c>
      <c r="AG615" s="2">
        <f ca="1"/>
        <v>0.86040509412889188</v>
      </c>
      <c r="AH615" s="2" t="str">
        <f ca="1"/>
        <v>Bad</v>
      </c>
    </row>
    <row r="616" spans="2:34" x14ac:dyDescent="0.2">
      <c r="B616" s="2">
        <f ca="1"/>
        <v>0.99930621707419265</v>
      </c>
      <c r="O616" s="2">
        <f ca="1"/>
        <v>-4.7977162492784935E-2</v>
      </c>
      <c r="X616" s="2">
        <f ca="1"/>
        <v>22.766694457673744</v>
      </c>
      <c r="AG616" s="2">
        <f ca="1"/>
        <v>1.5846201838142893E-2</v>
      </c>
      <c r="AH616" s="2" t="str">
        <f ca="1"/>
        <v>Good</v>
      </c>
    </row>
    <row r="617" spans="2:34" x14ac:dyDescent="0.2">
      <c r="B617" s="2">
        <f ca="1"/>
        <v>0.39154377790309414</v>
      </c>
      <c r="O617" s="2">
        <f ca="1"/>
        <v>0.66344302548774026</v>
      </c>
      <c r="X617" s="2">
        <f ca="1"/>
        <v>54.210574695154172</v>
      </c>
      <c r="AG617" s="2">
        <f ca="1"/>
        <v>0.47677726834800227</v>
      </c>
      <c r="AH617" s="2" t="str">
        <f ca="1"/>
        <v>Bad</v>
      </c>
    </row>
    <row r="618" spans="2:34" x14ac:dyDescent="0.2">
      <c r="B618" s="2">
        <f ca="1"/>
        <v>0.32202688585874939</v>
      </c>
      <c r="O618" s="2">
        <f ca="1"/>
        <v>0.74436726661589525</v>
      </c>
      <c r="X618" s="2">
        <f ca="1"/>
        <v>53.684909168440036</v>
      </c>
      <c r="AG618" s="2">
        <f ca="1"/>
        <v>0.60837331978009535</v>
      </c>
      <c r="AH618" s="2" t="str">
        <f ca="1"/>
        <v>Bad</v>
      </c>
    </row>
    <row r="619" spans="2:34" x14ac:dyDescent="0.2">
      <c r="B619" s="2">
        <f ca="1"/>
        <v>0.95104838346524123</v>
      </c>
      <c r="O619" s="2">
        <f ca="1"/>
        <v>1.9376052735867921</v>
      </c>
      <c r="X619" s="2">
        <f ca="1"/>
        <v>66.052172992174448</v>
      </c>
      <c r="AG619" s="2">
        <f ca="1"/>
        <v>0.76828775913773351</v>
      </c>
      <c r="AH619" s="2" t="str">
        <f ca="1"/>
        <v>Bad</v>
      </c>
    </row>
    <row r="620" spans="2:34" x14ac:dyDescent="0.2">
      <c r="B620" s="2">
        <f ca="1"/>
        <v>0.46188820867459923</v>
      </c>
      <c r="O620" s="2">
        <f ca="1"/>
        <v>1.7140055941194769</v>
      </c>
      <c r="X620" s="2">
        <f ca="1"/>
        <v>57.004689131500356</v>
      </c>
      <c r="AG620" s="2">
        <f ca="1"/>
        <v>0.84611708958635123</v>
      </c>
      <c r="AH620" s="2" t="str">
        <f ca="1"/>
        <v>Bad</v>
      </c>
    </row>
    <row r="621" spans="2:34" x14ac:dyDescent="0.2">
      <c r="B621" s="2">
        <f ca="1"/>
        <v>0.77787862736079894</v>
      </c>
      <c r="O621" s="2">
        <f ca="1"/>
        <v>0.4114629819600143</v>
      </c>
      <c r="X621" s="2">
        <f ca="1"/>
        <v>43.185875575671197</v>
      </c>
      <c r="AG621" s="2">
        <f ca="1"/>
        <v>0.72481360846765441</v>
      </c>
      <c r="AH621" s="2" t="str">
        <f ca="1"/>
        <v>Bad</v>
      </c>
    </row>
    <row r="622" spans="2:34" x14ac:dyDescent="0.2">
      <c r="B622" s="2">
        <f ca="1"/>
        <v>0.86959142438975179</v>
      </c>
      <c r="O622" s="2">
        <f ca="1"/>
        <v>0.2707656051959742</v>
      </c>
      <c r="X622" s="2">
        <f ca="1"/>
        <v>50.430921482381692</v>
      </c>
      <c r="AG622" s="2">
        <f ca="1"/>
        <v>0.42727923836203008</v>
      </c>
      <c r="AH622" s="2" t="str">
        <f ca="1"/>
        <v>Bad</v>
      </c>
    </row>
    <row r="623" spans="2:34" x14ac:dyDescent="0.2">
      <c r="B623" s="2">
        <f ca="1"/>
        <v>0.22809431293701743</v>
      </c>
      <c r="O623" s="2">
        <f ca="1"/>
        <v>0.18114661759292139</v>
      </c>
      <c r="X623" s="2">
        <f ca="1"/>
        <v>60.70483797421106</v>
      </c>
      <c r="AG623" s="2">
        <f ca="1"/>
        <v>0.77691820456988059</v>
      </c>
      <c r="AH623" s="2" t="str">
        <f ca="1"/>
        <v>Bad</v>
      </c>
    </row>
    <row r="624" spans="2:34" x14ac:dyDescent="0.2">
      <c r="B624" s="2">
        <f ca="1"/>
        <v>0.56170552550778963</v>
      </c>
      <c r="O624" s="2">
        <f ca="1"/>
        <v>1.1051161296607581</v>
      </c>
      <c r="X624" s="2">
        <f ca="1"/>
        <v>43.313964974888123</v>
      </c>
      <c r="AG624" s="2">
        <f ca="1"/>
        <v>0.9413918183207084</v>
      </c>
      <c r="AH624" s="2" t="str">
        <f ca="1"/>
        <v>Bad</v>
      </c>
    </row>
    <row r="625" spans="2:34" x14ac:dyDescent="0.2">
      <c r="B625" s="2">
        <f ca="1"/>
        <v>0.94256007159171129</v>
      </c>
      <c r="O625" s="2">
        <f ca="1"/>
        <v>-1.084345243569109</v>
      </c>
      <c r="X625" s="2">
        <f ca="1"/>
        <v>24.738555140989643</v>
      </c>
      <c r="AG625" s="2">
        <f ca="1"/>
        <v>0.59794634908776212</v>
      </c>
      <c r="AH625" s="2" t="str">
        <f ca="1"/>
        <v>Bad</v>
      </c>
    </row>
    <row r="626" spans="2:34" x14ac:dyDescent="0.2">
      <c r="B626" s="2">
        <f ca="1"/>
        <v>1.648629956742087E-2</v>
      </c>
      <c r="O626" s="2">
        <f ca="1"/>
        <v>0.29274068830633837</v>
      </c>
      <c r="X626" s="2">
        <f ca="1"/>
        <v>79.345980581522412</v>
      </c>
      <c r="AG626" s="2">
        <f ca="1"/>
        <v>0.81571059218364939</v>
      </c>
      <c r="AH626" s="2" t="str">
        <f ca="1"/>
        <v>Bad</v>
      </c>
    </row>
    <row r="627" spans="2:34" x14ac:dyDescent="0.2">
      <c r="B627" s="2">
        <f ca="1"/>
        <v>0.96952689745150478</v>
      </c>
      <c r="O627" s="2">
        <f ca="1"/>
        <v>1.5300749628104031</v>
      </c>
      <c r="X627" s="2">
        <f ca="1"/>
        <v>70.718257118005198</v>
      </c>
      <c r="AG627" s="2">
        <f ca="1"/>
        <v>0.33255723745783672</v>
      </c>
      <c r="AH627" s="2" t="str">
        <f ca="1"/>
        <v>OK</v>
      </c>
    </row>
    <row r="628" spans="2:34" x14ac:dyDescent="0.2">
      <c r="B628" s="2">
        <f ca="1"/>
        <v>0.19630111907581171</v>
      </c>
      <c r="O628" s="2">
        <f ca="1"/>
        <v>0.9388872184950241</v>
      </c>
      <c r="X628" s="2">
        <f ca="1"/>
        <v>74.699337025937524</v>
      </c>
      <c r="AG628" s="2">
        <f ca="1"/>
        <v>0.64587474415626089</v>
      </c>
      <c r="AH628" s="2" t="str">
        <f ca="1"/>
        <v>Bad</v>
      </c>
    </row>
    <row r="629" spans="2:34" x14ac:dyDescent="0.2">
      <c r="B629" s="2">
        <f ca="1"/>
        <v>0.40924502274091257</v>
      </c>
      <c r="O629" s="2">
        <f ca="1"/>
        <v>-0.78901035441827272</v>
      </c>
      <c r="X629" s="2">
        <f ca="1"/>
        <v>39.692954292375433</v>
      </c>
      <c r="AG629" s="2">
        <f ca="1"/>
        <v>0.90013401385219605</v>
      </c>
      <c r="AH629" s="2" t="str">
        <f ca="1"/>
        <v>Bad</v>
      </c>
    </row>
    <row r="630" spans="2:34" x14ac:dyDescent="0.2">
      <c r="B630" s="2">
        <f ca="1"/>
        <v>0.96586945164557614</v>
      </c>
      <c r="O630" s="2">
        <f ca="1"/>
        <v>-0.47337166300014616</v>
      </c>
      <c r="X630" s="2">
        <f ca="1"/>
        <v>93.925543597298059</v>
      </c>
      <c r="AG630" s="2">
        <f ca="1"/>
        <v>0.65114578213306418</v>
      </c>
      <c r="AH630" s="2" t="str">
        <f ca="1"/>
        <v>Bad</v>
      </c>
    </row>
    <row r="631" spans="2:34" x14ac:dyDescent="0.2">
      <c r="B631" s="2">
        <f ca="1"/>
        <v>0.44927612584806154</v>
      </c>
      <c r="O631" s="2">
        <f ca="1"/>
        <v>0.86314500830527729</v>
      </c>
      <c r="X631" s="2">
        <f ca="1"/>
        <v>29.287419844358617</v>
      </c>
      <c r="AG631" s="2">
        <f ca="1"/>
        <v>0.59916920270804219</v>
      </c>
      <c r="AH631" s="2" t="str">
        <f ca="1"/>
        <v>Bad</v>
      </c>
    </row>
    <row r="632" spans="2:34" x14ac:dyDescent="0.2">
      <c r="B632" s="2">
        <f ca="1"/>
        <v>0.71272151032365949</v>
      </c>
      <c r="O632" s="2">
        <f ca="1"/>
        <v>-1.4212930055369317E-2</v>
      </c>
      <c r="X632" s="2">
        <f ca="1"/>
        <v>33.723927226711211</v>
      </c>
      <c r="AG632" s="2">
        <f ca="1"/>
        <v>0.12070023914496009</v>
      </c>
      <c r="AH632" s="2" t="str">
        <f ca="1"/>
        <v>OK</v>
      </c>
    </row>
    <row r="633" spans="2:34" x14ac:dyDescent="0.2">
      <c r="B633" s="2">
        <f ca="1"/>
        <v>0.84913717837150915</v>
      </c>
      <c r="O633" s="2">
        <f ca="1"/>
        <v>-0.59924262729330902</v>
      </c>
      <c r="X633" s="2">
        <f ca="1"/>
        <v>35.166625819113577</v>
      </c>
      <c r="AG633" s="2">
        <f ca="1"/>
        <v>0.61366783942265757</v>
      </c>
      <c r="AH633" s="2" t="str">
        <f ca="1"/>
        <v>Bad</v>
      </c>
    </row>
    <row r="634" spans="2:34" x14ac:dyDescent="0.2">
      <c r="B634" s="2">
        <f ca="1"/>
        <v>0.77127502702216999</v>
      </c>
      <c r="O634" s="2">
        <f ca="1"/>
        <v>-0.74170008397554432</v>
      </c>
      <c r="X634" s="2">
        <f ca="1"/>
        <v>22.20603418995147</v>
      </c>
      <c r="AG634" s="2">
        <f ca="1"/>
        <v>0.42504236079070123</v>
      </c>
      <c r="AH634" s="2" t="str">
        <f ca="1"/>
        <v>Bad</v>
      </c>
    </row>
    <row r="635" spans="2:34" x14ac:dyDescent="0.2">
      <c r="B635" s="2">
        <f ca="1"/>
        <v>0.59464190749008949</v>
      </c>
      <c r="O635" s="2">
        <f ca="1"/>
        <v>-0.14007714340424793</v>
      </c>
      <c r="X635" s="2">
        <f ca="1"/>
        <v>60.027815314355266</v>
      </c>
      <c r="AG635" s="2">
        <f ca="1"/>
        <v>0.88155808429324756</v>
      </c>
      <c r="AH635" s="2" t="str">
        <f ca="1"/>
        <v>Bad</v>
      </c>
    </row>
    <row r="636" spans="2:34" x14ac:dyDescent="0.2">
      <c r="B636" s="2">
        <f ca="1"/>
        <v>0.28108403065179499</v>
      </c>
      <c r="O636" s="2">
        <f ca="1"/>
        <v>0.73022779301927909</v>
      </c>
      <c r="X636" s="2">
        <f ca="1"/>
        <v>37.823269596768313</v>
      </c>
      <c r="AG636" s="2">
        <f ca="1"/>
        <v>0.63289924341375303</v>
      </c>
      <c r="AH636" s="2" t="str">
        <f ca="1"/>
        <v>Bad</v>
      </c>
    </row>
    <row r="637" spans="2:34" x14ac:dyDescent="0.2">
      <c r="B637" s="2">
        <f ca="1"/>
        <v>0.54129559443717024</v>
      </c>
      <c r="O637" s="2">
        <f ca="1"/>
        <v>-1.7332676678164322E-2</v>
      </c>
      <c r="X637" s="2">
        <f ca="1"/>
        <v>48.12095080435541</v>
      </c>
      <c r="AG637" s="2">
        <f ca="1"/>
        <v>0.29048673174906248</v>
      </c>
      <c r="AH637" s="2" t="str">
        <f ca="1"/>
        <v>OK</v>
      </c>
    </row>
    <row r="638" spans="2:34" x14ac:dyDescent="0.2">
      <c r="B638" s="2">
        <f ca="1"/>
        <v>0.91189768662527748</v>
      </c>
      <c r="O638" s="2">
        <f ca="1"/>
        <v>-0.58733849095995949</v>
      </c>
      <c r="X638" s="2">
        <f ca="1"/>
        <v>34.804205917838317</v>
      </c>
      <c r="AG638" s="2">
        <f ca="1"/>
        <v>0.28508425374599899</v>
      </c>
      <c r="AH638" s="2" t="str">
        <f ca="1"/>
        <v>OK</v>
      </c>
    </row>
    <row r="639" spans="2:34" x14ac:dyDescent="0.2">
      <c r="B639" s="2">
        <f ca="1"/>
        <v>0.1914153702149326</v>
      </c>
      <c r="O639" s="2">
        <f ca="1"/>
        <v>-1.3912264327447577</v>
      </c>
      <c r="X639" s="2">
        <f ca="1"/>
        <v>33.155006333153381</v>
      </c>
      <c r="AG639" s="2">
        <f ca="1"/>
        <v>0.66730142575876794</v>
      </c>
      <c r="AH639" s="2" t="str">
        <f ca="1"/>
        <v>Bad</v>
      </c>
    </row>
    <row r="640" spans="2:34" x14ac:dyDescent="0.2">
      <c r="B640" s="2">
        <f ca="1"/>
        <v>9.8103221746285829E-2</v>
      </c>
      <c r="O640" s="2">
        <f ca="1"/>
        <v>-1.2516702044952988</v>
      </c>
      <c r="X640" s="2">
        <f ca="1"/>
        <v>55.233256423723986</v>
      </c>
      <c r="AG640" s="2">
        <f ca="1"/>
        <v>0.93870305849466296</v>
      </c>
      <c r="AH640" s="2" t="str">
        <f ca="1"/>
        <v>Bad</v>
      </c>
    </row>
    <row r="641" spans="2:34" x14ac:dyDescent="0.2">
      <c r="B641" s="2">
        <f ca="1"/>
        <v>0.82938240607750702</v>
      </c>
      <c r="O641" s="2">
        <f ca="1"/>
        <v>-1.6982975181533067</v>
      </c>
      <c r="X641" s="2">
        <f ca="1"/>
        <v>36.483207804269774</v>
      </c>
      <c r="AG641" s="2">
        <f ca="1"/>
        <v>0.68986189312528068</v>
      </c>
      <c r="AH641" s="2" t="str">
        <f ca="1"/>
        <v>Bad</v>
      </c>
    </row>
    <row r="642" spans="2:34" x14ac:dyDescent="0.2">
      <c r="B642" s="2">
        <f ca="1"/>
        <v>0.49371377966195595</v>
      </c>
      <c r="O642" s="2">
        <f ca="1"/>
        <v>-0.68273592574079311</v>
      </c>
      <c r="X642" s="2">
        <f ca="1"/>
        <v>33.035880737686924</v>
      </c>
      <c r="AG642" s="2">
        <f ca="1"/>
        <v>0.83587532293003797</v>
      </c>
      <c r="AH642" s="2" t="str">
        <f ca="1"/>
        <v>Bad</v>
      </c>
    </row>
    <row r="643" spans="2:34" x14ac:dyDescent="0.2">
      <c r="B643" s="2">
        <f ca="1"/>
        <v>0.62948491509993465</v>
      </c>
      <c r="O643" s="2">
        <f ca="1"/>
        <v>-0.45331920040992918</v>
      </c>
      <c r="X643" s="2">
        <f ca="1"/>
        <v>57.076552608089642</v>
      </c>
      <c r="AG643" s="2">
        <f ca="1"/>
        <v>0.641344196904029</v>
      </c>
      <c r="AH643" s="2" t="str">
        <f ca="1"/>
        <v>Bad</v>
      </c>
    </row>
    <row r="644" spans="2:34" x14ac:dyDescent="0.2">
      <c r="B644" s="2">
        <f ca="1"/>
        <v>0.28475926108810534</v>
      </c>
      <c r="O644" s="2">
        <f ca="1"/>
        <v>1.2731386602148123</v>
      </c>
      <c r="X644" s="2">
        <f ca="1"/>
        <v>33.459069284797607</v>
      </c>
      <c r="AG644" s="2">
        <f ca="1"/>
        <v>0.51585087260766538</v>
      </c>
      <c r="AH644" s="2" t="str">
        <f ca="1"/>
        <v>Bad</v>
      </c>
    </row>
    <row r="645" spans="2:34" x14ac:dyDescent="0.2">
      <c r="B645" s="2">
        <f ca="1"/>
        <v>0.99902459550883993</v>
      </c>
      <c r="O645" s="2">
        <f ca="1"/>
        <v>0.80249503210783235</v>
      </c>
      <c r="X645" s="2">
        <f ca="1"/>
        <v>42.070704147593062</v>
      </c>
      <c r="AG645" s="2">
        <f ca="1"/>
        <v>0.65547639104925493</v>
      </c>
      <c r="AH645" s="2" t="str">
        <f ca="1"/>
        <v>Bad</v>
      </c>
    </row>
    <row r="646" spans="2:34" x14ac:dyDescent="0.2">
      <c r="B646" s="2">
        <f ca="1"/>
        <v>0.84547509809014154</v>
      </c>
      <c r="O646" s="2">
        <f ca="1"/>
        <v>-0.18551918958279828</v>
      </c>
      <c r="X646" s="2">
        <f ca="1"/>
        <v>59.187667716498069</v>
      </c>
      <c r="AG646" s="2">
        <f ca="1"/>
        <v>0.59053472879989033</v>
      </c>
      <c r="AH646" s="2" t="str">
        <f ca="1"/>
        <v>Bad</v>
      </c>
    </row>
    <row r="647" spans="2:34" x14ac:dyDescent="0.2">
      <c r="B647" s="2">
        <f ca="1"/>
        <v>8.3161912073961286E-3</v>
      </c>
      <c r="O647" s="2">
        <f ca="1"/>
        <v>0.56696923816676048</v>
      </c>
      <c r="X647" s="2">
        <f ca="1"/>
        <v>56.271456739545258</v>
      </c>
      <c r="AG647" s="2">
        <f ca="1"/>
        <v>0.47943569814368292</v>
      </c>
      <c r="AH647" s="2" t="str">
        <f ca="1"/>
        <v>Bad</v>
      </c>
    </row>
    <row r="648" spans="2:34" x14ac:dyDescent="0.2">
      <c r="B648" s="2">
        <f ca="1"/>
        <v>0.77610722230270701</v>
      </c>
      <c r="O648" s="2">
        <f ca="1"/>
        <v>0.92696904295628546</v>
      </c>
      <c r="X648" s="2">
        <f ca="1"/>
        <v>54.790736701793598</v>
      </c>
      <c r="AG648" s="2">
        <f ca="1"/>
        <v>0.38497952270807656</v>
      </c>
      <c r="AH648" s="2" t="str">
        <f ca="1"/>
        <v>OK</v>
      </c>
    </row>
    <row r="649" spans="2:34" x14ac:dyDescent="0.2">
      <c r="B649" s="2">
        <f ca="1"/>
        <v>0.75549024151790367</v>
      </c>
      <c r="O649" s="2">
        <f ca="1"/>
        <v>-0.89412811836716743</v>
      </c>
      <c r="X649" s="2">
        <f ca="1"/>
        <v>63.639478250819153</v>
      </c>
      <c r="AG649" s="2">
        <f ca="1"/>
        <v>7.1925934390079549E-2</v>
      </c>
      <c r="AH649" s="2" t="str">
        <f ca="1"/>
        <v>OK</v>
      </c>
    </row>
    <row r="650" spans="2:34" x14ac:dyDescent="0.2">
      <c r="B650" s="2">
        <f ca="1"/>
        <v>0.6339180578879049</v>
      </c>
      <c r="O650" s="2">
        <f ca="1"/>
        <v>-9.450897180362916E-2</v>
      </c>
      <c r="X650" s="2">
        <f ca="1"/>
        <v>89.269985222525889</v>
      </c>
      <c r="AG650" s="2">
        <f ca="1"/>
        <v>6.5917689657746248E-3</v>
      </c>
      <c r="AH650" s="2" t="str">
        <f ca="1"/>
        <v>Good</v>
      </c>
    </row>
    <row r="651" spans="2:34" x14ac:dyDescent="0.2">
      <c r="B651" s="2">
        <f ca="1"/>
        <v>0.84496106436093199</v>
      </c>
      <c r="O651" s="2">
        <f ca="1"/>
        <v>-2.0060830901270328</v>
      </c>
      <c r="X651" s="2">
        <f ca="1"/>
        <v>48.67015031805466</v>
      </c>
      <c r="AG651" s="2">
        <f ca="1"/>
        <v>0.39320291547963837</v>
      </c>
      <c r="AH651" s="2" t="str">
        <f ca="1"/>
        <v>OK</v>
      </c>
    </row>
    <row r="652" spans="2:34" x14ac:dyDescent="0.2">
      <c r="B652" s="2">
        <f ca="1"/>
        <v>0.80779386776099527</v>
      </c>
      <c r="O652" s="2">
        <f ca="1"/>
        <v>0.19904387256687578</v>
      </c>
      <c r="X652" s="2">
        <f ca="1"/>
        <v>61.16124445661395</v>
      </c>
      <c r="AG652" s="2">
        <f ca="1"/>
        <v>0.50686305011074806</v>
      </c>
      <c r="AH652" s="2" t="str">
        <f ca="1"/>
        <v>Bad</v>
      </c>
    </row>
    <row r="653" spans="2:34" x14ac:dyDescent="0.2">
      <c r="B653" s="2">
        <f ca="1"/>
        <v>0.67729681206117087</v>
      </c>
      <c r="O653" s="2">
        <f ca="1"/>
        <v>0.64896376092868491</v>
      </c>
      <c r="X653" s="2">
        <f ca="1"/>
        <v>31.09420292146347</v>
      </c>
      <c r="AG653" s="2">
        <f ca="1"/>
        <v>0.10475681232937184</v>
      </c>
      <c r="AH653" s="2" t="str">
        <f ca="1"/>
        <v>OK</v>
      </c>
    </row>
    <row r="654" spans="2:34" x14ac:dyDescent="0.2">
      <c r="B654" s="2">
        <f ca="1"/>
        <v>0.44438015354503957</v>
      </c>
      <c r="O654" s="2">
        <f ca="1"/>
        <v>0.26939765712286268</v>
      </c>
      <c r="X654" s="2">
        <f ca="1"/>
        <v>73.921661228629091</v>
      </c>
      <c r="AG654" s="2">
        <f ca="1"/>
        <v>2.7938069059698423E-2</v>
      </c>
      <c r="AH654" s="2" t="str">
        <f ca="1"/>
        <v>Good</v>
      </c>
    </row>
    <row r="655" spans="2:34" x14ac:dyDescent="0.2">
      <c r="B655" s="2">
        <f ca="1"/>
        <v>0.62051998193490099</v>
      </c>
      <c r="O655" s="2">
        <f ca="1"/>
        <v>-0.77032357587377764</v>
      </c>
      <c r="X655" s="2">
        <f ca="1"/>
        <v>49.964887893432213</v>
      </c>
      <c r="AG655" s="2">
        <f ca="1"/>
        <v>0.90854192398034828</v>
      </c>
      <c r="AH655" s="2" t="str">
        <f ca="1"/>
        <v>Bad</v>
      </c>
    </row>
    <row r="656" spans="2:34" x14ac:dyDescent="0.2">
      <c r="B656" s="2">
        <f ca="1"/>
        <v>0.69062620599351332</v>
      </c>
      <c r="O656" s="2">
        <f ca="1"/>
        <v>-1.4592135859472528</v>
      </c>
      <c r="X656" s="2">
        <f ca="1"/>
        <v>44.776705605111189</v>
      </c>
      <c r="AG656" s="2">
        <f ca="1"/>
        <v>0.98381869974020852</v>
      </c>
      <c r="AH656" s="2" t="str">
        <f ca="1"/>
        <v>Bad</v>
      </c>
    </row>
    <row r="657" spans="2:34" x14ac:dyDescent="0.2">
      <c r="B657" s="2">
        <f ca="1"/>
        <v>0.66645382558807409</v>
      </c>
      <c r="O657" s="2">
        <f ca="1"/>
        <v>1.5069752734218518</v>
      </c>
      <c r="X657" s="2">
        <f ca="1"/>
        <v>68.998799418368051</v>
      </c>
      <c r="AG657" s="2">
        <f ca="1"/>
        <v>0.61284693930258971</v>
      </c>
      <c r="AH657" s="2" t="str">
        <f ca="1"/>
        <v>Bad</v>
      </c>
    </row>
    <row r="658" spans="2:34" x14ac:dyDescent="0.2">
      <c r="B658" s="2">
        <f ca="1"/>
        <v>0.39630218831149611</v>
      </c>
      <c r="O658" s="2">
        <f ca="1"/>
        <v>-0.75636814228795435</v>
      </c>
      <c r="X658" s="2">
        <f ca="1"/>
        <v>33.763391768022181</v>
      </c>
      <c r="AG658" s="2">
        <f ca="1"/>
        <v>0.29216680166898246</v>
      </c>
      <c r="AH658" s="2" t="str">
        <f ca="1"/>
        <v>OK</v>
      </c>
    </row>
    <row r="659" spans="2:34" x14ac:dyDescent="0.2">
      <c r="B659" s="2">
        <f ca="1"/>
        <v>0.4594136975986185</v>
      </c>
      <c r="O659" s="2">
        <f ca="1"/>
        <v>-0.75136337175459911</v>
      </c>
      <c r="X659" s="2">
        <f ca="1"/>
        <v>71.652686451320918</v>
      </c>
      <c r="AG659" s="2">
        <f ca="1"/>
        <v>0.85086717525490929</v>
      </c>
      <c r="AH659" s="2" t="str">
        <f ca="1"/>
        <v>Bad</v>
      </c>
    </row>
    <row r="660" spans="2:34" x14ac:dyDescent="0.2">
      <c r="B660" s="2">
        <f ca="1"/>
        <v>0.13466569235416048</v>
      </c>
      <c r="O660" s="2">
        <f ca="1"/>
        <v>0.5755666987075071</v>
      </c>
      <c r="X660" s="2">
        <f ca="1"/>
        <v>38.736538337840763</v>
      </c>
      <c r="AG660" s="2">
        <f ca="1"/>
        <v>0.41857068721068558</v>
      </c>
      <c r="AH660" s="2" t="str">
        <f ca="1"/>
        <v>Bad</v>
      </c>
    </row>
    <row r="661" spans="2:34" x14ac:dyDescent="0.2">
      <c r="B661" s="2">
        <f ca="1"/>
        <v>0.3168077331160597</v>
      </c>
      <c r="O661" s="2">
        <f ca="1"/>
        <v>8.8968988031302876E-2</v>
      </c>
      <c r="X661" s="2">
        <f ca="1"/>
        <v>37.102966338299069</v>
      </c>
      <c r="AG661" s="2">
        <f ca="1"/>
        <v>0.42917404377939405</v>
      </c>
      <c r="AH661" s="2" t="str">
        <f ca="1"/>
        <v>Bad</v>
      </c>
    </row>
    <row r="662" spans="2:34" x14ac:dyDescent="0.2">
      <c r="B662" s="2">
        <f ca="1"/>
        <v>0.28911317330271546</v>
      </c>
      <c r="O662" s="2">
        <f ca="1"/>
        <v>2.0790752051447874</v>
      </c>
      <c r="X662" s="2">
        <f ca="1"/>
        <v>54.570694745719649</v>
      </c>
      <c r="AG662" s="2">
        <f ca="1"/>
        <v>0.20773979417801391</v>
      </c>
      <c r="AH662" s="2" t="str">
        <f ca="1"/>
        <v>OK</v>
      </c>
    </row>
    <row r="663" spans="2:34" x14ac:dyDescent="0.2">
      <c r="B663" s="2">
        <f ca="1"/>
        <v>0.5685205016119983</v>
      </c>
      <c r="O663" s="2">
        <f ca="1"/>
        <v>0.56002809735552794</v>
      </c>
      <c r="X663" s="2">
        <f ca="1"/>
        <v>21.789673036030859</v>
      </c>
      <c r="AG663" s="2">
        <f ca="1"/>
        <v>0.85312892380115746</v>
      </c>
      <c r="AH663" s="2" t="str">
        <f ca="1"/>
        <v>Bad</v>
      </c>
    </row>
    <row r="664" spans="2:34" x14ac:dyDescent="0.2">
      <c r="B664" s="2">
        <f ca="1"/>
        <v>0.69034042300981446</v>
      </c>
      <c r="O664" s="2">
        <f ca="1"/>
        <v>-0.759134646627737</v>
      </c>
      <c r="X664" s="2">
        <f ca="1"/>
        <v>37.997983477261897</v>
      </c>
      <c r="AG664" s="2">
        <f ca="1"/>
        <v>2.400552424572755E-2</v>
      </c>
      <c r="AH664" s="2" t="str">
        <f ca="1"/>
        <v>Good</v>
      </c>
    </row>
    <row r="665" spans="2:34" x14ac:dyDescent="0.2">
      <c r="B665" s="2">
        <f ca="1"/>
        <v>0.3716188492053567</v>
      </c>
      <c r="O665" s="2">
        <f ca="1"/>
        <v>-1.0582800789570224</v>
      </c>
      <c r="X665" s="2">
        <f ca="1"/>
        <v>28.939447028292356</v>
      </c>
      <c r="AG665" s="2">
        <f ca="1"/>
        <v>0.19784758947269898</v>
      </c>
      <c r="AH665" s="2" t="str">
        <f ca="1"/>
        <v>OK</v>
      </c>
    </row>
    <row r="666" spans="2:34" x14ac:dyDescent="0.2">
      <c r="B666" s="2">
        <f ca="1"/>
        <v>0.68982274703470137</v>
      </c>
      <c r="O666" s="2">
        <f ca="1"/>
        <v>0.9417727552480063</v>
      </c>
      <c r="X666" s="2">
        <f ca="1"/>
        <v>33.045522176576164</v>
      </c>
      <c r="AG666" s="2">
        <f ca="1"/>
        <v>0.85118501906206978</v>
      </c>
      <c r="AH666" s="2" t="str">
        <f ca="1"/>
        <v>Bad</v>
      </c>
    </row>
    <row r="667" spans="2:34" x14ac:dyDescent="0.2">
      <c r="B667" s="2">
        <f ca="1"/>
        <v>0.58159355674478408</v>
      </c>
      <c r="O667" s="2">
        <f ca="1"/>
        <v>0.72874642463556349</v>
      </c>
      <c r="X667" s="2">
        <f ca="1"/>
        <v>45.00099926723906</v>
      </c>
      <c r="AG667" s="2">
        <f ca="1"/>
        <v>0.70543436702313889</v>
      </c>
      <c r="AH667" s="2" t="str">
        <f ca="1"/>
        <v>Bad</v>
      </c>
    </row>
    <row r="668" spans="2:34" x14ac:dyDescent="0.2">
      <c r="B668" s="2">
        <f ca="1"/>
        <v>0.92673600934895761</v>
      </c>
      <c r="O668" s="2">
        <f ca="1"/>
        <v>-1.5200511642505568</v>
      </c>
      <c r="X668" s="2">
        <f ca="1"/>
        <v>55.762009466209655</v>
      </c>
      <c r="AG668" s="2">
        <f ca="1"/>
        <v>0.74477514563622171</v>
      </c>
      <c r="AH668" s="2" t="str">
        <f ca="1"/>
        <v>Bad</v>
      </c>
    </row>
    <row r="669" spans="2:34" x14ac:dyDescent="0.2">
      <c r="B669" s="2">
        <f ca="1"/>
        <v>0.2518436745539665</v>
      </c>
      <c r="O669" s="2">
        <f ca="1"/>
        <v>-0.12010208495076638</v>
      </c>
      <c r="X669" s="2">
        <f ca="1"/>
        <v>107.32360389034855</v>
      </c>
      <c r="AG669" s="2">
        <f ca="1"/>
        <v>0.62867863231014276</v>
      </c>
      <c r="AH669" s="2" t="str">
        <f ca="1"/>
        <v>Bad</v>
      </c>
    </row>
    <row r="670" spans="2:34" x14ac:dyDescent="0.2">
      <c r="B670" s="2">
        <f ca="1"/>
        <v>0.88274452925066194</v>
      </c>
      <c r="O670" s="2">
        <f ca="1"/>
        <v>0.33462897779872008</v>
      </c>
      <c r="X670" s="2">
        <f ca="1"/>
        <v>53.274638367290173</v>
      </c>
      <c r="AG670" s="2">
        <f ca="1"/>
        <v>0.5310071212163745</v>
      </c>
      <c r="AH670" s="2" t="str">
        <f ca="1"/>
        <v>Bad</v>
      </c>
    </row>
    <row r="671" spans="2:34" x14ac:dyDescent="0.2">
      <c r="B671" s="2">
        <f ca="1"/>
        <v>3.2465386664314533E-2</v>
      </c>
      <c r="O671" s="2">
        <f ca="1"/>
        <v>0.280380936981726</v>
      </c>
      <c r="X671" s="2">
        <f ca="1"/>
        <v>59.040292676992451</v>
      </c>
      <c r="AG671" s="2">
        <f ca="1"/>
        <v>0.8251771565088859</v>
      </c>
      <c r="AH671" s="2" t="str">
        <f ca="1"/>
        <v>Bad</v>
      </c>
    </row>
    <row r="672" spans="2:34" x14ac:dyDescent="0.2">
      <c r="B672" s="2">
        <f ca="1"/>
        <v>0.65381517556881974</v>
      </c>
      <c r="O672" s="2">
        <f ca="1"/>
        <v>0.75739726787654682</v>
      </c>
      <c r="X672" s="2">
        <f ca="1"/>
        <v>23.215051855096011</v>
      </c>
      <c r="AG672" s="2">
        <f ca="1"/>
        <v>0.88116993491600693</v>
      </c>
      <c r="AH672" s="2" t="str">
        <f ca="1"/>
        <v>Bad</v>
      </c>
    </row>
    <row r="673" spans="2:34" x14ac:dyDescent="0.2">
      <c r="B673" s="2">
        <f ca="1"/>
        <v>0.81477769335647277</v>
      </c>
      <c r="O673" s="2">
        <f ca="1"/>
        <v>-1.1988517943713881</v>
      </c>
      <c r="X673" s="2">
        <f ca="1"/>
        <v>57.469339326337845</v>
      </c>
      <c r="AG673" s="2">
        <f ca="1"/>
        <v>6.4284165613748279E-3</v>
      </c>
      <c r="AH673" s="2" t="str">
        <f ca="1"/>
        <v>Good</v>
      </c>
    </row>
    <row r="674" spans="2:34" x14ac:dyDescent="0.2">
      <c r="B674" s="2">
        <f ca="1"/>
        <v>1.3282809530471784E-2</v>
      </c>
      <c r="O674" s="2">
        <f ca="1"/>
        <v>1.3172236645396616</v>
      </c>
      <c r="X674" s="2">
        <f ca="1"/>
        <v>67.387275330177062</v>
      </c>
      <c r="AG674" s="2">
        <f ca="1"/>
        <v>0.94911714750519738</v>
      </c>
      <c r="AH674" s="2" t="str">
        <f ca="1"/>
        <v>Bad</v>
      </c>
    </row>
    <row r="675" spans="2:34" x14ac:dyDescent="0.2">
      <c r="B675" s="2">
        <f ca="1"/>
        <v>2.0428434274397E-2</v>
      </c>
      <c r="O675" s="2">
        <f ca="1"/>
        <v>1.0334070916430893</v>
      </c>
      <c r="X675" s="2">
        <f ca="1"/>
        <v>62.906999404553986</v>
      </c>
      <c r="AG675" s="2">
        <f ca="1"/>
        <v>0.26660200557598035</v>
      </c>
      <c r="AH675" s="2" t="str">
        <f ca="1"/>
        <v>OK</v>
      </c>
    </row>
    <row r="676" spans="2:34" x14ac:dyDescent="0.2">
      <c r="B676" s="2">
        <f ca="1"/>
        <v>0.15892818986390678</v>
      </c>
      <c r="O676" s="2">
        <f ca="1"/>
        <v>1.8963769903766938</v>
      </c>
      <c r="X676" s="2">
        <f ca="1"/>
        <v>84.358326550736535</v>
      </c>
      <c r="AG676" s="2">
        <f ca="1"/>
        <v>0.77510512744882298</v>
      </c>
      <c r="AH676" s="2" t="str">
        <f ca="1"/>
        <v>Bad</v>
      </c>
    </row>
    <row r="677" spans="2:34" x14ac:dyDescent="0.2">
      <c r="B677" s="2">
        <f ca="1"/>
        <v>0.29748127865261753</v>
      </c>
      <c r="O677" s="2">
        <f ca="1"/>
        <v>2.9126477512917033E-3</v>
      </c>
      <c r="X677" s="2">
        <f ca="1"/>
        <v>35.249655655899048</v>
      </c>
      <c r="AG677" s="2">
        <f ca="1"/>
        <v>0.14101150448868283</v>
      </c>
      <c r="AH677" s="2" t="str">
        <f ca="1"/>
        <v>OK</v>
      </c>
    </row>
    <row r="678" spans="2:34" x14ac:dyDescent="0.2">
      <c r="B678" s="2">
        <f ca="1"/>
        <v>0.35493923172552333</v>
      </c>
      <c r="O678" s="2">
        <f ca="1"/>
        <v>7.2938975448815779E-2</v>
      </c>
      <c r="X678" s="2">
        <f ca="1"/>
        <v>34.296389041557674</v>
      </c>
      <c r="AG678" s="2">
        <f ca="1"/>
        <v>0.3968283417496381</v>
      </c>
      <c r="AH678" s="2" t="str">
        <f ca="1"/>
        <v>OK</v>
      </c>
    </row>
    <row r="679" spans="2:34" x14ac:dyDescent="0.2">
      <c r="B679" s="2">
        <f ca="1"/>
        <v>0.17456247045919393</v>
      </c>
      <c r="O679" s="2">
        <f ca="1"/>
        <v>4.3207429527027656E-2</v>
      </c>
      <c r="X679" s="2">
        <f ca="1"/>
        <v>82.892640762408561</v>
      </c>
      <c r="AG679" s="2">
        <f ca="1"/>
        <v>0.59239056678769231</v>
      </c>
      <c r="AH679" s="2" t="str">
        <f ca="1"/>
        <v>Bad</v>
      </c>
    </row>
    <row r="680" spans="2:34" x14ac:dyDescent="0.2">
      <c r="B680" s="2">
        <f ca="1"/>
        <v>0.87733377727464212</v>
      </c>
      <c r="O680" s="2">
        <f ca="1"/>
        <v>-2.5945584394655063</v>
      </c>
      <c r="X680" s="2">
        <f ca="1"/>
        <v>41.622134973780682</v>
      </c>
      <c r="AG680" s="2">
        <f ca="1"/>
        <v>0.46983945100234692</v>
      </c>
      <c r="AH680" s="2" t="str">
        <f ca="1"/>
        <v>Bad</v>
      </c>
    </row>
    <row r="681" spans="2:34" x14ac:dyDescent="0.2">
      <c r="B681" s="2">
        <f ca="1"/>
        <v>2.4991865462118401E-2</v>
      </c>
      <c r="O681" s="2">
        <f ca="1"/>
        <v>-0.81945155088608856</v>
      </c>
      <c r="X681" s="2">
        <f ca="1"/>
        <v>56.375535928545162</v>
      </c>
      <c r="AG681" s="2">
        <f ca="1"/>
        <v>0.64862002512652284</v>
      </c>
      <c r="AH681" s="2" t="str">
        <f ca="1"/>
        <v>Bad</v>
      </c>
    </row>
    <row r="682" spans="2:34" x14ac:dyDescent="0.2">
      <c r="B682" s="2">
        <f ca="1"/>
        <v>0.92665176741698052</v>
      </c>
      <c r="O682" s="2">
        <f ca="1"/>
        <v>-0.82958873920435106</v>
      </c>
      <c r="X682" s="2">
        <f ca="1"/>
        <v>58.284061308120712</v>
      </c>
      <c r="AG682" s="2">
        <f ca="1"/>
        <v>0.88510611580300047</v>
      </c>
      <c r="AH682" s="2" t="str">
        <f ca="1"/>
        <v>Bad</v>
      </c>
    </row>
    <row r="683" spans="2:34" x14ac:dyDescent="0.2">
      <c r="B683" s="2">
        <f ca="1"/>
        <v>0.40508429580151839</v>
      </c>
      <c r="O683" s="2">
        <f ca="1"/>
        <v>0.68931296585098945</v>
      </c>
      <c r="X683" s="2">
        <f ca="1"/>
        <v>32.369861404914744</v>
      </c>
      <c r="AG683" s="2">
        <f ca="1"/>
        <v>0.19051812158986459</v>
      </c>
      <c r="AH683" s="2" t="str">
        <f ca="1"/>
        <v>OK</v>
      </c>
    </row>
    <row r="684" spans="2:34" x14ac:dyDescent="0.2">
      <c r="B684" s="2">
        <f ca="1"/>
        <v>7.7524164449611854E-2</v>
      </c>
      <c r="O684" s="2">
        <f ca="1"/>
        <v>-0.13227729544264469</v>
      </c>
      <c r="X684" s="2">
        <f ca="1"/>
        <v>45.473643635400009</v>
      </c>
      <c r="AG684" s="2">
        <f ca="1"/>
        <v>0.50644490361358607</v>
      </c>
      <c r="AH684" s="2" t="str">
        <f ca="1"/>
        <v>Bad</v>
      </c>
    </row>
    <row r="685" spans="2:34" x14ac:dyDescent="0.2">
      <c r="B685" s="2">
        <f ca="1"/>
        <v>0.33156059427952789</v>
      </c>
      <c r="O685" s="2">
        <f ca="1"/>
        <v>1.0936862861531149</v>
      </c>
      <c r="X685" s="2">
        <f ca="1"/>
        <v>47.262514368146746</v>
      </c>
      <c r="AG685" s="2">
        <f ca="1"/>
        <v>0.64606624019907932</v>
      </c>
      <c r="AH685" s="2" t="str">
        <f ca="1"/>
        <v>Bad</v>
      </c>
    </row>
    <row r="686" spans="2:34" x14ac:dyDescent="0.2">
      <c r="B686" s="2">
        <f ca="1"/>
        <v>0.51789130556774943</v>
      </c>
      <c r="O686" s="2">
        <f ca="1"/>
        <v>-0.37630772398471946</v>
      </c>
      <c r="X686" s="2">
        <f ca="1"/>
        <v>19.602637663378797</v>
      </c>
      <c r="AG686" s="2">
        <f ca="1"/>
        <v>0.4795693855767913</v>
      </c>
      <c r="AH686" s="2" t="str">
        <f ca="1"/>
        <v>Bad</v>
      </c>
    </row>
    <row r="687" spans="2:34" x14ac:dyDescent="0.2">
      <c r="B687" s="2">
        <f ca="1"/>
        <v>0.75015540039164352</v>
      </c>
      <c r="O687" s="2">
        <f ca="1"/>
        <v>-0.95997321695909532</v>
      </c>
      <c r="X687" s="2">
        <f ca="1"/>
        <v>28.875726641770907</v>
      </c>
      <c r="AG687" s="2">
        <f ca="1"/>
        <v>0.34741946253050471</v>
      </c>
      <c r="AH687" s="2" t="str">
        <f ca="1"/>
        <v>OK</v>
      </c>
    </row>
    <row r="688" spans="2:34" x14ac:dyDescent="0.2">
      <c r="B688" s="2">
        <f ca="1"/>
        <v>0.90286295113438109</v>
      </c>
      <c r="O688" s="2">
        <f ca="1"/>
        <v>-1.6273065409544292</v>
      </c>
      <c r="X688" s="2">
        <f ca="1"/>
        <v>51.350627724979944</v>
      </c>
      <c r="AG688" s="2">
        <f ca="1"/>
        <v>0.56664986417285901</v>
      </c>
      <c r="AH688" s="2" t="str">
        <f ca="1"/>
        <v>Bad</v>
      </c>
    </row>
    <row r="689" spans="2:34" x14ac:dyDescent="0.2">
      <c r="B689" s="2">
        <f ca="1"/>
        <v>0.15926255184716775</v>
      </c>
      <c r="O689" s="2">
        <f ca="1"/>
        <v>6.5788454505712968E-2</v>
      </c>
      <c r="X689" s="2">
        <f ca="1"/>
        <v>53.948157172396563</v>
      </c>
      <c r="AG689" s="2">
        <f ca="1"/>
        <v>5.6555874420427532E-2</v>
      </c>
      <c r="AH689" s="2" t="str">
        <f ca="1"/>
        <v>OK</v>
      </c>
    </row>
    <row r="690" spans="2:34" x14ac:dyDescent="0.2">
      <c r="B690" s="2">
        <f ca="1"/>
        <v>0.68159963607360807</v>
      </c>
      <c r="O690" s="2">
        <f ca="1"/>
        <v>2.2313107936693548</v>
      </c>
      <c r="X690" s="2">
        <f ca="1"/>
        <v>59.175913683026202</v>
      </c>
      <c r="AG690" s="2">
        <f ca="1"/>
        <v>0.65651358842574092</v>
      </c>
      <c r="AH690" s="2" t="str">
        <f ca="1"/>
        <v>Bad</v>
      </c>
    </row>
    <row r="691" spans="2:34" x14ac:dyDescent="0.2">
      <c r="B691" s="2">
        <f ca="1"/>
        <v>0.75144747415355218</v>
      </c>
      <c r="O691" s="2">
        <f ca="1"/>
        <v>-0.54578739945689625</v>
      </c>
      <c r="X691" s="2">
        <f ca="1"/>
        <v>44.210123299112489</v>
      </c>
      <c r="AG691" s="2">
        <f ca="1"/>
        <v>0.90066796563567797</v>
      </c>
      <c r="AH691" s="2" t="str">
        <f ca="1"/>
        <v>Bad</v>
      </c>
    </row>
    <row r="692" spans="2:34" x14ac:dyDescent="0.2">
      <c r="B692" s="2">
        <f ca="1"/>
        <v>0.33938416412948857</v>
      </c>
      <c r="O692" s="2">
        <f ca="1"/>
        <v>-0.92906098052549524</v>
      </c>
      <c r="X692" s="2">
        <f ca="1"/>
        <v>45.816985152355365</v>
      </c>
      <c r="AG692" s="2">
        <f ca="1"/>
        <v>0.86229446889171557</v>
      </c>
      <c r="AH692" s="2" t="str">
        <f ca="1"/>
        <v>Bad</v>
      </c>
    </row>
    <row r="693" spans="2:34" x14ac:dyDescent="0.2">
      <c r="B693" s="2">
        <f ca="1"/>
        <v>0.51004380873879374</v>
      </c>
      <c r="O693" s="2">
        <f ca="1"/>
        <v>-1.0907939572008818</v>
      </c>
      <c r="X693" s="2">
        <f ca="1"/>
        <v>59.828860791807507</v>
      </c>
      <c r="AG693" s="2">
        <f ca="1"/>
        <v>0.39105967177481249</v>
      </c>
      <c r="AH693" s="2" t="str">
        <f ca="1"/>
        <v>OK</v>
      </c>
    </row>
    <row r="694" spans="2:34" x14ac:dyDescent="0.2">
      <c r="B694" s="2">
        <f ca="1"/>
        <v>0.45145707757631559</v>
      </c>
      <c r="O694" s="2">
        <f ca="1"/>
        <v>0.35470689434786251</v>
      </c>
      <c r="X694" s="2">
        <f ca="1"/>
        <v>48.167782159188768</v>
      </c>
      <c r="AG694" s="2">
        <f ca="1"/>
        <v>0.40743390675746793</v>
      </c>
      <c r="AH694" s="2" t="str">
        <f ca="1"/>
        <v>Bad</v>
      </c>
    </row>
    <row r="695" spans="2:34" x14ac:dyDescent="0.2">
      <c r="B695" s="2">
        <f ca="1"/>
        <v>0.49062696833305486</v>
      </c>
      <c r="O695" s="2">
        <f ca="1"/>
        <v>-0.33962728431456912</v>
      </c>
      <c r="X695" s="2">
        <f ca="1"/>
        <v>31.185292394106771</v>
      </c>
      <c r="AG695" s="2">
        <f ca="1"/>
        <v>0.16200533001531747</v>
      </c>
      <c r="AH695" s="2" t="str">
        <f ca="1"/>
        <v>OK</v>
      </c>
    </row>
    <row r="696" spans="2:34" x14ac:dyDescent="0.2">
      <c r="B696" s="2">
        <f ca="1"/>
        <v>0.82129180714992023</v>
      </c>
      <c r="O696" s="2">
        <f ca="1"/>
        <v>1.1796557157971583</v>
      </c>
      <c r="X696" s="2">
        <f ca="1"/>
        <v>37.05790343411978</v>
      </c>
      <c r="AG696" s="2">
        <f ca="1"/>
        <v>0.44489064315546067</v>
      </c>
      <c r="AH696" s="2" t="str">
        <f ca="1"/>
        <v>Bad</v>
      </c>
    </row>
    <row r="697" spans="2:34" x14ac:dyDescent="0.2">
      <c r="B697" s="2">
        <f ca="1"/>
        <v>4.5549343691613231E-2</v>
      </c>
      <c r="O697" s="2">
        <f ca="1"/>
        <v>-0.87305151463092256</v>
      </c>
      <c r="X697" s="2">
        <f ca="1"/>
        <v>30.9373168357669</v>
      </c>
      <c r="AG697" s="2">
        <f ca="1"/>
        <v>0.81914126446132007</v>
      </c>
      <c r="AH697" s="2" t="str">
        <f ca="1"/>
        <v>Bad</v>
      </c>
    </row>
    <row r="698" spans="2:34" x14ac:dyDescent="0.2">
      <c r="B698" s="2">
        <f ca="1"/>
        <v>0.46653713554629328</v>
      </c>
      <c r="O698" s="2">
        <f ca="1"/>
        <v>0.34701465663830844</v>
      </c>
      <c r="X698" s="2">
        <f ca="1"/>
        <v>29.233123773865657</v>
      </c>
      <c r="AG698" s="2">
        <f ca="1"/>
        <v>5.0099635156757305E-3</v>
      </c>
      <c r="AH698" s="2" t="str">
        <f ca="1"/>
        <v>Good</v>
      </c>
    </row>
    <row r="699" spans="2:34" x14ac:dyDescent="0.2">
      <c r="B699" s="2">
        <f ca="1"/>
        <v>0.33077405481391042</v>
      </c>
      <c r="O699" s="2">
        <f ca="1"/>
        <v>-0.67449692264545613</v>
      </c>
      <c r="X699" s="2">
        <f ca="1"/>
        <v>53.05763927113226</v>
      </c>
      <c r="AG699" s="2">
        <f ca="1"/>
        <v>0.4754069988576286</v>
      </c>
      <c r="AH699" s="2" t="str">
        <f ca="1"/>
        <v>Bad</v>
      </c>
    </row>
    <row r="700" spans="2:34" x14ac:dyDescent="0.2">
      <c r="B700" s="2">
        <f ca="1"/>
        <v>0.60339068488382841</v>
      </c>
      <c r="O700" s="2">
        <f ca="1"/>
        <v>1.2517992161343661</v>
      </c>
      <c r="X700" s="2">
        <f ca="1"/>
        <v>54.111006898687954</v>
      </c>
      <c r="AG700" s="2">
        <f ca="1"/>
        <v>0.52241640200240536</v>
      </c>
      <c r="AH700" s="2" t="str">
        <f ca="1"/>
        <v>Bad</v>
      </c>
    </row>
    <row r="701" spans="2:34" x14ac:dyDescent="0.2">
      <c r="B701" s="2">
        <f ca="1"/>
        <v>0.91983056045951739</v>
      </c>
      <c r="O701" s="2">
        <f ca="1"/>
        <v>-0.96846398946228485</v>
      </c>
      <c r="X701" s="2">
        <f ca="1"/>
        <v>25.761496370889709</v>
      </c>
      <c r="AG701" s="2">
        <f ca="1"/>
        <v>0.37338452757958884</v>
      </c>
      <c r="AH701" s="2" t="str">
        <f ca="1"/>
        <v>OK</v>
      </c>
    </row>
    <row r="702" spans="2:34" x14ac:dyDescent="0.2">
      <c r="B702" s="2">
        <f ca="1"/>
        <v>0.86980724519763597</v>
      </c>
      <c r="O702" s="2">
        <f ca="1"/>
        <v>0.58200135129942676</v>
      </c>
      <c r="X702" s="2">
        <f ca="1"/>
        <v>69.788300048262371</v>
      </c>
      <c r="AG702" s="2">
        <f ca="1"/>
        <v>0.14682219242909311</v>
      </c>
      <c r="AH702" s="2" t="str">
        <f ca="1"/>
        <v>OK</v>
      </c>
    </row>
    <row r="703" spans="2:34" x14ac:dyDescent="0.2">
      <c r="B703" s="2">
        <f ca="1"/>
        <v>0.1297162478872953</v>
      </c>
      <c r="O703" s="2">
        <f ca="1"/>
        <v>0.55462535439679506</v>
      </c>
      <c r="X703" s="2">
        <f ca="1"/>
        <v>83.310857102735696</v>
      </c>
      <c r="AG703" s="2">
        <f ca="1"/>
        <v>3.2861572636888825E-2</v>
      </c>
      <c r="AH703" s="2" t="str">
        <f ca="1"/>
        <v>Good</v>
      </c>
    </row>
    <row r="704" spans="2:34" x14ac:dyDescent="0.2">
      <c r="B704" s="2">
        <f ca="1"/>
        <v>0.46885635227891198</v>
      </c>
      <c r="O704" s="2">
        <f ca="1"/>
        <v>0.34899697580230893</v>
      </c>
      <c r="X704" s="2">
        <f ca="1"/>
        <v>30.994125637288526</v>
      </c>
      <c r="AG704" s="2">
        <f ca="1"/>
        <v>0.937008373693061</v>
      </c>
      <c r="AH704" s="2" t="str">
        <f ca="1"/>
        <v>Bad</v>
      </c>
    </row>
    <row r="705" spans="2:34" x14ac:dyDescent="0.2">
      <c r="B705" s="2">
        <f ca="1"/>
        <v>0.53206002911602601</v>
      </c>
      <c r="O705" s="2">
        <f ca="1"/>
        <v>-1.6708272524617378</v>
      </c>
      <c r="X705" s="2">
        <f ca="1"/>
        <v>91.183902099309378</v>
      </c>
      <c r="AG705" s="2">
        <f ca="1"/>
        <v>0.47443097851944804</v>
      </c>
      <c r="AH705" s="2" t="str">
        <f ca="1"/>
        <v>Bad</v>
      </c>
    </row>
    <row r="706" spans="2:34" x14ac:dyDescent="0.2">
      <c r="B706" s="2">
        <f ca="1"/>
        <v>0.74570554531995259</v>
      </c>
      <c r="O706" s="2">
        <f ca="1"/>
        <v>0.28963093858075101</v>
      </c>
      <c r="X706" s="2">
        <f ca="1"/>
        <v>85.369951460569652</v>
      </c>
      <c r="AG706" s="2">
        <f ca="1"/>
        <v>0.34896883004140866</v>
      </c>
      <c r="AH706" s="2" t="str">
        <f ca="1"/>
        <v>OK</v>
      </c>
    </row>
    <row r="707" spans="2:34" x14ac:dyDescent="0.2">
      <c r="B707" s="2">
        <f ca="1"/>
        <v>0.446769669611778</v>
      </c>
      <c r="O707" s="2">
        <f ca="1"/>
        <v>-2.0165030821446814</v>
      </c>
      <c r="X707" s="2">
        <f ca="1"/>
        <v>53.119980451955364</v>
      </c>
      <c r="AG707" s="2">
        <f ca="1"/>
        <v>0.67993675062944336</v>
      </c>
      <c r="AH707" s="2" t="str">
        <f ca="1"/>
        <v>Bad</v>
      </c>
    </row>
    <row r="708" spans="2:34" x14ac:dyDescent="0.2">
      <c r="B708" s="2">
        <f ca="1"/>
        <v>0.42119206356802374</v>
      </c>
      <c r="O708" s="2">
        <f ca="1"/>
        <v>-0.16694556734102795</v>
      </c>
      <c r="X708" s="2">
        <f ca="1"/>
        <v>38.518330378490127</v>
      </c>
      <c r="AG708" s="2">
        <f ca="1"/>
        <v>0.25520497673511189</v>
      </c>
      <c r="AH708" s="2" t="str">
        <f ca="1"/>
        <v>OK</v>
      </c>
    </row>
    <row r="709" spans="2:34" x14ac:dyDescent="0.2">
      <c r="B709" s="2">
        <f ca="1"/>
        <v>0.54468329133087057</v>
      </c>
      <c r="O709" s="2">
        <f ca="1"/>
        <v>0.90651335904575492</v>
      </c>
      <c r="X709" s="2">
        <f ca="1"/>
        <v>57.674675282781863</v>
      </c>
      <c r="AG709" s="2">
        <f ca="1"/>
        <v>0.41705300623778108</v>
      </c>
      <c r="AH709" s="2" t="str">
        <f ca="1"/>
        <v>Bad</v>
      </c>
    </row>
    <row r="710" spans="2:34" x14ac:dyDescent="0.2">
      <c r="B710" s="2">
        <f ca="1"/>
        <v>6.7717966808752861E-2</v>
      </c>
      <c r="O710" s="2">
        <f ca="1"/>
        <v>1.5104102345629729</v>
      </c>
      <c r="X710" s="2">
        <f ca="1"/>
        <v>53.092146571150494</v>
      </c>
      <c r="AG710" s="2">
        <f ca="1"/>
        <v>0.84383326143759252</v>
      </c>
      <c r="AH710" s="2" t="str">
        <f ca="1"/>
        <v>Bad</v>
      </c>
    </row>
    <row r="711" spans="2:34" x14ac:dyDescent="0.2">
      <c r="B711" s="2">
        <f ca="1"/>
        <v>0.39197542784773054</v>
      </c>
      <c r="O711" s="2">
        <f ca="1"/>
        <v>-0.49991501904474434</v>
      </c>
      <c r="X711" s="2">
        <f ca="1"/>
        <v>63.641320574667759</v>
      </c>
      <c r="AG711" s="2">
        <f ca="1"/>
        <v>0.96102384390053919</v>
      </c>
      <c r="AH711" s="2" t="str">
        <f ca="1"/>
        <v>Bad</v>
      </c>
    </row>
    <row r="712" spans="2:34" x14ac:dyDescent="0.2">
      <c r="B712" s="2">
        <f ca="1"/>
        <v>0.61220659594381299</v>
      </c>
      <c r="O712" s="2">
        <f ca="1"/>
        <v>0.36625288558779445</v>
      </c>
      <c r="X712" s="2">
        <f ca="1"/>
        <v>62.78275389609832</v>
      </c>
      <c r="AG712" s="2">
        <f ca="1"/>
        <v>0.42204482040769031</v>
      </c>
      <c r="AH712" s="2" t="str">
        <f ca="1"/>
        <v>Bad</v>
      </c>
    </row>
    <row r="713" spans="2:34" x14ac:dyDescent="0.2">
      <c r="B713" s="2">
        <f ca="1"/>
        <v>0.44803571073706006</v>
      </c>
      <c r="O713" s="2">
        <f ca="1"/>
        <v>-1.5156233190938042</v>
      </c>
      <c r="X713" s="2">
        <f ca="1"/>
        <v>113.01749380682141</v>
      </c>
      <c r="AG713" s="2">
        <f ca="1"/>
        <v>2.5308142814340462E-2</v>
      </c>
      <c r="AH713" s="2" t="str">
        <f ca="1"/>
        <v>Good</v>
      </c>
    </row>
    <row r="714" spans="2:34" x14ac:dyDescent="0.2">
      <c r="B714" s="2">
        <f ca="1"/>
        <v>0.72728705280822004</v>
      </c>
      <c r="O714" s="2">
        <f ca="1"/>
        <v>-1.9828827880398674</v>
      </c>
      <c r="X714" s="2">
        <f ca="1"/>
        <v>49.070900586534059</v>
      </c>
      <c r="AG714" s="2">
        <f ca="1"/>
        <v>0.3586224399507707</v>
      </c>
      <c r="AH714" s="2" t="str">
        <f ca="1"/>
        <v>OK</v>
      </c>
    </row>
    <row r="715" spans="2:34" x14ac:dyDescent="0.2">
      <c r="B715" s="2">
        <f ca="1"/>
        <v>0.10832203336136903</v>
      </c>
      <c r="O715" s="2">
        <f ca="1"/>
        <v>1.1015190002939323</v>
      </c>
      <c r="X715" s="2">
        <f ca="1"/>
        <v>61.527216096397808</v>
      </c>
      <c r="AG715" s="2">
        <f ca="1"/>
        <v>0.32288345858829692</v>
      </c>
      <c r="AH715" s="2" t="str">
        <f ca="1"/>
        <v>OK</v>
      </c>
    </row>
    <row r="716" spans="2:34" x14ac:dyDescent="0.2">
      <c r="B716" s="2">
        <f ca="1"/>
        <v>0.21184448103017095</v>
      </c>
      <c r="O716" s="2">
        <f ca="1"/>
        <v>-0.24609718523915231</v>
      </c>
      <c r="X716" s="2">
        <f ca="1"/>
        <v>33.211262028387324</v>
      </c>
      <c r="AG716" s="2">
        <f ca="1"/>
        <v>0.70683205996482412</v>
      </c>
      <c r="AH716" s="2" t="str">
        <f ca="1"/>
        <v>Bad</v>
      </c>
    </row>
    <row r="717" spans="2:34" x14ac:dyDescent="0.2">
      <c r="B717" s="2">
        <f ca="1"/>
        <v>0.40238864261218055</v>
      </c>
      <c r="O717" s="2">
        <f ca="1"/>
        <v>-0.66636156069466557</v>
      </c>
      <c r="X717" s="2">
        <f ca="1"/>
        <v>25.324183706575379</v>
      </c>
      <c r="AG717" s="2">
        <f ca="1"/>
        <v>1.1083536928721216E-2</v>
      </c>
      <c r="AH717" s="2" t="str">
        <f ca="1"/>
        <v>Good</v>
      </c>
    </row>
    <row r="718" spans="2:34" x14ac:dyDescent="0.2">
      <c r="B718" s="2">
        <f ca="1"/>
        <v>0.77255473081631676</v>
      </c>
      <c r="O718" s="2">
        <f ca="1"/>
        <v>-0.13325196588828145</v>
      </c>
      <c r="X718" s="2">
        <f ca="1"/>
        <v>40.826278784502605</v>
      </c>
      <c r="AG718" s="2">
        <f ca="1"/>
        <v>0.50401926832670929</v>
      </c>
      <c r="AH718" s="2" t="str">
        <f ca="1"/>
        <v>Bad</v>
      </c>
    </row>
    <row r="719" spans="2:34" x14ac:dyDescent="0.2">
      <c r="B719" s="2">
        <f ca="1"/>
        <v>0.8421449425466403</v>
      </c>
      <c r="O719" s="2">
        <f ca="1"/>
        <v>-1.9474890077574027</v>
      </c>
      <c r="X719" s="2">
        <f ca="1"/>
        <v>65.292929274908232</v>
      </c>
      <c r="AG719" s="2">
        <f ca="1"/>
        <v>0.68622431058496258</v>
      </c>
      <c r="AH719" s="2" t="str">
        <f ca="1"/>
        <v>Bad</v>
      </c>
    </row>
    <row r="720" spans="2:34" x14ac:dyDescent="0.2">
      <c r="B720" s="2">
        <f ca="1"/>
        <v>0.72372850793523336</v>
      </c>
      <c r="O720" s="2">
        <f ca="1"/>
        <v>1.0120670609349853</v>
      </c>
      <c r="X720" s="2">
        <f ca="1"/>
        <v>45.653790439777744</v>
      </c>
      <c r="AG720" s="2">
        <f ca="1"/>
        <v>0.71253122834522853</v>
      </c>
      <c r="AH720" s="2" t="str">
        <f ca="1"/>
        <v>Bad</v>
      </c>
    </row>
    <row r="721" spans="2:34" x14ac:dyDescent="0.2">
      <c r="B721" s="2">
        <f ca="1"/>
        <v>0.70094799702853172</v>
      </c>
      <c r="O721" s="2">
        <f ca="1"/>
        <v>1.5779428580964383</v>
      </c>
      <c r="X721" s="2">
        <f ca="1"/>
        <v>54.509834708590759</v>
      </c>
      <c r="AG721" s="2">
        <f ca="1"/>
        <v>0.48626532952568002</v>
      </c>
      <c r="AH721" s="2" t="str">
        <f ca="1"/>
        <v>Bad</v>
      </c>
    </row>
    <row r="722" spans="2:34" x14ac:dyDescent="0.2">
      <c r="B722" s="2">
        <f ca="1"/>
        <v>6.9005286654339137E-2</v>
      </c>
      <c r="O722" s="2">
        <f ca="1"/>
        <v>-0.19503829502906081</v>
      </c>
      <c r="X722" s="2">
        <f ca="1"/>
        <v>29.16660281549963</v>
      </c>
      <c r="AG722" s="2">
        <f ca="1"/>
        <v>0.63980722025100611</v>
      </c>
      <c r="AH722" s="2" t="str">
        <f ca="1"/>
        <v>Bad</v>
      </c>
    </row>
    <row r="723" spans="2:34" x14ac:dyDescent="0.2">
      <c r="B723" s="2">
        <f ca="1"/>
        <v>0.79368978825916514</v>
      </c>
      <c r="O723" s="2">
        <f ca="1"/>
        <v>-1.7161762844711361</v>
      </c>
      <c r="X723" s="2">
        <f ca="1"/>
        <v>52.045577486402337</v>
      </c>
      <c r="AG723" s="2">
        <f ca="1"/>
        <v>0.61509902830645968</v>
      </c>
      <c r="AH723" s="2" t="str">
        <f ca="1"/>
        <v>Bad</v>
      </c>
    </row>
    <row r="724" spans="2:34" x14ac:dyDescent="0.2">
      <c r="B724" s="2">
        <f ca="1"/>
        <v>0.81298051345265998</v>
      </c>
      <c r="O724" s="2">
        <f ca="1"/>
        <v>1.0062399240499873</v>
      </c>
      <c r="X724" s="2">
        <f ca="1"/>
        <v>41.845320707306243</v>
      </c>
      <c r="AG724" s="2">
        <f ca="1"/>
        <v>0.46634611796491643</v>
      </c>
      <c r="AH724" s="2" t="str">
        <f ca="1"/>
        <v>Bad</v>
      </c>
    </row>
    <row r="725" spans="2:34" x14ac:dyDescent="0.2">
      <c r="B725" s="2">
        <f ca="1"/>
        <v>0.16275464091160208</v>
      </c>
      <c r="O725" s="2">
        <f ca="1"/>
        <v>-0.66785494798441081</v>
      </c>
      <c r="X725" s="2">
        <f ca="1"/>
        <v>35.921713548758312</v>
      </c>
      <c r="AG725" s="2">
        <f ca="1"/>
        <v>0.53205551743952317</v>
      </c>
      <c r="AH725" s="2" t="str">
        <f ca="1"/>
        <v>Bad</v>
      </c>
    </row>
    <row r="726" spans="2:34" x14ac:dyDescent="0.2">
      <c r="B726" s="2">
        <f ca="1"/>
        <v>0.34063610842531622</v>
      </c>
      <c r="O726" s="2">
        <f ca="1"/>
        <v>-0.30480572216398577</v>
      </c>
      <c r="X726" s="2">
        <f ca="1"/>
        <v>48.489216180043719</v>
      </c>
      <c r="AG726" s="2">
        <f ca="1"/>
        <v>0.56280795589260113</v>
      </c>
      <c r="AH726" s="2" t="str">
        <f ca="1"/>
        <v>Bad</v>
      </c>
    </row>
    <row r="727" spans="2:34" x14ac:dyDescent="0.2">
      <c r="B727" s="2">
        <f ca="1"/>
        <v>0.37172232411451334</v>
      </c>
      <c r="O727" s="2">
        <f ca="1"/>
        <v>-0.10247812153550107</v>
      </c>
      <c r="X727" s="2">
        <f ca="1"/>
        <v>66.790889512676699</v>
      </c>
      <c r="AG727" s="2">
        <f ca="1"/>
        <v>0.94194196581157641</v>
      </c>
      <c r="AH727" s="2" t="str">
        <f ca="1"/>
        <v>Bad</v>
      </c>
    </row>
    <row r="728" spans="2:34" x14ac:dyDescent="0.2">
      <c r="B728" s="2">
        <f ca="1"/>
        <v>0.8003694965533994</v>
      </c>
      <c r="O728" s="2">
        <f ca="1"/>
        <v>-0.46233504239868711</v>
      </c>
      <c r="X728" s="2">
        <f ca="1"/>
        <v>83.636475130459885</v>
      </c>
      <c r="AG728" s="2">
        <f ca="1"/>
        <v>0.7082720104141278</v>
      </c>
      <c r="AH728" s="2" t="str">
        <f ca="1"/>
        <v>Bad</v>
      </c>
    </row>
    <row r="729" spans="2:34" x14ac:dyDescent="0.2">
      <c r="B729" s="2">
        <f ca="1"/>
        <v>0.6425720024917847</v>
      </c>
      <c r="O729" s="2">
        <f ca="1"/>
        <v>-1.4316179098180626</v>
      </c>
      <c r="X729" s="2">
        <f ca="1"/>
        <v>43.901783177511923</v>
      </c>
      <c r="AG729" s="2">
        <f ca="1"/>
        <v>0.6004987499400154</v>
      </c>
      <c r="AH729" s="2" t="str">
        <f ca="1"/>
        <v>Bad</v>
      </c>
    </row>
    <row r="730" spans="2:34" x14ac:dyDescent="0.2">
      <c r="B730" s="2">
        <f ca="1"/>
        <v>0.91101103124420013</v>
      </c>
      <c r="O730" s="2">
        <f ca="1"/>
        <v>-0.55424295747934593</v>
      </c>
      <c r="X730" s="2">
        <f ca="1"/>
        <v>29.809466903444033</v>
      </c>
      <c r="AG730" s="2">
        <f ca="1"/>
        <v>0.9490320158219141</v>
      </c>
      <c r="AH730" s="2" t="str">
        <f ca="1"/>
        <v>Bad</v>
      </c>
    </row>
    <row r="731" spans="2:34" x14ac:dyDescent="0.2">
      <c r="B731" s="2">
        <f ca="1"/>
        <v>0.49337989819346095</v>
      </c>
      <c r="O731" s="2">
        <f ca="1"/>
        <v>-0.68990288898476904</v>
      </c>
      <c r="X731" s="2">
        <f ca="1"/>
        <v>31.267518623388266</v>
      </c>
      <c r="AG731" s="2">
        <f ca="1"/>
        <v>0.36218215016827671</v>
      </c>
      <c r="AH731" s="2" t="str">
        <f ca="1"/>
        <v>OK</v>
      </c>
    </row>
    <row r="732" spans="2:34" x14ac:dyDescent="0.2">
      <c r="B732" s="2">
        <f ca="1"/>
        <v>0.19520550882689425</v>
      </c>
      <c r="O732" s="2">
        <f ca="1"/>
        <v>0.51972672380277007</v>
      </c>
      <c r="X732" s="2">
        <f ca="1"/>
        <v>50.653584699387871</v>
      </c>
      <c r="AG732" s="2">
        <f ca="1"/>
        <v>0.14785339659079888</v>
      </c>
      <c r="AH732" s="2" t="str">
        <f ca="1"/>
        <v>OK</v>
      </c>
    </row>
    <row r="733" spans="2:34" x14ac:dyDescent="0.2">
      <c r="B733" s="2">
        <f ca="1"/>
        <v>0.78832659346852485</v>
      </c>
      <c r="O733" s="2">
        <f ca="1"/>
        <v>-0.42136883942441927</v>
      </c>
      <c r="X733" s="2">
        <f ca="1"/>
        <v>55.29517911069896</v>
      </c>
      <c r="AG733" s="2">
        <f ca="1"/>
        <v>0.99645029110851868</v>
      </c>
      <c r="AH733" s="2" t="str">
        <f ca="1"/>
        <v>Bad</v>
      </c>
    </row>
    <row r="734" spans="2:34" x14ac:dyDescent="0.2">
      <c r="B734" s="2">
        <f ca="1"/>
        <v>7.6046088808019885E-2</v>
      </c>
      <c r="O734" s="2">
        <f ca="1"/>
        <v>2.8371914807266679E-2</v>
      </c>
      <c r="X734" s="2">
        <f ca="1"/>
        <v>37.869904456077592</v>
      </c>
      <c r="AG734" s="2">
        <f ca="1"/>
        <v>0.2299909628729897</v>
      </c>
      <c r="AH734" s="2" t="str">
        <f ca="1"/>
        <v>OK</v>
      </c>
    </row>
    <row r="735" spans="2:34" x14ac:dyDescent="0.2">
      <c r="B735" s="2">
        <f ca="1"/>
        <v>0.71037077035042384</v>
      </c>
      <c r="O735" s="2">
        <f ca="1"/>
        <v>-0.15735346369526684</v>
      </c>
      <c r="X735" s="2">
        <f ca="1"/>
        <v>52.072198525055612</v>
      </c>
      <c r="AG735" s="2">
        <f ca="1"/>
        <v>0.81779670850827801</v>
      </c>
      <c r="AH735" s="2" t="str">
        <f ca="1"/>
        <v>Bad</v>
      </c>
    </row>
    <row r="736" spans="2:34" x14ac:dyDescent="0.2">
      <c r="B736" s="2">
        <f ca="1"/>
        <v>0.30732419144886136</v>
      </c>
      <c r="O736" s="2">
        <f ca="1"/>
        <v>-0.58681192693633044</v>
      </c>
      <c r="X736" s="2">
        <f ca="1"/>
        <v>71.003471639081027</v>
      </c>
      <c r="AG736" s="2">
        <f ca="1"/>
        <v>0.10308587864789587</v>
      </c>
      <c r="AH736" s="2" t="str">
        <f ca="1"/>
        <v>OK</v>
      </c>
    </row>
    <row r="737" spans="2:34" x14ac:dyDescent="0.2">
      <c r="B737" s="2">
        <f ca="1"/>
        <v>0.75588586405907687</v>
      </c>
      <c r="O737" s="2">
        <f ca="1"/>
        <v>-0.42315968265557752</v>
      </c>
      <c r="X737" s="2">
        <f ca="1"/>
        <v>32.490549857554534</v>
      </c>
      <c r="AG737" s="2">
        <f ca="1"/>
        <v>0.19802950706241762</v>
      </c>
      <c r="AH737" s="2" t="str">
        <f ca="1"/>
        <v>OK</v>
      </c>
    </row>
    <row r="738" spans="2:34" x14ac:dyDescent="0.2">
      <c r="B738" s="2">
        <f ca="1"/>
        <v>0.12681464038575641</v>
      </c>
      <c r="O738" s="2">
        <f ca="1"/>
        <v>0.8824033235033476</v>
      </c>
      <c r="X738" s="2">
        <f ca="1"/>
        <v>73.512362749959934</v>
      </c>
      <c r="AG738" s="2">
        <f ca="1"/>
        <v>0.8794038161696891</v>
      </c>
      <c r="AH738" s="2" t="str">
        <f ca="1"/>
        <v>Bad</v>
      </c>
    </row>
    <row r="739" spans="2:34" x14ac:dyDescent="0.2">
      <c r="B739" s="2">
        <f ca="1"/>
        <v>0.86798432471980735</v>
      </c>
      <c r="O739" s="2">
        <f ca="1"/>
        <v>-0.63858110762373455</v>
      </c>
      <c r="X739" s="2">
        <f ca="1"/>
        <v>38.624139762424413</v>
      </c>
      <c r="AG739" s="2">
        <f ca="1"/>
        <v>0.71462346900449036</v>
      </c>
      <c r="AH739" s="2" t="str">
        <f ca="1"/>
        <v>Bad</v>
      </c>
    </row>
    <row r="740" spans="2:34" x14ac:dyDescent="0.2">
      <c r="B740" s="2">
        <f ca="1"/>
        <v>4.5047420780903291E-2</v>
      </c>
      <c r="O740" s="2">
        <f ca="1"/>
        <v>7.1607136923746956E-2</v>
      </c>
      <c r="X740" s="2">
        <f ca="1"/>
        <v>65.886241445008736</v>
      </c>
      <c r="AG740" s="2">
        <f ca="1"/>
        <v>0.40537142347705979</v>
      </c>
      <c r="AH740" s="2" t="str">
        <f ca="1"/>
        <v>Bad</v>
      </c>
    </row>
    <row r="741" spans="2:34" x14ac:dyDescent="0.2">
      <c r="B741" s="2">
        <f ca="1"/>
        <v>0.82791879950928604</v>
      </c>
      <c r="O741" s="2">
        <f ca="1"/>
        <v>1.4371284359397802</v>
      </c>
      <c r="X741" s="2">
        <f ca="1"/>
        <v>61.62162520187519</v>
      </c>
      <c r="AG741" s="2">
        <f ca="1"/>
        <v>0.62537346655496884</v>
      </c>
      <c r="AH741" s="2" t="str">
        <f ca="1"/>
        <v>Bad</v>
      </c>
    </row>
    <row r="742" spans="2:34" x14ac:dyDescent="0.2">
      <c r="B742" s="2">
        <f ca="1"/>
        <v>0.16998894357172478</v>
      </c>
      <c r="O742" s="2">
        <f ca="1"/>
        <v>0.24442656546768726</v>
      </c>
      <c r="X742" s="2">
        <f ca="1"/>
        <v>45.92942097759984</v>
      </c>
      <c r="AG742" s="2">
        <f ca="1"/>
        <v>0.24715231530572779</v>
      </c>
      <c r="AH742" s="2" t="str">
        <f ca="1"/>
        <v>OK</v>
      </c>
    </row>
    <row r="743" spans="2:34" x14ac:dyDescent="0.2">
      <c r="B743" s="2">
        <f ca="1"/>
        <v>0.68266976208475727</v>
      </c>
      <c r="O743" s="2">
        <f ca="1"/>
        <v>-0.18030717061278123</v>
      </c>
      <c r="X743" s="2">
        <f ca="1"/>
        <v>78.707163989127238</v>
      </c>
      <c r="AG743" s="2">
        <f ca="1"/>
        <v>0.60743499278733371</v>
      </c>
      <c r="AH743" s="2" t="str">
        <f ca="1"/>
        <v>Bad</v>
      </c>
    </row>
    <row r="744" spans="2:34" x14ac:dyDescent="0.2">
      <c r="B744" s="2">
        <f ca="1"/>
        <v>0.20085952087210934</v>
      </c>
      <c r="O744" s="2">
        <f ca="1"/>
        <v>-0.80552558766732585</v>
      </c>
      <c r="X744" s="2">
        <f ca="1"/>
        <v>31.058951254518931</v>
      </c>
      <c r="AG744" s="2">
        <f ca="1"/>
        <v>0.67808297310701948</v>
      </c>
      <c r="AH744" s="2" t="str">
        <f ca="1"/>
        <v>Bad</v>
      </c>
    </row>
    <row r="745" spans="2:34" x14ac:dyDescent="0.2">
      <c r="B745" s="2">
        <f ca="1"/>
        <v>0.87642275929574964</v>
      </c>
      <c r="O745" s="2">
        <f ca="1"/>
        <v>0.34122772149637398</v>
      </c>
      <c r="X745" s="2">
        <f ca="1"/>
        <v>28.17441261977871</v>
      </c>
      <c r="AG745" s="2">
        <f ca="1"/>
        <v>0.13471212151431611</v>
      </c>
      <c r="AH745" s="2" t="str">
        <f ca="1"/>
        <v>OK</v>
      </c>
    </row>
    <row r="746" spans="2:34" x14ac:dyDescent="0.2">
      <c r="B746" s="2">
        <f ca="1"/>
        <v>0.55644465247031438</v>
      </c>
      <c r="O746" s="2">
        <f ca="1"/>
        <v>0.54370582678992785</v>
      </c>
      <c r="X746" s="2">
        <f ca="1"/>
        <v>80.672657480575083</v>
      </c>
      <c r="AG746" s="2">
        <f ca="1"/>
        <v>0.89969795471471592</v>
      </c>
      <c r="AH746" s="2" t="str">
        <f ca="1"/>
        <v>Bad</v>
      </c>
    </row>
    <row r="747" spans="2:34" x14ac:dyDescent="0.2">
      <c r="B747" s="2">
        <f ca="1"/>
        <v>0.29882858745825902</v>
      </c>
      <c r="O747" s="2">
        <f ca="1"/>
        <v>-1.3431445090425653E-2</v>
      </c>
      <c r="X747" s="2">
        <f ca="1"/>
        <v>46.745245529681164</v>
      </c>
      <c r="AG747" s="2">
        <f ca="1"/>
        <v>0.99700111515539924</v>
      </c>
      <c r="AH747" s="2" t="str">
        <f ca="1"/>
        <v>Bad</v>
      </c>
    </row>
    <row r="748" spans="2:34" x14ac:dyDescent="0.2">
      <c r="B748" s="2">
        <f ca="1"/>
        <v>0.81342546915298897</v>
      </c>
      <c r="O748" s="2">
        <f ca="1"/>
        <v>5.9038454673622703E-2</v>
      </c>
      <c r="X748" s="2">
        <f ca="1"/>
        <v>59.903217796706841</v>
      </c>
      <c r="AG748" s="2">
        <f ca="1"/>
        <v>4.1244225962456582E-2</v>
      </c>
      <c r="AH748" s="2" t="str">
        <f ca="1"/>
        <v>Good</v>
      </c>
    </row>
    <row r="749" spans="2:34" x14ac:dyDescent="0.2">
      <c r="B749" s="2">
        <f ca="1"/>
        <v>7.0084729507641219E-2</v>
      </c>
      <c r="O749" s="2">
        <f ca="1"/>
        <v>-0.80234933425102495</v>
      </c>
      <c r="X749" s="2">
        <f ca="1"/>
        <v>50.514876910164325</v>
      </c>
      <c r="AG749" s="2">
        <f ca="1"/>
        <v>0.13862368413669879</v>
      </c>
      <c r="AH749" s="2" t="str">
        <f ca="1"/>
        <v>OK</v>
      </c>
    </row>
    <row r="750" spans="2:34" x14ac:dyDescent="0.2">
      <c r="B750" s="2">
        <f ca="1"/>
        <v>0.75082796207621838</v>
      </c>
      <c r="O750" s="2">
        <f ca="1"/>
        <v>2.1835803407583918</v>
      </c>
      <c r="X750" s="2">
        <f ca="1"/>
        <v>82.197153027722749</v>
      </c>
      <c r="AG750" s="2">
        <f ca="1"/>
        <v>0.90062627993606315</v>
      </c>
      <c r="AH750" s="2" t="str">
        <f ca="1"/>
        <v>Bad</v>
      </c>
    </row>
    <row r="751" spans="2:34" x14ac:dyDescent="0.2">
      <c r="B751" s="2">
        <f ca="1"/>
        <v>0.5833275930113877</v>
      </c>
      <c r="O751" s="2">
        <f ca="1"/>
        <v>0.11087769429499833</v>
      </c>
      <c r="X751" s="2">
        <f ca="1"/>
        <v>49.622089204486684</v>
      </c>
      <c r="AG751" s="2">
        <f ca="1"/>
        <v>0.92530340907246744</v>
      </c>
      <c r="AH751" s="2" t="str">
        <f ca="1"/>
        <v>Bad</v>
      </c>
    </row>
    <row r="752" spans="2:34" x14ac:dyDescent="0.2">
      <c r="B752" s="2">
        <f ca="1"/>
        <v>0.39801083288917138</v>
      </c>
      <c r="O752" s="2">
        <f ca="1"/>
        <v>0.33542525863756756</v>
      </c>
      <c r="X752" s="2">
        <f ca="1"/>
        <v>40.280978629934559</v>
      </c>
      <c r="AG752" s="2">
        <f ca="1"/>
        <v>0.47804747336746023</v>
      </c>
      <c r="AH752" s="2" t="str">
        <f ca="1"/>
        <v>Bad</v>
      </c>
    </row>
    <row r="753" spans="2:34" x14ac:dyDescent="0.2">
      <c r="B753" s="2">
        <f ca="1"/>
        <v>0.53386003796178483</v>
      </c>
      <c r="O753" s="2">
        <f ca="1"/>
        <v>-1.0749622214926531</v>
      </c>
      <c r="X753" s="2">
        <f ca="1"/>
        <v>48.800360707782588</v>
      </c>
      <c r="AG753" s="2">
        <f ca="1"/>
        <v>0.19628728588922995</v>
      </c>
      <c r="AH753" s="2" t="str">
        <f ca="1"/>
        <v>OK</v>
      </c>
    </row>
    <row r="754" spans="2:34" x14ac:dyDescent="0.2">
      <c r="B754" s="2">
        <f ca="1"/>
        <v>0.7441057261245505</v>
      </c>
      <c r="O754" s="2">
        <f ca="1"/>
        <v>0.14013507328284919</v>
      </c>
      <c r="X754" s="2">
        <f ca="1"/>
        <v>48.788167241171649</v>
      </c>
      <c r="AG754" s="2">
        <f ca="1"/>
        <v>0.61549777557529461</v>
      </c>
      <c r="AH754" s="2" t="str">
        <f ca="1"/>
        <v>Bad</v>
      </c>
    </row>
    <row r="755" spans="2:34" x14ac:dyDescent="0.2">
      <c r="B755" s="2">
        <f ca="1"/>
        <v>0.67178278761646659</v>
      </c>
      <c r="O755" s="2">
        <f ca="1"/>
        <v>0.51815256660621611</v>
      </c>
      <c r="X755" s="2">
        <f ca="1"/>
        <v>39.82506256924917</v>
      </c>
      <c r="AG755" s="2">
        <f ca="1"/>
        <v>0.36418007571082001</v>
      </c>
      <c r="AH755" s="2" t="str">
        <f ca="1"/>
        <v>OK</v>
      </c>
    </row>
    <row r="756" spans="2:34" x14ac:dyDescent="0.2">
      <c r="B756" s="2">
        <f ca="1"/>
        <v>0.31399282756740576</v>
      </c>
      <c r="O756" s="2">
        <f ca="1"/>
        <v>0.70550388875403647</v>
      </c>
      <c r="X756" s="2">
        <f ca="1"/>
        <v>29.146725909780997</v>
      </c>
      <c r="AG756" s="2">
        <f ca="1"/>
        <v>0.89688303500628064</v>
      </c>
      <c r="AH756" s="2" t="str">
        <f ca="1"/>
        <v>Bad</v>
      </c>
    </row>
    <row r="757" spans="2:34" x14ac:dyDescent="0.2">
      <c r="B757" s="2">
        <f ca="1"/>
        <v>0.2218943245331455</v>
      </c>
      <c r="O757" s="2">
        <f ca="1"/>
        <v>-0.87195865912453874</v>
      </c>
      <c r="X757" s="2">
        <f ca="1"/>
        <v>37.216108566608305</v>
      </c>
      <c r="AG757" s="2">
        <f ca="1"/>
        <v>0.58783246121109989</v>
      </c>
      <c r="AH757" s="2" t="str">
        <f ca="1"/>
        <v>Bad</v>
      </c>
    </row>
    <row r="758" spans="2:34" x14ac:dyDescent="0.2">
      <c r="B758" s="2">
        <f ca="1"/>
        <v>0.8175019745442329</v>
      </c>
      <c r="O758" s="2">
        <f ca="1"/>
        <v>1.2024301734201872</v>
      </c>
      <c r="X758" s="2">
        <f ca="1"/>
        <v>44.926011168030172</v>
      </c>
      <c r="AG758" s="2">
        <f ca="1"/>
        <v>0.72393098020018209</v>
      </c>
      <c r="AH758" s="2" t="str">
        <f ca="1"/>
        <v>Bad</v>
      </c>
    </row>
    <row r="759" spans="2:34" x14ac:dyDescent="0.2">
      <c r="B759" s="2">
        <f ca="1"/>
        <v>0.7790537316777868</v>
      </c>
      <c r="O759" s="2">
        <f ca="1"/>
        <v>0.14819722638881846</v>
      </c>
      <c r="X759" s="2">
        <f ca="1"/>
        <v>53.035806898283802</v>
      </c>
      <c r="AG759" s="2">
        <f ca="1"/>
        <v>0.15730474791058513</v>
      </c>
      <c r="AH759" s="2" t="str">
        <f ca="1"/>
        <v>OK</v>
      </c>
    </row>
    <row r="760" spans="2:34" x14ac:dyDescent="0.2">
      <c r="B760" s="2">
        <f ca="1"/>
        <v>0.21264707848277631</v>
      </c>
      <c r="O760" s="2">
        <f ca="1"/>
        <v>0.34288222268785012</v>
      </c>
      <c r="X760" s="2">
        <f ca="1"/>
        <v>53.082465668868807</v>
      </c>
      <c r="AG760" s="2">
        <f ca="1"/>
        <v>0.3638947214615198</v>
      </c>
      <c r="AH760" s="2" t="str">
        <f ca="1"/>
        <v>OK</v>
      </c>
    </row>
    <row r="761" spans="2:34" x14ac:dyDescent="0.2">
      <c r="B761" s="2">
        <f ca="1"/>
        <v>0.64527041710794819</v>
      </c>
      <c r="O761" s="2">
        <f ca="1"/>
        <v>1.3406534778538026</v>
      </c>
      <c r="X761" s="2">
        <f ca="1"/>
        <v>49.922376819336748</v>
      </c>
      <c r="AG761" s="2">
        <f ca="1"/>
        <v>0.17407262514697974</v>
      </c>
      <c r="AH761" s="2" t="str">
        <f ca="1"/>
        <v>OK</v>
      </c>
    </row>
    <row r="762" spans="2:34" x14ac:dyDescent="0.2">
      <c r="B762" s="2">
        <f ca="1"/>
        <v>9.1857825992573083E-2</v>
      </c>
      <c r="O762" s="2">
        <f ca="1"/>
        <v>-0.20274601846561799</v>
      </c>
      <c r="X762" s="2">
        <f ca="1"/>
        <v>52.591894226075347</v>
      </c>
      <c r="AG762" s="2">
        <f ca="1"/>
        <v>6.8173261962786613E-2</v>
      </c>
      <c r="AH762" s="2" t="str">
        <f ca="1"/>
        <v>OK</v>
      </c>
    </row>
    <row r="763" spans="2:34" x14ac:dyDescent="0.2">
      <c r="B763" s="2">
        <f ca="1"/>
        <v>0.80665780484888039</v>
      </c>
      <c r="O763" s="2">
        <f ca="1"/>
        <v>0.11195383196746024</v>
      </c>
      <c r="X763" s="2">
        <f ca="1"/>
        <v>46.012624692859418</v>
      </c>
      <c r="AG763" s="2">
        <f ca="1"/>
        <v>0.17776471766399404</v>
      </c>
      <c r="AH763" s="2" t="str">
        <f ca="1"/>
        <v>OK</v>
      </c>
    </row>
    <row r="764" spans="2:34" x14ac:dyDescent="0.2">
      <c r="B764" s="2">
        <f ca="1"/>
        <v>4.2706458256300595E-2</v>
      </c>
      <c r="O764" s="2">
        <f ca="1"/>
        <v>-0.2330984008266522</v>
      </c>
      <c r="X764" s="2">
        <f ca="1"/>
        <v>59.154727644215505</v>
      </c>
      <c r="AG764" s="2">
        <f ca="1"/>
        <v>0.2660964237985286</v>
      </c>
      <c r="AH764" s="2" t="str">
        <f ca="1"/>
        <v>OK</v>
      </c>
    </row>
    <row r="765" spans="2:34" x14ac:dyDescent="0.2">
      <c r="B765" s="2">
        <f ca="1"/>
        <v>0.81786384000000312</v>
      </c>
      <c r="O765" s="2">
        <f ca="1"/>
        <v>0.12941402170792521</v>
      </c>
      <c r="X765" s="2">
        <f ca="1"/>
        <v>55.58668923507782</v>
      </c>
      <c r="AG765" s="2">
        <f ca="1"/>
        <v>0.59844452968811512</v>
      </c>
      <c r="AH765" s="2" t="str">
        <f ca="1"/>
        <v>Bad</v>
      </c>
    </row>
    <row r="766" spans="2:34" x14ac:dyDescent="0.2">
      <c r="B766" s="2">
        <f ca="1"/>
        <v>0.23865541203443463</v>
      </c>
      <c r="O766" s="2">
        <f ca="1"/>
        <v>-1.4371571625000912</v>
      </c>
      <c r="X766" s="2">
        <f ca="1"/>
        <v>40.861944001049892</v>
      </c>
      <c r="AG766" s="2">
        <f ca="1"/>
        <v>0.70659997812894271</v>
      </c>
      <c r="AH766" s="2" t="str">
        <f ca="1"/>
        <v>Bad</v>
      </c>
    </row>
    <row r="767" spans="2:34" x14ac:dyDescent="0.2">
      <c r="B767" s="2">
        <f ca="1"/>
        <v>0.22544292494035623</v>
      </c>
      <c r="O767" s="2">
        <f ca="1"/>
        <v>-0.23742592283147326</v>
      </c>
      <c r="X767" s="2">
        <f ca="1"/>
        <v>82.174549827023796</v>
      </c>
      <c r="AG767" s="2">
        <f ca="1"/>
        <v>0.45402426522891948</v>
      </c>
      <c r="AH767" s="2" t="str">
        <f ca="1"/>
        <v>Bad</v>
      </c>
    </row>
    <row r="768" spans="2:34" x14ac:dyDescent="0.2">
      <c r="B768" s="2">
        <f ca="1"/>
        <v>0.31038541672515585</v>
      </c>
      <c r="O768" s="2">
        <f ca="1"/>
        <v>1.013276788738543</v>
      </c>
      <c r="X768" s="2">
        <f ca="1"/>
        <v>51.613505232793429</v>
      </c>
      <c r="AG768" s="2">
        <f ca="1"/>
        <v>1.2204902421748098E-2</v>
      </c>
      <c r="AH768" s="2" t="str">
        <f ca="1"/>
        <v>Good</v>
      </c>
    </row>
    <row r="769" spans="2:34" x14ac:dyDescent="0.2">
      <c r="B769" s="2">
        <f ca="1"/>
        <v>0.40208439781458516</v>
      </c>
      <c r="O769" s="2">
        <f ca="1"/>
        <v>-0.11623315584694167</v>
      </c>
      <c r="X769" s="2">
        <f ca="1"/>
        <v>46.844700532098145</v>
      </c>
      <c r="AG769" s="2">
        <f ca="1"/>
        <v>0.31774379491997529</v>
      </c>
      <c r="AH769" s="2" t="str">
        <f ca="1"/>
        <v>OK</v>
      </c>
    </row>
    <row r="770" spans="2:34" x14ac:dyDescent="0.2">
      <c r="B770" s="2">
        <f ca="1"/>
        <v>0.31802057493974667</v>
      </c>
      <c r="O770" s="2">
        <f ca="1"/>
        <v>0.74917453742010198</v>
      </c>
      <c r="X770" s="2">
        <f ca="1"/>
        <v>48.910306839642459</v>
      </c>
      <c r="AG770" s="2">
        <f ca="1"/>
        <v>0.66680992340807399</v>
      </c>
      <c r="AH770" s="2" t="str">
        <f ca="1"/>
        <v>Bad</v>
      </c>
    </row>
    <row r="771" spans="2:34" x14ac:dyDescent="0.2">
      <c r="B771" s="2">
        <f ca="1"/>
        <v>0.25253917446158325</v>
      </c>
      <c r="O771" s="2">
        <f ca="1"/>
        <v>-9.1303965507937582E-2</v>
      </c>
      <c r="X771" s="2">
        <f ca="1"/>
        <v>25.50080876706884</v>
      </c>
      <c r="AG771" s="2">
        <f ca="1"/>
        <v>0.34013544850530941</v>
      </c>
      <c r="AH771" s="2" t="str">
        <f ca="1"/>
        <v>OK</v>
      </c>
    </row>
    <row r="772" spans="2:34" x14ac:dyDescent="0.2">
      <c r="B772" s="2">
        <f ca="1"/>
        <v>0.45153565731009393</v>
      </c>
      <c r="O772" s="2">
        <f ca="1"/>
        <v>-2.0959252474221705E-2</v>
      </c>
      <c r="X772" s="2">
        <f ca="1"/>
        <v>75.570769667900208</v>
      </c>
      <c r="AG772" s="2">
        <f ca="1"/>
        <v>0.54510545578296821</v>
      </c>
      <c r="AH772" s="2" t="str">
        <f ca="1"/>
        <v>Bad</v>
      </c>
    </row>
    <row r="773" spans="2:34" x14ac:dyDescent="0.2">
      <c r="B773" s="2">
        <f ca="1"/>
        <v>0.58460230149945902</v>
      </c>
      <c r="O773" s="2">
        <f ca="1"/>
        <v>-1.1011424927005462</v>
      </c>
      <c r="X773" s="2">
        <f ca="1"/>
        <v>37.738913288514155</v>
      </c>
      <c r="AG773" s="2">
        <f ca="1"/>
        <v>0.42832001017044097</v>
      </c>
      <c r="AH773" s="2" t="str">
        <f ca="1"/>
        <v>Bad</v>
      </c>
    </row>
    <row r="774" spans="2:34" x14ac:dyDescent="0.2">
      <c r="B774" s="2">
        <f ca="1"/>
        <v>0.35099412911823014</v>
      </c>
      <c r="O774" s="2">
        <f ca="1"/>
        <v>0.30462337142522289</v>
      </c>
      <c r="X774" s="2">
        <f ca="1"/>
        <v>56.595032276187574</v>
      </c>
      <c r="AG774" s="2">
        <f ca="1"/>
        <v>0.21650634447024886</v>
      </c>
      <c r="AH774" s="2" t="str">
        <f ca="1"/>
        <v>OK</v>
      </c>
    </row>
    <row r="775" spans="2:34" x14ac:dyDescent="0.2">
      <c r="B775" s="2">
        <f ca="1"/>
        <v>0.82000639617182447</v>
      </c>
      <c r="O775" s="2">
        <f ca="1"/>
        <v>-0.49219101545552668</v>
      </c>
      <c r="X775" s="2">
        <f ca="1"/>
        <v>38.048103368340591</v>
      </c>
      <c r="AG775" s="2">
        <f ca="1"/>
        <v>4.2808272991718965E-3</v>
      </c>
      <c r="AH775" s="2" t="str">
        <f ca="1"/>
        <v>Good</v>
      </c>
    </row>
    <row r="776" spans="2:34" x14ac:dyDescent="0.2">
      <c r="B776" s="2">
        <f ca="1"/>
        <v>0.21230339406516885</v>
      </c>
      <c r="O776" s="2">
        <f ca="1"/>
        <v>1.7344447499711797</v>
      </c>
      <c r="X776" s="2">
        <f ca="1"/>
        <v>26.612464627811498</v>
      </c>
      <c r="AG776" s="2">
        <f ca="1"/>
        <v>2.5743365329562673E-2</v>
      </c>
      <c r="AH776" s="2" t="str">
        <f ca="1"/>
        <v>Good</v>
      </c>
    </row>
    <row r="777" spans="2:34" x14ac:dyDescent="0.2">
      <c r="B777" s="2">
        <f ca="1"/>
        <v>0.27220994683139055</v>
      </c>
      <c r="O777" s="2">
        <f ca="1"/>
        <v>-1.4823662738096135</v>
      </c>
      <c r="X777" s="2">
        <f ca="1"/>
        <v>27.324540632837074</v>
      </c>
      <c r="AG777" s="2">
        <f ca="1"/>
        <v>5.0272705365736803E-2</v>
      </c>
      <c r="AH777" s="2" t="str">
        <f ca="1"/>
        <v>OK</v>
      </c>
    </row>
    <row r="778" spans="2:34" x14ac:dyDescent="0.2">
      <c r="B778" s="2">
        <f ca="1"/>
        <v>0.26232176968535681</v>
      </c>
      <c r="O778" s="2">
        <f ca="1"/>
        <v>0.46258518063001636</v>
      </c>
      <c r="X778" s="2">
        <f ca="1"/>
        <v>65.083509406918253</v>
      </c>
      <c r="AG778" s="2">
        <f ca="1"/>
        <v>0.4513508182109196</v>
      </c>
      <c r="AH778" s="2" t="str">
        <f ca="1"/>
        <v>Bad</v>
      </c>
    </row>
    <row r="779" spans="2:34" x14ac:dyDescent="0.2">
      <c r="B779" s="2">
        <f ca="1"/>
        <v>0.65972659179147253</v>
      </c>
      <c r="O779" s="2">
        <f ca="1"/>
        <v>-0.3343543623509404</v>
      </c>
      <c r="X779" s="2">
        <f ca="1"/>
        <v>57.634987529000085</v>
      </c>
      <c r="AG779" s="2">
        <f ca="1"/>
        <v>0.16786264251227623</v>
      </c>
      <c r="AH779" s="2" t="str">
        <f ca="1"/>
        <v>OK</v>
      </c>
    </row>
    <row r="780" spans="2:34" x14ac:dyDescent="0.2">
      <c r="B780" s="2">
        <f ca="1"/>
        <v>9.0978115563953299E-2</v>
      </c>
      <c r="O780" s="2">
        <f ca="1"/>
        <v>8.9123808630186763E-2</v>
      </c>
      <c r="X780" s="2">
        <f ca="1"/>
        <v>43.173671449948188</v>
      </c>
      <c r="AG780" s="2">
        <f ca="1"/>
        <v>0.76623487017487935</v>
      </c>
      <c r="AH780" s="2" t="str">
        <f ca="1"/>
        <v>Bad</v>
      </c>
    </row>
    <row r="781" spans="2:34" x14ac:dyDescent="0.2">
      <c r="B781" s="2">
        <f ca="1"/>
        <v>0.52453774469046288</v>
      </c>
      <c r="O781" s="2">
        <f ca="1"/>
        <v>-1.0402241161098165</v>
      </c>
      <c r="X781" s="2">
        <f ca="1"/>
        <v>63.638299098774418</v>
      </c>
      <c r="AG781" s="2">
        <f ca="1"/>
        <v>0.74852700776074199</v>
      </c>
      <c r="AH781" s="2" t="str">
        <f ca="1"/>
        <v>Bad</v>
      </c>
    </row>
    <row r="782" spans="2:34" x14ac:dyDescent="0.2">
      <c r="B782" s="2">
        <f ca="1"/>
        <v>0.12481150843551081</v>
      </c>
      <c r="O782" s="2">
        <f ca="1"/>
        <v>0.9231552690951963</v>
      </c>
      <c r="X782" s="2">
        <f ca="1"/>
        <v>55.580621105452117</v>
      </c>
      <c r="AG782" s="2">
        <f ca="1"/>
        <v>0.46087122039544171</v>
      </c>
      <c r="AH782" s="2" t="str">
        <f ca="1"/>
        <v>Bad</v>
      </c>
    </row>
    <row r="783" spans="2:34" x14ac:dyDescent="0.2">
      <c r="B783" s="2">
        <f ca="1"/>
        <v>0.67720090766039509</v>
      </c>
      <c r="O783" s="2">
        <f ca="1"/>
        <v>0.47041167719214122</v>
      </c>
      <c r="X783" s="2">
        <f ca="1"/>
        <v>70.093953243407199</v>
      </c>
      <c r="AG783" s="2">
        <f ca="1"/>
        <v>0.4837076106958067</v>
      </c>
      <c r="AH783" s="2" t="str">
        <f ca="1"/>
        <v>Bad</v>
      </c>
    </row>
    <row r="784" spans="2:34" x14ac:dyDescent="0.2">
      <c r="B784" s="2">
        <f ca="1"/>
        <v>0.2558218959020464</v>
      </c>
      <c r="O784" s="2">
        <f ca="1"/>
        <v>-0.55696280440704615</v>
      </c>
      <c r="X784" s="2">
        <f ca="1"/>
        <v>60.141630260704709</v>
      </c>
      <c r="AG784" s="2">
        <f ca="1"/>
        <v>0.52531601756361979</v>
      </c>
      <c r="AH784" s="2" t="str">
        <f ca="1"/>
        <v>Bad</v>
      </c>
    </row>
    <row r="785" spans="2:34" x14ac:dyDescent="0.2">
      <c r="B785" s="2">
        <f ca="1"/>
        <v>0.31470488807207708</v>
      </c>
      <c r="O785" s="2">
        <f ca="1"/>
        <v>-0.75857148119334794</v>
      </c>
      <c r="X785" s="2">
        <f ca="1"/>
        <v>65.060319002660577</v>
      </c>
      <c r="AG785" s="2">
        <f ca="1"/>
        <v>0.89254470109619066</v>
      </c>
      <c r="AH785" s="2" t="str">
        <f ca="1"/>
        <v>Bad</v>
      </c>
    </row>
    <row r="786" spans="2:34" x14ac:dyDescent="0.2">
      <c r="B786" s="2">
        <f ca="1"/>
        <v>0.72180135742783613</v>
      </c>
      <c r="O786" s="2">
        <f ca="1"/>
        <v>-2.7493306078412765</v>
      </c>
      <c r="X786" s="2">
        <f ca="1"/>
        <v>29.41337831985496</v>
      </c>
      <c r="AG786" s="2">
        <f ca="1"/>
        <v>0.16873031507837188</v>
      </c>
      <c r="AH786" s="2" t="str">
        <f ca="1"/>
        <v>OK</v>
      </c>
    </row>
    <row r="787" spans="2:34" x14ac:dyDescent="0.2">
      <c r="B787" s="2">
        <f ca="1"/>
        <v>0.64110820037414284</v>
      </c>
      <c r="O787" s="2">
        <f ca="1"/>
        <v>-4.0013005209141514E-2</v>
      </c>
      <c r="X787" s="2">
        <f ca="1"/>
        <v>26.227142982823271</v>
      </c>
      <c r="AG787" s="2">
        <f ca="1"/>
        <v>1.3146083594363089E-2</v>
      </c>
      <c r="AH787" s="2" t="str">
        <f ca="1"/>
        <v>Good</v>
      </c>
    </row>
    <row r="788" spans="2:34" x14ac:dyDescent="0.2">
      <c r="B788" s="2">
        <f ca="1"/>
        <v>0.99251651965005872</v>
      </c>
      <c r="O788" s="2">
        <f ca="1"/>
        <v>0.85138925395581444</v>
      </c>
      <c r="X788" s="2">
        <f ca="1"/>
        <v>38.309796290753383</v>
      </c>
      <c r="AG788" s="2">
        <f ca="1"/>
        <v>0.46839854381571899</v>
      </c>
      <c r="AH788" s="2" t="str">
        <f ca="1"/>
        <v>Bad</v>
      </c>
    </row>
    <row r="789" spans="2:34" x14ac:dyDescent="0.2">
      <c r="B789" s="2">
        <f ca="1"/>
        <v>0.1520447689628035</v>
      </c>
      <c r="O789" s="2">
        <f ca="1"/>
        <v>-1.4420060830785741</v>
      </c>
      <c r="X789" s="2">
        <f ca="1"/>
        <v>53.359149786408338</v>
      </c>
      <c r="AG789" s="2">
        <f ca="1"/>
        <v>0.21410275058861794</v>
      </c>
      <c r="AH789" s="2" t="str">
        <f ca="1"/>
        <v>OK</v>
      </c>
    </row>
    <row r="790" spans="2:34" x14ac:dyDescent="0.2">
      <c r="B790" s="2">
        <f ca="1"/>
        <v>0.81788797927133383</v>
      </c>
      <c r="O790" s="2">
        <f ca="1"/>
        <v>-0.90886311474620096</v>
      </c>
      <c r="X790" s="2">
        <f ca="1"/>
        <v>34.181191789007606</v>
      </c>
      <c r="AG790" s="2">
        <f ca="1"/>
        <v>0.18023820054556894</v>
      </c>
      <c r="AH790" s="2" t="str">
        <f ca="1"/>
        <v>OK</v>
      </c>
    </row>
    <row r="791" spans="2:34" x14ac:dyDescent="0.2">
      <c r="B791" s="2">
        <f ca="1"/>
        <v>0.74968429222058997</v>
      </c>
      <c r="O791" s="2">
        <f ca="1"/>
        <v>1.2590007921996891</v>
      </c>
      <c r="X791" s="2">
        <f ca="1"/>
        <v>51.554453543357752</v>
      </c>
      <c r="AG791" s="2">
        <f ca="1"/>
        <v>6.7557677982376108E-2</v>
      </c>
      <c r="AH791" s="2" t="str">
        <f ca="1"/>
        <v>OK</v>
      </c>
    </row>
    <row r="792" spans="2:34" x14ac:dyDescent="0.2">
      <c r="B792" s="2">
        <f ca="1"/>
        <v>0.48993207262928196</v>
      </c>
      <c r="O792" s="2">
        <f ca="1"/>
        <v>-0.38204396691778497</v>
      </c>
      <c r="X792" s="2">
        <f ca="1"/>
        <v>58.505128299147955</v>
      </c>
      <c r="AG792" s="2">
        <f ca="1"/>
        <v>0.83174394537880958</v>
      </c>
      <c r="AH792" s="2" t="str">
        <f ca="1"/>
        <v>Bad</v>
      </c>
    </row>
    <row r="793" spans="2:34" x14ac:dyDescent="0.2">
      <c r="B793" s="2">
        <f ca="1"/>
        <v>0.21476164277315002</v>
      </c>
      <c r="O793" s="2">
        <f ca="1"/>
        <v>1.2779701285910705</v>
      </c>
      <c r="X793" s="2">
        <f ca="1"/>
        <v>45.955667528638998</v>
      </c>
      <c r="AG793" s="2">
        <f ca="1"/>
        <v>0.48838169399441278</v>
      </c>
      <c r="AH793" s="2" t="str">
        <f ca="1"/>
        <v>Bad</v>
      </c>
    </row>
    <row r="794" spans="2:34" x14ac:dyDescent="0.2">
      <c r="B794" s="2">
        <f ca="1"/>
        <v>7.2043865275535302E-2</v>
      </c>
      <c r="O794" s="2">
        <f ca="1"/>
        <v>-0.41133455924556528</v>
      </c>
      <c r="X794" s="2">
        <f ca="1"/>
        <v>82.163073435107464</v>
      </c>
      <c r="AG794" s="2">
        <f ca="1"/>
        <v>0.86020466519835059</v>
      </c>
      <c r="AH794" s="2" t="str">
        <f ca="1"/>
        <v>Bad</v>
      </c>
    </row>
    <row r="795" spans="2:34" x14ac:dyDescent="0.2">
      <c r="B795" s="2">
        <f ca="1"/>
        <v>0.12151104911064103</v>
      </c>
      <c r="O795" s="2">
        <f ca="1"/>
        <v>0.63328372605054795</v>
      </c>
      <c r="X795" s="2">
        <f ca="1"/>
        <v>38.264957461732344</v>
      </c>
      <c r="AG795" s="2">
        <f ca="1"/>
        <v>0.17482195824961022</v>
      </c>
      <c r="AH795" s="2" t="str">
        <f ca="1"/>
        <v>OK</v>
      </c>
    </row>
    <row r="796" spans="2:34" x14ac:dyDescent="0.2">
      <c r="B796" s="2">
        <f ca="1"/>
        <v>0.92354098751115865</v>
      </c>
      <c r="O796" s="2">
        <f ca="1"/>
        <v>-0.98144202126033875</v>
      </c>
      <c r="X796" s="2">
        <f ca="1"/>
        <v>42.946962241108452</v>
      </c>
      <c r="AG796" s="2">
        <f ca="1"/>
        <v>0.39082189825314262</v>
      </c>
      <c r="AH796" s="2" t="str">
        <f ca="1"/>
        <v>OK</v>
      </c>
    </row>
    <row r="797" spans="2:34" x14ac:dyDescent="0.2">
      <c r="B797" s="2">
        <f ca="1"/>
        <v>0.75524897665630464</v>
      </c>
      <c r="O797" s="2">
        <f ca="1"/>
        <v>1.1744481402208244</v>
      </c>
      <c r="X797" s="2">
        <f ca="1"/>
        <v>49.423357284055911</v>
      </c>
      <c r="AG797" s="2">
        <f ca="1"/>
        <v>0.59271237827878287</v>
      </c>
      <c r="AH797" s="2" t="str">
        <f ca="1"/>
        <v>Bad</v>
      </c>
    </row>
    <row r="798" spans="2:34" x14ac:dyDescent="0.2">
      <c r="B798" s="2">
        <f ca="1"/>
        <v>0.45873117220149839</v>
      </c>
      <c r="O798" s="2">
        <f ca="1"/>
        <v>-0.13382245940876455</v>
      </c>
      <c r="X798" s="2">
        <f ca="1"/>
        <v>52.509811340341713</v>
      </c>
      <c r="AG798" s="2">
        <f ca="1"/>
        <v>0.54198773876765594</v>
      </c>
      <c r="AH798" s="2" t="str">
        <f ca="1"/>
        <v>Bad</v>
      </c>
    </row>
    <row r="799" spans="2:34" x14ac:dyDescent="0.2">
      <c r="B799" s="2">
        <f ca="1"/>
        <v>0.68398645690957816</v>
      </c>
      <c r="O799" s="2">
        <f ca="1"/>
        <v>1.94471650402925</v>
      </c>
      <c r="X799" s="2">
        <f ca="1"/>
        <v>47.508638418240736</v>
      </c>
      <c r="AG799" s="2">
        <f ca="1"/>
        <v>0.59018151061401625</v>
      </c>
      <c r="AH799" s="2" t="str">
        <f ca="1"/>
        <v>Bad</v>
      </c>
    </row>
    <row r="800" spans="2:34" x14ac:dyDescent="0.2">
      <c r="B800" s="2">
        <f ca="1"/>
        <v>0.42378500054228829</v>
      </c>
      <c r="O800" s="2">
        <f ca="1"/>
        <v>7.5515478591098834E-2</v>
      </c>
      <c r="X800" s="2">
        <f ca="1"/>
        <v>40.668296739760621</v>
      </c>
      <c r="AG800" s="2">
        <f ca="1"/>
        <v>0.75022137931820665</v>
      </c>
      <c r="AH800" s="2" t="str">
        <f ca="1"/>
        <v>Bad</v>
      </c>
    </row>
    <row r="801" spans="2:34" x14ac:dyDescent="0.2">
      <c r="B801" s="2">
        <f ca="1"/>
        <v>0.27073137099311428</v>
      </c>
      <c r="O801" s="2">
        <f ca="1"/>
        <v>0.49766309821364713</v>
      </c>
      <c r="X801" s="2">
        <f ca="1"/>
        <v>69.087573858828705</v>
      </c>
      <c r="AG801" s="2">
        <f ca="1"/>
        <v>0.2174113587653117</v>
      </c>
      <c r="AH801" s="2" t="str">
        <f ca="1"/>
        <v>OK</v>
      </c>
    </row>
    <row r="802" spans="2:34" x14ac:dyDescent="0.2">
      <c r="B802" s="2">
        <f ca="1"/>
        <v>0.68471662242965903</v>
      </c>
      <c r="O802" s="2">
        <f ca="1"/>
        <v>0.11762826227879414</v>
      </c>
      <c r="X802" s="2">
        <f ca="1"/>
        <v>63.20450416381486</v>
      </c>
      <c r="AG802" s="2">
        <f ca="1"/>
        <v>0.74127176538166406</v>
      </c>
      <c r="AH802" s="2" t="str">
        <f ca="1"/>
        <v>Bad</v>
      </c>
    </row>
    <row r="803" spans="2:34" x14ac:dyDescent="0.2">
      <c r="B803" s="2">
        <f ca="1"/>
        <v>0.79800047046731137</v>
      </c>
      <c r="O803" s="2">
        <f ca="1"/>
        <v>-0.17286093916973314</v>
      </c>
      <c r="X803" s="2">
        <f ca="1"/>
        <v>37.858840575798304</v>
      </c>
      <c r="AG803" s="2">
        <f ca="1"/>
        <v>0.38563798503958768</v>
      </c>
      <c r="AH803" s="2" t="str">
        <f ca="1"/>
        <v>OK</v>
      </c>
    </row>
    <row r="804" spans="2:34" x14ac:dyDescent="0.2">
      <c r="B804" s="2">
        <f ca="1"/>
        <v>0.13376823089343826</v>
      </c>
      <c r="O804" s="2">
        <f ca="1"/>
        <v>-0.25174007521782937</v>
      </c>
      <c r="X804" s="2">
        <f ca="1"/>
        <v>45.875774262797876</v>
      </c>
      <c r="AG804" s="2">
        <f ca="1"/>
        <v>0.62537728024545536</v>
      </c>
      <c r="AH804" s="2" t="str">
        <f ca="1"/>
        <v>Bad</v>
      </c>
    </row>
    <row r="805" spans="2:34" x14ac:dyDescent="0.2">
      <c r="B805" s="2">
        <f ca="1"/>
        <v>0.7569065839834701</v>
      </c>
      <c r="O805" s="2">
        <f ca="1"/>
        <v>0.57361379343335905</v>
      </c>
      <c r="X805" s="2">
        <f ca="1"/>
        <v>39.353950909324183</v>
      </c>
      <c r="AG805" s="2">
        <f ca="1"/>
        <v>0.90553153050025825</v>
      </c>
      <c r="AH805" s="2" t="str">
        <f ca="1"/>
        <v>Bad</v>
      </c>
    </row>
    <row r="806" spans="2:34" x14ac:dyDescent="0.2">
      <c r="B806" s="2">
        <f ca="1"/>
        <v>0.40576373073146388</v>
      </c>
      <c r="O806" s="2">
        <f ca="1"/>
        <v>0.24233935191738501</v>
      </c>
      <c r="X806" s="2">
        <f ca="1"/>
        <v>26.669000469660027</v>
      </c>
      <c r="AG806" s="2">
        <f ca="1"/>
        <v>0.78595506306577478</v>
      </c>
      <c r="AH806" s="2" t="str">
        <f ca="1"/>
        <v>Bad</v>
      </c>
    </row>
    <row r="807" spans="2:34" x14ac:dyDescent="0.2">
      <c r="B807" s="2">
        <f ca="1"/>
        <v>0.94491015740689654</v>
      </c>
      <c r="O807" s="2">
        <f ca="1"/>
        <v>0.43838513040296423</v>
      </c>
      <c r="X807" s="2">
        <f ca="1"/>
        <v>33.079541628797365</v>
      </c>
      <c r="AG807" s="2">
        <f ca="1"/>
        <v>0.56726745105056242</v>
      </c>
      <c r="AH807" s="2" t="str">
        <f ca="1"/>
        <v>Bad</v>
      </c>
    </row>
    <row r="808" spans="2:34" x14ac:dyDescent="0.2">
      <c r="B808" s="2">
        <f ca="1"/>
        <v>0.52183203328746663</v>
      </c>
      <c r="O808" s="2">
        <f ca="1"/>
        <v>1.5689683029268682</v>
      </c>
      <c r="X808" s="2">
        <f ca="1"/>
        <v>45.643258194542824</v>
      </c>
      <c r="AG808" s="2">
        <f ca="1"/>
        <v>0.74821813058067987</v>
      </c>
      <c r="AH808" s="2" t="str">
        <f ca="1"/>
        <v>Bad</v>
      </c>
    </row>
    <row r="809" spans="2:34" x14ac:dyDescent="0.2">
      <c r="B809" s="2">
        <f ca="1"/>
        <v>0.21144118933418055</v>
      </c>
      <c r="O809" s="2">
        <f ca="1"/>
        <v>0.22015889558268423</v>
      </c>
      <c r="X809" s="2">
        <f ca="1"/>
        <v>47.894078241974185</v>
      </c>
      <c r="AG809" s="2">
        <f ca="1"/>
        <v>0.26932575823983207</v>
      </c>
      <c r="AH809" s="2" t="str">
        <f ca="1"/>
        <v>OK</v>
      </c>
    </row>
    <row r="810" spans="2:34" x14ac:dyDescent="0.2">
      <c r="B810" s="2">
        <f ca="1"/>
        <v>0.50847069393719369</v>
      </c>
      <c r="O810" s="2">
        <f ca="1"/>
        <v>0.32351349174671479</v>
      </c>
      <c r="X810" s="2">
        <f ca="1"/>
        <v>30.773681528164975</v>
      </c>
      <c r="AG810" s="2">
        <f ca="1"/>
        <v>0.86169860700624423</v>
      </c>
      <c r="AH810" s="2" t="str">
        <f ca="1"/>
        <v>Bad</v>
      </c>
    </row>
    <row r="811" spans="2:34" x14ac:dyDescent="0.2">
      <c r="B811" s="2">
        <f ca="1"/>
        <v>0.32151226957058787</v>
      </c>
      <c r="O811" s="2">
        <f ca="1"/>
        <v>-0.35858659369781271</v>
      </c>
      <c r="X811" s="2">
        <f ca="1"/>
        <v>48.548386368234226</v>
      </c>
      <c r="AG811" s="2">
        <f ca="1"/>
        <v>0.31369459760070129</v>
      </c>
      <c r="AH811" s="2" t="str">
        <f ca="1"/>
        <v>OK</v>
      </c>
    </row>
    <row r="812" spans="2:34" x14ac:dyDescent="0.2">
      <c r="B812" s="2">
        <f ca="1"/>
        <v>0.46459634866732635</v>
      </c>
      <c r="O812" s="2">
        <f ca="1"/>
        <v>2.2300760100829504</v>
      </c>
      <c r="X812" s="2">
        <f ca="1"/>
        <v>39.751244089996753</v>
      </c>
      <c r="AG812" s="2">
        <f ca="1"/>
        <v>0.13771592479073558</v>
      </c>
      <c r="AH812" s="2" t="str">
        <f ca="1"/>
        <v>OK</v>
      </c>
    </row>
    <row r="813" spans="2:34" x14ac:dyDescent="0.2">
      <c r="B813" s="2">
        <f ca="1"/>
        <v>0.94798141478030029</v>
      </c>
      <c r="O813" s="2">
        <f ca="1"/>
        <v>0.3343972229226434</v>
      </c>
      <c r="X813" s="2">
        <f ca="1"/>
        <v>41.096974512412025</v>
      </c>
      <c r="AG813" s="2">
        <f ca="1"/>
        <v>5.0300148826669666E-2</v>
      </c>
      <c r="AH813" s="2" t="str">
        <f ca="1"/>
        <v>OK</v>
      </c>
    </row>
    <row r="814" spans="2:34" x14ac:dyDescent="0.2">
      <c r="B814" s="2">
        <f ca="1"/>
        <v>4.7158360646654129E-2</v>
      </c>
      <c r="O814" s="2">
        <f ca="1"/>
        <v>-1.4910374899066507</v>
      </c>
      <c r="X814" s="2">
        <f ca="1"/>
        <v>62.269829059304513</v>
      </c>
      <c r="AG814" s="2">
        <f ca="1"/>
        <v>0.35177424320641437</v>
      </c>
      <c r="AH814" s="2" t="str">
        <f ca="1"/>
        <v>OK</v>
      </c>
    </row>
    <row r="815" spans="2:34" x14ac:dyDescent="0.2">
      <c r="B815" s="2">
        <f ca="1"/>
        <v>0.39732675602340262</v>
      </c>
      <c r="O815" s="2">
        <f ca="1"/>
        <v>-1.0395200649659679</v>
      </c>
      <c r="X815" s="2">
        <f ca="1"/>
        <v>41.396473605737285</v>
      </c>
      <c r="AG815" s="2">
        <f ca="1"/>
        <v>0.38547445270412273</v>
      </c>
      <c r="AH815" s="2" t="str">
        <f ca="1"/>
        <v>OK</v>
      </c>
    </row>
    <row r="816" spans="2:34" x14ac:dyDescent="0.2">
      <c r="B816" s="2">
        <f ca="1"/>
        <v>0.31475170190544</v>
      </c>
      <c r="O816" s="2">
        <f ca="1"/>
        <v>1.736143158721126</v>
      </c>
      <c r="X816" s="2">
        <f ca="1"/>
        <v>61.466917262823173</v>
      </c>
      <c r="AG816" s="2">
        <f ca="1"/>
        <v>0.30245537576056347</v>
      </c>
      <c r="AH816" s="2" t="str">
        <f ca="1"/>
        <v>OK</v>
      </c>
    </row>
    <row r="817" spans="2:34" x14ac:dyDescent="0.2">
      <c r="B817" s="2">
        <f ca="1"/>
        <v>0.57209088044689316</v>
      </c>
      <c r="O817" s="2">
        <f ca="1"/>
        <v>1.9219137315387187</v>
      </c>
      <c r="X817" s="2">
        <f ca="1"/>
        <v>59.053968439193419</v>
      </c>
      <c r="AG817" s="2">
        <f ca="1"/>
        <v>0.28346469478790715</v>
      </c>
      <c r="AH817" s="2" t="str">
        <f ca="1"/>
        <v>OK</v>
      </c>
    </row>
    <row r="818" spans="2:34" x14ac:dyDescent="0.2">
      <c r="B818" s="2">
        <f ca="1"/>
        <v>0.42487771578566136</v>
      </c>
      <c r="O818" s="2">
        <f ca="1"/>
        <v>-1.6235978351117566</v>
      </c>
      <c r="X818" s="2">
        <f ca="1"/>
        <v>64.978857053013158</v>
      </c>
      <c r="AG818" s="2">
        <f ca="1"/>
        <v>0.80360141736564783</v>
      </c>
      <c r="AH818" s="2" t="str">
        <f ca="1"/>
        <v>Bad</v>
      </c>
    </row>
    <row r="819" spans="2:34" x14ac:dyDescent="0.2">
      <c r="B819" s="2">
        <f ca="1"/>
        <v>0.62570681104387527</v>
      </c>
      <c r="O819" s="2">
        <f ca="1"/>
        <v>-0.19392116319620659</v>
      </c>
      <c r="X819" s="2">
        <f ca="1"/>
        <v>66.787976932086636</v>
      </c>
      <c r="AG819" s="2">
        <f ca="1"/>
        <v>9.5494453223684994E-2</v>
      </c>
      <c r="AH819" s="2" t="str">
        <f ca="1"/>
        <v>OK</v>
      </c>
    </row>
    <row r="820" spans="2:34" x14ac:dyDescent="0.2">
      <c r="B820" s="2">
        <f ca="1"/>
        <v>0.25298169044055197</v>
      </c>
      <c r="O820" s="2">
        <f ca="1"/>
        <v>0.78884439422870167</v>
      </c>
      <c r="X820" s="2">
        <f ca="1"/>
        <v>72.995546862127028</v>
      </c>
      <c r="AG820" s="2">
        <f ca="1"/>
        <v>0.87890945842854284</v>
      </c>
      <c r="AH820" s="2" t="str">
        <f ca="1"/>
        <v>Bad</v>
      </c>
    </row>
    <row r="821" spans="2:34" x14ac:dyDescent="0.2">
      <c r="B821" s="2">
        <f ca="1"/>
        <v>0.43614413083767012</v>
      </c>
      <c r="O821" s="2">
        <f ca="1"/>
        <v>-0.88371694251799016</v>
      </c>
      <c r="X821" s="2">
        <f ca="1"/>
        <v>30.991882562773789</v>
      </c>
      <c r="AG821" s="2">
        <f ca="1"/>
        <v>0.83110870378425505</v>
      </c>
      <c r="AH821" s="2" t="str">
        <f ca="1"/>
        <v>Bad</v>
      </c>
    </row>
    <row r="822" spans="2:34" x14ac:dyDescent="0.2">
      <c r="B822" s="2">
        <f ca="1"/>
        <v>0.34048623655733268</v>
      </c>
      <c r="O822" s="2">
        <f ca="1"/>
        <v>1.9280051424906157</v>
      </c>
      <c r="X822" s="2">
        <f ca="1"/>
        <v>54.045800718354961</v>
      </c>
      <c r="AG822" s="2">
        <f ca="1"/>
        <v>0.74503664185923468</v>
      </c>
      <c r="AH822" s="2" t="str">
        <f ca="1"/>
        <v>Bad</v>
      </c>
    </row>
    <row r="823" spans="2:34" x14ac:dyDescent="0.2">
      <c r="B823" s="2">
        <f ca="1"/>
        <v>2.0405215890244577E-2</v>
      </c>
      <c r="O823" s="2">
        <f ca="1"/>
        <v>0.55375188512123996</v>
      </c>
      <c r="X823" s="2">
        <f ca="1"/>
        <v>46.193249462500539</v>
      </c>
      <c r="AG823" s="2">
        <f ca="1"/>
        <v>0.57042665662159719</v>
      </c>
      <c r="AH823" s="2" t="str">
        <f ca="1"/>
        <v>Bad</v>
      </c>
    </row>
    <row r="824" spans="2:34" x14ac:dyDescent="0.2">
      <c r="B824" s="2">
        <f ca="1"/>
        <v>0.61900536178608911</v>
      </c>
      <c r="O824" s="2">
        <f ca="1"/>
        <v>-1.6033717087791495</v>
      </c>
      <c r="X824" s="2">
        <f ca="1"/>
        <v>23.965213258357103</v>
      </c>
      <c r="AG824" s="2">
        <f ca="1"/>
        <v>0.12734841141492925</v>
      </c>
      <c r="AH824" s="2" t="str">
        <f ca="1"/>
        <v>OK</v>
      </c>
    </row>
    <row r="825" spans="2:34" x14ac:dyDescent="0.2">
      <c r="B825" s="2">
        <f ca="1"/>
        <v>0.87598148412548849</v>
      </c>
      <c r="O825" s="2">
        <f ca="1"/>
        <v>0.80705870297593973</v>
      </c>
      <c r="X825" s="2">
        <f ca="1"/>
        <v>35.594455179926584</v>
      </c>
      <c r="AG825" s="2">
        <f ca="1"/>
        <v>0.22376296349937519</v>
      </c>
      <c r="AH825" s="2" t="str">
        <f ca="1"/>
        <v>OK</v>
      </c>
    </row>
    <row r="826" spans="2:34" x14ac:dyDescent="0.2">
      <c r="B826" s="2">
        <f ca="1"/>
        <v>0.97987813993394202</v>
      </c>
      <c r="O826" s="2">
        <f ca="1"/>
        <v>0.89885755374885268</v>
      </c>
      <c r="X826" s="2">
        <f ca="1"/>
        <v>48.180727647642058</v>
      </c>
      <c r="AG826" s="2">
        <f ca="1"/>
        <v>0.21306554919226262</v>
      </c>
      <c r="AH826" s="2" t="str">
        <f ca="1"/>
        <v>OK</v>
      </c>
    </row>
    <row r="827" spans="2:34" x14ac:dyDescent="0.2">
      <c r="B827" s="2">
        <f ca="1"/>
        <v>0.86144141468897062</v>
      </c>
      <c r="O827" s="2">
        <f ca="1"/>
        <v>0.11071422355741407</v>
      </c>
      <c r="X827" s="2">
        <f ca="1"/>
        <v>26.182493219989666</v>
      </c>
      <c r="AG827" s="2">
        <f ca="1"/>
        <v>0.56658903913800263</v>
      </c>
      <c r="AH827" s="2" t="str">
        <f ca="1"/>
        <v>Bad</v>
      </c>
    </row>
    <row r="828" spans="2:34" x14ac:dyDescent="0.2">
      <c r="B828" s="2">
        <f ca="1"/>
        <v>0.92016939363602357</v>
      </c>
      <c r="O828" s="2">
        <f ca="1"/>
        <v>-1.3921742869522615</v>
      </c>
      <c r="X828" s="2">
        <f ca="1"/>
        <v>51.865830026270331</v>
      </c>
      <c r="AG828" s="2">
        <f ca="1"/>
        <v>0.23374497053429977</v>
      </c>
      <c r="AH828" s="2" t="str">
        <f ca="1"/>
        <v>OK</v>
      </c>
    </row>
    <row r="829" spans="2:34" x14ac:dyDescent="0.2">
      <c r="B829" s="2">
        <f ca="1"/>
        <v>0.36039060854272131</v>
      </c>
      <c r="O829" s="2">
        <f ca="1"/>
        <v>2.1958856389977299</v>
      </c>
      <c r="X829" s="2">
        <f ca="1"/>
        <v>51.944688738662009</v>
      </c>
      <c r="AG829" s="2">
        <f ca="1"/>
        <v>0.69461446835355822</v>
      </c>
      <c r="AH829" s="2" t="str">
        <f ca="1"/>
        <v>Bad</v>
      </c>
    </row>
    <row r="830" spans="2:34" x14ac:dyDescent="0.2">
      <c r="B830" s="2">
        <f ca="1"/>
        <v>7.1732887563281222E-2</v>
      </c>
      <c r="O830" s="2">
        <f ca="1"/>
        <v>1.674036682510003</v>
      </c>
      <c r="X830" s="2">
        <f ca="1"/>
        <v>22.86344340067485</v>
      </c>
      <c r="AG830" s="2">
        <f ca="1"/>
        <v>0.66852196398866881</v>
      </c>
      <c r="AH830" s="2" t="str">
        <f ca="1"/>
        <v>Bad</v>
      </c>
    </row>
    <row r="831" spans="2:34" x14ac:dyDescent="0.2">
      <c r="B831" s="2">
        <f ca="1"/>
        <v>0.75207528659041345</v>
      </c>
      <c r="O831" s="2">
        <f ca="1"/>
        <v>-1.3542100006594298</v>
      </c>
      <c r="X831" s="2">
        <f ca="1"/>
        <v>55.102506588593087</v>
      </c>
      <c r="AG831" s="2">
        <f ca="1"/>
        <v>0.13652310128882017</v>
      </c>
      <c r="AH831" s="2" t="str">
        <f ca="1"/>
        <v>OK</v>
      </c>
    </row>
    <row r="832" spans="2:34" x14ac:dyDescent="0.2">
      <c r="B832" s="2">
        <f ca="1"/>
        <v>0.91462551715325668</v>
      </c>
      <c r="O832" s="2">
        <f ca="1"/>
        <v>0.48357977621299492</v>
      </c>
      <c r="X832" s="2">
        <f ca="1"/>
        <v>75.337143935840658</v>
      </c>
      <c r="AG832" s="2">
        <f ca="1"/>
        <v>0.95136106966290068</v>
      </c>
      <c r="AH832" s="2" t="str">
        <f ca="1"/>
        <v>Bad</v>
      </c>
    </row>
    <row r="833" spans="2:34" x14ac:dyDescent="0.2">
      <c r="B833" s="2">
        <f ca="1"/>
        <v>0.8251125965873134</v>
      </c>
      <c r="O833" s="2">
        <f ca="1"/>
        <v>1.3247350617219229</v>
      </c>
      <c r="X833" s="2">
        <f ca="1"/>
        <v>22.864045403575727</v>
      </c>
      <c r="AG833" s="2">
        <f ca="1"/>
        <v>0.36994496233410623</v>
      </c>
      <c r="AH833" s="2" t="str">
        <f ca="1"/>
        <v>OK</v>
      </c>
    </row>
    <row r="834" spans="2:34" x14ac:dyDescent="0.2">
      <c r="B834" s="2">
        <f ca="1"/>
        <v>0.93248706748839916</v>
      </c>
      <c r="O834" s="2">
        <f ca="1"/>
        <v>2.2082479822296879</v>
      </c>
      <c r="X834" s="2">
        <f ca="1"/>
        <v>68.238468399490259</v>
      </c>
      <c r="AG834" s="2">
        <f ca="1"/>
        <v>0.96827011664590312</v>
      </c>
      <c r="AH834" s="2" t="str">
        <f ca="1"/>
        <v>Bad</v>
      </c>
    </row>
    <row r="835" spans="2:34" x14ac:dyDescent="0.2">
      <c r="B835" s="2">
        <f ca="1"/>
        <v>0.32364297316809343</v>
      </c>
      <c r="O835" s="2">
        <f ca="1"/>
        <v>0.51256740434132619</v>
      </c>
      <c r="X835" s="2">
        <f ca="1"/>
        <v>83.378600149229243</v>
      </c>
      <c r="AG835" s="2">
        <f ca="1"/>
        <v>0.40161438025311402</v>
      </c>
      <c r="AH835" s="2" t="str">
        <f ca="1"/>
        <v>Bad</v>
      </c>
    </row>
    <row r="836" spans="2:34" x14ac:dyDescent="0.2">
      <c r="B836" s="2">
        <f ca="1"/>
        <v>0.92155438948136847</v>
      </c>
      <c r="O836" s="2">
        <f ca="1"/>
        <v>-0.69956876608673835</v>
      </c>
      <c r="X836" s="2">
        <f ca="1"/>
        <v>60.750616801002153</v>
      </c>
      <c r="AG836" s="2">
        <f ca="1"/>
        <v>1.4172661907425388E-2</v>
      </c>
      <c r="AH836" s="2" t="str">
        <f ca="1"/>
        <v>Good</v>
      </c>
    </row>
    <row r="837" spans="2:34" x14ac:dyDescent="0.2">
      <c r="B837" s="2">
        <f ca="1"/>
        <v>0.53301268416632963</v>
      </c>
      <c r="O837" s="2">
        <f ca="1"/>
        <v>-1.7027739387472289</v>
      </c>
      <c r="X837" s="2">
        <f ca="1"/>
        <v>35.165172945097439</v>
      </c>
      <c r="AG837" s="2">
        <f ca="1"/>
        <v>0.9787087030536612</v>
      </c>
      <c r="AH837" s="2" t="str">
        <f ca="1"/>
        <v>Bad</v>
      </c>
    </row>
    <row r="838" spans="2:34" x14ac:dyDescent="0.2">
      <c r="B838" s="2">
        <f ca="1"/>
        <v>0.3030637197284789</v>
      </c>
      <c r="O838" s="2">
        <f ca="1"/>
        <v>-0.14771422182367916</v>
      </c>
      <c r="X838" s="2">
        <f ca="1"/>
        <v>43.822772779338393</v>
      </c>
      <c r="AG838" s="2">
        <f ca="1"/>
        <v>0.90256362426770442</v>
      </c>
      <c r="AH838" s="2" t="str">
        <f ca="1"/>
        <v>Bad</v>
      </c>
    </row>
    <row r="839" spans="2:34" x14ac:dyDescent="0.2">
      <c r="B839" s="2">
        <f ca="1"/>
        <v>0.95980353855666123</v>
      </c>
      <c r="O839" s="2">
        <f ca="1"/>
        <v>-1.1951272940498423</v>
      </c>
      <c r="X839" s="2">
        <f ca="1"/>
        <v>60.684916998092461</v>
      </c>
      <c r="AG839" s="2">
        <f ca="1"/>
        <v>0.75755968506147409</v>
      </c>
      <c r="AH839" s="2" t="str">
        <f ca="1"/>
        <v>Bad</v>
      </c>
    </row>
    <row r="840" spans="2:34" x14ac:dyDescent="0.2">
      <c r="B840" s="2">
        <f ca="1"/>
        <v>0.76921740795037752</v>
      </c>
      <c r="O840" s="2">
        <f ca="1"/>
        <v>1.178566747143873</v>
      </c>
      <c r="X840" s="2">
        <f ca="1"/>
        <v>49.66328781369414</v>
      </c>
      <c r="AG840" s="2">
        <f ca="1"/>
        <v>0.87546028889349525</v>
      </c>
      <c r="AH840" s="2" t="str">
        <f ca="1"/>
        <v>Bad</v>
      </c>
    </row>
    <row r="841" spans="2:34" x14ac:dyDescent="0.2">
      <c r="B841" s="2">
        <f ca="1"/>
        <v>0.8023644287982159</v>
      </c>
      <c r="O841" s="2">
        <f ca="1"/>
        <v>6.9825333025932898E-2</v>
      </c>
      <c r="X841" s="2">
        <f ca="1"/>
        <v>60.617580221086911</v>
      </c>
      <c r="AG841" s="2">
        <f ca="1"/>
        <v>0.52491760778480256</v>
      </c>
      <c r="AH841" s="2" t="str">
        <f ca="1"/>
        <v>Bad</v>
      </c>
    </row>
    <row r="842" spans="2:34" x14ac:dyDescent="0.2">
      <c r="B842" s="2">
        <f ca="1"/>
        <v>0.5111003456970209</v>
      </c>
      <c r="O842" s="2">
        <f ca="1"/>
        <v>-0.10531399459912726</v>
      </c>
      <c r="X842" s="2">
        <f ca="1"/>
        <v>83.658158039567923</v>
      </c>
      <c r="AG842" s="2">
        <f ca="1"/>
        <v>0.3060503646820778</v>
      </c>
      <c r="AH842" s="2" t="str">
        <f ca="1"/>
        <v>OK</v>
      </c>
    </row>
    <row r="843" spans="2:34" x14ac:dyDescent="0.2">
      <c r="B843" s="2">
        <f ca="1"/>
        <v>0.41618845149035288</v>
      </c>
      <c r="O843" s="2">
        <f ca="1"/>
        <v>0.16571716944904483</v>
      </c>
      <c r="X843" s="2">
        <f ca="1"/>
        <v>48.405573347040949</v>
      </c>
      <c r="AG843" s="2">
        <f ca="1"/>
        <v>0.64045009291689259</v>
      </c>
      <c r="AH843" s="2" t="str">
        <f ca="1"/>
        <v>Bad</v>
      </c>
    </row>
    <row r="844" spans="2:34" x14ac:dyDescent="0.2">
      <c r="B844" s="2">
        <f ca="1"/>
        <v>0.29013275449833631</v>
      </c>
      <c r="O844" s="2">
        <f ca="1"/>
        <v>-0.8154654219212637</v>
      </c>
      <c r="X844" s="2">
        <f ca="1"/>
        <v>54.746045652753416</v>
      </c>
      <c r="AG844" s="2">
        <f ca="1"/>
        <v>0.73396396458236057</v>
      </c>
      <c r="AH844" s="2" t="str">
        <f ca="1"/>
        <v>Bad</v>
      </c>
    </row>
    <row r="845" spans="2:34" x14ac:dyDescent="0.2">
      <c r="B845" s="2">
        <f ca="1"/>
        <v>8.9075350256526464E-2</v>
      </c>
      <c r="O845" s="2">
        <f ca="1"/>
        <v>0.68129299207403393</v>
      </c>
      <c r="X845" s="2">
        <f ca="1"/>
        <v>38.136079319568715</v>
      </c>
      <c r="AG845" s="2">
        <f ca="1"/>
        <v>0.16959937220451082</v>
      </c>
      <c r="AH845" s="2" t="str">
        <f ca="1"/>
        <v>OK</v>
      </c>
    </row>
    <row r="846" spans="2:34" x14ac:dyDescent="0.2">
      <c r="B846" s="2">
        <f ca="1"/>
        <v>0.94324245903009984</v>
      </c>
      <c r="O846" s="2">
        <f ca="1"/>
        <v>0.23069502135699227</v>
      </c>
      <c r="X846" s="2">
        <f ca="1"/>
        <v>53.992964768184741</v>
      </c>
      <c r="AG846" s="2">
        <f ca="1"/>
        <v>0.59187109773459401</v>
      </c>
      <c r="AH846" s="2" t="str">
        <f ca="1"/>
        <v>Bad</v>
      </c>
    </row>
    <row r="847" spans="2:34" x14ac:dyDescent="0.2">
      <c r="B847" s="2">
        <f ca="1"/>
        <v>0.28981270635048118</v>
      </c>
      <c r="O847" s="2">
        <f ca="1"/>
        <v>-1.3100634505259161</v>
      </c>
      <c r="X847" s="2">
        <f ca="1"/>
        <v>58.379613106737551</v>
      </c>
      <c r="AG847" s="2">
        <f ca="1"/>
        <v>0.88695751146741286</v>
      </c>
      <c r="AH847" s="2" t="str">
        <f ca="1"/>
        <v>Bad</v>
      </c>
    </row>
    <row r="848" spans="2:34" x14ac:dyDescent="0.2">
      <c r="B848" s="2">
        <f ca="1"/>
        <v>0.68870735729526156</v>
      </c>
      <c r="O848" s="2">
        <f ca="1"/>
        <v>-2.2560148311605905</v>
      </c>
      <c r="X848" s="2">
        <f ca="1"/>
        <v>79.963770207261391</v>
      </c>
      <c r="AG848" s="2">
        <f ca="1"/>
        <v>0.21975616652903818</v>
      </c>
      <c r="AH848" s="2" t="str">
        <f ca="1"/>
        <v>OK</v>
      </c>
    </row>
    <row r="849" spans="2:34" x14ac:dyDescent="0.2">
      <c r="B849" s="2">
        <f ca="1"/>
        <v>4.8876881882098377E-3</v>
      </c>
      <c r="O849" s="2">
        <f ca="1"/>
        <v>-0.67290616507755674</v>
      </c>
      <c r="X849" s="2">
        <f ca="1"/>
        <v>31.872992199958979</v>
      </c>
      <c r="AG849" s="2">
        <f ca="1"/>
        <v>0.74510957846940284</v>
      </c>
      <c r="AH849" s="2" t="str">
        <f ca="1"/>
        <v>Bad</v>
      </c>
    </row>
    <row r="850" spans="2:34" x14ac:dyDescent="0.2">
      <c r="B850" s="2">
        <f ca="1"/>
        <v>0.20900261304063794</v>
      </c>
      <c r="O850" s="2">
        <f ca="1"/>
        <v>-0.55889573130045078</v>
      </c>
      <c r="X850" s="2">
        <f ca="1"/>
        <v>34.214189993752846</v>
      </c>
      <c r="AG850" s="2">
        <f ca="1"/>
        <v>0.81251177419241571</v>
      </c>
      <c r="AH850" s="2" t="str">
        <f ca="1"/>
        <v>Bad</v>
      </c>
    </row>
    <row r="851" spans="2:34" x14ac:dyDescent="0.2">
      <c r="B851" s="2">
        <f ca="1"/>
        <v>0.51885744058535055</v>
      </c>
      <c r="O851" s="2">
        <f ca="1"/>
        <v>-1.3655332381542289</v>
      </c>
      <c r="X851" s="2">
        <f ca="1"/>
        <v>36.663506502641802</v>
      </c>
      <c r="AG851" s="2">
        <f ca="1"/>
        <v>0.2318998120835627</v>
      </c>
      <c r="AH851" s="2" t="str">
        <f ca="1"/>
        <v>OK</v>
      </c>
    </row>
    <row r="852" spans="2:34" x14ac:dyDescent="0.2">
      <c r="B852" s="2">
        <f ca="1"/>
        <v>0.36393314669235521</v>
      </c>
      <c r="O852" s="2">
        <f ca="1"/>
        <v>0.30218767477523462</v>
      </c>
      <c r="X852" s="2">
        <f ca="1"/>
        <v>64.045262602739669</v>
      </c>
      <c r="AG852" s="2">
        <f ca="1"/>
        <v>0.65101133731135308</v>
      </c>
      <c r="AH852" s="2" t="str">
        <f ca="1"/>
        <v>Bad</v>
      </c>
    </row>
    <row r="853" spans="2:34" x14ac:dyDescent="0.2">
      <c r="B853" s="2">
        <f ca="1"/>
        <v>0.21554167329159757</v>
      </c>
      <c r="O853" s="2">
        <f ca="1"/>
        <v>-0.95062736448340091</v>
      </c>
      <c r="X853" s="2">
        <f ca="1"/>
        <v>42.30914512835448</v>
      </c>
      <c r="AG853" s="2">
        <f ca="1"/>
        <v>0.96120323486461801</v>
      </c>
      <c r="AH853" s="2" t="str">
        <f ca="1"/>
        <v>Bad</v>
      </c>
    </row>
    <row r="854" spans="2:34" x14ac:dyDescent="0.2">
      <c r="B854" s="2">
        <f ca="1"/>
        <v>2.6373040366877598E-2</v>
      </c>
      <c r="O854" s="2">
        <f ca="1"/>
        <v>1.9569880845683634</v>
      </c>
      <c r="X854" s="2">
        <f ca="1"/>
        <v>39.500160453945796</v>
      </c>
      <c r="AG854" s="2">
        <f ca="1"/>
        <v>0.45229708863851492</v>
      </c>
      <c r="AH854" s="2" t="str">
        <f ca="1"/>
        <v>Bad</v>
      </c>
    </row>
    <row r="855" spans="2:34" x14ac:dyDescent="0.2">
      <c r="B855" s="2">
        <f ca="1"/>
        <v>0.17881215628753666</v>
      </c>
      <c r="O855" s="2">
        <f ca="1"/>
        <v>0.52686406737403257</v>
      </c>
      <c r="X855" s="2">
        <f ca="1"/>
        <v>34.059019676316915</v>
      </c>
      <c r="AG855" s="2">
        <f ca="1"/>
        <v>0.76014195046884536</v>
      </c>
      <c r="AH855" s="2" t="str">
        <f ca="1"/>
        <v>Bad</v>
      </c>
    </row>
    <row r="856" spans="2:34" x14ac:dyDescent="0.2">
      <c r="B856" s="2">
        <f ca="1"/>
        <v>0.7870302422074209</v>
      </c>
      <c r="O856" s="2">
        <f ca="1"/>
        <v>0.729075212658158</v>
      </c>
      <c r="X856" s="2">
        <f ca="1"/>
        <v>57.688360157909251</v>
      </c>
      <c r="AG856" s="2">
        <f ca="1"/>
        <v>0.51088908499095154</v>
      </c>
      <c r="AH856" s="2" t="str">
        <f ca="1"/>
        <v>Bad</v>
      </c>
    </row>
    <row r="857" spans="2:34" x14ac:dyDescent="0.2">
      <c r="B857" s="2">
        <f ca="1"/>
        <v>0.85638582597673896</v>
      </c>
      <c r="O857" s="2">
        <f ca="1"/>
        <v>0.69181578923904352</v>
      </c>
      <c r="X857" s="2">
        <f ca="1"/>
        <v>55.986836993699583</v>
      </c>
      <c r="AG857" s="2">
        <f ca="1"/>
        <v>0.45760479829116596</v>
      </c>
      <c r="AH857" s="2" t="str">
        <f ca="1"/>
        <v>Bad</v>
      </c>
    </row>
    <row r="858" spans="2:34" x14ac:dyDescent="0.2">
      <c r="B858" s="2">
        <f ca="1"/>
        <v>0.81508577871744836</v>
      </c>
      <c r="O858" s="2">
        <f ca="1"/>
        <v>-1.5588409665240455</v>
      </c>
      <c r="X858" s="2">
        <f ca="1"/>
        <v>61.004435364341624</v>
      </c>
      <c r="AG858" s="2">
        <f ca="1"/>
        <v>0.88480711949105229</v>
      </c>
      <c r="AH858" s="2" t="str">
        <f ca="1"/>
        <v>Bad</v>
      </c>
    </row>
    <row r="859" spans="2:34" x14ac:dyDescent="0.2">
      <c r="B859" s="2">
        <f ca="1"/>
        <v>3.2684253622650372E-2</v>
      </c>
      <c r="O859" s="2">
        <f ca="1"/>
        <v>-0.24411324837130219</v>
      </c>
      <c r="X859" s="2">
        <f ca="1"/>
        <v>36.443417884359242</v>
      </c>
      <c r="AG859" s="2">
        <f ca="1"/>
        <v>0.91232241213335064</v>
      </c>
      <c r="AH859" s="2" t="str">
        <f ca="1"/>
        <v>Bad</v>
      </c>
    </row>
    <row r="860" spans="2:34" x14ac:dyDescent="0.2">
      <c r="B860" s="2">
        <f ca="1"/>
        <v>0.18009564603967054</v>
      </c>
      <c r="O860" s="2">
        <f ca="1"/>
        <v>-9.1633542344411373E-2</v>
      </c>
      <c r="X860" s="2">
        <f ca="1"/>
        <v>43.532004460334406</v>
      </c>
      <c r="AG860" s="2">
        <f ca="1"/>
        <v>2.5964504643784636E-2</v>
      </c>
      <c r="AH860" s="2" t="str">
        <f ca="1"/>
        <v>Good</v>
      </c>
    </row>
    <row r="861" spans="2:34" x14ac:dyDescent="0.2">
      <c r="B861" s="2">
        <f ca="1"/>
        <v>0.75348455628577282</v>
      </c>
      <c r="O861" s="2">
        <f ca="1"/>
        <v>-0.5674768138032914</v>
      </c>
      <c r="X861" s="2">
        <f ca="1"/>
        <v>42.890627832886395</v>
      </c>
      <c r="AG861" s="2">
        <f ca="1"/>
        <v>0.46992625911220376</v>
      </c>
      <c r="AH861" s="2" t="str">
        <f ca="1"/>
        <v>Bad</v>
      </c>
    </row>
    <row r="862" spans="2:34" x14ac:dyDescent="0.2">
      <c r="B862" s="2">
        <f ca="1"/>
        <v>0.3020425514295848</v>
      </c>
      <c r="O862" s="2">
        <f ca="1"/>
        <v>-0.35308236290145717</v>
      </c>
      <c r="X862" s="2">
        <f ca="1"/>
        <v>37.899636902542731</v>
      </c>
      <c r="AG862" s="2">
        <f ca="1"/>
        <v>0.93573792026362645</v>
      </c>
      <c r="AH862" s="2" t="str">
        <f ca="1"/>
        <v>Bad</v>
      </c>
    </row>
    <row r="863" spans="2:34" x14ac:dyDescent="0.2">
      <c r="B863" s="2">
        <f ca="1"/>
        <v>7.4424503260228647E-3</v>
      </c>
      <c r="O863" s="2">
        <f ca="1"/>
        <v>1.7945197473908483</v>
      </c>
      <c r="X863" s="2">
        <f ca="1"/>
        <v>33.284465810014304</v>
      </c>
      <c r="AG863" s="2">
        <f ca="1"/>
        <v>0.95478292624464944</v>
      </c>
      <c r="AH863" s="2" t="str">
        <f ca="1"/>
        <v>Bad</v>
      </c>
    </row>
    <row r="864" spans="2:34" x14ac:dyDescent="0.2">
      <c r="B864" s="2">
        <f ca="1"/>
        <v>0.11830995591239657</v>
      </c>
      <c r="O864" s="2">
        <f ca="1"/>
        <v>0.67056695867649752</v>
      </c>
      <c r="X864" s="2">
        <f ca="1"/>
        <v>79.405435734349496</v>
      </c>
      <c r="AG864" s="2">
        <f ca="1"/>
        <v>0.4258361283392964</v>
      </c>
      <c r="AH864" s="2" t="str">
        <f ca="1"/>
        <v>Bad</v>
      </c>
    </row>
    <row r="865" spans="2:34" x14ac:dyDescent="0.2">
      <c r="B865" s="2">
        <f ca="1"/>
        <v>0.71765404557540702</v>
      </c>
      <c r="O865" s="2">
        <f ca="1"/>
        <v>-0.39775759887313311</v>
      </c>
      <c r="X865" s="2">
        <f ca="1"/>
        <v>40.056822334600582</v>
      </c>
      <c r="AG865" s="2">
        <f ca="1"/>
        <v>0.21475306042517461</v>
      </c>
      <c r="AH865" s="2" t="str">
        <f ca="1"/>
        <v>OK</v>
      </c>
    </row>
    <row r="866" spans="2:34" x14ac:dyDescent="0.2">
      <c r="B866" s="2">
        <f ca="1"/>
        <v>5.2469086618111671E-2</v>
      </c>
      <c r="O866" s="2">
        <f ca="1"/>
        <v>0.42657589915415139</v>
      </c>
      <c r="X866" s="2">
        <f ca="1"/>
        <v>51.890338929843679</v>
      </c>
      <c r="AG866" s="2">
        <f ca="1"/>
        <v>0.97372437059527495</v>
      </c>
      <c r="AH866" s="2" t="str">
        <f ca="1"/>
        <v>Bad</v>
      </c>
    </row>
    <row r="867" spans="2:34" x14ac:dyDescent="0.2">
      <c r="B867" s="2">
        <f ca="1"/>
        <v>0.49013509297081681</v>
      </c>
      <c r="O867" s="2">
        <f ca="1"/>
        <v>-1.0419110358581329</v>
      </c>
      <c r="X867" s="2">
        <f ca="1"/>
        <v>55.036761506775804</v>
      </c>
      <c r="AG867" s="2">
        <f ca="1"/>
        <v>0.81052210750002085</v>
      </c>
      <c r="AH867" s="2" t="str">
        <f ca="1"/>
        <v>Bad</v>
      </c>
    </row>
    <row r="868" spans="2:34" x14ac:dyDescent="0.2">
      <c r="B868" s="2">
        <f ca="1"/>
        <v>0.58807629875923184</v>
      </c>
      <c r="O868" s="2">
        <f ca="1"/>
        <v>-0.20972707486054418</v>
      </c>
      <c r="X868" s="2">
        <f ca="1"/>
        <v>46.776879524458451</v>
      </c>
      <c r="AG868" s="2">
        <f ca="1"/>
        <v>0.5843543004456313</v>
      </c>
      <c r="AH868" s="2" t="str">
        <f ca="1"/>
        <v>Bad</v>
      </c>
    </row>
    <row r="869" spans="2:34" x14ac:dyDescent="0.2">
      <c r="B869" s="2">
        <f ca="1"/>
        <v>0.77307200348691318</v>
      </c>
      <c r="O869" s="2">
        <f ca="1"/>
        <v>0.65619485070367134</v>
      </c>
      <c r="X869" s="2">
        <f ca="1"/>
        <v>60.28810999021794</v>
      </c>
      <c r="AG869" s="2">
        <f ca="1"/>
        <v>0.67406832959198781</v>
      </c>
      <c r="AH869" s="2" t="str">
        <f ca="1"/>
        <v>Bad</v>
      </c>
    </row>
    <row r="870" spans="2:34" x14ac:dyDescent="0.2">
      <c r="B870" s="2">
        <f ca="1"/>
        <v>0.1108456001196525</v>
      </c>
      <c r="O870" s="2">
        <f ca="1"/>
        <v>0.78309688191004156</v>
      </c>
      <c r="X870" s="2">
        <f ca="1"/>
        <v>37.797716569053009</v>
      </c>
      <c r="AG870" s="2">
        <f ca="1"/>
        <v>0.72154207613055865</v>
      </c>
      <c r="AH870" s="2" t="str">
        <f ca="1"/>
        <v>Bad</v>
      </c>
    </row>
    <row r="871" spans="2:34" x14ac:dyDescent="0.2">
      <c r="B871" s="2">
        <f ca="1"/>
        <v>0.59397049985777794</v>
      </c>
      <c r="O871" s="2">
        <f ca="1"/>
        <v>-1.6970973674062717</v>
      </c>
      <c r="X871" s="2">
        <f ca="1"/>
        <v>58.559065218333295</v>
      </c>
      <c r="AG871" s="2">
        <f ca="1"/>
        <v>0.43349636658668644</v>
      </c>
      <c r="AH871" s="2" t="str">
        <f ca="1"/>
        <v>Bad</v>
      </c>
    </row>
    <row r="872" spans="2:34" x14ac:dyDescent="0.2">
      <c r="B872" s="2">
        <f ca="1"/>
        <v>0.85245203465434227</v>
      </c>
      <c r="O872" s="2">
        <f ca="1"/>
        <v>-0.29243567303728241</v>
      </c>
      <c r="X872" s="2">
        <f ca="1"/>
        <v>49.373753972444462</v>
      </c>
      <c r="AG872" s="2">
        <f ca="1"/>
        <v>0.21403328214204942</v>
      </c>
      <c r="AH872" s="2" t="str">
        <f ca="1"/>
        <v>OK</v>
      </c>
    </row>
    <row r="873" spans="2:34" x14ac:dyDescent="0.2">
      <c r="B873" s="2">
        <f ca="1"/>
        <v>0.4057376023023207</v>
      </c>
      <c r="O873" s="2">
        <f ca="1"/>
        <v>0.50906749599117329</v>
      </c>
      <c r="X873" s="2">
        <f ca="1"/>
        <v>81.492400900393875</v>
      </c>
      <c r="AG873" s="2">
        <f ca="1"/>
        <v>0.62547179196373204</v>
      </c>
      <c r="AH873" s="2" t="str">
        <f ca="1"/>
        <v>Bad</v>
      </c>
    </row>
    <row r="874" spans="2:34" x14ac:dyDescent="0.2">
      <c r="B874" s="2">
        <f ca="1"/>
        <v>0.38911027964129663</v>
      </c>
      <c r="O874" s="2">
        <f ca="1"/>
        <v>-0.92934654497858649</v>
      </c>
      <c r="X874" s="2">
        <f ca="1"/>
        <v>46.502576519464107</v>
      </c>
      <c r="AG874" s="2">
        <f ca="1"/>
        <v>0.27142835248524033</v>
      </c>
      <c r="AH874" s="2" t="str">
        <f ca="1"/>
        <v>OK</v>
      </c>
    </row>
    <row r="875" spans="2:34" x14ac:dyDescent="0.2">
      <c r="B875" s="2">
        <f ca="1"/>
        <v>0.16159145614055714</v>
      </c>
      <c r="O875" s="2">
        <f ca="1"/>
        <v>-0.27131414461143027</v>
      </c>
      <c r="X875" s="2">
        <f ca="1"/>
        <v>42.37115055068648</v>
      </c>
      <c r="AG875" s="2">
        <f ca="1"/>
        <v>0.96740661864392785</v>
      </c>
      <c r="AH875" s="2" t="str">
        <f ca="1"/>
        <v>Bad</v>
      </c>
    </row>
    <row r="876" spans="2:34" x14ac:dyDescent="0.2">
      <c r="B876" s="2">
        <f ca="1"/>
        <v>0.46241471194365613</v>
      </c>
      <c r="O876" s="2">
        <f ca="1"/>
        <v>0.5139131180634211</v>
      </c>
      <c r="X876" s="2">
        <f ca="1"/>
        <v>46.443556619252242</v>
      </c>
      <c r="AG876" s="2">
        <f ca="1"/>
        <v>0.82722335510348821</v>
      </c>
      <c r="AH876" s="2" t="str">
        <f ca="1"/>
        <v>Bad</v>
      </c>
    </row>
    <row r="877" spans="2:34" x14ac:dyDescent="0.2">
      <c r="B877" s="2">
        <f ca="1"/>
        <v>2.7025644156355222E-2</v>
      </c>
      <c r="O877" s="2">
        <f ca="1"/>
        <v>0.77071485312601729</v>
      </c>
      <c r="X877" s="2">
        <f ca="1"/>
        <v>25.497097582240428</v>
      </c>
      <c r="AG877" s="2">
        <f ca="1"/>
        <v>0.19750508982514181</v>
      </c>
      <c r="AH877" s="2" t="str">
        <f ca="1"/>
        <v>OK</v>
      </c>
    </row>
    <row r="878" spans="2:34" x14ac:dyDescent="0.2">
      <c r="B878" s="2">
        <f ca="1"/>
        <v>0.94702122310693881</v>
      </c>
      <c r="O878" s="2">
        <f ca="1"/>
        <v>1.5712298297559284</v>
      </c>
      <c r="X878" s="2">
        <f ca="1"/>
        <v>62.279701992063281</v>
      </c>
      <c r="AG878" s="2">
        <f ca="1"/>
        <v>0.58823150581065264</v>
      </c>
      <c r="AH878" s="2" t="str">
        <f ca="1"/>
        <v>Bad</v>
      </c>
    </row>
    <row r="879" spans="2:34" x14ac:dyDescent="0.2">
      <c r="B879" s="2">
        <f ca="1"/>
        <v>0.39103325755152651</v>
      </c>
      <c r="O879" s="2">
        <f ca="1"/>
        <v>3.1219698544952212</v>
      </c>
      <c r="X879" s="2">
        <f ca="1"/>
        <v>28.443150337351838</v>
      </c>
      <c r="AG879" s="2">
        <f ca="1"/>
        <v>0.13690415236607989</v>
      </c>
      <c r="AH879" s="2" t="str">
        <f ca="1"/>
        <v>OK</v>
      </c>
    </row>
    <row r="880" spans="2:34" x14ac:dyDescent="0.2">
      <c r="B880" s="2">
        <f ca="1"/>
        <v>0.81788552226097933</v>
      </c>
      <c r="O880" s="2">
        <f ca="1"/>
        <v>0.68109473068116821</v>
      </c>
      <c r="X880" s="2">
        <f ca="1"/>
        <v>52.491364634323688</v>
      </c>
      <c r="AG880" s="2">
        <f ca="1"/>
        <v>0.14764764873859493</v>
      </c>
      <c r="AH880" s="2" t="str">
        <f ca="1"/>
        <v>OK</v>
      </c>
    </row>
    <row r="881" spans="2:34" x14ac:dyDescent="0.2">
      <c r="B881" s="2">
        <f ca="1"/>
        <v>0.27786169325296117</v>
      </c>
      <c r="O881" s="2">
        <f ca="1"/>
        <v>9.233186056172428E-2</v>
      </c>
      <c r="X881" s="2">
        <f ca="1"/>
        <v>61.551983767159882</v>
      </c>
      <c r="AG881" s="2">
        <f ca="1"/>
        <v>0.51493951285814088</v>
      </c>
      <c r="AH881" s="2" t="str">
        <f ca="1"/>
        <v>Bad</v>
      </c>
    </row>
    <row r="882" spans="2:34" x14ac:dyDescent="0.2">
      <c r="B882" s="2">
        <f ca="1"/>
        <v>0.64567202755244391</v>
      </c>
      <c r="O882" s="2">
        <f ca="1"/>
        <v>0.99600410502715175</v>
      </c>
      <c r="X882" s="2">
        <f ca="1"/>
        <v>53.618987661656163</v>
      </c>
      <c r="AG882" s="2">
        <f ca="1"/>
        <v>0.51090043711593003</v>
      </c>
      <c r="AH882" s="2" t="str">
        <f ca="1"/>
        <v>Bad</v>
      </c>
    </row>
    <row r="883" spans="2:34" x14ac:dyDescent="0.2">
      <c r="B883" s="2">
        <f ca="1"/>
        <v>0.98326043867054991</v>
      </c>
      <c r="O883" s="2">
        <f ca="1"/>
        <v>0.26559955036390354</v>
      </c>
      <c r="X883" s="2">
        <f ca="1"/>
        <v>42.837588819337626</v>
      </c>
      <c r="AG883" s="2">
        <f ca="1"/>
        <v>0.47618125010550139</v>
      </c>
      <c r="AH883" s="2" t="str">
        <f ca="1"/>
        <v>Bad</v>
      </c>
    </row>
    <row r="884" spans="2:34" x14ac:dyDescent="0.2">
      <c r="B884" s="2">
        <f ca="1"/>
        <v>1.9746485882796705E-3</v>
      </c>
      <c r="O884" s="2">
        <f ca="1"/>
        <v>1.7548251697798003</v>
      </c>
      <c r="X884" s="2">
        <f ca="1"/>
        <v>33.166476567733383</v>
      </c>
      <c r="AG884" s="2">
        <f ca="1"/>
        <v>0.17977951235033363</v>
      </c>
      <c r="AH884" s="2" t="str">
        <f ca="1"/>
        <v>OK</v>
      </c>
    </row>
    <row r="885" spans="2:34" x14ac:dyDescent="0.2">
      <c r="B885" s="2">
        <f ca="1"/>
        <v>0.24033803725361924</v>
      </c>
      <c r="O885" s="2">
        <f ca="1"/>
        <v>0.271332223425157</v>
      </c>
      <c r="X885" s="2">
        <f ca="1"/>
        <v>75.246685816628769</v>
      </c>
      <c r="AG885" s="2">
        <f ca="1"/>
        <v>0.73608720158300045</v>
      </c>
      <c r="AH885" s="2" t="str">
        <f ca="1"/>
        <v>Bad</v>
      </c>
    </row>
    <row r="886" spans="2:34" x14ac:dyDescent="0.2">
      <c r="B886" s="2">
        <f ca="1"/>
        <v>0.5497896870642105</v>
      </c>
      <c r="O886" s="2">
        <f ca="1"/>
        <v>1.3493929626619188</v>
      </c>
      <c r="X886" s="2">
        <f ca="1"/>
        <v>50.20626057109061</v>
      </c>
      <c r="AG886" s="2">
        <f ca="1"/>
        <v>5.3039155276006777E-2</v>
      </c>
      <c r="AH886" s="2" t="str">
        <f ca="1"/>
        <v>OK</v>
      </c>
    </row>
    <row r="887" spans="2:34" x14ac:dyDescent="0.2">
      <c r="B887" s="2">
        <f ca="1"/>
        <v>0.45691784802532509</v>
      </c>
      <c r="O887" s="2">
        <f ca="1"/>
        <v>-0.62901736802060249</v>
      </c>
      <c r="X887" s="2">
        <f ca="1"/>
        <v>31.630735342813953</v>
      </c>
      <c r="AG887" s="2">
        <f ca="1"/>
        <v>0.57705357012983227</v>
      </c>
      <c r="AH887" s="2" t="str">
        <f ca="1"/>
        <v>Bad</v>
      </c>
    </row>
    <row r="888" spans="2:34" x14ac:dyDescent="0.2">
      <c r="B888" s="2">
        <f ca="1"/>
        <v>0.26218462112747121</v>
      </c>
      <c r="O888" s="2">
        <f ca="1"/>
        <v>-0.14746277248551656</v>
      </c>
      <c r="X888" s="2">
        <f ca="1"/>
        <v>87.664047529092016</v>
      </c>
      <c r="AG888" s="2">
        <f ca="1"/>
        <v>0.40723916856287823</v>
      </c>
      <c r="AH888" s="2" t="str">
        <f ca="1"/>
        <v>Bad</v>
      </c>
    </row>
    <row r="889" spans="2:34" x14ac:dyDescent="0.2">
      <c r="B889" s="2">
        <f ca="1"/>
        <v>0.86619445805353279</v>
      </c>
      <c r="O889" s="2">
        <f ca="1"/>
        <v>1.2350156700458155</v>
      </c>
      <c r="X889" s="2">
        <f ca="1"/>
        <v>53.143732562259601</v>
      </c>
      <c r="AG889" s="2">
        <f ca="1"/>
        <v>0.53318898840771456</v>
      </c>
      <c r="AH889" s="2" t="str">
        <f ca="1"/>
        <v>Bad</v>
      </c>
    </row>
    <row r="890" spans="2:34" x14ac:dyDescent="0.2">
      <c r="B890" s="2">
        <f ca="1"/>
        <v>0.78342263440198945</v>
      </c>
      <c r="O890" s="2">
        <f ca="1"/>
        <v>-0.38281238549740004</v>
      </c>
      <c r="X890" s="2">
        <f ca="1"/>
        <v>59.149318223333651</v>
      </c>
      <c r="AG890" s="2">
        <f ca="1"/>
        <v>5.1448624061889436E-3</v>
      </c>
      <c r="AH890" s="2" t="str">
        <f ca="1"/>
        <v>Good</v>
      </c>
    </row>
    <row r="891" spans="2:34" x14ac:dyDescent="0.2">
      <c r="B891" s="2">
        <f ca="1"/>
        <v>4.0438807833637958E-2</v>
      </c>
      <c r="O891" s="2">
        <f ca="1"/>
        <v>-1.0477254063514703</v>
      </c>
      <c r="X891" s="2">
        <f ca="1"/>
        <v>55.106511647044634</v>
      </c>
      <c r="AG891" s="2">
        <f ca="1"/>
        <v>1.9096650660722414E-2</v>
      </c>
      <c r="AH891" s="2" t="str">
        <f ca="1"/>
        <v>Good</v>
      </c>
    </row>
    <row r="892" spans="2:34" x14ac:dyDescent="0.2">
      <c r="B892" s="2">
        <f ca="1"/>
        <v>0.27881439726124335</v>
      </c>
      <c r="O892" s="2">
        <f ca="1"/>
        <v>0.78053996401885051</v>
      </c>
      <c r="X892" s="2">
        <f ca="1"/>
        <v>50.736183083868589</v>
      </c>
      <c r="AG892" s="2">
        <f ca="1"/>
        <v>0.23094066712369021</v>
      </c>
      <c r="AH892" s="2" t="str">
        <f ca="1"/>
        <v>OK</v>
      </c>
    </row>
    <row r="893" spans="2:34" x14ac:dyDescent="0.2">
      <c r="B893" s="2">
        <f ca="1"/>
        <v>0.67584671925135109</v>
      </c>
      <c r="O893" s="2">
        <f ca="1"/>
        <v>3.2573437078656053</v>
      </c>
      <c r="X893" s="2">
        <f ca="1"/>
        <v>47.939228106008116</v>
      </c>
      <c r="AG893" s="2">
        <f ca="1"/>
        <v>0.16910210830874095</v>
      </c>
      <c r="AH893" s="2" t="str">
        <f ca="1"/>
        <v>OK</v>
      </c>
    </row>
    <row r="894" spans="2:34" x14ac:dyDescent="0.2">
      <c r="B894" s="2">
        <f ca="1"/>
        <v>0.69321201728228066</v>
      </c>
      <c r="O894" s="2">
        <f ca="1"/>
        <v>0.88113355524163139</v>
      </c>
      <c r="X894" s="2">
        <f ca="1"/>
        <v>69.8883719612124</v>
      </c>
      <c r="AG894" s="2">
        <f ca="1"/>
        <v>0.27289970936483621</v>
      </c>
      <c r="AH894" s="2" t="str">
        <f ca="1"/>
        <v>OK</v>
      </c>
    </row>
    <row r="895" spans="2:34" x14ac:dyDescent="0.2">
      <c r="B895" s="2">
        <f ca="1"/>
        <v>0.31714855200354353</v>
      </c>
      <c r="O895" s="2">
        <f ca="1"/>
        <v>-0.15591290631091451</v>
      </c>
      <c r="X895" s="2">
        <f ca="1"/>
        <v>31.2123139672332</v>
      </c>
      <c r="AG895" s="2">
        <f ca="1"/>
        <v>7.9761071082629753E-2</v>
      </c>
      <c r="AH895" s="2" t="str">
        <f ca="1"/>
        <v>OK</v>
      </c>
    </row>
    <row r="896" spans="2:34" x14ac:dyDescent="0.2">
      <c r="B896" s="2">
        <f ca="1"/>
        <v>0.71366653209137598</v>
      </c>
      <c r="O896" s="2">
        <f ca="1"/>
        <v>-0.29582598463483895</v>
      </c>
      <c r="X896" s="2">
        <f ca="1"/>
        <v>32.325195346861491</v>
      </c>
      <c r="AG896" s="2">
        <f ca="1"/>
        <v>0.32398400377039938</v>
      </c>
      <c r="AH896" s="2" t="str">
        <f ca="1"/>
        <v>OK</v>
      </c>
    </row>
    <row r="897" spans="2:34" x14ac:dyDescent="0.2">
      <c r="B897" s="2">
        <f ca="1"/>
        <v>0.3612265378953512</v>
      </c>
      <c r="O897" s="2">
        <f ca="1"/>
        <v>-1.3534247516139548</v>
      </c>
      <c r="X897" s="2">
        <f ca="1"/>
        <v>44.293691192720402</v>
      </c>
      <c r="AG897" s="2">
        <f ca="1"/>
        <v>0.30227692236533055</v>
      </c>
      <c r="AH897" s="2" t="str">
        <f ca="1"/>
        <v>OK</v>
      </c>
    </row>
    <row r="898" spans="2:34" x14ac:dyDescent="0.2">
      <c r="B898" s="2">
        <f ca="1"/>
        <v>0.55413917270580137</v>
      </c>
      <c r="O898" s="2">
        <f ca="1"/>
        <v>-0.60237382053643806</v>
      </c>
      <c r="X898" s="2">
        <f ca="1"/>
        <v>65.982417399519676</v>
      </c>
      <c r="AG898" s="2">
        <f ca="1"/>
        <v>0.78427240330124204</v>
      </c>
      <c r="AH898" s="2" t="str">
        <f ca="1"/>
        <v>Bad</v>
      </c>
    </row>
    <row r="899" spans="2:34" x14ac:dyDescent="0.2">
      <c r="B899" s="2">
        <f ca="1"/>
        <v>0.40532141446364922</v>
      </c>
      <c r="O899" s="2">
        <f ca="1"/>
        <v>0.1981247207751487</v>
      </c>
      <c r="X899" s="2">
        <f ca="1"/>
        <v>91.984818407804624</v>
      </c>
      <c r="AG899" s="2">
        <f ca="1"/>
        <v>4.0810612434831306E-2</v>
      </c>
      <c r="AH899" s="2" t="str">
        <f ca="1"/>
        <v>Good</v>
      </c>
    </row>
    <row r="900" spans="2:34" x14ac:dyDescent="0.2">
      <c r="B900" s="2">
        <f ca="1"/>
        <v>0.18378377318945049</v>
      </c>
      <c r="O900" s="2">
        <f ca="1"/>
        <v>0.1389407948895966</v>
      </c>
      <c r="X900" s="2">
        <f ca="1"/>
        <v>41.372395646950118</v>
      </c>
      <c r="AG900" s="2">
        <f ca="1"/>
        <v>8.103599481087298E-2</v>
      </c>
      <c r="AH900" s="2" t="str">
        <f ca="1"/>
        <v>OK</v>
      </c>
    </row>
    <row r="901" spans="2:34" x14ac:dyDescent="0.2">
      <c r="B901" s="2">
        <f ca="1"/>
        <v>0.31322918651629617</v>
      </c>
      <c r="O901" s="2">
        <f ca="1"/>
        <v>1.4117041722040256</v>
      </c>
      <c r="X901" s="2">
        <f ca="1"/>
        <v>43.175714871395776</v>
      </c>
      <c r="AG901" s="2">
        <f ca="1"/>
        <v>0.73775780880892405</v>
      </c>
      <c r="AH901" s="2" t="str">
        <f ca="1"/>
        <v>Bad</v>
      </c>
    </row>
    <row r="902" spans="2:34" x14ac:dyDescent="0.2">
      <c r="B902" s="2">
        <f ca="1"/>
        <v>0.74390966618425791</v>
      </c>
      <c r="O902" s="2">
        <f ca="1"/>
        <v>-2.8498719709853428E-2</v>
      </c>
      <c r="X902" s="2">
        <f ca="1"/>
        <v>42.76600822403978</v>
      </c>
      <c r="AG902" s="2">
        <f ca="1"/>
        <v>0.37691768924913038</v>
      </c>
      <c r="AH902" s="2" t="str">
        <f ca="1"/>
        <v>OK</v>
      </c>
    </row>
    <row r="903" spans="2:34" x14ac:dyDescent="0.2">
      <c r="B903" s="2">
        <f ca="1"/>
        <v>0.25061801609421375</v>
      </c>
      <c r="O903" s="2">
        <f ca="1"/>
        <v>0.18725832248812591</v>
      </c>
      <c r="X903" s="2">
        <f ca="1"/>
        <v>44.278968921147865</v>
      </c>
      <c r="AG903" s="2">
        <f ca="1"/>
        <v>0.22549293832621919</v>
      </c>
      <c r="AH903" s="2" t="str">
        <f ca="1"/>
        <v>OK</v>
      </c>
    </row>
    <row r="904" spans="2:34" x14ac:dyDescent="0.2">
      <c r="B904" s="2">
        <f ca="1"/>
        <v>0.64630266416987103</v>
      </c>
      <c r="O904" s="2">
        <f ca="1"/>
        <v>0.71601512183390625</v>
      </c>
      <c r="X904" s="2">
        <f ca="1"/>
        <v>59.407374234068328</v>
      </c>
      <c r="AG904" s="2">
        <f ca="1"/>
        <v>0.72526214959404234</v>
      </c>
      <c r="AH904" s="2" t="str">
        <f ca="1"/>
        <v>Bad</v>
      </c>
    </row>
    <row r="905" spans="2:34" x14ac:dyDescent="0.2">
      <c r="B905" s="2">
        <f ca="1"/>
        <v>0.32578584874746896</v>
      </c>
      <c r="O905" s="2">
        <f ca="1"/>
        <v>-0.39477848913876523</v>
      </c>
      <c r="X905" s="2">
        <f ca="1"/>
        <v>40.257753140290632</v>
      </c>
      <c r="AG905" s="2">
        <f ca="1"/>
        <v>0.83064036793692497</v>
      </c>
      <c r="AH905" s="2" t="str">
        <f ca="1"/>
        <v>Bad</v>
      </c>
    </row>
    <row r="906" spans="2:34" x14ac:dyDescent="0.2">
      <c r="B906" s="2">
        <f ca="1"/>
        <v>0.62874323892657635</v>
      </c>
      <c r="O906" s="2">
        <f ca="1"/>
        <v>0.89353135490904856</v>
      </c>
      <c r="X906" s="2">
        <f ca="1"/>
        <v>39.510141070133656</v>
      </c>
      <c r="AG906" s="2">
        <f ca="1"/>
        <v>0.16441811809911111</v>
      </c>
      <c r="AH906" s="2" t="str">
        <f ca="1"/>
        <v>OK</v>
      </c>
    </row>
    <row r="907" spans="2:34" x14ac:dyDescent="0.2">
      <c r="B907" s="2">
        <f ca="1"/>
        <v>0.48294351707127725</v>
      </c>
      <c r="O907" s="2">
        <f ca="1"/>
        <v>0.11058261435308965</v>
      </c>
      <c r="X907" s="2">
        <f ca="1"/>
        <v>33.479118534443202</v>
      </c>
      <c r="AG907" s="2">
        <f ca="1"/>
        <v>0.20214682047059229</v>
      </c>
      <c r="AH907" s="2" t="str">
        <f ca="1"/>
        <v>OK</v>
      </c>
    </row>
    <row r="908" spans="2:34" x14ac:dyDescent="0.2">
      <c r="B908" s="2">
        <f ca="1"/>
        <v>0.39212589114767749</v>
      </c>
      <c r="O908" s="2">
        <f ca="1"/>
        <v>-1.102729849189116</v>
      </c>
      <c r="X908" s="2">
        <f ca="1"/>
        <v>31.785889244333628</v>
      </c>
      <c r="AG908" s="2">
        <f ca="1"/>
        <v>1.7716681604220019E-2</v>
      </c>
      <c r="AH908" s="2" t="str">
        <f ca="1"/>
        <v>Good</v>
      </c>
    </row>
    <row r="909" spans="2:34" x14ac:dyDescent="0.2">
      <c r="B909" s="2">
        <f ca="1"/>
        <v>0.25609325782889858</v>
      </c>
      <c r="O909" s="2">
        <f ca="1"/>
        <v>-0.66109295039129545</v>
      </c>
      <c r="X909" s="2">
        <f ca="1"/>
        <v>68.764126393013967</v>
      </c>
      <c r="AG909" s="2">
        <f ca="1"/>
        <v>0.17738120400489921</v>
      </c>
      <c r="AH909" s="2" t="str">
        <f ca="1"/>
        <v>OK</v>
      </c>
    </row>
    <row r="910" spans="2:34" x14ac:dyDescent="0.2">
      <c r="B910" s="2">
        <f ca="1"/>
        <v>0.44372605844520696</v>
      </c>
      <c r="O910" s="2">
        <f ca="1"/>
        <v>0.17137441196058795</v>
      </c>
      <c r="X910" s="2">
        <f ca="1"/>
        <v>56.100538916017101</v>
      </c>
      <c r="AG910" s="2">
        <f ca="1"/>
        <v>0.71590010272600813</v>
      </c>
      <c r="AH910" s="2" t="str">
        <f ca="1"/>
        <v>Bad</v>
      </c>
    </row>
    <row r="911" spans="2:34" x14ac:dyDescent="0.2">
      <c r="B911" s="2">
        <f ca="1"/>
        <v>0.34011362551614677</v>
      </c>
      <c r="O911" s="2">
        <f ca="1"/>
        <v>-0.31413443130257096</v>
      </c>
      <c r="X911" s="2">
        <f ca="1"/>
        <v>34.572236574352303</v>
      </c>
      <c r="AG911" s="2">
        <f ca="1"/>
        <v>0.62473649953687049</v>
      </c>
      <c r="AH911" s="2" t="str">
        <f ca="1"/>
        <v>Bad</v>
      </c>
    </row>
    <row r="912" spans="2:34" x14ac:dyDescent="0.2">
      <c r="B912" s="2">
        <f ca="1"/>
        <v>0.83987563292393785</v>
      </c>
      <c r="O912" s="2">
        <f ca="1"/>
        <v>-1.3939880008843419</v>
      </c>
      <c r="X912" s="2">
        <f ca="1"/>
        <v>67.828965287915324</v>
      </c>
      <c r="AG912" s="2">
        <f ca="1"/>
        <v>0.54710150183503714</v>
      </c>
      <c r="AH912" s="2" t="str">
        <f ca="1"/>
        <v>Bad</v>
      </c>
    </row>
    <row r="913" spans="2:34" x14ac:dyDescent="0.2">
      <c r="B913" s="2">
        <f ca="1"/>
        <v>0.58402610425824086</v>
      </c>
      <c r="O913" s="2">
        <f ca="1"/>
        <v>-2.494683251040656</v>
      </c>
      <c r="X913" s="2">
        <f ca="1"/>
        <v>52.996676488041672</v>
      </c>
      <c r="AG913" s="2">
        <f ca="1"/>
        <v>3.0590394455041858E-2</v>
      </c>
      <c r="AH913" s="2" t="str">
        <f ca="1"/>
        <v>Good</v>
      </c>
    </row>
    <row r="914" spans="2:34" x14ac:dyDescent="0.2">
      <c r="B914" s="2">
        <f ca="1"/>
        <v>0.60418023465270965</v>
      </c>
      <c r="O914" s="2">
        <f ca="1"/>
        <v>-0.89796503356835411</v>
      </c>
      <c r="X914" s="2">
        <f ca="1"/>
        <v>55.955936122477503</v>
      </c>
      <c r="AG914" s="2">
        <f ca="1"/>
        <v>0.85914799300084521</v>
      </c>
      <c r="AH914" s="2" t="str">
        <f ca="1"/>
        <v>Bad</v>
      </c>
    </row>
    <row r="915" spans="2:34" x14ac:dyDescent="0.2">
      <c r="B915" s="2">
        <f ca="1"/>
        <v>0.8092399452372312</v>
      </c>
      <c r="O915" s="2">
        <f ca="1"/>
        <v>-2.0627358960549209</v>
      </c>
      <c r="X915" s="2">
        <f ca="1"/>
        <v>71.37235189462919</v>
      </c>
      <c r="AG915" s="2">
        <f ca="1"/>
        <v>0.25113557521966556</v>
      </c>
      <c r="AH915" s="2" t="str">
        <f ca="1"/>
        <v>OK</v>
      </c>
    </row>
    <row r="916" spans="2:34" x14ac:dyDescent="0.2">
      <c r="B916" s="2">
        <f ca="1"/>
        <v>0.43214165456485598</v>
      </c>
      <c r="O916" s="2">
        <f ca="1"/>
        <v>-0.18704832165959984</v>
      </c>
      <c r="X916" s="2">
        <f ca="1"/>
        <v>48.542292983042252</v>
      </c>
      <c r="AG916" s="2">
        <f ca="1"/>
        <v>0.47361892110532144</v>
      </c>
      <c r="AH916" s="2" t="str">
        <f ca="1"/>
        <v>Bad</v>
      </c>
    </row>
    <row r="917" spans="2:34" x14ac:dyDescent="0.2">
      <c r="B917" s="2">
        <f ca="1"/>
        <v>1.3296686041230243E-2</v>
      </c>
      <c r="O917" s="2">
        <f ca="1"/>
        <v>0.39698417939266639</v>
      </c>
      <c r="X917" s="2">
        <f ca="1"/>
        <v>41.626809770515301</v>
      </c>
      <c r="AG917" s="2">
        <f ca="1"/>
        <v>0.4375295733876603</v>
      </c>
      <c r="AH917" s="2" t="str">
        <f ca="1"/>
        <v>Bad</v>
      </c>
    </row>
    <row r="918" spans="2:34" x14ac:dyDescent="0.2">
      <c r="B918" s="2">
        <f ca="1"/>
        <v>0.14315185366490035</v>
      </c>
      <c r="O918" s="2">
        <f ca="1"/>
        <v>0.87578169624066948</v>
      </c>
      <c r="X918" s="2">
        <f ca="1"/>
        <v>56.30236919801731</v>
      </c>
      <c r="AG918" s="2">
        <f ca="1"/>
        <v>0.50014184330333755</v>
      </c>
      <c r="AH918" s="2" t="str">
        <f ca="1"/>
        <v>Bad</v>
      </c>
    </row>
    <row r="919" spans="2:34" x14ac:dyDescent="0.2">
      <c r="B919" s="2">
        <f ca="1"/>
        <v>0.65633989571417128</v>
      </c>
      <c r="O919" s="2">
        <f ca="1"/>
        <v>-1.0339332634259619</v>
      </c>
      <c r="X919" s="2">
        <f ca="1"/>
        <v>62.016477181317164</v>
      </c>
      <c r="AG919" s="2">
        <f ca="1"/>
        <v>0.37705931510085855</v>
      </c>
      <c r="AH919" s="2" t="str">
        <f ca="1"/>
        <v>OK</v>
      </c>
    </row>
    <row r="920" spans="2:34" x14ac:dyDescent="0.2">
      <c r="B920" s="2">
        <f ca="1"/>
        <v>0.36199857205490193</v>
      </c>
      <c r="O920" s="2">
        <f ca="1"/>
        <v>-0.12978718141159731</v>
      </c>
      <c r="X920" s="2">
        <f ca="1"/>
        <v>52.332235376291095</v>
      </c>
      <c r="AG920" s="2">
        <f ca="1"/>
        <v>0.42447860936083259</v>
      </c>
      <c r="AH920" s="2" t="str">
        <f ca="1"/>
        <v>Bad</v>
      </c>
    </row>
    <row r="921" spans="2:34" x14ac:dyDescent="0.2">
      <c r="B921" s="2">
        <f ca="1"/>
        <v>5.6559861722341287E-2</v>
      </c>
      <c r="O921" s="2">
        <f ca="1"/>
        <v>0.65155543831528329</v>
      </c>
      <c r="X921" s="2">
        <f ca="1"/>
        <v>51.225868357865075</v>
      </c>
      <c r="AG921" s="2">
        <f ca="1"/>
        <v>0.649512649901405</v>
      </c>
      <c r="AH921" s="2" t="str">
        <f ca="1"/>
        <v>Bad</v>
      </c>
    </row>
    <row r="922" spans="2:34" x14ac:dyDescent="0.2">
      <c r="B922" s="2">
        <f ca="1"/>
        <v>0.98415475030112298</v>
      </c>
      <c r="O922" s="2">
        <f ca="1"/>
        <v>-7.0170892764858231E-2</v>
      </c>
      <c r="X922" s="2">
        <f ca="1"/>
        <v>47.01519387656365</v>
      </c>
      <c r="AG922" s="2">
        <f ca="1"/>
        <v>0.97947079995777786</v>
      </c>
      <c r="AH922" s="2" t="str">
        <f ca="1"/>
        <v>Bad</v>
      </c>
    </row>
    <row r="923" spans="2:34" x14ac:dyDescent="0.2">
      <c r="B923" s="2">
        <f ca="1"/>
        <v>0.1063349724951399</v>
      </c>
      <c r="O923" s="2">
        <f ca="1"/>
        <v>-0.12605932806346931</v>
      </c>
      <c r="X923" s="2">
        <f ca="1"/>
        <v>36.078231393180673</v>
      </c>
      <c r="AG923" s="2">
        <f ca="1"/>
        <v>0.53581298014111112</v>
      </c>
      <c r="AH923" s="2" t="str">
        <f ca="1"/>
        <v>Bad</v>
      </c>
    </row>
    <row r="924" spans="2:34" x14ac:dyDescent="0.2">
      <c r="B924" s="2">
        <f ca="1"/>
        <v>0.77106809269785836</v>
      </c>
      <c r="O924" s="2">
        <f ca="1"/>
        <v>0.44958142898662634</v>
      </c>
      <c r="X924" s="2">
        <f ca="1"/>
        <v>43.619208738371498</v>
      </c>
      <c r="AG924" s="2">
        <f ca="1"/>
        <v>0.79911805703173378</v>
      </c>
      <c r="AH924" s="2" t="str">
        <f ca="1"/>
        <v>Bad</v>
      </c>
    </row>
    <row r="925" spans="2:34" x14ac:dyDescent="0.2">
      <c r="B925" s="2">
        <f ca="1"/>
        <v>0.92607109871742499</v>
      </c>
      <c r="O925" s="2">
        <f ca="1"/>
        <v>-0.65368777629513986</v>
      </c>
      <c r="X925" s="2">
        <f ca="1"/>
        <v>54.259173258761891</v>
      </c>
      <c r="AG925" s="2">
        <f ca="1"/>
        <v>0.8686666716303777</v>
      </c>
      <c r="AH925" s="2" t="str">
        <f ca="1"/>
        <v>Bad</v>
      </c>
    </row>
    <row r="926" spans="2:34" x14ac:dyDescent="0.2">
      <c r="B926" s="2">
        <f ca="1"/>
        <v>0.92561983562092376</v>
      </c>
      <c r="O926" s="2">
        <f ca="1"/>
        <v>-1.4036823007286334</v>
      </c>
      <c r="X926" s="2">
        <f ca="1"/>
        <v>50.033684604849839</v>
      </c>
      <c r="AG926" s="2">
        <f ca="1"/>
        <v>0.63833756321368851</v>
      </c>
      <c r="AH926" s="2" t="str">
        <f ca="1"/>
        <v>Bad</v>
      </c>
    </row>
    <row r="927" spans="2:34" x14ac:dyDescent="0.2">
      <c r="B927" s="2">
        <f ca="1"/>
        <v>6.5030448461518287E-3</v>
      </c>
      <c r="O927" s="2">
        <f ca="1"/>
        <v>2.2415521216057672</v>
      </c>
      <c r="X927" s="2">
        <f ca="1"/>
        <v>48.342054687965053</v>
      </c>
      <c r="AG927" s="2">
        <f ca="1"/>
        <v>0.84117697408484893</v>
      </c>
      <c r="AH927" s="2" t="str">
        <f ca="1"/>
        <v>Bad</v>
      </c>
    </row>
    <row r="928" spans="2:34" x14ac:dyDescent="0.2">
      <c r="B928" s="2">
        <f ca="1"/>
        <v>0.65593151778735947</v>
      </c>
      <c r="O928" s="2">
        <f ca="1"/>
        <v>-0.34068693443217862</v>
      </c>
      <c r="X928" s="2">
        <f ca="1"/>
        <v>49.829199632162187</v>
      </c>
      <c r="AG928" s="2">
        <f ca="1"/>
        <v>0.38602191542953457</v>
      </c>
      <c r="AH928" s="2" t="str">
        <f ca="1"/>
        <v>OK</v>
      </c>
    </row>
    <row r="929" spans="2:34" x14ac:dyDescent="0.2">
      <c r="B929" s="2">
        <f ca="1"/>
        <v>0.10873312932359869</v>
      </c>
      <c r="O929" s="2">
        <f ca="1"/>
        <v>-0.33752471241196641</v>
      </c>
      <c r="X929" s="2">
        <f ca="1"/>
        <v>48.841908663855278</v>
      </c>
      <c r="AG929" s="2">
        <f ca="1"/>
        <v>0.56846345267754783</v>
      </c>
      <c r="AH929" s="2" t="str">
        <f ca="1"/>
        <v>Bad</v>
      </c>
    </row>
    <row r="930" spans="2:34" x14ac:dyDescent="0.2">
      <c r="B930" s="2">
        <f ca="1"/>
        <v>5.2739256601872508E-2</v>
      </c>
      <c r="O930" s="2">
        <f ca="1"/>
        <v>-0.73613750471652828</v>
      </c>
      <c r="X930" s="2">
        <f ca="1"/>
        <v>51.501950499431437</v>
      </c>
      <c r="AG930" s="2">
        <f ca="1"/>
        <v>0.662408499027342</v>
      </c>
      <c r="AH930" s="2" t="str">
        <f ca="1"/>
        <v>Bad</v>
      </c>
    </row>
    <row r="931" spans="2:34" x14ac:dyDescent="0.2">
      <c r="B931" s="2">
        <f ca="1"/>
        <v>1.8821250420227864E-2</v>
      </c>
      <c r="O931" s="2">
        <f ca="1"/>
        <v>1.1542190093039946</v>
      </c>
      <c r="X931" s="2">
        <f ca="1"/>
        <v>36.939731486351576</v>
      </c>
      <c r="AG931" s="2">
        <f ca="1"/>
        <v>0.39334774659295602</v>
      </c>
      <c r="AH931" s="2" t="str">
        <f ca="1"/>
        <v>OK</v>
      </c>
    </row>
    <row r="932" spans="2:34" x14ac:dyDescent="0.2">
      <c r="B932" s="2">
        <f ca="1"/>
        <v>0.72137311337845844</v>
      </c>
      <c r="O932" s="2">
        <f ca="1"/>
        <v>-0.18053709557071959</v>
      </c>
      <c r="X932" s="2">
        <f ca="1"/>
        <v>77.823131619080968</v>
      </c>
      <c r="AG932" s="2">
        <f ca="1"/>
        <v>0.10943824967746529</v>
      </c>
      <c r="AH932" s="2" t="str">
        <f ca="1"/>
        <v>OK</v>
      </c>
    </row>
    <row r="933" spans="2:34" x14ac:dyDescent="0.2">
      <c r="B933" s="2">
        <f ca="1"/>
        <v>0.97342780643878135</v>
      </c>
      <c r="O933" s="2">
        <f ca="1"/>
        <v>-0.17113316518378016</v>
      </c>
      <c r="X933" s="2">
        <f ca="1"/>
        <v>46.824289674994468</v>
      </c>
      <c r="AG933" s="2">
        <f ca="1"/>
        <v>0.361217133873597</v>
      </c>
      <c r="AH933" s="2" t="str">
        <f ca="1"/>
        <v>OK</v>
      </c>
    </row>
    <row r="934" spans="2:34" x14ac:dyDescent="0.2">
      <c r="B934" s="2">
        <f ca="1"/>
        <v>0.78259610236400401</v>
      </c>
      <c r="O934" s="2">
        <f ca="1"/>
        <v>-1.6152759978920017E-2</v>
      </c>
      <c r="X934" s="2">
        <f ca="1"/>
        <v>28.610553747296478</v>
      </c>
      <c r="AG934" s="2">
        <f ca="1"/>
        <v>0.14651121709128212</v>
      </c>
      <c r="AH934" s="2" t="str">
        <f ca="1"/>
        <v>OK</v>
      </c>
    </row>
    <row r="935" spans="2:34" x14ac:dyDescent="0.2">
      <c r="B935" s="2">
        <f ca="1"/>
        <v>0.3341170271600129</v>
      </c>
      <c r="O935" s="2">
        <f ca="1"/>
        <v>-0.1816324332418946</v>
      </c>
      <c r="X935" s="2">
        <f ca="1"/>
        <v>60.872998453175569</v>
      </c>
      <c r="AG935" s="2">
        <f ca="1"/>
        <v>0.78253563873564125</v>
      </c>
      <c r="AH935" s="2" t="str">
        <f ca="1"/>
        <v>Bad</v>
      </c>
    </row>
    <row r="936" spans="2:34" x14ac:dyDescent="0.2">
      <c r="B936" s="2">
        <f ca="1"/>
        <v>0.65906563120046924</v>
      </c>
      <c r="O936" s="2">
        <f ca="1"/>
        <v>-1.160025007923229</v>
      </c>
      <c r="X936" s="2">
        <f ca="1"/>
        <v>33.056179237653531</v>
      </c>
      <c r="AG936" s="2">
        <f ca="1"/>
        <v>0.36744769140774203</v>
      </c>
      <c r="AH936" s="2" t="str">
        <f ca="1"/>
        <v>OK</v>
      </c>
    </row>
    <row r="937" spans="2:34" x14ac:dyDescent="0.2">
      <c r="B937" s="2">
        <f ca="1"/>
        <v>0.35204204246882242</v>
      </c>
      <c r="O937" s="2">
        <f ca="1"/>
        <v>-0.65606405201894102</v>
      </c>
      <c r="X937" s="2">
        <f ca="1"/>
        <v>30.888534174992582</v>
      </c>
      <c r="AG937" s="2">
        <f ca="1"/>
        <v>0.93284804462339665</v>
      </c>
      <c r="AH937" s="2" t="str">
        <f ca="1"/>
        <v>Bad</v>
      </c>
    </row>
    <row r="938" spans="2:34" x14ac:dyDescent="0.2">
      <c r="B938" s="2">
        <f ca="1"/>
        <v>0.91098308348127044</v>
      </c>
      <c r="O938" s="2">
        <f ca="1"/>
        <v>0.7968396339983479</v>
      </c>
      <c r="X938" s="2">
        <f ca="1"/>
        <v>42.610049533637877</v>
      </c>
      <c r="AG938" s="2">
        <f ca="1"/>
        <v>0.39087421139201117</v>
      </c>
      <c r="AH938" s="2" t="str">
        <f ca="1"/>
        <v>OK</v>
      </c>
    </row>
    <row r="939" spans="2:34" x14ac:dyDescent="0.2">
      <c r="B939" s="2">
        <f ca="1"/>
        <v>0.42370093670394859</v>
      </c>
      <c r="O939" s="2">
        <f ca="1"/>
        <v>-1.1485441180486828</v>
      </c>
      <c r="X939" s="2">
        <f ca="1"/>
        <v>49.607034542969814</v>
      </c>
      <c r="AG939" s="2">
        <f ca="1"/>
        <v>4.1170908410215645E-2</v>
      </c>
      <c r="AH939" s="2" t="str">
        <f ca="1"/>
        <v>Good</v>
      </c>
    </row>
    <row r="940" spans="2:34" x14ac:dyDescent="0.2">
      <c r="B940" s="2">
        <f ca="1"/>
        <v>0.54109068884230904</v>
      </c>
      <c r="O940" s="2">
        <f ca="1"/>
        <v>0.47604465985922989</v>
      </c>
      <c r="X940" s="2">
        <f ca="1"/>
        <v>84.231161860591186</v>
      </c>
      <c r="AG940" s="2">
        <f ca="1"/>
        <v>0.91321981025391419</v>
      </c>
      <c r="AH940" s="2" t="str">
        <f ca="1"/>
        <v>Bad</v>
      </c>
    </row>
    <row r="941" spans="2:34" x14ac:dyDescent="0.2">
      <c r="B941" s="2">
        <f ca="1"/>
        <v>0.75445453068779256</v>
      </c>
      <c r="O941" s="2">
        <f ca="1"/>
        <v>0.61895972075661765</v>
      </c>
      <c r="X941" s="2">
        <f ca="1"/>
        <v>54.360742424371864</v>
      </c>
      <c r="AG941" s="2">
        <f ca="1"/>
        <v>0.39418258985255661</v>
      </c>
      <c r="AH941" s="2" t="str">
        <f ca="1"/>
        <v>OK</v>
      </c>
    </row>
    <row r="942" spans="2:34" x14ac:dyDescent="0.2">
      <c r="B942" s="2">
        <f ca="1"/>
        <v>0.57581819989742344</v>
      </c>
      <c r="O942" s="2">
        <f ca="1"/>
        <v>-0.40980561463583109</v>
      </c>
      <c r="X942" s="2">
        <f ca="1"/>
        <v>31.816556266903703</v>
      </c>
      <c r="AG942" s="2">
        <f ca="1"/>
        <v>0.85287560027360931</v>
      </c>
      <c r="AH942" s="2" t="str">
        <f ca="1"/>
        <v>Bad</v>
      </c>
    </row>
    <row r="943" spans="2:34" x14ac:dyDescent="0.2">
      <c r="B943" s="2">
        <f ca="1"/>
        <v>0.44569560525621554</v>
      </c>
      <c r="O943" s="2">
        <f ca="1"/>
        <v>-0.25510121211488324</v>
      </c>
      <c r="X943" s="2">
        <f ca="1"/>
        <v>41.455159624935661</v>
      </c>
      <c r="AG943" s="2">
        <f ca="1"/>
        <v>0.12882139417435812</v>
      </c>
      <c r="AH943" s="2" t="str">
        <f ca="1"/>
        <v>OK</v>
      </c>
    </row>
    <row r="944" spans="2:34" x14ac:dyDescent="0.2">
      <c r="B944" s="2">
        <f ca="1"/>
        <v>0.96994232391765389</v>
      </c>
      <c r="O944" s="2">
        <f ca="1"/>
        <v>0.36635107399163613</v>
      </c>
      <c r="X944" s="2">
        <f ca="1"/>
        <v>68.188469495672706</v>
      </c>
      <c r="AG944" s="2">
        <f ca="1"/>
        <v>0.63775727400548754</v>
      </c>
      <c r="AH944" s="2" t="str">
        <f ca="1"/>
        <v>Bad</v>
      </c>
    </row>
    <row r="945" spans="2:34" x14ac:dyDescent="0.2">
      <c r="B945" s="2">
        <f ca="1"/>
        <v>5.6556738663624539E-3</v>
      </c>
      <c r="O945" s="2">
        <f ca="1"/>
        <v>-0.5587347296998072</v>
      </c>
      <c r="X945" s="2">
        <f ca="1"/>
        <v>85.092758948636927</v>
      </c>
      <c r="AG945" s="2">
        <f ca="1"/>
        <v>0.86151507338572086</v>
      </c>
      <c r="AH945" s="2" t="str">
        <f ca="1"/>
        <v>Bad</v>
      </c>
    </row>
    <row r="946" spans="2:34" x14ac:dyDescent="0.2">
      <c r="B946" s="2">
        <f ca="1"/>
        <v>0.93615018939132066</v>
      </c>
      <c r="O946" s="2">
        <f ca="1"/>
        <v>3.9017040994197193E-2</v>
      </c>
      <c r="X946" s="2">
        <f ca="1"/>
        <v>86.611760396507421</v>
      </c>
      <c r="AG946" s="2">
        <f ca="1"/>
        <v>0.13957584637517795</v>
      </c>
      <c r="AH946" s="2" t="str">
        <f ca="1"/>
        <v>OK</v>
      </c>
    </row>
    <row r="947" spans="2:34" x14ac:dyDescent="0.2">
      <c r="B947" s="2">
        <f ca="1"/>
        <v>0.26258837039170202</v>
      </c>
      <c r="O947" s="2">
        <f ca="1"/>
        <v>5.2030123233664696E-2</v>
      </c>
      <c r="X947" s="2">
        <f ca="1"/>
        <v>46.191748122245045</v>
      </c>
      <c r="AG947" s="2">
        <f ca="1"/>
        <v>0.65708035165902268</v>
      </c>
      <c r="AH947" s="2" t="str">
        <f ca="1"/>
        <v>Bad</v>
      </c>
    </row>
    <row r="948" spans="2:34" x14ac:dyDescent="0.2">
      <c r="B948" s="2">
        <f ca="1"/>
        <v>0.40758484241744797</v>
      </c>
      <c r="O948" s="2">
        <f ca="1"/>
        <v>-1.6038103744559544</v>
      </c>
      <c r="X948" s="2">
        <f ca="1"/>
        <v>37.841135618838457</v>
      </c>
      <c r="AG948" s="2">
        <f ca="1"/>
        <v>0.27064936735143963</v>
      </c>
      <c r="AH948" s="2" t="str">
        <f ca="1"/>
        <v>OK</v>
      </c>
    </row>
    <row r="949" spans="2:34" x14ac:dyDescent="0.2">
      <c r="B949" s="2">
        <f ca="1"/>
        <v>0.66433770608432008</v>
      </c>
      <c r="O949" s="2">
        <f ca="1"/>
        <v>-0.27696931469755226</v>
      </c>
      <c r="X949" s="2">
        <f ca="1"/>
        <v>44.514872817276647</v>
      </c>
      <c r="AG949" s="2">
        <f ca="1"/>
        <v>0.82001563916095033</v>
      </c>
      <c r="AH949" s="2" t="str">
        <f ca="1"/>
        <v>Bad</v>
      </c>
    </row>
    <row r="950" spans="2:34" x14ac:dyDescent="0.2">
      <c r="B950" s="2">
        <f ca="1"/>
        <v>0.888694733242402</v>
      </c>
      <c r="O950" s="2">
        <f ca="1"/>
        <v>-1.7213715076155656</v>
      </c>
      <c r="X950" s="2">
        <f ca="1"/>
        <v>52.44768093552625</v>
      </c>
      <c r="AG950" s="2">
        <f ca="1"/>
        <v>0.60430178977577964</v>
      </c>
      <c r="AH950" s="2" t="str">
        <f ca="1"/>
        <v>Bad</v>
      </c>
    </row>
    <row r="951" spans="2:34" x14ac:dyDescent="0.2">
      <c r="B951" s="2">
        <f ca="1"/>
        <v>0.38582191716031256</v>
      </c>
      <c r="O951" s="2">
        <f ca="1"/>
        <v>0.53323773363369198</v>
      </c>
      <c r="X951" s="2">
        <f ca="1"/>
        <v>59.88200176619727</v>
      </c>
      <c r="AG951" s="2">
        <f ca="1"/>
        <v>0.32133678409258382</v>
      </c>
      <c r="AH951" s="2" t="str">
        <f ca="1"/>
        <v>OK</v>
      </c>
    </row>
    <row r="952" spans="2:34" x14ac:dyDescent="0.2">
      <c r="B952" s="2">
        <f ca="1"/>
        <v>0.64185109013761266</v>
      </c>
      <c r="O952" s="2">
        <f ca="1"/>
        <v>0.24354016207867485</v>
      </c>
      <c r="X952" s="2">
        <f ca="1"/>
        <v>47.413089092218769</v>
      </c>
      <c r="AG952" s="2">
        <f ca="1"/>
        <v>0.62271022324906822</v>
      </c>
      <c r="AH952" s="2" t="str">
        <f ca="1"/>
        <v>Bad</v>
      </c>
    </row>
    <row r="953" spans="2:34" x14ac:dyDescent="0.2">
      <c r="B953" s="2">
        <f ca="1"/>
        <v>0.40445983782149275</v>
      </c>
      <c r="O953" s="2">
        <f ca="1"/>
        <v>0.13171562893543559</v>
      </c>
      <c r="X953" s="2">
        <f ca="1"/>
        <v>60.824455378746208</v>
      </c>
      <c r="AG953" s="2">
        <f ca="1"/>
        <v>0.45092501932451157</v>
      </c>
      <c r="AH953" s="2" t="str">
        <f ca="1"/>
        <v>Bad</v>
      </c>
    </row>
    <row r="954" spans="2:34" x14ac:dyDescent="0.2">
      <c r="B954" s="2">
        <f ca="1"/>
        <v>0.62226870364503029</v>
      </c>
      <c r="O954" s="2">
        <f ca="1"/>
        <v>0.58676085280389711</v>
      </c>
      <c r="X954" s="2">
        <f ca="1"/>
        <v>52.436753900640547</v>
      </c>
      <c r="AG954" s="2">
        <f ca="1"/>
        <v>6.8587211569975937E-2</v>
      </c>
      <c r="AH954" s="2" t="str">
        <f ca="1"/>
        <v>OK</v>
      </c>
    </row>
    <row r="955" spans="2:34" x14ac:dyDescent="0.2">
      <c r="B955" s="2">
        <f ca="1"/>
        <v>0.23770101437588576</v>
      </c>
      <c r="O955" s="2">
        <f ca="1"/>
        <v>0.40949744379636849</v>
      </c>
      <c r="X955" s="2">
        <f ca="1"/>
        <v>20.270091763893777</v>
      </c>
      <c r="AG955" s="2">
        <f ca="1"/>
        <v>0.78914215683824152</v>
      </c>
      <c r="AH955" s="2" t="str">
        <f ca="1"/>
        <v>Bad</v>
      </c>
    </row>
    <row r="956" spans="2:34" x14ac:dyDescent="0.2">
      <c r="B956" s="2">
        <f ca="1"/>
        <v>0.95717528590110845</v>
      </c>
      <c r="O956" s="2">
        <f ca="1"/>
        <v>1.2754798313095632</v>
      </c>
      <c r="X956" s="2">
        <f ca="1"/>
        <v>67.993495597535031</v>
      </c>
      <c r="AG956" s="2">
        <f ca="1"/>
        <v>0.70583982020579317</v>
      </c>
      <c r="AH956" s="2" t="str">
        <f ca="1"/>
        <v>Bad</v>
      </c>
    </row>
    <row r="957" spans="2:34" x14ac:dyDescent="0.2">
      <c r="B957" s="2">
        <f ca="1"/>
        <v>0.91401216052445911</v>
      </c>
      <c r="O957" s="2">
        <f ca="1"/>
        <v>0.46474491942530538</v>
      </c>
      <c r="X957" s="2">
        <f ca="1"/>
        <v>43.375657221041841</v>
      </c>
      <c r="AG957" s="2">
        <f ca="1"/>
        <v>0.57105097474729982</v>
      </c>
      <c r="AH957" s="2" t="str">
        <f ca="1"/>
        <v>Bad</v>
      </c>
    </row>
    <row r="958" spans="2:34" x14ac:dyDescent="0.2">
      <c r="B958" s="2">
        <f ca="1"/>
        <v>0.5645915120238858</v>
      </c>
      <c r="O958" s="2">
        <f ca="1"/>
        <v>-0.90403954728532421</v>
      </c>
      <c r="X958" s="2">
        <f ca="1"/>
        <v>43.006658404532089</v>
      </c>
      <c r="AG958" s="2">
        <f ca="1"/>
        <v>0.47624868470452264</v>
      </c>
      <c r="AH958" s="2" t="str">
        <f ca="1"/>
        <v>Bad</v>
      </c>
    </row>
    <row r="959" spans="2:34" x14ac:dyDescent="0.2">
      <c r="B959" s="2">
        <f ca="1"/>
        <v>0.23429071767328646</v>
      </c>
      <c r="O959" s="2">
        <f ca="1"/>
        <v>1.5287611912437327E-2</v>
      </c>
      <c r="X959" s="2">
        <f ca="1"/>
        <v>48.184080971999215</v>
      </c>
      <c r="AG959" s="2">
        <f ca="1"/>
        <v>0.125852256241473</v>
      </c>
      <c r="AH959" s="2" t="str">
        <f ca="1"/>
        <v>OK</v>
      </c>
    </row>
    <row r="960" spans="2:34" x14ac:dyDescent="0.2">
      <c r="B960" s="2">
        <f ca="1"/>
        <v>0.98866927310489428</v>
      </c>
      <c r="O960" s="2">
        <f ca="1"/>
        <v>-0.24909604229570936</v>
      </c>
      <c r="X960" s="2">
        <f ca="1"/>
        <v>64.486634832601467</v>
      </c>
      <c r="AG960" s="2">
        <f ca="1"/>
        <v>0.92580750546853219</v>
      </c>
      <c r="AH960" s="2" t="str">
        <f ca="1"/>
        <v>Bad</v>
      </c>
    </row>
    <row r="961" spans="2:34" x14ac:dyDescent="0.2">
      <c r="B961" s="2">
        <f ca="1"/>
        <v>0.57943163039447954</v>
      </c>
      <c r="O961" s="2">
        <f ca="1"/>
        <v>9.445129122372535E-2</v>
      </c>
      <c r="X961" s="2">
        <f ca="1"/>
        <v>47.791681158802206</v>
      </c>
      <c r="AG961" s="2">
        <f ca="1"/>
        <v>0.79896287915247965</v>
      </c>
      <c r="AH961" s="2" t="str">
        <f ca="1"/>
        <v>Bad</v>
      </c>
    </row>
    <row r="962" spans="2:34" x14ac:dyDescent="0.2">
      <c r="B962" s="2">
        <f ca="1"/>
        <v>4.7513517931516702E-3</v>
      </c>
      <c r="O962" s="2">
        <f ca="1"/>
        <v>-0.16455271763185059</v>
      </c>
      <c r="X962" s="2">
        <f ca="1"/>
        <v>52.272997828984899</v>
      </c>
      <c r="AG962" s="2">
        <f ca="1"/>
        <v>6.4064688984180718E-2</v>
      </c>
      <c r="AH962" s="2" t="str">
        <f ca="1"/>
        <v>OK</v>
      </c>
    </row>
    <row r="963" spans="2:34" x14ac:dyDescent="0.2">
      <c r="B963" s="2">
        <f ca="1"/>
        <v>0.78962725887369523</v>
      </c>
      <c r="O963" s="2">
        <f ca="1"/>
        <v>0.67839177677772122</v>
      </c>
      <c r="X963" s="2">
        <f ca="1"/>
        <v>107.13265733065514</v>
      </c>
      <c r="AG963" s="2">
        <f ca="1"/>
        <v>0.88652484792193498</v>
      </c>
      <c r="AH963" s="2" t="str">
        <f ca="1"/>
        <v>Bad</v>
      </c>
    </row>
    <row r="964" spans="2:34" x14ac:dyDescent="0.2">
      <c r="B964" s="2">
        <f ca="1"/>
        <v>0.54038303511757757</v>
      </c>
      <c r="O964" s="2">
        <f ca="1"/>
        <v>-0.70314774113443046</v>
      </c>
      <c r="X964" s="2">
        <f ca="1"/>
        <v>59.094510197065155</v>
      </c>
      <c r="AG964" s="2">
        <f ca="1"/>
        <v>0.15288491364261247</v>
      </c>
      <c r="AH964" s="2" t="str">
        <f ca="1"/>
        <v>OK</v>
      </c>
    </row>
    <row r="965" spans="2:34" x14ac:dyDescent="0.2">
      <c r="B965" s="2">
        <f ca="1"/>
        <v>0.21752359249653774</v>
      </c>
      <c r="O965" s="2">
        <f ca="1"/>
        <v>0.99539947196518952</v>
      </c>
      <c r="X965" s="2">
        <f ca="1"/>
        <v>48.166204407905219</v>
      </c>
      <c r="AG965" s="2">
        <f ca="1"/>
        <v>0.44492416031723381</v>
      </c>
      <c r="AH965" s="2" t="str">
        <f ca="1"/>
        <v>Bad</v>
      </c>
    </row>
    <row r="966" spans="2:34" x14ac:dyDescent="0.2">
      <c r="B966" s="2">
        <f ca="1"/>
        <v>0.7048023037570299</v>
      </c>
      <c r="O966" s="2">
        <f ca="1"/>
        <v>0.1712348454526321</v>
      </c>
      <c r="X966" s="2">
        <f ca="1"/>
        <v>41.390411962356588</v>
      </c>
      <c r="AG966" s="2">
        <f ca="1"/>
        <v>0.94800741373047304</v>
      </c>
      <c r="AH966" s="2" t="str">
        <f ca="1"/>
        <v>Bad</v>
      </c>
    </row>
    <row r="967" spans="2:34" x14ac:dyDescent="0.2">
      <c r="B967" s="2">
        <f ca="1"/>
        <v>0.83506253126962937</v>
      </c>
      <c r="O967" s="2">
        <f ca="1"/>
        <v>-0.17461727894654494</v>
      </c>
      <c r="X967" s="2">
        <f ca="1"/>
        <v>67.438151996706978</v>
      </c>
      <c r="AG967" s="2">
        <f ca="1"/>
        <v>5.5838285394813836E-2</v>
      </c>
      <c r="AH967" s="2" t="str">
        <f ca="1"/>
        <v>OK</v>
      </c>
    </row>
    <row r="968" spans="2:34" x14ac:dyDescent="0.2">
      <c r="B968" s="2">
        <f ca="1"/>
        <v>0.49902090402698507</v>
      </c>
      <c r="O968" s="2">
        <f ca="1"/>
        <v>-0.33291499710302169</v>
      </c>
      <c r="X968" s="2">
        <f ca="1"/>
        <v>73.638542835524703</v>
      </c>
      <c r="AG968" s="2">
        <f ca="1"/>
        <v>0.19122089081167548</v>
      </c>
      <c r="AH968" s="2" t="str">
        <f ca="1"/>
        <v>OK</v>
      </c>
    </row>
    <row r="969" spans="2:34" x14ac:dyDescent="0.2">
      <c r="B969" s="2">
        <f ca="1"/>
        <v>0.76139604043506925</v>
      </c>
      <c r="O969" s="2">
        <f ca="1"/>
        <v>0.33723805049548933</v>
      </c>
      <c r="X969" s="2">
        <f ca="1"/>
        <v>39.316343025550509</v>
      </c>
      <c r="AG969" s="2">
        <f ca="1"/>
        <v>0.2253165855563799</v>
      </c>
      <c r="AH969" s="2" t="str">
        <f ca="1"/>
        <v>OK</v>
      </c>
    </row>
    <row r="970" spans="2:34" x14ac:dyDescent="0.2">
      <c r="B970" s="2">
        <f ca="1"/>
        <v>0.29733343195223538</v>
      </c>
      <c r="O970" s="2">
        <f ca="1"/>
        <v>-1.5249179415547542</v>
      </c>
      <c r="X970" s="2">
        <f ca="1"/>
        <v>46.791643876993973</v>
      </c>
      <c r="AG970" s="2">
        <f ca="1"/>
        <v>0.55708647504876829</v>
      </c>
      <c r="AH970" s="2" t="str">
        <f ca="1"/>
        <v>Bad</v>
      </c>
    </row>
    <row r="971" spans="2:34" x14ac:dyDescent="0.2">
      <c r="B971" s="2">
        <f ca="1"/>
        <v>0.53019838619566384</v>
      </c>
      <c r="O971" s="2">
        <f ca="1"/>
        <v>-0.27083107509844029</v>
      </c>
      <c r="X971" s="2">
        <f ca="1"/>
        <v>37.007250093496317</v>
      </c>
      <c r="AG971" s="2">
        <f ca="1"/>
        <v>0.54568789126004558</v>
      </c>
      <c r="AH971" s="2" t="str">
        <f ca="1"/>
        <v>Bad</v>
      </c>
    </row>
    <row r="972" spans="2:34" x14ac:dyDescent="0.2">
      <c r="B972" s="2">
        <f ca="1"/>
        <v>0.58785762076753079</v>
      </c>
      <c r="O972" s="2">
        <f ca="1"/>
        <v>1.0513596235515552</v>
      </c>
      <c r="X972" s="2">
        <f ca="1"/>
        <v>33.855652053605752</v>
      </c>
      <c r="AG972" s="2">
        <f ca="1"/>
        <v>0.41362541364880401</v>
      </c>
      <c r="AH972" s="2" t="str">
        <f ca="1"/>
        <v>Bad</v>
      </c>
    </row>
    <row r="973" spans="2:34" x14ac:dyDescent="0.2">
      <c r="B973" s="2">
        <f ca="1"/>
        <v>0.80727180902609863</v>
      </c>
      <c r="O973" s="2">
        <f ca="1"/>
        <v>0.58092332573253791</v>
      </c>
      <c r="X973" s="2">
        <f ca="1"/>
        <v>50.524108784443669</v>
      </c>
      <c r="AG973" s="2">
        <f ca="1"/>
        <v>0.92688010902135698</v>
      </c>
      <c r="AH973" s="2" t="str">
        <f ca="1"/>
        <v>Bad</v>
      </c>
    </row>
    <row r="974" spans="2:34" x14ac:dyDescent="0.2">
      <c r="B974" s="2">
        <f ca="1"/>
        <v>0.51436060909175763</v>
      </c>
      <c r="O974" s="2">
        <f ca="1"/>
        <v>0.4139181456826736</v>
      </c>
      <c r="X974" s="2">
        <f ca="1"/>
        <v>41.059099331978814</v>
      </c>
      <c r="AG974" s="2">
        <f ca="1"/>
        <v>0.22251047177034522</v>
      </c>
      <c r="AH974" s="2" t="str">
        <f ca="1"/>
        <v>OK</v>
      </c>
    </row>
    <row r="975" spans="2:34" x14ac:dyDescent="0.2">
      <c r="B975" s="2">
        <f ca="1"/>
        <v>0.96759651776245237</v>
      </c>
      <c r="O975" s="2">
        <f ca="1"/>
        <v>-0.61331873742808329</v>
      </c>
      <c r="X975" s="2">
        <f ca="1"/>
        <v>52.264310146637492</v>
      </c>
      <c r="AG975" s="2">
        <f ca="1"/>
        <v>0.41864728730305334</v>
      </c>
      <c r="AH975" s="2" t="str">
        <f ca="1"/>
        <v>Bad</v>
      </c>
    </row>
    <row r="976" spans="2:34" x14ac:dyDescent="0.2">
      <c r="B976" s="2">
        <f ca="1"/>
        <v>0.8473114040741534</v>
      </c>
      <c r="O976" s="2">
        <f ca="1"/>
        <v>-2.524481861409698</v>
      </c>
      <c r="X976" s="2">
        <f ca="1"/>
        <v>33.440854463738482</v>
      </c>
      <c r="AG976" s="2">
        <f ca="1"/>
        <v>0.36676658046011523</v>
      </c>
      <c r="AH976" s="2" t="str">
        <f ca="1"/>
        <v>OK</v>
      </c>
    </row>
    <row r="977" spans="2:34" x14ac:dyDescent="0.2">
      <c r="B977" s="2">
        <f ca="1"/>
        <v>0.5272717967260232</v>
      </c>
      <c r="O977" s="2">
        <f ca="1"/>
        <v>0.96318789435873042</v>
      </c>
      <c r="X977" s="2">
        <f ca="1"/>
        <v>56.63438292038434</v>
      </c>
      <c r="AG977" s="2">
        <f ca="1"/>
        <v>0.91434341436209565</v>
      </c>
      <c r="AH977" s="2" t="str">
        <f ca="1"/>
        <v>Bad</v>
      </c>
    </row>
    <row r="978" spans="2:34" x14ac:dyDescent="0.2">
      <c r="B978" s="2">
        <f ca="1"/>
        <v>0.64751689867993867</v>
      </c>
      <c r="O978" s="2">
        <f ca="1"/>
        <v>-0.76757505702052253</v>
      </c>
      <c r="X978" s="2">
        <f ca="1"/>
        <v>48.308647020539624</v>
      </c>
      <c r="AG978" s="2">
        <f ca="1"/>
        <v>0.30016976732883838</v>
      </c>
      <c r="AH978" s="2" t="str">
        <f ca="1"/>
        <v>OK</v>
      </c>
    </row>
    <row r="979" spans="2:34" x14ac:dyDescent="0.2">
      <c r="B979" s="2">
        <f ca="1"/>
        <v>0.22398981741524659</v>
      </c>
      <c r="O979" s="2">
        <f ca="1"/>
        <v>0.88967845932559309</v>
      </c>
      <c r="X979" s="2">
        <f ca="1"/>
        <v>35.978297819943869</v>
      </c>
      <c r="AG979" s="2">
        <f ca="1"/>
        <v>0.65816305493025018</v>
      </c>
      <c r="AH979" s="2" t="str">
        <f ca="1"/>
        <v>Bad</v>
      </c>
    </row>
    <row r="980" spans="2:34" x14ac:dyDescent="0.2">
      <c r="B980" s="2">
        <f ca="1"/>
        <v>0.15342872840308841</v>
      </c>
      <c r="O980" s="2">
        <f ca="1"/>
        <v>0.32009052445371156</v>
      </c>
      <c r="X980" s="2">
        <f ca="1"/>
        <v>40.816987323463252</v>
      </c>
      <c r="AG980" s="2">
        <f ca="1"/>
        <v>0.96582695044332678</v>
      </c>
      <c r="AH980" s="2" t="str">
        <f ca="1"/>
        <v>Bad</v>
      </c>
    </row>
    <row r="981" spans="2:34" x14ac:dyDescent="0.2">
      <c r="B981" s="2">
        <f ca="1"/>
        <v>0.9764506103672983</v>
      </c>
      <c r="O981" s="2">
        <f ca="1"/>
        <v>-1.0086658747948876</v>
      </c>
      <c r="X981" s="2">
        <f ca="1"/>
        <v>71.198293237203742</v>
      </c>
      <c r="AG981" s="2">
        <f ca="1"/>
        <v>0.33580115299554225</v>
      </c>
      <c r="AH981" s="2" t="str">
        <f ca="1"/>
        <v>OK</v>
      </c>
    </row>
    <row r="982" spans="2:34" x14ac:dyDescent="0.2">
      <c r="B982" s="2">
        <f ca="1"/>
        <v>0.65948464166474841</v>
      </c>
      <c r="O982" s="2">
        <f ca="1"/>
        <v>0.65739501540461942</v>
      </c>
      <c r="X982" s="2">
        <f ca="1"/>
        <v>46.47294658985863</v>
      </c>
      <c r="AG982" s="2">
        <f ca="1"/>
        <v>0.15998332785273939</v>
      </c>
      <c r="AH982" s="2" t="str">
        <f ca="1"/>
        <v>OK</v>
      </c>
    </row>
    <row r="983" spans="2:34" x14ac:dyDescent="0.2">
      <c r="B983" s="2">
        <f ca="1"/>
        <v>0.42903712780078496</v>
      </c>
      <c r="O983" s="2">
        <f ca="1"/>
        <v>-0.97975038108652523</v>
      </c>
      <c r="X983" s="2">
        <f ca="1"/>
        <v>21.55658874180784</v>
      </c>
      <c r="AG983" s="2">
        <f ca="1"/>
        <v>0.40933844913928286</v>
      </c>
      <c r="AH983" s="2" t="str">
        <f ca="1"/>
        <v>Bad</v>
      </c>
    </row>
    <row r="984" spans="2:34" x14ac:dyDescent="0.2">
      <c r="B984" s="2">
        <f ca="1"/>
        <v>4.950202158277528E-2</v>
      </c>
      <c r="O984" s="2">
        <f ca="1"/>
        <v>-0.67142455023758418</v>
      </c>
      <c r="X984" s="2">
        <f ca="1"/>
        <v>68.856612071827797</v>
      </c>
      <c r="AG984" s="2">
        <f ca="1"/>
        <v>0.34004088230707885</v>
      </c>
      <c r="AH984" s="2" t="str">
        <f ca="1"/>
        <v>OK</v>
      </c>
    </row>
    <row r="985" spans="2:34" x14ac:dyDescent="0.2">
      <c r="B985" s="2">
        <f ca="1"/>
        <v>0.2672747948154115</v>
      </c>
      <c r="O985" s="2">
        <f ca="1"/>
        <v>-1.1388594294171501</v>
      </c>
      <c r="X985" s="2">
        <f ca="1"/>
        <v>63.102157010174693</v>
      </c>
      <c r="AG985" s="2">
        <f ca="1"/>
        <v>0.76636653007964295</v>
      </c>
      <c r="AH985" s="2" t="str">
        <f ca="1"/>
        <v>Bad</v>
      </c>
    </row>
    <row r="986" spans="2:34" x14ac:dyDescent="0.2">
      <c r="B986" s="2">
        <f ca="1"/>
        <v>0.35023790761280749</v>
      </c>
      <c r="O986" s="2">
        <f ca="1"/>
        <v>0.19319848531502781</v>
      </c>
      <c r="X986" s="2">
        <f ca="1"/>
        <v>35.889458051688145</v>
      </c>
      <c r="AG986" s="2">
        <f ca="1"/>
        <v>0.7517094129886297</v>
      </c>
      <c r="AH986" s="2" t="str">
        <f ca="1"/>
        <v>Bad</v>
      </c>
    </row>
    <row r="987" spans="2:34" x14ac:dyDescent="0.2">
      <c r="B987" s="2">
        <f ca="1"/>
        <v>0.54633091109293508</v>
      </c>
      <c r="O987" s="2">
        <f ca="1"/>
        <v>0.34856025996774648</v>
      </c>
      <c r="X987" s="2">
        <f ca="1"/>
        <v>47.045229025300294</v>
      </c>
      <c r="AG987" s="2">
        <f ca="1"/>
        <v>0.8788417432054989</v>
      </c>
      <c r="AH987" s="2" t="str">
        <f ca="1"/>
        <v>Bad</v>
      </c>
    </row>
    <row r="988" spans="2:34" x14ac:dyDescent="0.2">
      <c r="B988" s="2">
        <f ca="1"/>
        <v>3.6446613253300786E-2</v>
      </c>
      <c r="O988" s="2">
        <f ca="1"/>
        <v>0.3270634421805087</v>
      </c>
      <c r="X988" s="2">
        <f ca="1"/>
        <v>35.344518282269291</v>
      </c>
      <c r="AG988" s="2">
        <f ca="1"/>
        <v>0.92294307050776725</v>
      </c>
      <c r="AH988" s="2" t="str">
        <f ca="1"/>
        <v>Bad</v>
      </c>
    </row>
    <row r="989" spans="2:34" x14ac:dyDescent="0.2">
      <c r="B989" s="2">
        <f ca="1"/>
        <v>0.99940387811330123</v>
      </c>
      <c r="O989" s="2">
        <f ca="1"/>
        <v>-0.59728434745343217</v>
      </c>
      <c r="X989" s="2">
        <f ca="1"/>
        <v>47.166364422506575</v>
      </c>
      <c r="AG989" s="2">
        <f ca="1"/>
        <v>0.21991790966828817</v>
      </c>
      <c r="AH989" s="2" t="str">
        <f ca="1"/>
        <v>OK</v>
      </c>
    </row>
    <row r="990" spans="2:34" x14ac:dyDescent="0.2">
      <c r="B990" s="2">
        <f ca="1"/>
        <v>0.25674971754423237</v>
      </c>
      <c r="O990" s="2">
        <f ca="1"/>
        <v>1.3777065212773991</v>
      </c>
      <c r="X990" s="2">
        <f ca="1"/>
        <v>35.85814067007464</v>
      </c>
      <c r="AG990" s="2">
        <f ca="1"/>
        <v>0.58593047223966521</v>
      </c>
      <c r="AH990" s="2" t="str">
        <f ca="1"/>
        <v>Bad</v>
      </c>
    </row>
    <row r="991" spans="2:34" x14ac:dyDescent="0.2">
      <c r="B991" s="2">
        <f ca="1"/>
        <v>0.21312962276471414</v>
      </c>
      <c r="O991" s="2">
        <f ca="1"/>
        <v>0.57636354714493354</v>
      </c>
      <c r="X991" s="2">
        <f ca="1"/>
        <v>53.437090427932716</v>
      </c>
      <c r="AG991" s="2">
        <f ca="1"/>
        <v>0.51958180170084689</v>
      </c>
      <c r="AH991" s="2" t="str">
        <f ca="1"/>
        <v>Bad</v>
      </c>
    </row>
    <row r="992" spans="2:34" x14ac:dyDescent="0.2">
      <c r="B992" s="2">
        <f ca="1"/>
        <v>0.22643010628067151</v>
      </c>
      <c r="O992" s="2">
        <f ca="1"/>
        <v>0.3127860214545537</v>
      </c>
      <c r="X992" s="2">
        <f ca="1"/>
        <v>49.934773449809228</v>
      </c>
      <c r="AG992" s="2">
        <f ca="1"/>
        <v>0.44948356712162107</v>
      </c>
      <c r="AH992" s="2" t="str">
        <f ca="1"/>
        <v>Bad</v>
      </c>
    </row>
    <row r="993" spans="2:34" x14ac:dyDescent="0.2">
      <c r="B993" s="2">
        <f ca="1"/>
        <v>8.3156675385647638E-2</v>
      </c>
      <c r="O993" s="2">
        <f ca="1"/>
        <v>-0.13903478603166863</v>
      </c>
      <c r="X993" s="2">
        <f ca="1"/>
        <v>48.651150477365263</v>
      </c>
      <c r="AG993" s="2">
        <f ca="1"/>
        <v>0.56672407080646492</v>
      </c>
      <c r="AH993" s="2" t="str">
        <f ca="1"/>
        <v>Bad</v>
      </c>
    </row>
    <row r="994" spans="2:34" x14ac:dyDescent="0.2">
      <c r="B994" s="2">
        <f ca="1"/>
        <v>0.33383560486662067</v>
      </c>
      <c r="O994" s="2">
        <f ca="1"/>
        <v>0.47716744009412915</v>
      </c>
      <c r="X994" s="2">
        <f ca="1"/>
        <v>41.472099842516883</v>
      </c>
      <c r="AG994" s="2">
        <f ca="1"/>
        <v>0.17356317956260892</v>
      </c>
      <c r="AH994" s="2" t="str">
        <f ca="1"/>
        <v>OK</v>
      </c>
    </row>
    <row r="995" spans="2:34" x14ac:dyDescent="0.2">
      <c r="B995" s="2">
        <f ca="1"/>
        <v>0.22721032071622549</v>
      </c>
      <c r="O995" s="2">
        <f ca="1"/>
        <v>-0.28266815912264481</v>
      </c>
      <c r="X995" s="2">
        <f ca="1"/>
        <v>46.97220419038868</v>
      </c>
      <c r="AG995" s="2">
        <f ca="1"/>
        <v>0.17356191980697555</v>
      </c>
      <c r="AH995" s="2" t="str">
        <f ca="1"/>
        <v>OK</v>
      </c>
    </row>
    <row r="996" spans="2:34" x14ac:dyDescent="0.2">
      <c r="B996" s="2">
        <f ca="1"/>
        <v>0.99165595102104809</v>
      </c>
      <c r="O996" s="2">
        <f ca="1"/>
        <v>-0.24300736859519853</v>
      </c>
      <c r="X996" s="2">
        <f ca="1"/>
        <v>54.846601491632768</v>
      </c>
      <c r="AG996" s="2">
        <f ca="1"/>
        <v>0.84950776162136332</v>
      </c>
      <c r="AH996" s="2" t="str">
        <f ca="1"/>
        <v>Bad</v>
      </c>
    </row>
    <row r="997" spans="2:34" x14ac:dyDescent="0.2">
      <c r="B997" s="2">
        <f ca="1"/>
        <v>0.74859506350396798</v>
      </c>
      <c r="O997" s="2">
        <f ca="1"/>
        <v>-1.2886293668840092</v>
      </c>
      <c r="X997" s="2">
        <f ca="1"/>
        <v>80.017023806515382</v>
      </c>
      <c r="AG997" s="2">
        <f ca="1"/>
        <v>0.79582572322557765</v>
      </c>
      <c r="AH997" s="2" t="str">
        <f ca="1"/>
        <v>Bad</v>
      </c>
    </row>
    <row r="998" spans="2:34" x14ac:dyDescent="0.2">
      <c r="B998" s="2">
        <f ca="1"/>
        <v>0.10041442068163176</v>
      </c>
      <c r="O998" s="2">
        <f ca="1"/>
        <v>0.68176818205297574</v>
      </c>
      <c r="X998" s="2">
        <f ca="1"/>
        <v>46.131384782699342</v>
      </c>
      <c r="AG998" s="2">
        <f ca="1"/>
        <v>0.70685578028235518</v>
      </c>
      <c r="AH998" s="2" t="str">
        <f ca="1"/>
        <v>Bad</v>
      </c>
    </row>
    <row r="999" spans="2:34" x14ac:dyDescent="0.2">
      <c r="B999" s="2">
        <f ca="1"/>
        <v>0.11216495928192471</v>
      </c>
      <c r="O999" s="2">
        <f ca="1"/>
        <v>0.36567604837503509</v>
      </c>
      <c r="X999" s="2">
        <f ca="1"/>
        <v>45.256740793055307</v>
      </c>
      <c r="AG999" s="2">
        <f ca="1"/>
        <v>4.5193516456078386E-2</v>
      </c>
      <c r="AH999" s="2" t="str">
        <f ca="1"/>
        <v>Good</v>
      </c>
    </row>
    <row r="1000" spans="2:34" x14ac:dyDescent="0.2">
      <c r="B1000" s="2">
        <f ca="1"/>
        <v>0.10466176484507317</v>
      </c>
      <c r="O1000" s="2">
        <f ca="1"/>
        <v>-1.1120640360788823</v>
      </c>
      <c r="X1000" s="2">
        <f ca="1"/>
        <v>39.96434592215649</v>
      </c>
      <c r="AG1000" s="2">
        <f ca="1"/>
        <v>0.71170958347629343</v>
      </c>
      <c r="AH1000" s="2" t="str">
        <f ca="1"/>
        <v>Bad</v>
      </c>
    </row>
    <row r="1001" spans="2:34" x14ac:dyDescent="0.2">
      <c r="B1001" s="2">
        <f ca="1"/>
        <v>0.92466080293617892</v>
      </c>
      <c r="O1001" s="2">
        <f ca="1"/>
        <v>0.34812141541482977</v>
      </c>
      <c r="X1001" s="2">
        <f ca="1"/>
        <v>36.603507035882444</v>
      </c>
      <c r="AG1001" s="2">
        <f ca="1"/>
        <v>0.98550407551452568</v>
      </c>
      <c r="AH1001" s="2" t="str">
        <f ca="1"/>
        <v>Bad</v>
      </c>
    </row>
    <row r="1002" spans="2:34" x14ac:dyDescent="0.2">
      <c r="B1002" s="2">
        <f ca="1"/>
        <v>0.79501679924745505</v>
      </c>
      <c r="O1002" s="2">
        <f ca="1"/>
        <v>-0.72836731240040198</v>
      </c>
      <c r="X1002" s="2">
        <f ca="1"/>
        <v>79.394361941639701</v>
      </c>
      <c r="AG1002" s="2">
        <f ca="1"/>
        <v>0.97271004129020278</v>
      </c>
      <c r="AH1002" s="2" t="str">
        <f ca="1"/>
        <v>Bad</v>
      </c>
    </row>
    <row r="1003" spans="2:34" x14ac:dyDescent="0.2">
      <c r="B1003" s="2">
        <f ca="1"/>
        <v>7.7604438661816877E-2</v>
      </c>
      <c r="O1003" s="2">
        <f ca="1"/>
        <v>-0.81600946282154418</v>
      </c>
      <c r="X1003" s="2">
        <f ca="1"/>
        <v>38.001476548318877</v>
      </c>
      <c r="AG1003" s="2">
        <f ca="1"/>
        <v>0.10290237934377067</v>
      </c>
      <c r="AH1003" s="2" t="str">
        <f ca="1"/>
        <v>OK</v>
      </c>
    </row>
    <row r="1004" spans="2:34" x14ac:dyDescent="0.2">
      <c r="B1004" s="2">
        <f ca="1"/>
        <v>0.67709594142861551</v>
      </c>
      <c r="O1004" s="2">
        <f ca="1"/>
        <v>-2.2419276918860298</v>
      </c>
      <c r="X1004" s="2">
        <f ca="1"/>
        <v>58.517470211890419</v>
      </c>
      <c r="AG1004" s="2">
        <f ca="1"/>
        <v>2.3430402555068675E-2</v>
      </c>
      <c r="AH1004" s="2" t="str">
        <f ca="1"/>
        <v>Good</v>
      </c>
    </row>
    <row r="1005" spans="2:34" x14ac:dyDescent="0.2">
      <c r="B1005" s="2">
        <f ca="1"/>
        <v>0.3598160606331624</v>
      </c>
      <c r="O1005" s="2">
        <f ca="1"/>
        <v>0.10862064085419509</v>
      </c>
      <c r="X1005" s="2">
        <f ca="1"/>
        <v>30.390223937746764</v>
      </c>
      <c r="AG1005" s="2">
        <f ca="1"/>
        <v>0.53290471548486806</v>
      </c>
      <c r="AH1005" s="2" t="str">
        <f ca="1"/>
        <v>Bad</v>
      </c>
    </row>
    <row r="1006" spans="2:34" x14ac:dyDescent="0.2">
      <c r="B1006" s="2">
        <f ca="1"/>
        <v>0.79414289241952507</v>
      </c>
      <c r="O1006" s="2">
        <f ca="1"/>
        <v>-1.0368983683215813</v>
      </c>
      <c r="X1006" s="2">
        <f ca="1"/>
        <v>79.645291329886717</v>
      </c>
      <c r="AG1006" s="2">
        <f ca="1"/>
        <v>0.99651280374070783</v>
      </c>
      <c r="AH1006" s="2" t="str">
        <f ca="1"/>
        <v>Bad</v>
      </c>
    </row>
    <row r="1007" spans="2:34" x14ac:dyDescent="0.2">
      <c r="B1007" s="2">
        <f ca="1"/>
        <v>0.32327190029834285</v>
      </c>
      <c r="O1007" s="2">
        <f ca="1"/>
        <v>-0.40117655779375716</v>
      </c>
      <c r="X1007" s="2">
        <f ca="1"/>
        <v>50.448915069919373</v>
      </c>
      <c r="AG1007" s="2">
        <f ca="1"/>
        <v>0.73140094048041115</v>
      </c>
      <c r="AH1007" s="2" t="str">
        <f ca="1"/>
        <v>Bad</v>
      </c>
    </row>
    <row r="1008" spans="2:34" x14ac:dyDescent="0.2">
      <c r="B1008" s="2">
        <f ca="1"/>
        <v>0.37783672167640581</v>
      </c>
      <c r="O1008" s="2">
        <f ca="1"/>
        <v>-1.1570886661306983</v>
      </c>
      <c r="X1008" s="2">
        <f ca="1"/>
        <v>40.682493967371641</v>
      </c>
      <c r="AG1008" s="2">
        <f ca="1"/>
        <v>0.88247509499864241</v>
      </c>
      <c r="AH1008" s="2" t="str">
        <f ca="1"/>
        <v>Bad</v>
      </c>
    </row>
    <row r="1009" spans="2:34" x14ac:dyDescent="0.2">
      <c r="B1009" s="2">
        <f ca="1"/>
        <v>0.13998284212991052</v>
      </c>
      <c r="O1009" s="2">
        <f ca="1"/>
        <v>0.16830830602932159</v>
      </c>
      <c r="X1009" s="2">
        <f ca="1"/>
        <v>43.478105823382165</v>
      </c>
      <c r="AG1009" s="2">
        <f ca="1"/>
        <v>5.9186284724293214E-2</v>
      </c>
      <c r="AH1009" s="2" t="str">
        <f ca="1"/>
        <v>OK</v>
      </c>
    </row>
    <row r="1010" spans="2:34" x14ac:dyDescent="0.2">
      <c r="B1010" s="2">
        <f ca="1"/>
        <v>0.77101250725229731</v>
      </c>
      <c r="O1010" s="2">
        <f ca="1"/>
        <v>-0.17945626585280272</v>
      </c>
      <c r="X1010" s="2">
        <f ca="1"/>
        <v>34.375465450700425</v>
      </c>
      <c r="AG1010" s="2">
        <f ca="1"/>
        <v>0.99208577163819056</v>
      </c>
      <c r="AH1010" s="2" t="str">
        <f ca="1"/>
        <v>Bad</v>
      </c>
    </row>
    <row r="1011" spans="2:34" x14ac:dyDescent="0.2">
      <c r="B1011" s="2">
        <f ca="1"/>
        <v>0.86077037330522854</v>
      </c>
      <c r="O1011" s="2">
        <f ca="1"/>
        <v>-2.0845336786906442E-2</v>
      </c>
      <c r="X1011" s="2">
        <f ca="1"/>
        <v>43.163303572060705</v>
      </c>
      <c r="AG1011" s="2">
        <f ca="1"/>
        <v>0.44619753012586472</v>
      </c>
      <c r="AH1011" s="2" t="str">
        <f ca="1"/>
        <v>Bad</v>
      </c>
    </row>
    <row r="1012" spans="2:34" x14ac:dyDescent="0.2">
      <c r="B1012" s="2">
        <f ca="1"/>
        <v>0.27125579876607886</v>
      </c>
      <c r="O1012" s="2">
        <f ca="1"/>
        <v>0.39280585857390721</v>
      </c>
      <c r="X1012" s="2">
        <f ca="1"/>
        <v>58.174256975459897</v>
      </c>
      <c r="AG1012" s="2">
        <f ca="1"/>
        <v>0.60956748239091318</v>
      </c>
      <c r="AH1012" s="2" t="str">
        <f ca="1"/>
        <v>Bad</v>
      </c>
    </row>
    <row r="1013" spans="2:34" x14ac:dyDescent="0.2">
      <c r="B1013" s="2">
        <f ca="1"/>
        <v>0.50169662643849167</v>
      </c>
      <c r="O1013" s="2">
        <f ca="1"/>
        <v>0.68437173752448355</v>
      </c>
      <c r="X1013" s="2">
        <f ca="1"/>
        <v>62.625804394041886</v>
      </c>
      <c r="AG1013" s="2">
        <f ca="1"/>
        <v>0.6818297940863054</v>
      </c>
      <c r="AH1013" s="2" t="str">
        <f ca="1"/>
        <v>Bad</v>
      </c>
    </row>
    <row r="1014" spans="2:34" x14ac:dyDescent="0.2">
      <c r="B1014" s="2">
        <f ca="1"/>
        <v>0.33042360625552791</v>
      </c>
      <c r="O1014" s="2">
        <f ca="1"/>
        <v>2.0962440433425695</v>
      </c>
      <c r="X1014" s="2">
        <f ca="1"/>
        <v>57.162497749468642</v>
      </c>
      <c r="AG1014" s="2">
        <f ca="1"/>
        <v>0.93454357491789075</v>
      </c>
      <c r="AH1014" s="2" t="str">
        <f ca="1"/>
        <v>Bad</v>
      </c>
    </row>
    <row r="1015" spans="2:34" x14ac:dyDescent="0.2">
      <c r="B1015" s="2">
        <f ca="1"/>
        <v>5.4289649051260103E-2</v>
      </c>
      <c r="O1015" s="2">
        <f ca="1"/>
        <v>-2.0558025432434923</v>
      </c>
      <c r="X1015" s="2">
        <f ca="1"/>
        <v>36.303700281045799</v>
      </c>
      <c r="AG1015" s="2">
        <f ca="1"/>
        <v>0.64388890068387461</v>
      </c>
      <c r="AH1015" s="2" t="str">
        <f ca="1"/>
        <v>Bad</v>
      </c>
    </row>
    <row r="1016" spans="2:34" x14ac:dyDescent="0.2">
      <c r="B1016" s="2">
        <f ca="1"/>
        <v>0.76305109518662606</v>
      </c>
      <c r="O1016" s="2">
        <f ca="1"/>
        <v>-0.65312482534491034</v>
      </c>
      <c r="X1016" s="2">
        <f ca="1"/>
        <v>27.347344622361373</v>
      </c>
      <c r="AG1016" s="2">
        <f ca="1"/>
        <v>0.61425947301726724</v>
      </c>
      <c r="AH1016" s="2" t="str">
        <f ca="1"/>
        <v>Bad</v>
      </c>
    </row>
    <row r="1017" spans="2:34" x14ac:dyDescent="0.2">
      <c r="B1017" s="2">
        <f ca="1"/>
        <v>8.1298776908524495E-2</v>
      </c>
      <c r="O1017" s="2">
        <f ca="1"/>
        <v>-1.4662372870979203</v>
      </c>
      <c r="X1017" s="2">
        <f ca="1"/>
        <v>32.725782206736739</v>
      </c>
      <c r="AG1017" s="2">
        <f ca="1"/>
        <v>0.57287014839605277</v>
      </c>
      <c r="AH1017" s="2" t="str">
        <f ca="1"/>
        <v>Bad</v>
      </c>
    </row>
    <row r="1018" spans="2:34" x14ac:dyDescent="0.2">
      <c r="B1018" s="2">
        <f ca="1"/>
        <v>9.681180882108098E-2</v>
      </c>
      <c r="O1018" s="2">
        <f ca="1"/>
        <v>1.5524898063915273</v>
      </c>
      <c r="X1018" s="2">
        <f ca="1"/>
        <v>51.222417647887866</v>
      </c>
      <c r="AG1018" s="2">
        <f ca="1"/>
        <v>0.44121673588671895</v>
      </c>
      <c r="AH1018" s="2" t="str">
        <f ca="1"/>
        <v>Bad</v>
      </c>
    </row>
    <row r="1019" spans="2:34" x14ac:dyDescent="0.2">
      <c r="B1019" s="2">
        <f ca="1"/>
        <v>0.71451287036330058</v>
      </c>
      <c r="O1019" s="2">
        <f ca="1"/>
        <v>1.9932389243369124</v>
      </c>
      <c r="X1019" s="2">
        <f ca="1"/>
        <v>45.516590110968664</v>
      </c>
      <c r="AG1019" s="2">
        <f ca="1"/>
        <v>0.83176437038688333</v>
      </c>
      <c r="AH1019" s="2" t="str">
        <f ca="1"/>
        <v>Bad</v>
      </c>
    </row>
    <row r="1020" spans="2:34" x14ac:dyDescent="0.2">
      <c r="B1020" s="2">
        <f ca="1"/>
        <v>0.42259725252542646</v>
      </c>
      <c r="O1020" s="2">
        <f ca="1"/>
        <v>-0.71101951577893707</v>
      </c>
      <c r="X1020" s="2">
        <f ca="1"/>
        <v>41.444233578044276</v>
      </c>
      <c r="AG1020" s="2">
        <f ca="1"/>
        <v>0.56518489920914949</v>
      </c>
      <c r="AH1020" s="2" t="str">
        <f ca="1"/>
        <v>Bad</v>
      </c>
    </row>
    <row r="1021" spans="2:34" x14ac:dyDescent="0.2">
      <c r="B1021" s="2">
        <f ca="1"/>
        <v>0.25739670278682758</v>
      </c>
      <c r="O1021" s="2">
        <f ca="1"/>
        <v>1.6732134189052419</v>
      </c>
      <c r="X1021" s="2">
        <f ca="1"/>
        <v>70.1625838520294</v>
      </c>
      <c r="AG1021" s="2">
        <f ca="1"/>
        <v>0.36685494962105492</v>
      </c>
      <c r="AH1021" s="2" t="str">
        <f ca="1"/>
        <v>OK</v>
      </c>
    </row>
    <row r="1022" spans="2:34" x14ac:dyDescent="0.2">
      <c r="B1022" s="2">
        <f ca="1"/>
        <v>9.6287074015655616E-2</v>
      </c>
      <c r="O1022" s="2">
        <f ca="1"/>
        <v>0.6716178926038785</v>
      </c>
      <c r="X1022" s="2">
        <f ca="1"/>
        <v>32.927640231213815</v>
      </c>
      <c r="AG1022" s="2">
        <f ca="1"/>
        <v>0.5504796099575977</v>
      </c>
      <c r="AH1022" s="2" t="str">
        <f ca="1"/>
        <v>Bad</v>
      </c>
    </row>
    <row r="1023" spans="2:34" x14ac:dyDescent="0.2">
      <c r="B1023" s="2">
        <f ca="1"/>
        <v>0.74037930994272894</v>
      </c>
      <c r="O1023" s="2">
        <f ca="1"/>
        <v>-0.26753435177227058</v>
      </c>
      <c r="X1023" s="2">
        <f ca="1"/>
        <v>35.713474377969959</v>
      </c>
      <c r="AG1023" s="2">
        <f ca="1"/>
        <v>0.3373885811202828</v>
      </c>
      <c r="AH1023" s="2" t="str">
        <f ca="1"/>
        <v>OK</v>
      </c>
    </row>
    <row r="1024" spans="2:34" x14ac:dyDescent="0.2">
      <c r="B1024" s="2">
        <f ca="1"/>
        <v>4.0733171189563322E-2</v>
      </c>
      <c r="O1024" s="2">
        <f ca="1"/>
        <v>-1.1132193219118196</v>
      </c>
      <c r="X1024" s="2">
        <f ca="1"/>
        <v>30.573493538961195</v>
      </c>
      <c r="AG1024" s="2">
        <f ca="1"/>
        <v>0.3960825233370493</v>
      </c>
      <c r="AH1024" s="2" t="str">
        <f ca="1"/>
        <v>OK</v>
      </c>
    </row>
    <row r="1025" spans="2:34" x14ac:dyDescent="0.2">
      <c r="B1025" s="2">
        <f ca="1"/>
        <v>0.99077801404740584</v>
      </c>
      <c r="O1025" s="2">
        <f ca="1"/>
        <v>-1.0868825499100947</v>
      </c>
      <c r="X1025" s="2">
        <f ca="1"/>
        <v>24.110753237708359</v>
      </c>
      <c r="AG1025" s="2">
        <f ca="1"/>
        <v>0.48609490378983766</v>
      </c>
      <c r="AH1025" s="2" t="str">
        <f ca="1"/>
        <v>Bad</v>
      </c>
    </row>
    <row r="1026" spans="2:34" x14ac:dyDescent="0.2">
      <c r="B1026" s="2">
        <f ca="1"/>
        <v>0.88478445862669575</v>
      </c>
      <c r="O1026" s="2">
        <f ca="1"/>
        <v>-1.1132351503535873</v>
      </c>
      <c r="X1026" s="2">
        <f ca="1"/>
        <v>43.116787555441867</v>
      </c>
      <c r="AG1026" s="2">
        <f ca="1"/>
        <v>0.99095824969972512</v>
      </c>
      <c r="AH1026" s="2" t="str">
        <f ca="1"/>
        <v>Bad</v>
      </c>
    </row>
    <row r="1027" spans="2:34" x14ac:dyDescent="0.2">
      <c r="B1027" s="2">
        <f ca="1"/>
        <v>0.69272469210627508</v>
      </c>
      <c r="O1027" s="2">
        <f ca="1"/>
        <v>0.57919103585687393</v>
      </c>
      <c r="X1027" s="2">
        <f ca="1"/>
        <v>27.865988156602292</v>
      </c>
      <c r="AG1027" s="2">
        <f ca="1"/>
        <v>0.17016022983301493</v>
      </c>
      <c r="AH1027" s="2" t="str">
        <f ca="1"/>
        <v>OK</v>
      </c>
    </row>
    <row r="1028" spans="2:34" x14ac:dyDescent="0.2">
      <c r="B1028" s="2">
        <f ca="1"/>
        <v>3.8859116103544533E-2</v>
      </c>
      <c r="O1028" s="2">
        <f ca="1"/>
        <v>0.42446130845157587</v>
      </c>
      <c r="X1028" s="2">
        <f ca="1"/>
        <v>43.979050975973038</v>
      </c>
      <c r="AG1028" s="2">
        <f ca="1"/>
        <v>0.90064211022656493</v>
      </c>
      <c r="AH1028" s="2" t="str">
        <f ca="1"/>
        <v>Bad</v>
      </c>
    </row>
    <row r="1029" spans="2:34" x14ac:dyDescent="0.2">
      <c r="B1029" s="2">
        <f ca="1"/>
        <v>0.15170740008241657</v>
      </c>
      <c r="O1029" s="2">
        <f ca="1"/>
        <v>0.10807748673577645</v>
      </c>
      <c r="X1029" s="2">
        <f ca="1"/>
        <v>45.396540195210669</v>
      </c>
      <c r="AG1029" s="2">
        <f ca="1"/>
        <v>0.99798753942984275</v>
      </c>
      <c r="AH1029" s="2" t="str">
        <f ca="1"/>
        <v>Bad</v>
      </c>
    </row>
    <row r="1030" spans="2:34" x14ac:dyDescent="0.2">
      <c r="B1030" s="2">
        <f ca="1"/>
        <v>0.99119749339998431</v>
      </c>
      <c r="O1030" s="2">
        <f ca="1"/>
        <v>1.8276469343657393</v>
      </c>
      <c r="X1030" s="2">
        <f ca="1"/>
        <v>29.243456996969801</v>
      </c>
      <c r="AG1030" s="2">
        <f ca="1"/>
        <v>0.80156678238768309</v>
      </c>
      <c r="AH1030" s="2" t="str">
        <f ca="1"/>
        <v>Bad</v>
      </c>
    </row>
    <row r="1031" spans="2:34" x14ac:dyDescent="0.2">
      <c r="B1031" s="2">
        <f ca="1"/>
        <v>0.84848901023256862</v>
      </c>
      <c r="O1031" s="2">
        <f ca="1"/>
        <v>-0.46501129771655164</v>
      </c>
      <c r="X1031" s="2">
        <f ca="1"/>
        <v>22.820017791777289</v>
      </c>
      <c r="AG1031" s="2">
        <f ca="1"/>
        <v>3.3096333438489944E-2</v>
      </c>
      <c r="AH1031" s="2" t="str">
        <f ca="1"/>
        <v>Good</v>
      </c>
    </row>
    <row r="1032" spans="2:34" x14ac:dyDescent="0.2">
      <c r="B1032" s="2">
        <f ca="1"/>
        <v>0.28669081221270853</v>
      </c>
      <c r="O1032" s="2">
        <f ca="1"/>
        <v>0.37679124965733585</v>
      </c>
      <c r="X1032" s="2">
        <f ca="1"/>
        <v>45.068529320433875</v>
      </c>
      <c r="AG1032" s="2">
        <f ca="1"/>
        <v>0.50693753982387912</v>
      </c>
      <c r="AH1032" s="2" t="str">
        <f ca="1"/>
        <v>Bad</v>
      </c>
    </row>
    <row r="1033" spans="2:34" x14ac:dyDescent="0.2">
      <c r="B1033" s="2">
        <f ca="1"/>
        <v>0.88579081154276507</v>
      </c>
      <c r="O1033" s="2">
        <f ca="1"/>
        <v>0.29516422164214928</v>
      </c>
      <c r="X1033" s="2">
        <f ca="1"/>
        <v>48.394194659771316</v>
      </c>
      <c r="AG1033" s="2">
        <f ca="1"/>
        <v>3.7097966477995792E-2</v>
      </c>
      <c r="AH1033" s="2" t="str">
        <f ca="1"/>
        <v>Good</v>
      </c>
    </row>
    <row r="1034" spans="2:34" x14ac:dyDescent="0.2">
      <c r="B1034" s="2">
        <f ca="1"/>
        <v>6.9596706632618632E-2</v>
      </c>
      <c r="O1034" s="2">
        <f ca="1"/>
        <v>-0.57604123656629447</v>
      </c>
      <c r="X1034" s="2">
        <f ca="1"/>
        <v>29.94550057575962</v>
      </c>
      <c r="AG1034" s="2">
        <f ca="1"/>
        <v>7.3592209242240525E-2</v>
      </c>
      <c r="AH1034" s="2" t="str">
        <f ca="1"/>
        <v>OK</v>
      </c>
    </row>
    <row r="1035" spans="2:34" x14ac:dyDescent="0.2">
      <c r="B1035" s="2">
        <f ca="1"/>
        <v>0.46893843328889062</v>
      </c>
      <c r="O1035" s="2">
        <f ca="1"/>
        <v>-0.13287205520896436</v>
      </c>
      <c r="X1035" s="2">
        <f ca="1"/>
        <v>85.845560212881864</v>
      </c>
      <c r="AG1035" s="2">
        <f ca="1"/>
        <v>0.36950022853882492</v>
      </c>
      <c r="AH1035" s="2" t="str">
        <f ca="1"/>
        <v>OK</v>
      </c>
    </row>
    <row r="1036" spans="2:34" x14ac:dyDescent="0.2">
      <c r="B1036" s="2">
        <f ca="1"/>
        <v>0.58873746073857092</v>
      </c>
      <c r="O1036" s="2">
        <f ca="1"/>
        <v>-3.0104981529222627E-2</v>
      </c>
      <c r="X1036" s="2">
        <f ca="1"/>
        <v>75.498351195325711</v>
      </c>
      <c r="AG1036" s="2">
        <f ca="1"/>
        <v>0.64405583695243274</v>
      </c>
      <c r="AH1036" s="2" t="str">
        <f ca="1"/>
        <v>Bad</v>
      </c>
    </row>
    <row r="1037" spans="2:34" x14ac:dyDescent="0.2">
      <c r="B1037" s="2">
        <f ca="1"/>
        <v>0.37957707466082735</v>
      </c>
      <c r="O1037" s="2">
        <f ca="1"/>
        <v>-0.95238399091105286</v>
      </c>
      <c r="X1037" s="2">
        <f ca="1"/>
        <v>50.295694156386574</v>
      </c>
      <c r="AG1037" s="2">
        <f ca="1"/>
        <v>0.20796499800622836</v>
      </c>
      <c r="AH1037" s="2" t="str">
        <f ca="1"/>
        <v>OK</v>
      </c>
    </row>
    <row r="1038" spans="2:34" x14ac:dyDescent="0.2">
      <c r="B1038" s="2">
        <f ca="1"/>
        <v>8.3858701304273975E-2</v>
      </c>
      <c r="O1038" s="2">
        <f ca="1"/>
        <v>0.53869477233039098</v>
      </c>
      <c r="X1038" s="2">
        <f ca="1"/>
        <v>44.228628617617417</v>
      </c>
      <c r="AG1038" s="2">
        <f ca="1"/>
        <v>0.75032208390205524</v>
      </c>
      <c r="AH1038" s="2" t="str">
        <f ca="1"/>
        <v>Bad</v>
      </c>
    </row>
    <row r="1039" spans="2:34" x14ac:dyDescent="0.2">
      <c r="B1039" s="2">
        <f ca="1"/>
        <v>0.78813612799333899</v>
      </c>
      <c r="O1039" s="2">
        <f ca="1"/>
        <v>-0.26789593039436144</v>
      </c>
      <c r="X1039" s="2">
        <f ca="1"/>
        <v>37.582350194463501</v>
      </c>
      <c r="AG1039" s="2">
        <f ca="1"/>
        <v>0.21612528779972084</v>
      </c>
      <c r="AH1039" s="2" t="str">
        <f ca="1"/>
        <v>OK</v>
      </c>
    </row>
    <row r="1040" spans="2:34" x14ac:dyDescent="0.2">
      <c r="B1040" s="2">
        <f ca="1"/>
        <v>3.7449769459543036E-2</v>
      </c>
      <c r="O1040" s="2">
        <f ca="1"/>
        <v>0.8111649172004004</v>
      </c>
      <c r="X1040" s="2">
        <f ca="1"/>
        <v>72.367431376852608</v>
      </c>
      <c r="AG1040" s="2">
        <f ca="1"/>
        <v>0.23597540998648592</v>
      </c>
      <c r="AH1040" s="2" t="str">
        <f ca="1"/>
        <v>OK</v>
      </c>
    </row>
    <row r="1041" spans="2:34" x14ac:dyDescent="0.2">
      <c r="B1041" s="2">
        <f ca="1"/>
        <v>0.69647814965412214</v>
      </c>
      <c r="O1041" s="2">
        <f ca="1"/>
        <v>1.3235201194501351</v>
      </c>
      <c r="X1041" s="2">
        <f ca="1"/>
        <v>34.837455785421128</v>
      </c>
      <c r="AG1041" s="2">
        <f ca="1"/>
        <v>0.58812283366262297</v>
      </c>
      <c r="AH1041" s="2" t="str">
        <f ca="1"/>
        <v>Bad</v>
      </c>
    </row>
    <row r="1042" spans="2:34" x14ac:dyDescent="0.2">
      <c r="B1042" s="2">
        <f ca="1"/>
        <v>0.56599814360548661</v>
      </c>
      <c r="O1042" s="2">
        <f ca="1"/>
        <v>0.50655900903034778</v>
      </c>
      <c r="X1042" s="2">
        <f ca="1"/>
        <v>51.28510754405103</v>
      </c>
      <c r="AG1042" s="2">
        <f ca="1"/>
        <v>0.69146898143793845</v>
      </c>
      <c r="AH1042" s="2" t="str">
        <f ca="1"/>
        <v>Bad</v>
      </c>
    </row>
    <row r="1043" spans="2:34" x14ac:dyDescent="0.2">
      <c r="B1043" s="2">
        <f ca="1"/>
        <v>4.2934451802635776E-2</v>
      </c>
      <c r="O1043" s="2">
        <f ca="1"/>
        <v>0.38382645613124378</v>
      </c>
      <c r="X1043" s="2">
        <f ca="1"/>
        <v>52.615389595819195</v>
      </c>
      <c r="AG1043" s="2">
        <f ca="1"/>
        <v>0.53389218963462359</v>
      </c>
      <c r="AH1043" s="2" t="str">
        <f ca="1"/>
        <v>Bad</v>
      </c>
    </row>
    <row r="1044" spans="2:34" x14ac:dyDescent="0.2">
      <c r="B1044" s="2">
        <f ca="1"/>
        <v>0.35216582559578802</v>
      </c>
      <c r="O1044" s="2">
        <f ca="1"/>
        <v>0.7802945054071645</v>
      </c>
      <c r="X1044" s="2">
        <f ca="1"/>
        <v>77.60653677492293</v>
      </c>
      <c r="AG1044" s="2">
        <f ca="1"/>
        <v>0.740666947485765</v>
      </c>
      <c r="AH1044" s="2" t="str">
        <f ca="1"/>
        <v>Bad</v>
      </c>
    </row>
    <row r="1045" spans="2:34" x14ac:dyDescent="0.2">
      <c r="B1045" s="2">
        <f ca="1"/>
        <v>0.71619799515965243</v>
      </c>
      <c r="O1045" s="2">
        <f ca="1"/>
        <v>0.80914605827801278</v>
      </c>
      <c r="X1045" s="2">
        <f ca="1"/>
        <v>52.584500150256879</v>
      </c>
      <c r="AG1045" s="2">
        <f ca="1"/>
        <v>0.93477341819218651</v>
      </c>
      <c r="AH1045" s="2" t="str">
        <f ca="1"/>
        <v>Bad</v>
      </c>
    </row>
    <row r="1046" spans="2:34" x14ac:dyDescent="0.2">
      <c r="B1046" s="2">
        <f ca="1"/>
        <v>0.74028948696098951</v>
      </c>
      <c r="O1046" s="2">
        <f ca="1"/>
        <v>-1.22184561832542</v>
      </c>
      <c r="X1046" s="2">
        <f ca="1"/>
        <v>34.778432743201449</v>
      </c>
      <c r="AG1046" s="2">
        <f ca="1"/>
        <v>0.84936216053395475</v>
      </c>
      <c r="AH1046" s="2" t="str">
        <f ca="1"/>
        <v>Bad</v>
      </c>
    </row>
    <row r="1047" spans="2:34" x14ac:dyDescent="0.2">
      <c r="B1047" s="2">
        <f ca="1"/>
        <v>0.74335713858944152</v>
      </c>
      <c r="O1047" s="2">
        <f ca="1"/>
        <v>0.21037686346874859</v>
      </c>
      <c r="X1047" s="2">
        <f ca="1"/>
        <v>37.362661086823763</v>
      </c>
      <c r="AG1047" s="2">
        <f ca="1"/>
        <v>0.9505835565334011</v>
      </c>
      <c r="AH1047" s="2" t="str">
        <f ca="1"/>
        <v>Bad</v>
      </c>
    </row>
    <row r="1048" spans="2:34" x14ac:dyDescent="0.2">
      <c r="B1048" s="2">
        <f ca="1"/>
        <v>0.11292120675630457</v>
      </c>
      <c r="O1048" s="2">
        <f ca="1"/>
        <v>-1.305367665538262</v>
      </c>
      <c r="X1048" s="2">
        <f ca="1"/>
        <v>49.768803811566769</v>
      </c>
      <c r="AG1048" s="2">
        <f ca="1"/>
        <v>0.9123389549512031</v>
      </c>
      <c r="AH1048" s="2" t="str">
        <f ca="1"/>
        <v>Bad</v>
      </c>
    </row>
    <row r="1049" spans="2:34" x14ac:dyDescent="0.2">
      <c r="B1049" s="2">
        <f ca="1"/>
        <v>0.45590828075102685</v>
      </c>
      <c r="O1049" s="2">
        <f ca="1"/>
        <v>1.0893855183556078</v>
      </c>
      <c r="X1049" s="2">
        <f ca="1"/>
        <v>46.09711339812921</v>
      </c>
      <c r="AG1049" s="2">
        <f ca="1"/>
        <v>0.59076507811793744</v>
      </c>
      <c r="AH1049" s="2" t="str">
        <f ca="1"/>
        <v>Bad</v>
      </c>
    </row>
    <row r="1050" spans="2:34" x14ac:dyDescent="0.2">
      <c r="B1050" s="2">
        <f ca="1"/>
        <v>8.2199458354359489E-3</v>
      </c>
      <c r="O1050" s="2">
        <f ca="1"/>
        <v>1.5044197256413165</v>
      </c>
      <c r="X1050" s="2">
        <f ca="1"/>
        <v>46.06256254033832</v>
      </c>
      <c r="AG1050" s="2">
        <f ca="1"/>
        <v>0.60459965838940599</v>
      </c>
      <c r="AH1050" s="2" t="str">
        <f ca="1"/>
        <v>Bad</v>
      </c>
    </row>
    <row r="1051" spans="2:34" x14ac:dyDescent="0.2">
      <c r="B1051" s="2">
        <f ca="1"/>
        <v>0.26904690014778332</v>
      </c>
      <c r="O1051" s="2">
        <f ca="1"/>
        <v>-9.916463898059355E-2</v>
      </c>
      <c r="X1051" s="2">
        <f ca="1"/>
        <v>42.912457501237853</v>
      </c>
      <c r="AG1051" s="2">
        <f ca="1"/>
        <v>1.7718149468464617E-2</v>
      </c>
      <c r="AH1051" s="2" t="str">
        <f ca="1"/>
        <v>Good</v>
      </c>
    </row>
    <row r="1052" spans="2:34" x14ac:dyDescent="0.2">
      <c r="B1052" s="2">
        <f ca="1"/>
        <v>0.8051728078552427</v>
      </c>
      <c r="O1052" s="2">
        <f ca="1"/>
        <v>-0.13822856246880383</v>
      </c>
      <c r="X1052" s="2">
        <f ca="1"/>
        <v>38.239132279282401</v>
      </c>
      <c r="AG1052" s="2">
        <f ca="1"/>
        <v>0.14502370708498913</v>
      </c>
      <c r="AH1052" s="2" t="str">
        <f ca="1"/>
        <v>OK</v>
      </c>
    </row>
    <row r="1053" spans="2:34" x14ac:dyDescent="0.2">
      <c r="B1053" s="2">
        <f ca="1"/>
        <v>0.42534536715482063</v>
      </c>
      <c r="O1053" s="2">
        <f ca="1"/>
        <v>-0.4531410506976194</v>
      </c>
      <c r="X1053" s="2">
        <f ca="1"/>
        <v>67.186586078436335</v>
      </c>
      <c r="AG1053" s="2">
        <f ca="1"/>
        <v>0.68173014120076902</v>
      </c>
      <c r="AH1053" s="2" t="str">
        <f ca="1"/>
        <v>Bad</v>
      </c>
    </row>
    <row r="1054" spans="2:34" x14ac:dyDescent="0.2">
      <c r="B1054" s="2">
        <f ca="1"/>
        <v>0.94873982952179725</v>
      </c>
      <c r="O1054" s="2">
        <f ca="1"/>
        <v>0.59440705754493106</v>
      </c>
      <c r="X1054" s="2">
        <f ca="1"/>
        <v>26.949032602668815</v>
      </c>
      <c r="AG1054" s="2">
        <f ca="1"/>
        <v>0.63678953633566571</v>
      </c>
      <c r="AH1054" s="2" t="str">
        <f ca="1"/>
        <v>Bad</v>
      </c>
    </row>
    <row r="1055" spans="2:34" x14ac:dyDescent="0.2">
      <c r="B1055" s="2">
        <f ca="1"/>
        <v>0.31268757679195147</v>
      </c>
      <c r="O1055" s="2">
        <f ca="1"/>
        <v>0.61640147254151212</v>
      </c>
      <c r="X1055" s="2">
        <f ca="1"/>
        <v>60.973386201862454</v>
      </c>
      <c r="AG1055" s="2">
        <f ca="1"/>
        <v>7.1718843787744513E-2</v>
      </c>
      <c r="AH1055" s="2" t="str">
        <f ca="1"/>
        <v>OK</v>
      </c>
    </row>
    <row r="1056" spans="2:34" x14ac:dyDescent="0.2">
      <c r="B1056" s="2">
        <f ca="1"/>
        <v>0.15540156529725735</v>
      </c>
      <c r="O1056" s="2">
        <f ca="1"/>
        <v>0.62476509933935642</v>
      </c>
      <c r="X1056" s="2">
        <f ca="1"/>
        <v>31.835633816886201</v>
      </c>
      <c r="AG1056" s="2">
        <f ca="1"/>
        <v>0.98737039000440774</v>
      </c>
      <c r="AH1056" s="2" t="str">
        <f ca="1"/>
        <v>Bad</v>
      </c>
    </row>
    <row r="1057" spans="2:34" x14ac:dyDescent="0.2">
      <c r="B1057" s="2">
        <f ca="1"/>
        <v>0.2315501959899382</v>
      </c>
      <c r="O1057" s="2">
        <f ca="1"/>
        <v>-0.57603016337815138</v>
      </c>
      <c r="X1057" s="2">
        <f ca="1"/>
        <v>67.01511031338265</v>
      </c>
      <c r="AG1057" s="2">
        <f ca="1"/>
        <v>0.20266401432408965</v>
      </c>
      <c r="AH1057" s="2" t="str">
        <f ca="1"/>
        <v>OK</v>
      </c>
    </row>
    <row r="1058" spans="2:34" x14ac:dyDescent="0.2">
      <c r="B1058" s="2">
        <f ca="1"/>
        <v>0.79188712707666031</v>
      </c>
      <c r="O1058" s="2">
        <f ca="1"/>
        <v>0.2080526172159311</v>
      </c>
      <c r="X1058" s="2">
        <f ca="1"/>
        <v>42.631849350833278</v>
      </c>
      <c r="AG1058" s="2">
        <f ca="1"/>
        <v>0.40792635260930221</v>
      </c>
      <c r="AH1058" s="2" t="str">
        <f ca="1"/>
        <v>Bad</v>
      </c>
    </row>
    <row r="1059" spans="2:34" x14ac:dyDescent="0.2">
      <c r="B1059" s="2">
        <f ca="1"/>
        <v>0.14114343909280858</v>
      </c>
      <c r="O1059" s="2">
        <f ca="1"/>
        <v>0.73363004637746476</v>
      </c>
      <c r="X1059" s="2">
        <f ca="1"/>
        <v>34.200143964535009</v>
      </c>
      <c r="AG1059" s="2">
        <f ca="1"/>
        <v>0.14822201289489523</v>
      </c>
      <c r="AH1059" s="2" t="str">
        <f ca="1"/>
        <v>OK</v>
      </c>
    </row>
    <row r="1060" spans="2:34" x14ac:dyDescent="0.2">
      <c r="B1060" s="2">
        <f ca="1"/>
        <v>0.9330411704313577</v>
      </c>
      <c r="O1060" s="2">
        <f ca="1"/>
        <v>0.27287304234577964</v>
      </c>
      <c r="X1060" s="2">
        <f ca="1"/>
        <v>38.750302310238141</v>
      </c>
      <c r="AG1060" s="2">
        <f ca="1"/>
        <v>0.13240042163773902</v>
      </c>
      <c r="AH1060" s="2" t="str">
        <f ca="1"/>
        <v>OK</v>
      </c>
    </row>
    <row r="1061" spans="2:34" x14ac:dyDescent="0.2">
      <c r="B1061" s="2">
        <f ca="1"/>
        <v>0.46719890724683943</v>
      </c>
      <c r="O1061" s="2">
        <f ca="1"/>
        <v>-1.2398617776145255</v>
      </c>
      <c r="X1061" s="2">
        <f ca="1"/>
        <v>66.154681689101409</v>
      </c>
      <c r="AG1061" s="2">
        <f ca="1"/>
        <v>0.93316197587045657</v>
      </c>
      <c r="AH1061" s="2" t="str">
        <f ca="1"/>
        <v>Bad</v>
      </c>
    </row>
    <row r="1062" spans="2:34" x14ac:dyDescent="0.2">
      <c r="B1062" s="2">
        <f ca="1"/>
        <v>0.49432178800870163</v>
      </c>
      <c r="O1062" s="2">
        <f ca="1"/>
        <v>0.70560220409214891</v>
      </c>
      <c r="X1062" s="2">
        <f ca="1"/>
        <v>49.328641877821333</v>
      </c>
      <c r="AG1062" s="2">
        <f ca="1"/>
        <v>0.34587588249213841</v>
      </c>
      <c r="AH1062" s="2" t="str">
        <f ca="1"/>
        <v>OK</v>
      </c>
    </row>
    <row r="1063" spans="2:34" x14ac:dyDescent="0.2">
      <c r="B1063" s="2">
        <f ca="1"/>
        <v>0.5793589554514762</v>
      </c>
      <c r="O1063" s="2">
        <f ca="1"/>
        <v>-0.2213063132879135</v>
      </c>
      <c r="X1063" s="2">
        <f ca="1"/>
        <v>40.907891294486461</v>
      </c>
      <c r="AG1063" s="2">
        <f ca="1"/>
        <v>0.32098232487840894</v>
      </c>
      <c r="AH1063" s="2" t="str">
        <f ca="1"/>
        <v>OK</v>
      </c>
    </row>
    <row r="1064" spans="2:34" x14ac:dyDescent="0.2">
      <c r="B1064" s="2">
        <f ca="1"/>
        <v>0.48629309669340648</v>
      </c>
      <c r="O1064" s="2">
        <f ca="1"/>
        <v>0.26455391045175142</v>
      </c>
      <c r="X1064" s="2">
        <f ca="1"/>
        <v>48.209138204716595</v>
      </c>
      <c r="AG1064" s="2">
        <f ca="1"/>
        <v>0.92656663458706023</v>
      </c>
      <c r="AH1064" s="2" t="str">
        <f ca="1"/>
        <v>Bad</v>
      </c>
    </row>
    <row r="1065" spans="2:34" x14ac:dyDescent="0.2">
      <c r="B1065" s="2">
        <f ca="1"/>
        <v>0.80454318902928579</v>
      </c>
      <c r="O1065" s="2">
        <f ca="1"/>
        <v>1.0654953981475104</v>
      </c>
      <c r="X1065" s="2">
        <f ca="1"/>
        <v>44.459543907382546</v>
      </c>
      <c r="AG1065" s="2">
        <f ca="1"/>
        <v>0.44507320340462453</v>
      </c>
      <c r="AH1065" s="2" t="str">
        <f ca="1"/>
        <v>Bad</v>
      </c>
    </row>
    <row r="1066" spans="2:34" x14ac:dyDescent="0.2">
      <c r="B1066" s="2">
        <f ca="1"/>
        <v>0.16475012216407547</v>
      </c>
      <c r="O1066" s="2">
        <f ca="1"/>
        <v>-1.2522726099296209</v>
      </c>
      <c r="X1066" s="2">
        <f ca="1"/>
        <v>41.837689857231737</v>
      </c>
      <c r="AG1066" s="2">
        <f ca="1"/>
        <v>0.74913623404770635</v>
      </c>
      <c r="AH1066" s="2" t="str">
        <f ca="1"/>
        <v>Bad</v>
      </c>
    </row>
    <row r="1067" spans="2:34" x14ac:dyDescent="0.2">
      <c r="B1067" s="2">
        <f ca="1"/>
        <v>0.27982696541419627</v>
      </c>
      <c r="O1067" s="2">
        <f ca="1"/>
        <v>-0.22076282996777857</v>
      </c>
      <c r="X1067" s="2">
        <f ca="1"/>
        <v>41.452336163937986</v>
      </c>
      <c r="AG1067" s="2">
        <f ca="1"/>
        <v>0.75669958187213804</v>
      </c>
      <c r="AH1067" s="2" t="str">
        <f ca="1"/>
        <v>Bad</v>
      </c>
    </row>
    <row r="1068" spans="2:34" x14ac:dyDescent="0.2">
      <c r="B1068" s="2">
        <f ca="1"/>
        <v>0.3977724012940449</v>
      </c>
      <c r="O1068" s="2">
        <f ca="1"/>
        <v>-0.59120704539955737</v>
      </c>
      <c r="X1068" s="2">
        <f ca="1"/>
        <v>48.838897286791436</v>
      </c>
      <c r="AG1068" s="2">
        <f ca="1"/>
        <v>1.8004713129602834E-2</v>
      </c>
      <c r="AH1068" s="2" t="str">
        <f ca="1"/>
        <v>Good</v>
      </c>
    </row>
    <row r="1069" spans="2:34" x14ac:dyDescent="0.2">
      <c r="B1069" s="2">
        <f ca="1"/>
        <v>0.32444412036755543</v>
      </c>
      <c r="O1069" s="2">
        <f ca="1"/>
        <v>1.656408196176232</v>
      </c>
      <c r="X1069" s="2">
        <f ca="1"/>
        <v>60.422941181167154</v>
      </c>
      <c r="AG1069" s="2">
        <f ca="1"/>
        <v>0.64711389731742197</v>
      </c>
      <c r="AH1069" s="2" t="str">
        <f ca="1"/>
        <v>Bad</v>
      </c>
    </row>
    <row r="1070" spans="2:34" x14ac:dyDescent="0.2">
      <c r="B1070" s="2">
        <f ca="1"/>
        <v>0.27610528063194462</v>
      </c>
      <c r="O1070" s="2">
        <f ca="1"/>
        <v>-0.5890075558193425</v>
      </c>
      <c r="X1070" s="2">
        <f ca="1"/>
        <v>50.821262691101374</v>
      </c>
      <c r="AG1070" s="2">
        <f ca="1"/>
        <v>4.5673020273871989E-2</v>
      </c>
      <c r="AH1070" s="2" t="str">
        <f ca="1"/>
        <v>Good</v>
      </c>
    </row>
    <row r="1071" spans="2:34" x14ac:dyDescent="0.2">
      <c r="B1071" s="2">
        <f ca="1"/>
        <v>0.76422362869594362</v>
      </c>
      <c r="O1071" s="2">
        <f ca="1"/>
        <v>-0.59977235241179494</v>
      </c>
      <c r="X1071" s="2">
        <f ca="1"/>
        <v>35.001109579160513</v>
      </c>
      <c r="AG1071" s="2">
        <f ca="1"/>
        <v>0.49191110414580974</v>
      </c>
      <c r="AH1071" s="2" t="str">
        <f ca="1"/>
        <v>Bad</v>
      </c>
    </row>
    <row r="1072" spans="2:34" x14ac:dyDescent="0.2">
      <c r="B1072" s="2">
        <f ca="1"/>
        <v>0.68666476018418487</v>
      </c>
      <c r="O1072" s="2">
        <f ca="1"/>
        <v>-0.63419216010693391</v>
      </c>
      <c r="X1072" s="2">
        <f ca="1"/>
        <v>45.710847521894244</v>
      </c>
      <c r="AG1072" s="2">
        <f ca="1"/>
        <v>0.33919490467949576</v>
      </c>
      <c r="AH1072" s="2" t="str">
        <f ca="1"/>
        <v>OK</v>
      </c>
    </row>
    <row r="1073" spans="2:34" x14ac:dyDescent="0.2">
      <c r="B1073" s="2">
        <f ca="1"/>
        <v>8.3949701573567515E-2</v>
      </c>
      <c r="O1073" s="2">
        <f ca="1"/>
        <v>-1.2594812694993143</v>
      </c>
      <c r="X1073" s="2">
        <f ca="1"/>
        <v>68.249628940328975</v>
      </c>
      <c r="AG1073" s="2">
        <f ca="1"/>
        <v>0.10145213728300106</v>
      </c>
      <c r="AH1073" s="2" t="str">
        <f ca="1"/>
        <v>OK</v>
      </c>
    </row>
    <row r="1074" spans="2:34" x14ac:dyDescent="0.2">
      <c r="B1074" s="2">
        <f ca="1"/>
        <v>0.84748878994834231</v>
      </c>
      <c r="O1074" s="2">
        <f ca="1"/>
        <v>0.70051368335974873</v>
      </c>
      <c r="X1074" s="2">
        <f ca="1"/>
        <v>60.955614796079807</v>
      </c>
      <c r="AG1074" s="2">
        <f ca="1"/>
        <v>0.57156351797252225</v>
      </c>
      <c r="AH1074" s="2" t="str">
        <f ca="1"/>
        <v>Bad</v>
      </c>
    </row>
    <row r="1075" spans="2:34" x14ac:dyDescent="0.2">
      <c r="B1075" s="2">
        <f ca="1"/>
        <v>0.18679619509354128</v>
      </c>
      <c r="O1075" s="2">
        <f ca="1"/>
        <v>7.7659032981876319E-2</v>
      </c>
      <c r="X1075" s="2">
        <f ca="1"/>
        <v>66.632164148338418</v>
      </c>
      <c r="AG1075" s="2">
        <f ca="1"/>
        <v>0.43796196016314903</v>
      </c>
      <c r="AH1075" s="2" t="str">
        <f ca="1"/>
        <v>Bad</v>
      </c>
    </row>
    <row r="1076" spans="2:34" x14ac:dyDescent="0.2">
      <c r="B1076" s="2">
        <f ca="1"/>
        <v>0.51199685734566702</v>
      </c>
      <c r="O1076" s="2">
        <f ca="1"/>
        <v>-1.5172264496315946</v>
      </c>
      <c r="X1076" s="2">
        <f ca="1"/>
        <v>54.159106735861712</v>
      </c>
      <c r="AG1076" s="2">
        <f ca="1"/>
        <v>0.47887871689842187</v>
      </c>
      <c r="AH1076" s="2" t="str">
        <f ca="1"/>
        <v>Bad</v>
      </c>
    </row>
    <row r="1077" spans="2:34" x14ac:dyDescent="0.2">
      <c r="B1077" s="2">
        <f ca="1"/>
        <v>0.53428005338219564</v>
      </c>
      <c r="O1077" s="2">
        <f ca="1"/>
        <v>-0.58066834068767503</v>
      </c>
      <c r="X1077" s="2">
        <f ca="1"/>
        <v>66.434866891000638</v>
      </c>
      <c r="AG1077" s="2">
        <f ca="1"/>
        <v>0.72096662002448442</v>
      </c>
      <c r="AH1077" s="2" t="str">
        <f ca="1"/>
        <v>Bad</v>
      </c>
    </row>
    <row r="1078" spans="2:34" x14ac:dyDescent="0.2">
      <c r="B1078" s="2">
        <f ca="1"/>
        <v>0.37138921348232445</v>
      </c>
      <c r="O1078" s="2">
        <f ca="1"/>
        <v>0.16298093586524687</v>
      </c>
      <c r="X1078" s="2">
        <f ca="1"/>
        <v>34.962707131510349</v>
      </c>
      <c r="AG1078" s="2">
        <f ca="1"/>
        <v>0.54934272089084324</v>
      </c>
      <c r="AH1078" s="2" t="str">
        <f ca="1"/>
        <v>Bad</v>
      </c>
    </row>
    <row r="1079" spans="2:34" x14ac:dyDescent="0.2">
      <c r="B1079" s="2">
        <f ca="1"/>
        <v>0.22185773670250919</v>
      </c>
      <c r="O1079" s="2">
        <f ca="1"/>
        <v>-0.50525567993442988</v>
      </c>
      <c r="X1079" s="2">
        <f ca="1"/>
        <v>26.438176086986736</v>
      </c>
      <c r="AG1079" s="2">
        <f ca="1"/>
        <v>0.27778254428635618</v>
      </c>
      <c r="AH1079" s="2" t="str">
        <f ca="1"/>
        <v>OK</v>
      </c>
    </row>
    <row r="1080" spans="2:34" x14ac:dyDescent="0.2">
      <c r="B1080" s="2">
        <f ca="1"/>
        <v>0.47073418120039956</v>
      </c>
      <c r="O1080" s="2">
        <f ca="1"/>
        <v>-0.13948721000614087</v>
      </c>
      <c r="X1080" s="2">
        <f ca="1"/>
        <v>63.441499612252834</v>
      </c>
      <c r="AG1080" s="2">
        <f ca="1"/>
        <v>0.92456172646364321</v>
      </c>
      <c r="AH1080" s="2" t="str">
        <f ca="1"/>
        <v>Bad</v>
      </c>
    </row>
    <row r="1081" spans="2:34" x14ac:dyDescent="0.2">
      <c r="B1081" s="2">
        <f ca="1"/>
        <v>0.379777728996195</v>
      </c>
      <c r="O1081" s="2">
        <f ca="1"/>
        <v>0.19268001326151468</v>
      </c>
      <c r="X1081" s="2">
        <f ca="1"/>
        <v>39.768654456515982</v>
      </c>
      <c r="AG1081" s="2">
        <f ca="1"/>
        <v>0.96507552296206645</v>
      </c>
      <c r="AH1081" s="2" t="str">
        <f ca="1"/>
        <v>Bad</v>
      </c>
    </row>
    <row r="1082" spans="2:34" x14ac:dyDescent="0.2">
      <c r="B1082" s="2">
        <f ca="1"/>
        <v>0.89920606659017244</v>
      </c>
      <c r="O1082" s="2">
        <f ca="1"/>
        <v>-0.513295586598568</v>
      </c>
      <c r="X1082" s="2">
        <f ca="1"/>
        <v>30.101114855340438</v>
      </c>
      <c r="AG1082" s="2">
        <f ca="1"/>
        <v>0.60698459250164793</v>
      </c>
      <c r="AH1082" s="2" t="str">
        <f ca="1"/>
        <v>Bad</v>
      </c>
    </row>
    <row r="1083" spans="2:34" x14ac:dyDescent="0.2">
      <c r="B1083" s="2">
        <f ca="1"/>
        <v>0.45784265628861376</v>
      </c>
      <c r="O1083" s="2">
        <f ca="1"/>
        <v>-0.57416370565772346</v>
      </c>
      <c r="X1083" s="2">
        <f ca="1"/>
        <v>41.963716050055595</v>
      </c>
      <c r="AG1083" s="2">
        <f ca="1"/>
        <v>0.30752845587539723</v>
      </c>
      <c r="AH1083" s="2" t="str">
        <f ca="1"/>
        <v>OK</v>
      </c>
    </row>
    <row r="1084" spans="2:34" x14ac:dyDescent="0.2">
      <c r="B1084" s="2">
        <f ca="1"/>
        <v>0.96680103824772057</v>
      </c>
      <c r="O1084" s="2">
        <f ca="1"/>
        <v>-1.1261072955201434</v>
      </c>
      <c r="X1084" s="2">
        <f ca="1"/>
        <v>49.591686712580895</v>
      </c>
      <c r="AG1084" s="2">
        <f ca="1"/>
        <v>0.61211495709196972</v>
      </c>
      <c r="AH1084" s="2" t="str">
        <f ca="1"/>
        <v>Bad</v>
      </c>
    </row>
    <row r="1085" spans="2:34" x14ac:dyDescent="0.2">
      <c r="B1085" s="2">
        <f ca="1"/>
        <v>0.90963936987528604</v>
      </c>
      <c r="O1085" s="2">
        <f ca="1"/>
        <v>-0.82668839545428241</v>
      </c>
      <c r="X1085" s="2">
        <f ca="1"/>
        <v>46.644740392554709</v>
      </c>
      <c r="AG1085" s="2">
        <f ca="1"/>
        <v>0.86473316786574506</v>
      </c>
      <c r="AH1085" s="2" t="str">
        <f ca="1"/>
        <v>Bad</v>
      </c>
    </row>
    <row r="1086" spans="2:34" x14ac:dyDescent="0.2">
      <c r="B1086" s="2">
        <f ca="1"/>
        <v>0.53065366766770206</v>
      </c>
      <c r="O1086" s="2">
        <f ca="1"/>
        <v>0.93957737394317109</v>
      </c>
      <c r="X1086" s="2">
        <f ca="1"/>
        <v>46.738549778476752</v>
      </c>
      <c r="AG1086" s="2">
        <f ca="1"/>
        <v>0.94284557631450649</v>
      </c>
      <c r="AH1086" s="2" t="str">
        <f ca="1"/>
        <v>Bad</v>
      </c>
    </row>
    <row r="1087" spans="2:34" x14ac:dyDescent="0.2">
      <c r="B1087" s="2">
        <f ca="1"/>
        <v>0.44154499744376463</v>
      </c>
      <c r="O1087" s="2">
        <f ca="1"/>
        <v>0.8769274015669889</v>
      </c>
      <c r="X1087" s="2">
        <f ca="1"/>
        <v>53.519738055477148</v>
      </c>
      <c r="AG1087" s="2">
        <f ca="1"/>
        <v>0.16722146905503155</v>
      </c>
      <c r="AH1087" s="2" t="str">
        <f ca="1"/>
        <v>OK</v>
      </c>
    </row>
    <row r="1088" spans="2:34" x14ac:dyDescent="0.2">
      <c r="B1088" s="2">
        <f ca="1"/>
        <v>0.70504443123725924</v>
      </c>
      <c r="O1088" s="2">
        <f ca="1"/>
        <v>-0.20610787171601216</v>
      </c>
      <c r="X1088" s="2">
        <f ca="1"/>
        <v>62.785244806288659</v>
      </c>
      <c r="AG1088" s="2">
        <f ca="1"/>
        <v>0.68860736205406381</v>
      </c>
      <c r="AH1088" s="2" t="str">
        <f ca="1"/>
        <v>Bad</v>
      </c>
    </row>
    <row r="1089" spans="2:34" x14ac:dyDescent="0.2">
      <c r="B1089" s="2">
        <f ca="1"/>
        <v>0.30610282144516354</v>
      </c>
      <c r="O1089" s="2">
        <f ca="1"/>
        <v>-0.99694928962030471</v>
      </c>
      <c r="X1089" s="2">
        <f ca="1"/>
        <v>54.468597059554824</v>
      </c>
      <c r="AG1089" s="2">
        <f ca="1"/>
        <v>0.50555363528960418</v>
      </c>
      <c r="AH1089" s="2" t="str">
        <f ca="1"/>
        <v>Bad</v>
      </c>
    </row>
    <row r="1090" spans="2:34" x14ac:dyDescent="0.2">
      <c r="B1090" s="2">
        <f ca="1"/>
        <v>0.20008361836773503</v>
      </c>
      <c r="O1090" s="2">
        <f ca="1"/>
        <v>1.2483428923977398</v>
      </c>
      <c r="X1090" s="2">
        <f ca="1"/>
        <v>48.025425878415064</v>
      </c>
      <c r="AG1090" s="2">
        <f ca="1"/>
        <v>0.59150637226275893</v>
      </c>
      <c r="AH1090" s="2" t="str">
        <f ca="1"/>
        <v>Bad</v>
      </c>
    </row>
    <row r="1091" spans="2:34" x14ac:dyDescent="0.2">
      <c r="B1091" s="2">
        <f ca="1"/>
        <v>0.44923269040618252</v>
      </c>
      <c r="O1091" s="2">
        <f ca="1"/>
        <v>-0.66558172893491252</v>
      </c>
      <c r="X1091" s="2">
        <f ca="1"/>
        <v>55.49478095103504</v>
      </c>
      <c r="AG1091" s="2">
        <f ca="1"/>
        <v>0.58860946372467393</v>
      </c>
      <c r="AH1091" s="2" t="str">
        <f ca="1"/>
        <v>Bad</v>
      </c>
    </row>
    <row r="1092" spans="2:34" x14ac:dyDescent="0.2">
      <c r="B1092" s="2">
        <f ca="1"/>
        <v>6.8114091899298845E-2</v>
      </c>
      <c r="O1092" s="2">
        <f ca="1"/>
        <v>-0.58888356804229158</v>
      </c>
      <c r="X1092" s="2">
        <f ca="1"/>
        <v>42.298091408857125</v>
      </c>
      <c r="AG1092" s="2">
        <f ca="1"/>
        <v>0.4079783298458064</v>
      </c>
      <c r="AH1092" s="2" t="str">
        <f ca="1"/>
        <v>Bad</v>
      </c>
    </row>
    <row r="1093" spans="2:34" x14ac:dyDescent="0.2">
      <c r="B1093" s="2">
        <f ca="1"/>
        <v>9.4249320766033318E-2</v>
      </c>
      <c r="O1093" s="2">
        <f ca="1"/>
        <v>-0.58555522917233593</v>
      </c>
      <c r="X1093" s="2">
        <f ca="1"/>
        <v>56.879588852106515</v>
      </c>
      <c r="AG1093" s="2">
        <f ca="1"/>
        <v>0.46582525731096269</v>
      </c>
      <c r="AH1093" s="2" t="str">
        <f ca="1"/>
        <v>Bad</v>
      </c>
    </row>
    <row r="1094" spans="2:34" x14ac:dyDescent="0.2">
      <c r="B1094" s="2">
        <f ca="1"/>
        <v>0.56081689496315046</v>
      </c>
      <c r="O1094" s="2">
        <f ca="1"/>
        <v>0.57164875320184227</v>
      </c>
      <c r="X1094" s="2">
        <f ca="1"/>
        <v>62.063042062340585</v>
      </c>
      <c r="AG1094" s="2">
        <f ca="1"/>
        <v>0.12809068551303171</v>
      </c>
      <c r="AH1094" s="2" t="str">
        <f ca="1"/>
        <v>OK</v>
      </c>
    </row>
    <row r="1095" spans="2:34" x14ac:dyDescent="0.2">
      <c r="B1095" s="2">
        <f ca="1"/>
        <v>0.39450544563896228</v>
      </c>
      <c r="O1095" s="2">
        <f ca="1"/>
        <v>0.97870150568804271</v>
      </c>
      <c r="X1095" s="2">
        <f ca="1"/>
        <v>52.081808201025062</v>
      </c>
      <c r="AG1095" s="2">
        <f ca="1"/>
        <v>0.29962992691860246</v>
      </c>
      <c r="AH1095" s="2" t="str">
        <f ca="1"/>
        <v>OK</v>
      </c>
    </row>
    <row r="1096" spans="2:34" x14ac:dyDescent="0.2">
      <c r="B1096" s="2">
        <f ca="1"/>
        <v>0.84451490281425157</v>
      </c>
      <c r="O1096" s="2">
        <f ca="1"/>
        <v>0.34971840461316528</v>
      </c>
      <c r="X1096" s="2">
        <f ca="1"/>
        <v>59.970008339201769</v>
      </c>
      <c r="AG1096" s="2">
        <f ca="1"/>
        <v>6.1623193273791621E-2</v>
      </c>
      <c r="AH1096" s="2" t="str">
        <f ca="1"/>
        <v>OK</v>
      </c>
    </row>
    <row r="1097" spans="2:34" x14ac:dyDescent="0.2">
      <c r="B1097" s="2">
        <f ca="1"/>
        <v>0.6175670206402597</v>
      </c>
      <c r="O1097" s="2">
        <f ca="1"/>
        <v>0.3664835209884566</v>
      </c>
      <c r="X1097" s="2">
        <f ca="1"/>
        <v>26.285424276570247</v>
      </c>
      <c r="AG1097" s="2">
        <f ca="1"/>
        <v>0.1120837116836797</v>
      </c>
      <c r="AH1097" s="2" t="str">
        <f ca="1"/>
        <v>OK</v>
      </c>
    </row>
    <row r="1098" spans="2:34" x14ac:dyDescent="0.2">
      <c r="B1098" s="2">
        <f ca="1"/>
        <v>0.85392047932786785</v>
      </c>
      <c r="O1098" s="2">
        <f ca="1"/>
        <v>0.66220256919554665</v>
      </c>
      <c r="X1098" s="2">
        <f ca="1"/>
        <v>63.452099160157971</v>
      </c>
      <c r="AG1098" s="2">
        <f ca="1"/>
        <v>0.59048213591821952</v>
      </c>
      <c r="AH1098" s="2" t="str">
        <f ca="1"/>
        <v>Bad</v>
      </c>
    </row>
    <row r="1099" spans="2:34" x14ac:dyDescent="0.2">
      <c r="B1099" s="2">
        <f ca="1"/>
        <v>9.1082472470430442E-2</v>
      </c>
      <c r="O1099" s="2">
        <f ca="1"/>
        <v>-0.47966935732620264</v>
      </c>
      <c r="X1099" s="2">
        <f ca="1"/>
        <v>43.284207356288306</v>
      </c>
      <c r="AG1099" s="2">
        <f ca="1"/>
        <v>0.87599615197754788</v>
      </c>
      <c r="AH1099" s="2" t="str">
        <f ca="1"/>
        <v>Bad</v>
      </c>
    </row>
    <row r="1100" spans="2:34" x14ac:dyDescent="0.2">
      <c r="B1100" s="2">
        <f ca="1"/>
        <v>0.4461253708542996</v>
      </c>
      <c r="O1100" s="2">
        <f ca="1"/>
        <v>-1.4199786657842388</v>
      </c>
      <c r="X1100" s="2">
        <f ca="1"/>
        <v>51.980711677618025</v>
      </c>
      <c r="AG1100" s="2">
        <f ca="1"/>
        <v>0.36476170461251178</v>
      </c>
      <c r="AH1100" s="2" t="str">
        <f ca="1"/>
        <v>OK</v>
      </c>
    </row>
    <row r="1101" spans="2:34" x14ac:dyDescent="0.2">
      <c r="B1101" s="2">
        <f ca="1"/>
        <v>0.74203403399277712</v>
      </c>
      <c r="O1101" s="2">
        <f ca="1"/>
        <v>0.50012807920825375</v>
      </c>
      <c r="X1101" s="2">
        <f ca="1"/>
        <v>36.653229491271958</v>
      </c>
      <c r="AG1101" s="2">
        <f ca="1"/>
        <v>0.67660387099676322</v>
      </c>
      <c r="AH1101" s="2" t="str">
        <f ca="1"/>
        <v>Bad</v>
      </c>
    </row>
    <row r="1102" spans="2:34" x14ac:dyDescent="0.2">
      <c r="B1102" s="2">
        <f ca="1"/>
        <v>0.87244029303942194</v>
      </c>
      <c r="O1102" s="2">
        <f ca="1"/>
        <v>0.93143119095936322</v>
      </c>
      <c r="X1102" s="2">
        <f ca="1"/>
        <v>39.450357502619454</v>
      </c>
      <c r="AG1102" s="2">
        <f ca="1"/>
        <v>0.81875266777519196</v>
      </c>
      <c r="AH1102" s="2" t="str">
        <f ca="1"/>
        <v>Bad</v>
      </c>
    </row>
    <row r="1103" spans="2:34" x14ac:dyDescent="0.2">
      <c r="B1103" s="2">
        <f ca="1"/>
        <v>0.33497811510115238</v>
      </c>
      <c r="O1103" s="2">
        <f ca="1"/>
        <v>0.845756935823468</v>
      </c>
      <c r="X1103" s="2">
        <f ca="1"/>
        <v>83.105620310145341</v>
      </c>
      <c r="AG1103" s="2">
        <f ca="1"/>
        <v>0.8641964985707431</v>
      </c>
      <c r="AH1103" s="2" t="str">
        <f ca="1"/>
        <v>Bad</v>
      </c>
    </row>
    <row r="1104" spans="2:34" x14ac:dyDescent="0.2">
      <c r="B1104" s="2">
        <f ca="1"/>
        <v>0.35193118346098951</v>
      </c>
      <c r="O1104" s="2">
        <f ca="1"/>
        <v>-0.12236404751053459</v>
      </c>
      <c r="X1104" s="2">
        <f ca="1"/>
        <v>24.383594678019662</v>
      </c>
      <c r="AG1104" s="2">
        <f ca="1"/>
        <v>0.50994084577572729</v>
      </c>
      <c r="AH1104" s="2" t="str">
        <f ca="1"/>
        <v>Bad</v>
      </c>
    </row>
    <row r="1105" spans="2:34" x14ac:dyDescent="0.2">
      <c r="B1105" s="2">
        <f ca="1"/>
        <v>0.20777028711462719</v>
      </c>
      <c r="O1105" s="2">
        <f ca="1"/>
        <v>0.94741613971082583</v>
      </c>
      <c r="X1105" s="2">
        <f ca="1"/>
        <v>62.065510784202758</v>
      </c>
      <c r="AG1105" s="2">
        <f ca="1"/>
        <v>0.24511203854059782</v>
      </c>
      <c r="AH1105" s="2" t="str">
        <f ca="1"/>
        <v>OK</v>
      </c>
    </row>
    <row r="1106" spans="2:34" x14ac:dyDescent="0.2">
      <c r="B1106" s="2">
        <f ca="1"/>
        <v>0.76056868057415361</v>
      </c>
      <c r="O1106" s="2">
        <f ca="1"/>
        <v>0.35509677831370789</v>
      </c>
      <c r="X1106" s="2">
        <f ca="1"/>
        <v>38.967651726351072</v>
      </c>
      <c r="AG1106" s="2">
        <f ca="1"/>
        <v>0.34605417016051199</v>
      </c>
      <c r="AH1106" s="2" t="str">
        <f ca="1"/>
        <v>OK</v>
      </c>
    </row>
    <row r="1107" spans="2:34" x14ac:dyDescent="0.2">
      <c r="B1107" s="2">
        <f ca="1"/>
        <v>0.62582882666338313</v>
      </c>
      <c r="O1107" s="2">
        <f ca="1"/>
        <v>0.21023792037475594</v>
      </c>
      <c r="X1107" s="2">
        <f ca="1"/>
        <v>74.595219484740468</v>
      </c>
      <c r="AG1107" s="2">
        <f ca="1"/>
        <v>0.16575194057582854</v>
      </c>
      <c r="AH1107" s="2" t="str">
        <f ca="1"/>
        <v>OK</v>
      </c>
    </row>
    <row r="1108" spans="2:34" x14ac:dyDescent="0.2">
      <c r="B1108" s="2">
        <f ca="1"/>
        <v>0.43132783494268012</v>
      </c>
      <c r="O1108" s="2">
        <f ca="1"/>
        <v>-1.2548806826295407</v>
      </c>
      <c r="X1108" s="2">
        <f ca="1"/>
        <v>38.899749503216945</v>
      </c>
      <c r="AG1108" s="2">
        <f ca="1"/>
        <v>0.73306199569149655</v>
      </c>
      <c r="AH1108" s="2" t="str">
        <f ca="1"/>
        <v>Bad</v>
      </c>
    </row>
    <row r="1109" spans="2:34" x14ac:dyDescent="0.2">
      <c r="B1109" s="2">
        <f ca="1"/>
        <v>0.59407804819027432</v>
      </c>
      <c r="O1109" s="2">
        <f ca="1"/>
        <v>0.18639433968744462</v>
      </c>
      <c r="X1109" s="2">
        <f ca="1"/>
        <v>70.169159527759476</v>
      </c>
      <c r="AG1109" s="2">
        <f ca="1"/>
        <v>0.19831664866737087</v>
      </c>
      <c r="AH1109" s="2" t="str">
        <f ca="1"/>
        <v>OK</v>
      </c>
    </row>
    <row r="1110" spans="2:34" x14ac:dyDescent="0.2">
      <c r="B1110" s="2">
        <f ca="1"/>
        <v>0.54399906718233892</v>
      </c>
      <c r="O1110" s="2">
        <f ca="1"/>
        <v>-0.66514598677639192</v>
      </c>
      <c r="X1110" s="2">
        <f ca="1"/>
        <v>43.188900815539206</v>
      </c>
      <c r="AG1110" s="2">
        <f ca="1"/>
        <v>0.28511852363069479</v>
      </c>
      <c r="AH1110" s="2" t="str">
        <f ca="1"/>
        <v>OK</v>
      </c>
    </row>
    <row r="1111" spans="2:34" x14ac:dyDescent="0.2">
      <c r="B1111" s="2">
        <f ca="1"/>
        <v>0.79248820538192777</v>
      </c>
      <c r="O1111" s="2">
        <f ca="1"/>
        <v>0.86226690935698203</v>
      </c>
      <c r="X1111" s="2">
        <f ca="1"/>
        <v>58.974016454204914</v>
      </c>
      <c r="AG1111" s="2">
        <f ca="1"/>
        <v>0.83524111223168029</v>
      </c>
      <c r="AH1111" s="2" t="str">
        <f ca="1"/>
        <v>Bad</v>
      </c>
    </row>
    <row r="1112" spans="2:34" x14ac:dyDescent="0.2">
      <c r="B1112" s="2">
        <f ca="1"/>
        <v>0.47132404128366501</v>
      </c>
      <c r="O1112" s="2">
        <f ca="1"/>
        <v>0.50662571425140324</v>
      </c>
      <c r="X1112" s="2">
        <f ca="1"/>
        <v>66.247552219651908</v>
      </c>
      <c r="AG1112" s="2">
        <f ca="1"/>
        <v>0.91864021947955132</v>
      </c>
      <c r="AH1112" s="2" t="str">
        <f ca="1"/>
        <v>Bad</v>
      </c>
    </row>
    <row r="1113" spans="2:34" x14ac:dyDescent="0.2">
      <c r="B1113" s="2">
        <f ca="1"/>
        <v>0.39624852933564569</v>
      </c>
      <c r="O1113" s="2">
        <f ca="1"/>
        <v>-0.17101900104494708</v>
      </c>
      <c r="X1113" s="2">
        <f ca="1"/>
        <v>58.612278095056524</v>
      </c>
      <c r="AG1113" s="2">
        <f ca="1"/>
        <v>9.4000979033485921E-2</v>
      </c>
      <c r="AH1113" s="2" t="str">
        <f ca="1"/>
        <v>OK</v>
      </c>
    </row>
    <row r="1114" spans="2:34" x14ac:dyDescent="0.2">
      <c r="B1114" s="2">
        <f ca="1"/>
        <v>0.82845926341749454</v>
      </c>
      <c r="O1114" s="2">
        <f ca="1"/>
        <v>0.8247970693591119</v>
      </c>
      <c r="X1114" s="2">
        <f ca="1"/>
        <v>30.319746298252284</v>
      </c>
      <c r="AG1114" s="2">
        <f ca="1"/>
        <v>0.60048337221468251</v>
      </c>
      <c r="AH1114" s="2" t="str">
        <f ca="1"/>
        <v>Bad</v>
      </c>
    </row>
    <row r="1115" spans="2:34" x14ac:dyDescent="0.2">
      <c r="B1115" s="2">
        <f ca="1"/>
        <v>0.34938841605399706</v>
      </c>
      <c r="O1115" s="2">
        <f ca="1"/>
        <v>-0.75521837733347386</v>
      </c>
      <c r="X1115" s="2">
        <f ca="1"/>
        <v>27.634792069728107</v>
      </c>
      <c r="AG1115" s="2">
        <f ca="1"/>
        <v>0.55400821363363728</v>
      </c>
      <c r="AH1115" s="2" t="str">
        <f ca="1"/>
        <v>Bad</v>
      </c>
    </row>
    <row r="1116" spans="2:34" x14ac:dyDescent="0.2">
      <c r="B1116" s="2">
        <f ca="1"/>
        <v>0.57003338354344835</v>
      </c>
      <c r="O1116" s="2">
        <f ca="1"/>
        <v>4.630205876333786E-3</v>
      </c>
      <c r="X1116" s="2">
        <f ca="1"/>
        <v>22.376873855963282</v>
      </c>
      <c r="AG1116" s="2">
        <f ca="1"/>
        <v>0.36679378226107473</v>
      </c>
      <c r="AH1116" s="2" t="str">
        <f ca="1"/>
        <v>OK</v>
      </c>
    </row>
    <row r="1117" spans="2:34" x14ac:dyDescent="0.2">
      <c r="B1117" s="2">
        <f ca="1"/>
        <v>0.82864256104328127</v>
      </c>
      <c r="O1117" s="2">
        <f ca="1"/>
        <v>-1.6258836784324309</v>
      </c>
      <c r="X1117" s="2">
        <f ca="1"/>
        <v>32.497202419800793</v>
      </c>
      <c r="AG1117" s="2">
        <f ca="1"/>
        <v>9.4078226028178058E-2</v>
      </c>
      <c r="AH1117" s="2" t="str">
        <f ca="1"/>
        <v>OK</v>
      </c>
    </row>
    <row r="1118" spans="2:34" x14ac:dyDescent="0.2">
      <c r="B1118" s="2">
        <f ca="1"/>
        <v>0.16056435820610138</v>
      </c>
      <c r="O1118" s="2">
        <f ca="1"/>
        <v>-2.1669716060394237</v>
      </c>
      <c r="X1118" s="2">
        <f ca="1"/>
        <v>45.852220584646837</v>
      </c>
      <c r="AG1118" s="2">
        <f ca="1"/>
        <v>0.25038279611139869</v>
      </c>
      <c r="AH1118" s="2" t="str">
        <f ca="1"/>
        <v>OK</v>
      </c>
    </row>
    <row r="1119" spans="2:34" x14ac:dyDescent="0.2">
      <c r="B1119" s="2">
        <f ca="1"/>
        <v>2.0746547474795873E-2</v>
      </c>
      <c r="O1119" s="2">
        <f ca="1"/>
        <v>-0.12946724817254734</v>
      </c>
      <c r="X1119" s="2">
        <f ca="1"/>
        <v>57.042287692041178</v>
      </c>
      <c r="AG1119" s="2">
        <f ca="1"/>
        <v>0.31830648065827205</v>
      </c>
      <c r="AH1119" s="2" t="str">
        <f ca="1"/>
        <v>OK</v>
      </c>
    </row>
    <row r="1120" spans="2:34" x14ac:dyDescent="0.2">
      <c r="B1120" s="2">
        <f ca="1"/>
        <v>0.63905661248024903</v>
      </c>
      <c r="O1120" s="2">
        <f ca="1"/>
        <v>7.1805028830404141E-2</v>
      </c>
      <c r="X1120" s="2">
        <f ca="1"/>
        <v>27.16457799508504</v>
      </c>
      <c r="AG1120" s="2">
        <f ca="1"/>
        <v>0.97579993294737011</v>
      </c>
      <c r="AH1120" s="2" t="str">
        <f ca="1"/>
        <v>Bad</v>
      </c>
    </row>
    <row r="1121" spans="2:34" x14ac:dyDescent="0.2">
      <c r="B1121" s="2">
        <f ca="1"/>
        <v>0.8371050909496951</v>
      </c>
      <c r="O1121" s="2">
        <f ca="1"/>
        <v>-0.96468329017781584</v>
      </c>
      <c r="X1121" s="2">
        <f ca="1"/>
        <v>41.313980149442401</v>
      </c>
      <c r="AG1121" s="2">
        <f ca="1"/>
        <v>0.16456998706603221</v>
      </c>
      <c r="AH1121" s="2" t="str">
        <f ca="1"/>
        <v>OK</v>
      </c>
    </row>
    <row r="1122" spans="2:34" x14ac:dyDescent="0.2">
      <c r="B1122" s="2">
        <f ca="1"/>
        <v>0.87619406285704726</v>
      </c>
      <c r="O1122" s="2">
        <f ca="1"/>
        <v>1.1773990525495301</v>
      </c>
      <c r="X1122" s="2">
        <f ca="1"/>
        <v>33.216018220265205</v>
      </c>
      <c r="AG1122" s="2">
        <f ca="1"/>
        <v>0.59533200855727375</v>
      </c>
      <c r="AH1122" s="2" t="str">
        <f ca="1"/>
        <v>Bad</v>
      </c>
    </row>
    <row r="1123" spans="2:34" x14ac:dyDescent="0.2">
      <c r="B1123" s="2">
        <f ca="1"/>
        <v>0.34237060800574781</v>
      </c>
      <c r="O1123" s="2">
        <f ca="1"/>
        <v>1.3017914206916714</v>
      </c>
      <c r="X1123" s="2">
        <f ca="1"/>
        <v>17.128015307433174</v>
      </c>
      <c r="AG1123" s="2">
        <f ca="1"/>
        <v>0.54735238812199083</v>
      </c>
      <c r="AH1123" s="2" t="str">
        <f ca="1"/>
        <v>Bad</v>
      </c>
    </row>
    <row r="1124" spans="2:34" x14ac:dyDescent="0.2">
      <c r="B1124" s="2">
        <f ca="1"/>
        <v>0.57549892549588844</v>
      </c>
      <c r="O1124" s="2">
        <f ca="1"/>
        <v>1.0782867510788336</v>
      </c>
      <c r="X1124" s="2">
        <f ca="1"/>
        <v>49.259820328079243</v>
      </c>
      <c r="AG1124" s="2">
        <f ca="1"/>
        <v>0.86873790495117298</v>
      </c>
      <c r="AH1124" s="2" t="str">
        <f ca="1"/>
        <v>Bad</v>
      </c>
    </row>
    <row r="1125" spans="2:34" x14ac:dyDescent="0.2">
      <c r="B1125" s="2">
        <f ca="1"/>
        <v>7.3461035882937953E-2</v>
      </c>
      <c r="O1125" s="2">
        <f ca="1"/>
        <v>1.1122431946793183</v>
      </c>
      <c r="X1125" s="2">
        <f ca="1"/>
        <v>46.318353210156893</v>
      </c>
      <c r="AG1125" s="2">
        <f ca="1"/>
        <v>0.89220851869776885</v>
      </c>
      <c r="AH1125" s="2" t="str">
        <f ca="1"/>
        <v>Bad</v>
      </c>
    </row>
    <row r="1126" spans="2:34" x14ac:dyDescent="0.2">
      <c r="B1126" s="2">
        <f ca="1"/>
        <v>0.53014641790091921</v>
      </c>
      <c r="O1126" s="2">
        <f ca="1"/>
        <v>-0.23660220996975609</v>
      </c>
      <c r="X1126" s="2">
        <f ca="1"/>
        <v>48.705404827578612</v>
      </c>
      <c r="AG1126" s="2">
        <f ca="1"/>
        <v>0.69371222265130439</v>
      </c>
      <c r="AH1126" s="2" t="str">
        <f ca="1"/>
        <v>Bad</v>
      </c>
    </row>
    <row r="1127" spans="2:34" x14ac:dyDescent="0.2">
      <c r="B1127" s="2">
        <f ca="1"/>
        <v>3.2700528892246172E-2</v>
      </c>
      <c r="O1127" s="2">
        <f ca="1"/>
        <v>1.1228521779386178</v>
      </c>
      <c r="X1127" s="2">
        <f ca="1"/>
        <v>54.094318394545155</v>
      </c>
      <c r="AG1127" s="2">
        <f ca="1"/>
        <v>0.87204922389349915</v>
      </c>
      <c r="AH1127" s="2" t="str">
        <f ca="1"/>
        <v>Bad</v>
      </c>
    </row>
    <row r="1128" spans="2:34" x14ac:dyDescent="0.2">
      <c r="B1128" s="2">
        <f ca="1"/>
        <v>0.38138504719662181</v>
      </c>
      <c r="O1128" s="2">
        <f ca="1"/>
        <v>-1.1897963916895342</v>
      </c>
      <c r="X1128" s="2">
        <f ca="1"/>
        <v>47.598842103249332</v>
      </c>
      <c r="AG1128" s="2">
        <f ca="1"/>
        <v>0.36347808664808379</v>
      </c>
      <c r="AH1128" s="2" t="str">
        <f ca="1"/>
        <v>OK</v>
      </c>
    </row>
    <row r="1129" spans="2:34" x14ac:dyDescent="0.2">
      <c r="B1129" s="2">
        <f ca="1"/>
        <v>0.89502966728665845</v>
      </c>
      <c r="O1129" s="2">
        <f ca="1"/>
        <v>-2.5066673506648982</v>
      </c>
      <c r="X1129" s="2">
        <f ca="1"/>
        <v>53.017556530396178</v>
      </c>
      <c r="AG1129" s="2">
        <f ca="1"/>
        <v>0.50777584175128454</v>
      </c>
      <c r="AH1129" s="2" t="str">
        <f ca="1"/>
        <v>Bad</v>
      </c>
    </row>
    <row r="1130" spans="2:34" x14ac:dyDescent="0.2">
      <c r="B1130" s="2">
        <f ca="1"/>
        <v>0.79172370607800024</v>
      </c>
      <c r="O1130" s="2">
        <f ca="1"/>
        <v>-0.15370009246735147</v>
      </c>
      <c r="X1130" s="2">
        <f ca="1"/>
        <v>45.817584257747512</v>
      </c>
      <c r="AG1130" s="2">
        <f ca="1"/>
        <v>0.1359701726350957</v>
      </c>
      <c r="AH1130" s="2" t="str">
        <f ca="1"/>
        <v>OK</v>
      </c>
    </row>
    <row r="1131" spans="2:34" x14ac:dyDescent="0.2">
      <c r="B1131" s="2">
        <f ca="1"/>
        <v>0.77785486269581594</v>
      </c>
      <c r="O1131" s="2">
        <f ca="1"/>
        <v>0.5854016934545293</v>
      </c>
      <c r="X1131" s="2">
        <f ca="1"/>
        <v>71.516864905918851</v>
      </c>
      <c r="AG1131" s="2">
        <f ca="1"/>
        <v>0.53879145387241434</v>
      </c>
      <c r="AH1131" s="2" t="str">
        <f ca="1"/>
        <v>Bad</v>
      </c>
    </row>
    <row r="1132" spans="2:34" x14ac:dyDescent="0.2">
      <c r="B1132" s="2">
        <f ca="1"/>
        <v>8.6111936445883108E-2</v>
      </c>
      <c r="O1132" s="2">
        <f ca="1"/>
        <v>0.35407447549476867</v>
      </c>
      <c r="X1132" s="2">
        <f ca="1"/>
        <v>43.526492519432374</v>
      </c>
      <c r="AG1132" s="2">
        <f ca="1"/>
        <v>0.38392037277700997</v>
      </c>
      <c r="AH1132" s="2" t="str">
        <f ca="1"/>
        <v>OK</v>
      </c>
    </row>
    <row r="1133" spans="2:34" x14ac:dyDescent="0.2">
      <c r="B1133" s="2">
        <f ca="1"/>
        <v>0.74208022974471022</v>
      </c>
      <c r="O1133" s="2">
        <f ca="1"/>
        <v>-0.65689979019322475</v>
      </c>
      <c r="X1133" s="2">
        <f ca="1"/>
        <v>49.910354878746674</v>
      </c>
      <c r="AG1133" s="2">
        <f ca="1"/>
        <v>0.97690555662236478</v>
      </c>
      <c r="AH1133" s="2" t="str">
        <f ca="1"/>
        <v>Bad</v>
      </c>
    </row>
    <row r="1134" spans="2:34" x14ac:dyDescent="0.2">
      <c r="B1134" s="2">
        <f ca="1"/>
        <v>0.63707594259544065</v>
      </c>
      <c r="O1134" s="2">
        <f ca="1"/>
        <v>0.67406286021032624</v>
      </c>
      <c r="X1134" s="2">
        <f ca="1"/>
        <v>36.256695837244422</v>
      </c>
      <c r="AG1134" s="2">
        <f ca="1"/>
        <v>0.18032200289229938</v>
      </c>
      <c r="AH1134" s="2" t="str">
        <f ca="1"/>
        <v>OK</v>
      </c>
    </row>
    <row r="1135" spans="2:34" x14ac:dyDescent="0.2">
      <c r="B1135" s="2">
        <f ca="1"/>
        <v>0.24023928605304978</v>
      </c>
      <c r="O1135" s="2">
        <f ca="1"/>
        <v>0.66610353618129048</v>
      </c>
      <c r="X1135" s="2">
        <f ca="1"/>
        <v>57.937058867159891</v>
      </c>
      <c r="AG1135" s="2">
        <f ca="1"/>
        <v>0.33062012784451067</v>
      </c>
      <c r="AH1135" s="2" t="str">
        <f ca="1"/>
        <v>OK</v>
      </c>
    </row>
    <row r="1136" spans="2:34" x14ac:dyDescent="0.2">
      <c r="B1136" s="2">
        <f ca="1"/>
        <v>0.26239989157352239</v>
      </c>
      <c r="O1136" s="2">
        <f ca="1"/>
        <v>-0.16361506415663313</v>
      </c>
      <c r="X1136" s="2">
        <f ca="1"/>
        <v>28.43920076985842</v>
      </c>
      <c r="AG1136" s="2">
        <f ca="1"/>
        <v>0.55262973230631163</v>
      </c>
      <c r="AH1136" s="2" t="str">
        <f ca="1"/>
        <v>Bad</v>
      </c>
    </row>
    <row r="1137" spans="2:34" x14ac:dyDescent="0.2">
      <c r="B1137" s="2">
        <f ca="1"/>
        <v>8.0879969631790116E-2</v>
      </c>
      <c r="O1137" s="2">
        <f ca="1"/>
        <v>1.9198398298206065</v>
      </c>
      <c r="X1137" s="2">
        <f ca="1"/>
        <v>34.378559105077578</v>
      </c>
      <c r="AG1137" s="2">
        <f ca="1"/>
        <v>0.80825385046728471</v>
      </c>
      <c r="AH1137" s="2" t="str">
        <f ca="1"/>
        <v>Bad</v>
      </c>
    </row>
    <row r="1138" spans="2:34" x14ac:dyDescent="0.2">
      <c r="B1138" s="2">
        <f ca="1"/>
        <v>1.9630744989146853E-2</v>
      </c>
      <c r="O1138" s="2">
        <f ca="1"/>
        <v>0.67072641669355149</v>
      </c>
      <c r="X1138" s="2">
        <f ca="1"/>
        <v>51.62560225159902</v>
      </c>
      <c r="AG1138" s="2">
        <f ca="1"/>
        <v>0.33823047864457512</v>
      </c>
      <c r="AH1138" s="2" t="str">
        <f ca="1"/>
        <v>OK</v>
      </c>
    </row>
    <row r="1139" spans="2:34" x14ac:dyDescent="0.2">
      <c r="B1139" s="2">
        <f ca="1"/>
        <v>0.21800946177442393</v>
      </c>
      <c r="O1139" s="2">
        <f ca="1"/>
        <v>-0.13999976365209835</v>
      </c>
      <c r="X1139" s="2">
        <f ca="1"/>
        <v>68.742696912424236</v>
      </c>
      <c r="AG1139" s="2">
        <f ca="1"/>
        <v>0.44451647815147455</v>
      </c>
      <c r="AH1139" s="2" t="str">
        <f ca="1"/>
        <v>Bad</v>
      </c>
    </row>
    <row r="1140" spans="2:34" x14ac:dyDescent="0.2">
      <c r="B1140" s="2">
        <f ca="1"/>
        <v>0.92396697894762281</v>
      </c>
      <c r="O1140" s="2">
        <f ca="1"/>
        <v>-0.59516217435133523</v>
      </c>
      <c r="X1140" s="2">
        <f ca="1"/>
        <v>32.645305552056804</v>
      </c>
      <c r="AG1140" s="2">
        <f ca="1"/>
        <v>0.22780651863892065</v>
      </c>
      <c r="AH1140" s="2" t="str">
        <f ca="1"/>
        <v>OK</v>
      </c>
    </row>
    <row r="1141" spans="2:34" x14ac:dyDescent="0.2">
      <c r="B1141" s="2">
        <f ca="1"/>
        <v>0.98541091484834897</v>
      </c>
      <c r="O1141" s="2">
        <f ca="1"/>
        <v>1.8541769330603072E-2</v>
      </c>
      <c r="X1141" s="2">
        <f ca="1"/>
        <v>84.864345647094012</v>
      </c>
      <c r="AG1141" s="2">
        <f ca="1"/>
        <v>0.75359856707414097</v>
      </c>
      <c r="AH1141" s="2" t="str">
        <f ca="1"/>
        <v>Bad</v>
      </c>
    </row>
    <row r="1142" spans="2:34" x14ac:dyDescent="0.2">
      <c r="B1142" s="2">
        <f ca="1"/>
        <v>7.0160279131580072E-2</v>
      </c>
      <c r="O1142" s="2">
        <f ca="1"/>
        <v>0.23636391807671217</v>
      </c>
      <c r="X1142" s="2">
        <f ca="1"/>
        <v>30.509267683285707</v>
      </c>
      <c r="AG1142" s="2">
        <f ca="1"/>
        <v>0.83537025480066185</v>
      </c>
      <c r="AH1142" s="2" t="str">
        <f ca="1"/>
        <v>Bad</v>
      </c>
    </row>
    <row r="1143" spans="2:34" x14ac:dyDescent="0.2">
      <c r="B1143" s="2">
        <f ca="1"/>
        <v>0.74012546378443433</v>
      </c>
      <c r="O1143" s="2">
        <f ca="1"/>
        <v>0.92351636300483231</v>
      </c>
      <c r="X1143" s="2">
        <f ca="1"/>
        <v>26.517039243014256</v>
      </c>
      <c r="AG1143" s="2">
        <f ca="1"/>
        <v>0.7937909398136842</v>
      </c>
      <c r="AH1143" s="2" t="str">
        <f ca="1"/>
        <v>Bad</v>
      </c>
    </row>
    <row r="1144" spans="2:34" x14ac:dyDescent="0.2">
      <c r="B1144" s="2">
        <f ca="1"/>
        <v>9.805944434089553E-2</v>
      </c>
      <c r="O1144" s="2">
        <f ca="1"/>
        <v>-0.82608566686957574</v>
      </c>
      <c r="X1144" s="2">
        <f ca="1"/>
        <v>22.278764160459296</v>
      </c>
      <c r="AG1144" s="2">
        <f ca="1"/>
        <v>0.77271364367184181</v>
      </c>
      <c r="AH1144" s="2" t="str">
        <f ca="1"/>
        <v>Bad</v>
      </c>
    </row>
    <row r="1145" spans="2:34" x14ac:dyDescent="0.2">
      <c r="B1145" s="2">
        <f ca="1"/>
        <v>0.13055833818277596</v>
      </c>
      <c r="O1145" s="2">
        <f ca="1"/>
        <v>-0.38607733853850479</v>
      </c>
      <c r="X1145" s="2">
        <f ca="1"/>
        <v>35.933201053237191</v>
      </c>
      <c r="AG1145" s="2">
        <f ca="1"/>
        <v>0.88166123631290905</v>
      </c>
      <c r="AH1145" s="2" t="str">
        <f ca="1"/>
        <v>Bad</v>
      </c>
    </row>
    <row r="1146" spans="2:34" x14ac:dyDescent="0.2">
      <c r="B1146" s="2">
        <f ca="1"/>
        <v>0.57264419854882864</v>
      </c>
      <c r="O1146" s="2">
        <f ca="1"/>
        <v>-0.37906807256609859</v>
      </c>
      <c r="X1146" s="2">
        <f ca="1"/>
        <v>64.811040560995679</v>
      </c>
      <c r="AG1146" s="2">
        <f ca="1"/>
        <v>8.4469977452144018E-2</v>
      </c>
      <c r="AH1146" s="2" t="str">
        <f ca="1"/>
        <v>OK</v>
      </c>
    </row>
    <row r="1147" spans="2:34" x14ac:dyDescent="0.2">
      <c r="B1147" s="2">
        <f ca="1"/>
        <v>0.62346555969180284</v>
      </c>
      <c r="O1147" s="2">
        <f ca="1"/>
        <v>0.62001985097284895</v>
      </c>
      <c r="X1147" s="2">
        <f ca="1"/>
        <v>89.750033709498425</v>
      </c>
      <c r="AG1147" s="2">
        <f ca="1"/>
        <v>0.16520986885110034</v>
      </c>
      <c r="AH1147" s="2" t="str">
        <f ca="1"/>
        <v>OK</v>
      </c>
    </row>
    <row r="1148" spans="2:34" x14ac:dyDescent="0.2">
      <c r="B1148" s="2">
        <f ca="1"/>
        <v>0.94990478330274497</v>
      </c>
      <c r="O1148" s="2">
        <f ca="1"/>
        <v>-0.17598491593462356</v>
      </c>
      <c r="X1148" s="2">
        <f ca="1"/>
        <v>57.828391712594154</v>
      </c>
      <c r="AG1148" s="2">
        <f ca="1"/>
        <v>0.78496219046033433</v>
      </c>
      <c r="AH1148" s="2" t="str">
        <f ca="1"/>
        <v>Bad</v>
      </c>
    </row>
    <row r="1149" spans="2:34" x14ac:dyDescent="0.2">
      <c r="B1149" s="2">
        <f ca="1"/>
        <v>0.31930178549863375</v>
      </c>
      <c r="O1149" s="2">
        <f ca="1"/>
        <v>-0.40290909168567407</v>
      </c>
      <c r="X1149" s="2">
        <f ca="1"/>
        <v>56.186661653677838</v>
      </c>
      <c r="AG1149" s="2">
        <f ca="1"/>
        <v>0.59189601153726534</v>
      </c>
      <c r="AH1149" s="2" t="str">
        <f ca="1"/>
        <v>Bad</v>
      </c>
    </row>
    <row r="1150" spans="2:34" x14ac:dyDescent="0.2">
      <c r="B1150" s="2">
        <f ca="1"/>
        <v>0.99911104555302011</v>
      </c>
      <c r="O1150" s="2">
        <f ca="1"/>
        <v>-1.5700386022861978</v>
      </c>
      <c r="X1150" s="2">
        <f ca="1"/>
        <v>93.615701496938399</v>
      </c>
      <c r="AG1150" s="2">
        <f ca="1"/>
        <v>0.61851586488638732</v>
      </c>
      <c r="AH1150" s="2" t="str">
        <f ca="1"/>
        <v>Bad</v>
      </c>
    </row>
    <row r="1151" spans="2:34" x14ac:dyDescent="0.2">
      <c r="B1151" s="2">
        <f ca="1"/>
        <v>0.64012753581799231</v>
      </c>
      <c r="O1151" s="2">
        <f ca="1"/>
        <v>-3.5858696878429401E-2</v>
      </c>
      <c r="X1151" s="2">
        <f ca="1"/>
        <v>50.224043920916344</v>
      </c>
      <c r="AG1151" s="2">
        <f ca="1"/>
        <v>0.78147471791552903</v>
      </c>
      <c r="AH1151" s="2" t="str">
        <f ca="1"/>
        <v>Bad</v>
      </c>
    </row>
    <row r="1152" spans="2:34" x14ac:dyDescent="0.2">
      <c r="B1152" s="2">
        <f ca="1"/>
        <v>0.25742686261950443</v>
      </c>
      <c r="O1152" s="2">
        <f ca="1"/>
        <v>-0.76977988784529372</v>
      </c>
      <c r="X1152" s="2">
        <f ca="1"/>
        <v>76.201871061075138</v>
      </c>
      <c r="AG1152" s="2">
        <f ca="1"/>
        <v>0.17660482882393436</v>
      </c>
      <c r="AH1152" s="2" t="str">
        <f ca="1"/>
        <v>OK</v>
      </c>
    </row>
    <row r="1153" spans="2:34" x14ac:dyDescent="0.2">
      <c r="B1153" s="2">
        <f ca="1"/>
        <v>0.13120141667008434</v>
      </c>
      <c r="O1153" s="2">
        <f ca="1"/>
        <v>-0.63494746489406972</v>
      </c>
      <c r="X1153" s="2">
        <f ca="1"/>
        <v>64.937725293500506</v>
      </c>
      <c r="AG1153" s="2">
        <f ca="1"/>
        <v>0.251367922355066</v>
      </c>
      <c r="AH1153" s="2" t="str">
        <f ca="1"/>
        <v>OK</v>
      </c>
    </row>
    <row r="1154" spans="2:34" x14ac:dyDescent="0.2">
      <c r="B1154" s="2">
        <f ca="1"/>
        <v>0.82424895274717502</v>
      </c>
      <c r="O1154" s="2">
        <f ca="1"/>
        <v>-1.7720589737031143</v>
      </c>
      <c r="X1154" s="2">
        <f ca="1"/>
        <v>34.461251230169765</v>
      </c>
      <c r="AG1154" s="2">
        <f ca="1"/>
        <v>0.7430692668308676</v>
      </c>
      <c r="AH1154" s="2" t="str">
        <f ca="1"/>
        <v>Bad</v>
      </c>
    </row>
    <row r="1155" spans="2:34" x14ac:dyDescent="0.2">
      <c r="B1155" s="2">
        <f ca="1"/>
        <v>0.41530543436522183</v>
      </c>
      <c r="O1155" s="2">
        <f ca="1"/>
        <v>-1.1856145558505244</v>
      </c>
      <c r="X1155" s="2">
        <f ca="1"/>
        <v>55.804269786912293</v>
      </c>
      <c r="AG1155" s="2">
        <f ca="1"/>
        <v>0.16735259690799142</v>
      </c>
      <c r="AH1155" s="2" t="str">
        <f ca="1"/>
        <v>OK</v>
      </c>
    </row>
    <row r="1156" spans="2:34" x14ac:dyDescent="0.2">
      <c r="B1156" s="2">
        <f ca="1"/>
        <v>0.16659260740163084</v>
      </c>
      <c r="O1156" s="2">
        <f ca="1"/>
        <v>-0.36798057194009182</v>
      </c>
      <c r="X1156" s="2">
        <f ca="1"/>
        <v>52.807269531828993</v>
      </c>
      <c r="AG1156" s="2">
        <f ca="1"/>
        <v>0.7343640362677315</v>
      </c>
      <c r="AH1156" s="2" t="str">
        <f ca="1"/>
        <v>Bad</v>
      </c>
    </row>
    <row r="1157" spans="2:34" x14ac:dyDescent="0.2">
      <c r="B1157" s="2">
        <f ca="1"/>
        <v>0.6807169492853069</v>
      </c>
      <c r="O1157" s="2">
        <f ca="1"/>
        <v>0.92180838759143058</v>
      </c>
      <c r="X1157" s="2">
        <f ca="1"/>
        <v>82.816002533659443</v>
      </c>
      <c r="AG1157" s="2">
        <f ca="1"/>
        <v>0.27733577767719653</v>
      </c>
      <c r="AH1157" s="2" t="str">
        <f ca="1"/>
        <v>OK</v>
      </c>
    </row>
    <row r="1158" spans="2:34" x14ac:dyDescent="0.2">
      <c r="B1158" s="2">
        <f ca="1"/>
        <v>0.53606284580791375</v>
      </c>
      <c r="O1158" s="2">
        <f ca="1"/>
        <v>-0.14615984901091716</v>
      </c>
      <c r="X1158" s="2">
        <f ca="1"/>
        <v>34.062178308881258</v>
      </c>
      <c r="AG1158" s="2">
        <f ca="1"/>
        <v>0.61904581373309142</v>
      </c>
      <c r="AH1158" s="2" t="str">
        <f ca="1"/>
        <v>Bad</v>
      </c>
    </row>
    <row r="1159" spans="2:34" x14ac:dyDescent="0.2">
      <c r="B1159" s="2">
        <f ca="1"/>
        <v>0.6292981421669297</v>
      </c>
      <c r="O1159" s="2">
        <f ca="1"/>
        <v>0.53754160560672171</v>
      </c>
      <c r="X1159" s="2">
        <f ca="1"/>
        <v>72.136302273643452</v>
      </c>
      <c r="AG1159" s="2">
        <f ca="1"/>
        <v>0.38784515241142525</v>
      </c>
      <c r="AH1159" s="2" t="str">
        <f ca="1"/>
        <v>OK</v>
      </c>
    </row>
    <row r="1160" spans="2:34" x14ac:dyDescent="0.2">
      <c r="B1160" s="2">
        <f ca="1"/>
        <v>0.2417277817784016</v>
      </c>
      <c r="O1160" s="2">
        <f ca="1"/>
        <v>-0.46738191232769405</v>
      </c>
      <c r="X1160" s="2">
        <f ca="1"/>
        <v>57.247483587507766</v>
      </c>
      <c r="AG1160" s="2">
        <f ca="1"/>
        <v>0.81848677291008709</v>
      </c>
      <c r="AH1160" s="2" t="str">
        <f ca="1"/>
        <v>Bad</v>
      </c>
    </row>
    <row r="1161" spans="2:34" x14ac:dyDescent="0.2">
      <c r="B1161" s="2">
        <f ca="1"/>
        <v>0.93845679176360663</v>
      </c>
      <c r="O1161" s="2">
        <f ca="1"/>
        <v>-0.69298423551635813</v>
      </c>
      <c r="X1161" s="2">
        <f ca="1"/>
        <v>49.231496552950972</v>
      </c>
      <c r="AG1161" s="2">
        <f ca="1"/>
        <v>8.3981313418665993E-2</v>
      </c>
      <c r="AH1161" s="2" t="str">
        <f ca="1"/>
        <v>OK</v>
      </c>
    </row>
    <row r="1162" spans="2:34" x14ac:dyDescent="0.2">
      <c r="B1162" s="2">
        <f ca="1"/>
        <v>1.3217662387081663E-2</v>
      </c>
      <c r="O1162" s="2">
        <f ca="1"/>
        <v>-0.1755623479968795</v>
      </c>
      <c r="X1162" s="2">
        <f ca="1"/>
        <v>48.573078904949966</v>
      </c>
      <c r="AG1162" s="2">
        <f ca="1"/>
        <v>0.28011928161807997</v>
      </c>
      <c r="AH1162" s="2" t="str">
        <f ca="1"/>
        <v>OK</v>
      </c>
    </row>
    <row r="1163" spans="2:34" x14ac:dyDescent="0.2">
      <c r="B1163" s="2">
        <f ca="1"/>
        <v>0.1158702763962598</v>
      </c>
      <c r="O1163" s="2">
        <f ca="1"/>
        <v>-1.8341178357927548</v>
      </c>
      <c r="X1163" s="2">
        <f ca="1"/>
        <v>53.509253536086561</v>
      </c>
      <c r="AG1163" s="2">
        <f ca="1"/>
        <v>0.69275436213272745</v>
      </c>
      <c r="AH1163" s="2" t="str">
        <f ca="1"/>
        <v>Bad</v>
      </c>
    </row>
    <row r="1164" spans="2:34" x14ac:dyDescent="0.2">
      <c r="B1164" s="2">
        <f ca="1"/>
        <v>0.36514382999173756</v>
      </c>
      <c r="O1164" s="2">
        <f ca="1"/>
        <v>0.4129095864470908</v>
      </c>
      <c r="X1164" s="2">
        <f ca="1"/>
        <v>95.515081569129805</v>
      </c>
      <c r="AG1164" s="2">
        <f ca="1"/>
        <v>0.50701255439927118</v>
      </c>
      <c r="AH1164" s="2" t="str">
        <f ca="1"/>
        <v>Bad</v>
      </c>
    </row>
    <row r="1165" spans="2:34" x14ac:dyDescent="0.2">
      <c r="B1165" s="2">
        <f ca="1"/>
        <v>0.52323898122007373</v>
      </c>
      <c r="O1165" s="2">
        <f ca="1"/>
        <v>-1.5695384598876143</v>
      </c>
      <c r="X1165" s="2">
        <f ca="1"/>
        <v>34.314832750455857</v>
      </c>
      <c r="AG1165" s="2">
        <f ca="1"/>
        <v>0.64749533673614046</v>
      </c>
      <c r="AH1165" s="2" t="str">
        <f ca="1"/>
        <v>Bad</v>
      </c>
    </row>
    <row r="1166" spans="2:34" x14ac:dyDescent="0.2">
      <c r="B1166" s="2">
        <f ca="1"/>
        <v>0.79508761076560774</v>
      </c>
      <c r="O1166" s="2">
        <f ca="1"/>
        <v>-0.234686769332314</v>
      </c>
      <c r="X1166" s="2">
        <f ca="1"/>
        <v>55.775665194000446</v>
      </c>
      <c r="AG1166" s="2">
        <f ca="1"/>
        <v>0.28478078850979105</v>
      </c>
      <c r="AH1166" s="2" t="str">
        <f ca="1"/>
        <v>OK</v>
      </c>
    </row>
    <row r="1167" spans="2:34" x14ac:dyDescent="0.2">
      <c r="B1167" s="2">
        <f ca="1"/>
        <v>0.67786086200787521</v>
      </c>
      <c r="O1167" s="2">
        <f ca="1"/>
        <v>0.23721270734275088</v>
      </c>
      <c r="X1167" s="2">
        <f ca="1"/>
        <v>62.210626757927798</v>
      </c>
      <c r="AG1167" s="2">
        <f ca="1"/>
        <v>0.2075290237384797</v>
      </c>
      <c r="AH1167" s="2" t="str">
        <f ca="1"/>
        <v>OK</v>
      </c>
    </row>
    <row r="1168" spans="2:34" x14ac:dyDescent="0.2">
      <c r="B1168" s="2">
        <f ca="1"/>
        <v>0.20329507037176064</v>
      </c>
      <c r="O1168" s="2">
        <f ca="1"/>
        <v>1.4324674683467875</v>
      </c>
      <c r="X1168" s="2">
        <f ca="1"/>
        <v>66.926448573711326</v>
      </c>
      <c r="AG1168" s="2">
        <f ca="1"/>
        <v>0.14209262200287975</v>
      </c>
      <c r="AH1168" s="2" t="str">
        <f ca="1"/>
        <v>OK</v>
      </c>
    </row>
    <row r="1169" spans="2:34" x14ac:dyDescent="0.2">
      <c r="B1169" s="2">
        <f ca="1"/>
        <v>0.14270888866624798</v>
      </c>
      <c r="O1169" s="2">
        <f ca="1"/>
        <v>-0.31291964942056372</v>
      </c>
      <c r="X1169" s="2">
        <f ca="1"/>
        <v>38.834959636872405</v>
      </c>
      <c r="AG1169" s="2">
        <f ca="1"/>
        <v>0.29647679685580886</v>
      </c>
      <c r="AH1169" s="2" t="str">
        <f ca="1"/>
        <v>OK</v>
      </c>
    </row>
    <row r="1170" spans="2:34" x14ac:dyDescent="0.2">
      <c r="B1170" s="2">
        <f ca="1"/>
        <v>0.73480639815713622</v>
      </c>
      <c r="O1170" s="2">
        <f ca="1"/>
        <v>-0.18665115153048137</v>
      </c>
      <c r="X1170" s="2">
        <f ca="1"/>
        <v>36.715862403966121</v>
      </c>
      <c r="AG1170" s="2">
        <f ca="1"/>
        <v>0.46892607288076893</v>
      </c>
      <c r="AH1170" s="2" t="str">
        <f ca="1"/>
        <v>Bad</v>
      </c>
    </row>
    <row r="1171" spans="2:34" x14ac:dyDescent="0.2">
      <c r="B1171" s="2">
        <f ca="1"/>
        <v>0.49275878010316565</v>
      </c>
      <c r="O1171" s="2">
        <f ca="1"/>
        <v>-1.4601407021901118</v>
      </c>
      <c r="X1171" s="2">
        <f ca="1"/>
        <v>49.218412926227309</v>
      </c>
      <c r="AG1171" s="2">
        <f ca="1"/>
        <v>0.7785481677223467</v>
      </c>
      <c r="AH1171" s="2" t="str">
        <f ca="1"/>
        <v>Bad</v>
      </c>
    </row>
    <row r="1172" spans="2:34" x14ac:dyDescent="0.2">
      <c r="B1172" s="2">
        <f ca="1"/>
        <v>0.79762964159573269</v>
      </c>
      <c r="O1172" s="2">
        <f ca="1"/>
        <v>0.58560477897602581</v>
      </c>
      <c r="X1172" s="2">
        <f ca="1"/>
        <v>36.221790213981784</v>
      </c>
      <c r="AG1172" s="2">
        <f ca="1"/>
        <v>0.17867117176966185</v>
      </c>
      <c r="AH1172" s="2" t="str">
        <f ca="1"/>
        <v>OK</v>
      </c>
    </row>
    <row r="1173" spans="2:34" x14ac:dyDescent="0.2">
      <c r="B1173" s="2">
        <f ca="1"/>
        <v>0.47227622585102891</v>
      </c>
      <c r="O1173" s="2">
        <f ca="1"/>
        <v>0.62525883451545972</v>
      </c>
      <c r="X1173" s="2">
        <f ca="1"/>
        <v>48.316130571706665</v>
      </c>
      <c r="AG1173" s="2">
        <f ca="1"/>
        <v>0.12717156824870202</v>
      </c>
      <c r="AH1173" s="2" t="str">
        <f ca="1"/>
        <v>OK</v>
      </c>
    </row>
    <row r="1174" spans="2:34" x14ac:dyDescent="0.2">
      <c r="B1174" s="2">
        <f ca="1"/>
        <v>0.48822445374215939</v>
      </c>
      <c r="O1174" s="2">
        <f ca="1"/>
        <v>-0.38070630401874289</v>
      </c>
      <c r="X1174" s="2">
        <f ca="1"/>
        <v>29.949597534833178</v>
      </c>
      <c r="AG1174" s="2">
        <f ca="1"/>
        <v>0.26706079846730257</v>
      </c>
      <c r="AH1174" s="2" t="str">
        <f ca="1"/>
        <v>OK</v>
      </c>
    </row>
    <row r="1175" spans="2:34" x14ac:dyDescent="0.2">
      <c r="B1175" s="2">
        <f ca="1"/>
        <v>0.9471701761888871</v>
      </c>
      <c r="O1175" s="2">
        <f ca="1"/>
        <v>0.34355375979520669</v>
      </c>
      <c r="X1175" s="2">
        <f ca="1"/>
        <v>47.673543048292906</v>
      </c>
      <c r="AG1175" s="2">
        <f ca="1"/>
        <v>0.48971354311602155</v>
      </c>
      <c r="AH1175" s="2" t="str">
        <f ca="1"/>
        <v>Bad</v>
      </c>
    </row>
    <row r="1176" spans="2:34" x14ac:dyDescent="0.2">
      <c r="B1176" s="2">
        <f ca="1"/>
        <v>0.36950373241923673</v>
      </c>
      <c r="O1176" s="2">
        <f ca="1"/>
        <v>-0.46302236896921217</v>
      </c>
      <c r="X1176" s="2">
        <f ca="1"/>
        <v>55.888916675501896</v>
      </c>
      <c r="AG1176" s="2">
        <f ca="1"/>
        <v>4.2831749757343829E-3</v>
      </c>
      <c r="AH1176" s="2" t="str">
        <f ca="1"/>
        <v>Good</v>
      </c>
    </row>
    <row r="1177" spans="2:34" x14ac:dyDescent="0.2">
      <c r="B1177" s="2">
        <f ca="1"/>
        <v>0.90334296105627665</v>
      </c>
      <c r="O1177" s="2">
        <f ca="1"/>
        <v>-0.82996685466492071</v>
      </c>
      <c r="X1177" s="2">
        <f ca="1"/>
        <v>68.950880962787849</v>
      </c>
      <c r="AG1177" s="2">
        <f ca="1"/>
        <v>0.45457536296691492</v>
      </c>
      <c r="AH1177" s="2" t="str">
        <f ca="1"/>
        <v>Bad</v>
      </c>
    </row>
    <row r="1178" spans="2:34" x14ac:dyDescent="0.2">
      <c r="B1178" s="2">
        <f ca="1"/>
        <v>0.88590099793504784</v>
      </c>
      <c r="O1178" s="2">
        <f ca="1"/>
        <v>1.5196652335553165</v>
      </c>
      <c r="X1178" s="2">
        <f ca="1"/>
        <v>61.634183384828845</v>
      </c>
      <c r="AG1178" s="2">
        <f ca="1"/>
        <v>9.6748020720779149E-2</v>
      </c>
      <c r="AH1178" s="2" t="str">
        <f ca="1"/>
        <v>OK</v>
      </c>
    </row>
    <row r="1179" spans="2:34" x14ac:dyDescent="0.2">
      <c r="B1179" s="2">
        <f ca="1"/>
        <v>0.79818923234041605</v>
      </c>
      <c r="O1179" s="2">
        <f ca="1"/>
        <v>-0.94714028911196124</v>
      </c>
      <c r="X1179" s="2">
        <f ca="1"/>
        <v>20.173342114111179</v>
      </c>
      <c r="AG1179" s="2">
        <f ca="1"/>
        <v>0.89992193245915697</v>
      </c>
      <c r="AH1179" s="2" t="str">
        <f ca="1"/>
        <v>Bad</v>
      </c>
    </row>
    <row r="1180" spans="2:34" x14ac:dyDescent="0.2">
      <c r="B1180" s="2">
        <f ca="1"/>
        <v>0.79116752987856853</v>
      </c>
      <c r="O1180" s="2">
        <f ca="1"/>
        <v>-1.5016616090802049</v>
      </c>
      <c r="X1180" s="2">
        <f ca="1"/>
        <v>67.307531109252153</v>
      </c>
      <c r="AG1180" s="2">
        <f ca="1"/>
        <v>0.2557562092434138</v>
      </c>
      <c r="AH1180" s="2" t="str">
        <f ca="1"/>
        <v>OK</v>
      </c>
    </row>
    <row r="1181" spans="2:34" x14ac:dyDescent="0.2">
      <c r="B1181" s="2">
        <f ca="1"/>
        <v>0.24308600883504106</v>
      </c>
      <c r="O1181" s="2">
        <f ca="1"/>
        <v>-1.2963721832990809</v>
      </c>
      <c r="X1181" s="2">
        <f ca="1"/>
        <v>51.581057797828429</v>
      </c>
      <c r="AG1181" s="2">
        <f ca="1"/>
        <v>0.13843953763999162</v>
      </c>
      <c r="AH1181" s="2" t="str">
        <f ca="1"/>
        <v>OK</v>
      </c>
    </row>
    <row r="1182" spans="2:34" x14ac:dyDescent="0.2">
      <c r="B1182" s="2">
        <f ca="1"/>
        <v>0.79473146175365406</v>
      </c>
      <c r="O1182" s="2">
        <f ca="1"/>
        <v>-0.10192687037021211</v>
      </c>
      <c r="X1182" s="2">
        <f ca="1"/>
        <v>41.299246454180462</v>
      </c>
      <c r="AG1182" s="2">
        <f ca="1"/>
        <v>0.37884464161182851</v>
      </c>
      <c r="AH1182" s="2" t="str">
        <f ca="1"/>
        <v>OK</v>
      </c>
    </row>
    <row r="1183" spans="2:34" x14ac:dyDescent="0.2">
      <c r="B1183" s="2">
        <f ca="1"/>
        <v>0.59897866571013858</v>
      </c>
      <c r="O1183" s="2">
        <f ca="1"/>
        <v>0.62085205293515799</v>
      </c>
      <c r="X1183" s="2">
        <f ca="1"/>
        <v>28.368530743054787</v>
      </c>
      <c r="AG1183" s="2">
        <f ca="1"/>
        <v>0.31797826576178556</v>
      </c>
      <c r="AH1183" s="2" t="str">
        <f ca="1"/>
        <v>OK</v>
      </c>
    </row>
    <row r="1184" spans="2:34" x14ac:dyDescent="0.2">
      <c r="B1184" s="2">
        <f ca="1"/>
        <v>0.90344564750560896</v>
      </c>
      <c r="O1184" s="2">
        <f ca="1"/>
        <v>-0.63093353359664606</v>
      </c>
      <c r="X1184" s="2">
        <f ca="1"/>
        <v>40.125166586479878</v>
      </c>
      <c r="AG1184" s="2">
        <f ca="1"/>
        <v>0.77492065301912216</v>
      </c>
      <c r="AH1184" s="2" t="str">
        <f ca="1"/>
        <v>Bad</v>
      </c>
    </row>
    <row r="1185" spans="2:34" x14ac:dyDescent="0.2">
      <c r="B1185" s="2">
        <f ca="1"/>
        <v>0.24895081281013653</v>
      </c>
      <c r="O1185" s="2">
        <f ca="1"/>
        <v>-1.4680489105977461E-2</v>
      </c>
      <c r="X1185" s="2">
        <f ca="1"/>
        <v>49.550648177568306</v>
      </c>
      <c r="AG1185" s="2">
        <f ca="1"/>
        <v>0.64559569803831485</v>
      </c>
      <c r="AH1185" s="2" t="str">
        <f ca="1"/>
        <v>Bad</v>
      </c>
    </row>
    <row r="1186" spans="2:34" x14ac:dyDescent="0.2">
      <c r="B1186" s="2">
        <f ca="1"/>
        <v>0.54511615893265342</v>
      </c>
      <c r="O1186" s="2">
        <f ca="1"/>
        <v>-1.2261155280884193</v>
      </c>
      <c r="X1186" s="2">
        <f ca="1"/>
        <v>70.557805716519198</v>
      </c>
      <c r="AG1186" s="2">
        <f ca="1"/>
        <v>0.42719043904305165</v>
      </c>
      <c r="AH1186" s="2" t="str">
        <f ca="1"/>
        <v>Bad</v>
      </c>
    </row>
    <row r="1187" spans="2:34" x14ac:dyDescent="0.2">
      <c r="B1187" s="2">
        <f ca="1"/>
        <v>0.85236800871489105</v>
      </c>
      <c r="O1187" s="2">
        <f ca="1"/>
        <v>0.33144962093909769</v>
      </c>
      <c r="X1187" s="2">
        <f ca="1"/>
        <v>33.037004324939005</v>
      </c>
      <c r="AG1187" s="2">
        <f ca="1"/>
        <v>0.66634988356186931</v>
      </c>
      <c r="AH1187" s="2" t="str">
        <f ca="1"/>
        <v>Bad</v>
      </c>
    </row>
    <row r="1188" spans="2:34" x14ac:dyDescent="0.2">
      <c r="B1188" s="2">
        <f ca="1"/>
        <v>0.64286539707985679</v>
      </c>
      <c r="O1188" s="2">
        <f ca="1"/>
        <v>0.83421417794018493</v>
      </c>
      <c r="X1188" s="2">
        <f ca="1"/>
        <v>55.519263498208822</v>
      </c>
      <c r="AG1188" s="2">
        <f ca="1"/>
        <v>0.63442478525243162</v>
      </c>
      <c r="AH1188" s="2" t="str">
        <f ca="1"/>
        <v>Bad</v>
      </c>
    </row>
    <row r="1189" spans="2:34" x14ac:dyDescent="0.2">
      <c r="B1189" s="2">
        <f ca="1"/>
        <v>0.80299035000849228</v>
      </c>
      <c r="O1189" s="2">
        <f ca="1"/>
        <v>1.4821494420477861</v>
      </c>
      <c r="X1189" s="2">
        <f ca="1"/>
        <v>27.077395128501095</v>
      </c>
      <c r="AG1189" s="2">
        <f ca="1"/>
        <v>0.70893480152386301</v>
      </c>
      <c r="AH1189" s="2" t="str">
        <f ca="1"/>
        <v>Bad</v>
      </c>
    </row>
    <row r="1190" spans="2:34" x14ac:dyDescent="0.2">
      <c r="B1190" s="2">
        <f ca="1"/>
        <v>0.67688458887413483</v>
      </c>
      <c r="O1190" s="2">
        <f ca="1"/>
        <v>-2.7904969463377061</v>
      </c>
      <c r="X1190" s="2">
        <f ca="1"/>
        <v>40.950588876205686</v>
      </c>
      <c r="AG1190" s="2">
        <f ca="1"/>
        <v>0.16566214523599765</v>
      </c>
      <c r="AH1190" s="2" t="str">
        <f ca="1"/>
        <v>OK</v>
      </c>
    </row>
    <row r="1191" spans="2:34" x14ac:dyDescent="0.2">
      <c r="B1191" s="2">
        <f ca="1"/>
        <v>0.72445521052187378</v>
      </c>
      <c r="O1191" s="2">
        <f ca="1"/>
        <v>1.2823513675112335</v>
      </c>
      <c r="X1191" s="2">
        <f ca="1"/>
        <v>48.865127386748178</v>
      </c>
      <c r="AG1191" s="2">
        <f ca="1"/>
        <v>0.44951983453759792</v>
      </c>
      <c r="AH1191" s="2" t="str">
        <f ca="1"/>
        <v>Bad</v>
      </c>
    </row>
    <row r="1192" spans="2:34" x14ac:dyDescent="0.2">
      <c r="B1192" s="2">
        <f ca="1"/>
        <v>2.7746249594364558E-2</v>
      </c>
      <c r="O1192" s="2">
        <f ca="1"/>
        <v>0.81037490100883447</v>
      </c>
      <c r="X1192" s="2">
        <f ca="1"/>
        <v>43.830492862098126</v>
      </c>
      <c r="AG1192" s="2">
        <f ca="1"/>
        <v>0.54926325122380026</v>
      </c>
      <c r="AH1192" s="2" t="str">
        <f ca="1"/>
        <v>Bad</v>
      </c>
    </row>
    <row r="1193" spans="2:34" x14ac:dyDescent="0.2">
      <c r="B1193" s="2">
        <f ca="1"/>
        <v>1.6546929546351619E-2</v>
      </c>
      <c r="O1193" s="2">
        <f ca="1"/>
        <v>-0.4736671344962684</v>
      </c>
      <c r="X1193" s="2">
        <f ca="1"/>
        <v>86.400850777160883</v>
      </c>
      <c r="AG1193" s="2">
        <f ca="1"/>
        <v>0.92163693848267769</v>
      </c>
      <c r="AH1193" s="2" t="str">
        <f ca="1"/>
        <v>Bad</v>
      </c>
    </row>
    <row r="1194" spans="2:34" x14ac:dyDescent="0.2">
      <c r="B1194" s="2">
        <f ca="1"/>
        <v>0.46180558956331219</v>
      </c>
      <c r="O1194" s="2">
        <f ca="1"/>
        <v>1.6675119976575556</v>
      </c>
      <c r="X1194" s="2">
        <f ca="1"/>
        <v>68.891363598602069</v>
      </c>
      <c r="AG1194" s="2">
        <f ca="1"/>
        <v>0.88609936326099126</v>
      </c>
      <c r="AH1194" s="2" t="str">
        <f ca="1"/>
        <v>Bad</v>
      </c>
    </row>
    <row r="1195" spans="2:34" x14ac:dyDescent="0.2">
      <c r="B1195" s="2">
        <f ca="1"/>
        <v>0.29574582653055925</v>
      </c>
      <c r="O1195" s="2">
        <f ca="1"/>
        <v>-1.1297260812294114</v>
      </c>
      <c r="X1195" s="2">
        <f ca="1"/>
        <v>43.33985051961136</v>
      </c>
      <c r="AG1195" s="2">
        <f ca="1"/>
        <v>0.21211886196406016</v>
      </c>
      <c r="AH1195" s="2" t="str">
        <f ca="1"/>
        <v>OK</v>
      </c>
    </row>
    <row r="1196" spans="2:34" x14ac:dyDescent="0.2">
      <c r="B1196" s="2">
        <f ca="1"/>
        <v>0.62421106045108488</v>
      </c>
      <c r="O1196" s="2">
        <f ca="1"/>
        <v>0.42155373044703526</v>
      </c>
      <c r="X1196" s="2">
        <f ca="1"/>
        <v>55.927749920174762</v>
      </c>
      <c r="AG1196" s="2">
        <f ca="1"/>
        <v>0.52000862079027321</v>
      </c>
      <c r="AH1196" s="2" t="str">
        <f ca="1"/>
        <v>Bad</v>
      </c>
    </row>
    <row r="1197" spans="2:34" x14ac:dyDescent="0.2">
      <c r="B1197" s="2">
        <f ca="1"/>
        <v>0.35761787524008315</v>
      </c>
      <c r="O1197" s="2">
        <f ca="1"/>
        <v>0.87831617601012391</v>
      </c>
      <c r="X1197" s="2">
        <f ca="1"/>
        <v>34.725516068270018</v>
      </c>
      <c r="AG1197" s="2">
        <f ca="1"/>
        <v>0.95346471444451608</v>
      </c>
      <c r="AH1197" s="2" t="str">
        <f ca="1"/>
        <v>Bad</v>
      </c>
    </row>
    <row r="1198" spans="2:34" x14ac:dyDescent="0.2">
      <c r="B1198" s="2">
        <f ca="1"/>
        <v>0.79595232289553763</v>
      </c>
      <c r="O1198" s="2">
        <f ca="1"/>
        <v>1.5847014586460968</v>
      </c>
      <c r="X1198" s="2">
        <f ca="1"/>
        <v>47.009348856640607</v>
      </c>
      <c r="AG1198" s="2">
        <f ca="1"/>
        <v>0.64904263869841805</v>
      </c>
      <c r="AH1198" s="2" t="str">
        <f ca="1"/>
        <v>Bad</v>
      </c>
    </row>
    <row r="1199" spans="2:34" x14ac:dyDescent="0.2">
      <c r="B1199" s="2">
        <f ca="1"/>
        <v>0.28327307128711587</v>
      </c>
      <c r="O1199" s="2">
        <f ca="1"/>
        <v>-8.6065483672181503E-2</v>
      </c>
      <c r="X1199" s="2">
        <f ca="1"/>
        <v>57.039610839870996</v>
      </c>
      <c r="AG1199" s="2">
        <f ca="1"/>
        <v>0.37109420981514796</v>
      </c>
      <c r="AH1199" s="2" t="str">
        <f ca="1"/>
        <v>OK</v>
      </c>
    </row>
    <row r="1200" spans="2:34" x14ac:dyDescent="0.2">
      <c r="B1200" s="2">
        <f ca="1"/>
        <v>0.57930085185918423</v>
      </c>
      <c r="O1200" s="2">
        <f ca="1"/>
        <v>-0.31763929908523381</v>
      </c>
      <c r="X1200" s="2">
        <f ca="1"/>
        <v>25.846204966882595</v>
      </c>
      <c r="AG1200" s="2">
        <f ca="1"/>
        <v>0.16942570948163138</v>
      </c>
      <c r="AH1200" s="2" t="str">
        <f ca="1"/>
        <v>OK</v>
      </c>
    </row>
    <row r="1201" spans="2:34" x14ac:dyDescent="0.2">
      <c r="B1201" s="2">
        <f ca="1"/>
        <v>0.22424373704664902</v>
      </c>
      <c r="O1201" s="2">
        <f ca="1"/>
        <v>-1.4866515563660019</v>
      </c>
      <c r="X1201" s="2">
        <f ca="1"/>
        <v>43.508407055635914</v>
      </c>
      <c r="AG1201" s="2">
        <f ca="1"/>
        <v>0.60260432821407561</v>
      </c>
      <c r="AH1201" s="2" t="str">
        <f ca="1"/>
        <v>Bad</v>
      </c>
    </row>
    <row r="1202" spans="2:34" x14ac:dyDescent="0.2">
      <c r="B1202" s="2">
        <f ca="1"/>
        <v>0.89205872961963029</v>
      </c>
      <c r="O1202" s="2">
        <f ca="1"/>
        <v>1.350648583251534</v>
      </c>
      <c r="X1202" s="2">
        <f ca="1"/>
        <v>44.889799720778797</v>
      </c>
      <c r="AG1202" s="2">
        <f ca="1"/>
        <v>0.90271188093809207</v>
      </c>
      <c r="AH1202" s="2" t="str">
        <f ca="1"/>
        <v>Bad</v>
      </c>
    </row>
    <row r="1203" spans="2:34" x14ac:dyDescent="0.2">
      <c r="B1203" s="2">
        <f ca="1"/>
        <v>0.97060556793086827</v>
      </c>
      <c r="O1203" s="2">
        <f ca="1"/>
        <v>-0.28260613012365987</v>
      </c>
      <c r="X1203" s="2">
        <f ca="1"/>
        <v>46.063929263181151</v>
      </c>
      <c r="AG1203" s="2">
        <f ca="1"/>
        <v>0.43389767741378349</v>
      </c>
      <c r="AH1203" s="2" t="str">
        <f ca="1"/>
        <v>Bad</v>
      </c>
    </row>
    <row r="1204" spans="2:34" x14ac:dyDescent="0.2">
      <c r="B1204" s="2">
        <f ca="1"/>
        <v>1.0965157153903116E-2</v>
      </c>
      <c r="O1204" s="2">
        <f ca="1"/>
        <v>-0.56868703474012638</v>
      </c>
      <c r="X1204" s="2">
        <f ca="1"/>
        <v>66.57253980942906</v>
      </c>
      <c r="AG1204" s="2">
        <f ca="1"/>
        <v>0.99054473518233577</v>
      </c>
      <c r="AH1204" s="2" t="str">
        <f ca="1"/>
        <v>Bad</v>
      </c>
    </row>
    <row r="1205" spans="2:34" x14ac:dyDescent="0.2">
      <c r="B1205" s="2">
        <f ca="1"/>
        <v>0.56372969461371669</v>
      </c>
      <c r="O1205" s="2">
        <f ca="1"/>
        <v>0.28731612234450016</v>
      </c>
      <c r="X1205" s="2">
        <f ca="1"/>
        <v>54.652978181916254</v>
      </c>
      <c r="AG1205" s="2">
        <f ca="1"/>
        <v>0.45296702699290359</v>
      </c>
      <c r="AH1205" s="2" t="str">
        <f ca="1"/>
        <v>Bad</v>
      </c>
    </row>
    <row r="1206" spans="2:34" x14ac:dyDescent="0.2">
      <c r="B1206" s="2">
        <f ca="1"/>
        <v>0.45925753536653713</v>
      </c>
      <c r="O1206" s="2">
        <f ca="1"/>
        <v>-0.21402079393855142</v>
      </c>
      <c r="X1206" s="2">
        <f ca="1"/>
        <v>70.30869677871388</v>
      </c>
      <c r="AG1206" s="2">
        <f ca="1"/>
        <v>0.51069572166183197</v>
      </c>
      <c r="AH1206" s="2" t="str">
        <f ca="1"/>
        <v>Bad</v>
      </c>
    </row>
    <row r="1207" spans="2:34" x14ac:dyDescent="0.2">
      <c r="B1207" s="2">
        <f ca="1"/>
        <v>0.5512747502074451</v>
      </c>
      <c r="O1207" s="2">
        <f ca="1"/>
        <v>1.4029233769613354</v>
      </c>
      <c r="X1207" s="2">
        <f ca="1"/>
        <v>62.491922412172102</v>
      </c>
      <c r="AG1207" s="2">
        <f ca="1"/>
        <v>0.4649417831461029</v>
      </c>
      <c r="AH1207" s="2" t="str">
        <f ca="1"/>
        <v>Bad</v>
      </c>
    </row>
    <row r="1208" spans="2:34" x14ac:dyDescent="0.2">
      <c r="B1208" s="2">
        <f ca="1"/>
        <v>0.31054306175160629</v>
      </c>
      <c r="O1208" s="2">
        <f ca="1"/>
        <v>-1.6274988387779807</v>
      </c>
      <c r="X1208" s="2">
        <f ca="1"/>
        <v>50.141212114587404</v>
      </c>
      <c r="AG1208" s="2">
        <f ca="1"/>
        <v>0.64704462985376709</v>
      </c>
      <c r="AH1208" s="2" t="str">
        <f ca="1"/>
        <v>Bad</v>
      </c>
    </row>
    <row r="1209" spans="2:34" x14ac:dyDescent="0.2">
      <c r="B1209" s="2">
        <f ca="1"/>
        <v>0.81197997148621748</v>
      </c>
      <c r="O1209" s="2">
        <f ca="1"/>
        <v>0.74720254806361064</v>
      </c>
      <c r="X1209" s="2">
        <f ca="1"/>
        <v>80.408130886393934</v>
      </c>
      <c r="AG1209" s="2">
        <f ca="1"/>
        <v>0.36149976073038559</v>
      </c>
      <c r="AH1209" s="2" t="str">
        <f ca="1"/>
        <v>OK</v>
      </c>
    </row>
    <row r="1210" spans="2:34" x14ac:dyDescent="0.2">
      <c r="B1210" s="2">
        <f ca="1"/>
        <v>0.72473596560209796</v>
      </c>
      <c r="O1210" s="2">
        <f ca="1"/>
        <v>-0.70596977696286134</v>
      </c>
      <c r="X1210" s="2">
        <f ca="1"/>
        <v>56.287036334166025</v>
      </c>
      <c r="AG1210" s="2">
        <f ca="1"/>
        <v>0.11039242123298765</v>
      </c>
      <c r="AH1210" s="2" t="str">
        <f ca="1"/>
        <v>OK</v>
      </c>
    </row>
    <row r="1211" spans="2:34" x14ac:dyDescent="0.2">
      <c r="B1211" s="2">
        <f ca="1"/>
        <v>0.73861092072467716</v>
      </c>
      <c r="O1211" s="2">
        <f ca="1"/>
        <v>1.1134283460127392</v>
      </c>
      <c r="X1211" s="2">
        <f ca="1"/>
        <v>38.129036633451172</v>
      </c>
      <c r="AG1211" s="2">
        <f ca="1"/>
        <v>0.14757477722303802</v>
      </c>
      <c r="AH1211" s="2" t="str">
        <f ca="1"/>
        <v>OK</v>
      </c>
    </row>
    <row r="1212" spans="2:34" x14ac:dyDescent="0.2">
      <c r="B1212" s="2">
        <f ca="1"/>
        <v>0.60052634413361661</v>
      </c>
      <c r="O1212" s="2">
        <f ca="1"/>
        <v>-0.45618132116390719</v>
      </c>
      <c r="X1212" s="2">
        <f ca="1"/>
        <v>59.633276554334444</v>
      </c>
      <c r="AG1212" s="2">
        <f ca="1"/>
        <v>0.10599010231773365</v>
      </c>
      <c r="AH1212" s="2" t="str">
        <f ca="1"/>
        <v>OK</v>
      </c>
    </row>
    <row r="1213" spans="2:34" x14ac:dyDescent="0.2">
      <c r="B1213" s="2">
        <f ca="1"/>
        <v>0.85353947639551242</v>
      </c>
      <c r="O1213" s="2">
        <f ca="1"/>
        <v>-1.6892411087955121</v>
      </c>
      <c r="X1213" s="2">
        <f ca="1"/>
        <v>30.327937047432123</v>
      </c>
      <c r="AG1213" s="2">
        <f ca="1"/>
        <v>0.1315135712002764</v>
      </c>
      <c r="AH1213" s="2" t="str">
        <f ca="1"/>
        <v>OK</v>
      </c>
    </row>
    <row r="1214" spans="2:34" x14ac:dyDescent="0.2">
      <c r="B1214" s="2">
        <f ca="1"/>
        <v>0.83910752162263802</v>
      </c>
      <c r="O1214" s="2">
        <f ca="1"/>
        <v>-0.28170116276647295</v>
      </c>
      <c r="X1214" s="2">
        <f ca="1"/>
        <v>37.955312576905911</v>
      </c>
      <c r="AG1214" s="2">
        <f ca="1"/>
        <v>0.93407066594218846</v>
      </c>
      <c r="AH1214" s="2" t="str">
        <f ca="1"/>
        <v>Bad</v>
      </c>
    </row>
    <row r="1215" spans="2:34" x14ac:dyDescent="0.2">
      <c r="B1215" s="2">
        <f ca="1"/>
        <v>8.9707362584969808E-3</v>
      </c>
      <c r="O1215" s="2">
        <f ca="1"/>
        <v>-0.95266110030166851</v>
      </c>
      <c r="X1215" s="2">
        <f ca="1"/>
        <v>64.837970122788448</v>
      </c>
      <c r="AG1215" s="2">
        <f ca="1"/>
        <v>1.7098637854426446E-2</v>
      </c>
      <c r="AH1215" s="2" t="str">
        <f ca="1"/>
        <v>Good</v>
      </c>
    </row>
    <row r="1216" spans="2:34" x14ac:dyDescent="0.2">
      <c r="B1216" s="2">
        <f ca="1"/>
        <v>0.27330595320309614</v>
      </c>
      <c r="O1216" s="2">
        <f ca="1"/>
        <v>-0.57199909683846295</v>
      </c>
      <c r="X1216" s="2">
        <f ca="1"/>
        <v>48.972454019169021</v>
      </c>
      <c r="AG1216" s="2">
        <f ca="1"/>
        <v>0.35394114690843903</v>
      </c>
      <c r="AH1216" s="2" t="str">
        <f ca="1"/>
        <v>OK</v>
      </c>
    </row>
    <row r="1217" spans="2:34" x14ac:dyDescent="0.2">
      <c r="B1217" s="2">
        <f ca="1"/>
        <v>0.5523378716824594</v>
      </c>
      <c r="O1217" s="2">
        <f ca="1"/>
        <v>-0.14695649332203725</v>
      </c>
      <c r="X1217" s="2">
        <f ca="1"/>
        <v>39.486461446837993</v>
      </c>
      <c r="AG1217" s="2">
        <f ca="1"/>
        <v>0.91669183407787647</v>
      </c>
      <c r="AH1217" s="2" t="str">
        <f ca="1"/>
        <v>Bad</v>
      </c>
    </row>
    <row r="1218" spans="2:34" x14ac:dyDescent="0.2">
      <c r="B1218" s="2">
        <f ca="1"/>
        <v>0.51180306605473569</v>
      </c>
      <c r="O1218" s="2">
        <f ca="1"/>
        <v>-1.9101792724985904</v>
      </c>
      <c r="X1218" s="2">
        <f ca="1"/>
        <v>64.435739305739915</v>
      </c>
      <c r="AG1218" s="2">
        <f ca="1"/>
        <v>0.40946069274178232</v>
      </c>
      <c r="AH1218" s="2" t="str">
        <f ca="1"/>
        <v>Bad</v>
      </c>
    </row>
    <row r="1219" spans="2:34" x14ac:dyDescent="0.2">
      <c r="B1219" s="2">
        <f ca="1"/>
        <v>8.5363639049526707E-2</v>
      </c>
      <c r="O1219" s="2">
        <f ca="1"/>
        <v>1.2074587719402354</v>
      </c>
      <c r="X1219" s="2">
        <f ca="1"/>
        <v>43.008532571955691</v>
      </c>
      <c r="AG1219" s="2">
        <f ca="1"/>
        <v>0.85138739134054209</v>
      </c>
      <c r="AH1219" s="2" t="str">
        <f ca="1"/>
        <v>Bad</v>
      </c>
    </row>
    <row r="1220" spans="2:34" x14ac:dyDescent="0.2">
      <c r="B1220" s="2">
        <f ca="1"/>
        <v>0.11050722475400598</v>
      </c>
      <c r="O1220" s="2">
        <f ca="1"/>
        <v>1.3593081583656459</v>
      </c>
      <c r="X1220" s="2">
        <f ca="1"/>
        <v>61.040346592222889</v>
      </c>
      <c r="AG1220" s="2">
        <f ca="1"/>
        <v>0.80163291915866242</v>
      </c>
      <c r="AH1220" s="2" t="str">
        <f ca="1"/>
        <v>Bad</v>
      </c>
    </row>
    <row r="1221" spans="2:34" x14ac:dyDescent="0.2">
      <c r="B1221" s="2">
        <f ca="1"/>
        <v>0.36093116636404621</v>
      </c>
      <c r="O1221" s="2">
        <f ca="1"/>
        <v>-0.50397301924633586</v>
      </c>
      <c r="X1221" s="2">
        <f ca="1"/>
        <v>41.815439700884966</v>
      </c>
      <c r="AG1221" s="2">
        <f ca="1"/>
        <v>0.83363746516106962</v>
      </c>
      <c r="AH1221" s="2" t="str">
        <f ca="1"/>
        <v>Bad</v>
      </c>
    </row>
    <row r="1222" spans="2:34" x14ac:dyDescent="0.2">
      <c r="B1222" s="2">
        <f ca="1"/>
        <v>0.14075361534313369</v>
      </c>
      <c r="O1222" s="2">
        <f ca="1"/>
        <v>-0.93377457844011946</v>
      </c>
      <c r="X1222" s="2">
        <f ca="1"/>
        <v>57.690394260743709</v>
      </c>
      <c r="AG1222" s="2">
        <f ca="1"/>
        <v>0.50314497476471454</v>
      </c>
      <c r="AH1222" s="2" t="str">
        <f ca="1"/>
        <v>Bad</v>
      </c>
    </row>
    <row r="1223" spans="2:34" x14ac:dyDescent="0.2">
      <c r="B1223" s="2">
        <f ca="1"/>
        <v>0.51682705965264231</v>
      </c>
      <c r="O1223" s="2">
        <f ca="1"/>
        <v>0.35799787537695488</v>
      </c>
      <c r="X1223" s="2">
        <f ca="1"/>
        <v>42.398533477295224</v>
      </c>
      <c r="AG1223" s="2">
        <f ca="1"/>
        <v>0.92359108611007557</v>
      </c>
      <c r="AH1223" s="2" t="str">
        <f ca="1"/>
        <v>Bad</v>
      </c>
    </row>
    <row r="1224" spans="2:34" x14ac:dyDescent="0.2">
      <c r="B1224" s="2">
        <f ca="1"/>
        <v>0.51418701324364924</v>
      </c>
      <c r="O1224" s="2">
        <f ca="1"/>
        <v>0.62178939863980409</v>
      </c>
      <c r="X1224" s="2">
        <f ca="1"/>
        <v>86.507496213401524</v>
      </c>
      <c r="AG1224" s="2">
        <f ca="1"/>
        <v>0.14242220154491503</v>
      </c>
      <c r="AH1224" s="2" t="str">
        <f ca="1"/>
        <v>OK</v>
      </c>
    </row>
    <row r="1225" spans="2:34" x14ac:dyDescent="0.2">
      <c r="B1225" s="2">
        <f ca="1"/>
        <v>0.62228848501138123</v>
      </c>
      <c r="O1225" s="2">
        <f ca="1"/>
        <v>1.1542086819139785</v>
      </c>
      <c r="X1225" s="2">
        <f ca="1"/>
        <v>55.569714501731568</v>
      </c>
      <c r="AG1225" s="2">
        <f ca="1"/>
        <v>0.20812691204078382</v>
      </c>
      <c r="AH1225" s="2" t="str">
        <f ca="1"/>
        <v>OK</v>
      </c>
    </row>
    <row r="1226" spans="2:34" x14ac:dyDescent="0.2">
      <c r="B1226" s="2">
        <f ca="1"/>
        <v>0.71701274174555918</v>
      </c>
      <c r="O1226" s="2">
        <f ca="1"/>
        <v>-1.0842096595345452</v>
      </c>
      <c r="X1226" s="2">
        <f ca="1"/>
        <v>72.384920042356981</v>
      </c>
      <c r="AG1226" s="2">
        <f ca="1"/>
        <v>0.65626684503422084</v>
      </c>
      <c r="AH1226" s="2" t="str">
        <f ca="1"/>
        <v>Bad</v>
      </c>
    </row>
    <row r="1227" spans="2:34" x14ac:dyDescent="0.2">
      <c r="B1227" s="2">
        <f ca="1"/>
        <v>0.59217907963536609</v>
      </c>
      <c r="O1227" s="2">
        <f ca="1"/>
        <v>0.39169463686894662</v>
      </c>
      <c r="X1227" s="2">
        <f ca="1"/>
        <v>33.290069917452008</v>
      </c>
      <c r="AG1227" s="2">
        <f ca="1"/>
        <v>0.28509555771516659</v>
      </c>
      <c r="AH1227" s="2" t="str">
        <f ca="1"/>
        <v>OK</v>
      </c>
    </row>
    <row r="1228" spans="2:34" x14ac:dyDescent="0.2">
      <c r="B1228" s="2">
        <f ca="1"/>
        <v>0.9703937977744399</v>
      </c>
      <c r="O1228" s="2">
        <f ca="1"/>
        <v>0.10537898273421364</v>
      </c>
      <c r="X1228" s="2">
        <f ca="1"/>
        <v>49.489922418549675</v>
      </c>
      <c r="AG1228" s="2">
        <f ca="1"/>
        <v>0.67534830569907611</v>
      </c>
      <c r="AH1228" s="2" t="str">
        <f ca="1"/>
        <v>Bad</v>
      </c>
    </row>
    <row r="1229" spans="2:34" x14ac:dyDescent="0.2">
      <c r="B1229" s="2">
        <f ca="1"/>
        <v>0.71143613743229084</v>
      </c>
      <c r="O1229" s="2">
        <f ca="1"/>
        <v>2.0952595342840863</v>
      </c>
      <c r="X1229" s="2">
        <f ca="1"/>
        <v>41.378147340091978</v>
      </c>
      <c r="AG1229" s="2">
        <f ca="1"/>
        <v>0.14426716088347491</v>
      </c>
      <c r="AH1229" s="2" t="str">
        <f ca="1"/>
        <v>OK</v>
      </c>
    </row>
    <row r="1230" spans="2:34" x14ac:dyDescent="0.2">
      <c r="B1230" s="2">
        <f ca="1"/>
        <v>0.18441491754521744</v>
      </c>
      <c r="O1230" s="2">
        <f ca="1"/>
        <v>-1.2621837731708865</v>
      </c>
      <c r="X1230" s="2">
        <f ca="1"/>
        <v>32.396684167098485</v>
      </c>
      <c r="AG1230" s="2">
        <f ca="1"/>
        <v>0.24002352158158158</v>
      </c>
      <c r="AH1230" s="2" t="str">
        <f ca="1"/>
        <v>OK</v>
      </c>
    </row>
    <row r="1231" spans="2:34" x14ac:dyDescent="0.2">
      <c r="B1231" s="2">
        <f ca="1"/>
        <v>5.6020710220732184E-3</v>
      </c>
      <c r="O1231" s="2">
        <f ca="1"/>
        <v>-0.87857896349927</v>
      </c>
      <c r="X1231" s="2">
        <f ca="1"/>
        <v>68.242998158953668</v>
      </c>
      <c r="AG1231" s="2">
        <f ca="1"/>
        <v>0.16681191686346253</v>
      </c>
      <c r="AH1231" s="2" t="str">
        <f ca="1"/>
        <v>OK</v>
      </c>
    </row>
    <row r="1232" spans="2:34" x14ac:dyDescent="0.2">
      <c r="B1232" s="2">
        <f ca="1"/>
        <v>0.81557095975537175</v>
      </c>
      <c r="O1232" s="2">
        <f ca="1"/>
        <v>1.0007682761578076</v>
      </c>
      <c r="X1232" s="2">
        <f ca="1"/>
        <v>19.928311160731102</v>
      </c>
      <c r="AG1232" s="2">
        <f ca="1"/>
        <v>0.27610982439773224</v>
      </c>
      <c r="AH1232" s="2" t="str">
        <f ca="1"/>
        <v>OK</v>
      </c>
    </row>
    <row r="1233" spans="2:34" x14ac:dyDescent="0.2">
      <c r="B1233" s="2">
        <f ca="1"/>
        <v>0.26893147462939604</v>
      </c>
      <c r="O1233" s="2">
        <f ca="1"/>
        <v>1.2875301504632464</v>
      </c>
      <c r="X1233" s="2">
        <f ca="1"/>
        <v>49.091076658190495</v>
      </c>
      <c r="AG1233" s="2">
        <f ca="1"/>
        <v>0.14520646825581318</v>
      </c>
      <c r="AH1233" s="2" t="str">
        <f ca="1"/>
        <v>OK</v>
      </c>
    </row>
    <row r="1234" spans="2:34" x14ac:dyDescent="0.2">
      <c r="B1234" s="2">
        <f ca="1"/>
        <v>0.55361575416830733</v>
      </c>
      <c r="O1234" s="2">
        <f ca="1"/>
        <v>-0.55979006609420023</v>
      </c>
      <c r="X1234" s="2">
        <f ca="1"/>
        <v>62.678813524277828</v>
      </c>
      <c r="AG1234" s="2">
        <f ca="1"/>
        <v>0.1836868152422968</v>
      </c>
      <c r="AH1234" s="2" t="str">
        <f ca="1"/>
        <v>OK</v>
      </c>
    </row>
    <row r="1235" spans="2:34" x14ac:dyDescent="0.2">
      <c r="B1235" s="2">
        <f ca="1"/>
        <v>0.46482025790334891</v>
      </c>
      <c r="O1235" s="2">
        <f ca="1"/>
        <v>1.1494220908360979</v>
      </c>
      <c r="X1235" s="2">
        <f ca="1"/>
        <v>59.916138408637153</v>
      </c>
      <c r="AG1235" s="2">
        <f ca="1"/>
        <v>0.8953166614880077</v>
      </c>
      <c r="AH1235" s="2" t="str">
        <f ca="1"/>
        <v>Bad</v>
      </c>
    </row>
    <row r="1236" spans="2:34" x14ac:dyDescent="0.2">
      <c r="B1236" s="2">
        <f ca="1"/>
        <v>0.18340545055466695</v>
      </c>
      <c r="O1236" s="2">
        <f ca="1"/>
        <v>0.39344603830546487</v>
      </c>
      <c r="X1236" s="2">
        <f ca="1"/>
        <v>38.09877457044329</v>
      </c>
      <c r="AG1236" s="2">
        <f ca="1"/>
        <v>0.9234975754392909</v>
      </c>
      <c r="AH1236" s="2" t="str">
        <f ca="1"/>
        <v>Bad</v>
      </c>
    </row>
    <row r="1237" spans="2:34" x14ac:dyDescent="0.2">
      <c r="B1237" s="2">
        <f ca="1"/>
        <v>7.5668658225612528E-2</v>
      </c>
      <c r="O1237" s="2">
        <f ca="1"/>
        <v>2.0448875879930943</v>
      </c>
      <c r="X1237" s="2">
        <f ca="1"/>
        <v>24.171896596593506</v>
      </c>
      <c r="AG1237" s="2">
        <f ca="1"/>
        <v>9.0514996413972204E-2</v>
      </c>
      <c r="AH1237" s="2" t="str">
        <f ca="1"/>
        <v>OK</v>
      </c>
    </row>
    <row r="1238" spans="2:34" x14ac:dyDescent="0.2">
      <c r="B1238" s="2">
        <f ca="1"/>
        <v>0.6617706507920571</v>
      </c>
      <c r="O1238" s="2">
        <f ca="1"/>
        <v>-1.3303755542521492</v>
      </c>
      <c r="X1238" s="2">
        <f ca="1"/>
        <v>50.905066466010865</v>
      </c>
      <c r="AG1238" s="2">
        <f ca="1"/>
        <v>0.56685428441683405</v>
      </c>
      <c r="AH1238" s="2" t="str">
        <f ca="1"/>
        <v>Bad</v>
      </c>
    </row>
    <row r="1239" spans="2:34" x14ac:dyDescent="0.2">
      <c r="B1239" s="2">
        <f ca="1"/>
        <v>0.99983951403898286</v>
      </c>
      <c r="O1239" s="2">
        <f ca="1"/>
        <v>-2.2412456456932635</v>
      </c>
      <c r="X1239" s="2">
        <f ca="1"/>
        <v>44.529040780909071</v>
      </c>
      <c r="AG1239" s="2">
        <f ca="1"/>
        <v>0.26756050391943331</v>
      </c>
      <c r="AH1239" s="2" t="str">
        <f ca="1"/>
        <v>OK</v>
      </c>
    </row>
    <row r="1240" spans="2:34" x14ac:dyDescent="0.2">
      <c r="B1240" s="2">
        <f ca="1"/>
        <v>0.42261849079836611</v>
      </c>
      <c r="O1240" s="2">
        <f ca="1"/>
        <v>-0.4852611834793053</v>
      </c>
      <c r="X1240" s="2">
        <f ca="1"/>
        <v>52.136145632300341</v>
      </c>
      <c r="AG1240" s="2">
        <f ca="1"/>
        <v>0.67465320173408894</v>
      </c>
      <c r="AH1240" s="2" t="str">
        <f ca="1"/>
        <v>Bad</v>
      </c>
    </row>
    <row r="1241" spans="2:34" x14ac:dyDescent="0.2">
      <c r="B1241" s="2">
        <f ca="1"/>
        <v>0.14313152428813125</v>
      </c>
      <c r="O1241" s="2">
        <f ca="1"/>
        <v>-0.90955812420729998</v>
      </c>
      <c r="X1241" s="2">
        <f ca="1"/>
        <v>41.642348880577138</v>
      </c>
      <c r="AG1241" s="2">
        <f ca="1"/>
        <v>0.80434100902886874</v>
      </c>
      <c r="AH1241" s="2" t="str">
        <f ca="1"/>
        <v>Bad</v>
      </c>
    </row>
    <row r="1242" spans="2:34" x14ac:dyDescent="0.2">
      <c r="B1242" s="2">
        <f ca="1"/>
        <v>0.59933146394369952</v>
      </c>
      <c r="O1242" s="2">
        <f ca="1"/>
        <v>-0.39105095356579617</v>
      </c>
      <c r="X1242" s="2">
        <f ca="1"/>
        <v>42.002963805394621</v>
      </c>
      <c r="AG1242" s="2">
        <f ca="1"/>
        <v>0.46703414849627767</v>
      </c>
      <c r="AH1242" s="2" t="str">
        <f ca="1"/>
        <v>Bad</v>
      </c>
    </row>
    <row r="1243" spans="2:34" x14ac:dyDescent="0.2">
      <c r="B1243" s="2">
        <f ca="1"/>
        <v>0.11262444992016807</v>
      </c>
      <c r="O1243" s="2">
        <f ca="1"/>
        <v>1.5387383131089554</v>
      </c>
      <c r="X1243" s="2">
        <f ca="1"/>
        <v>86.365926247866454</v>
      </c>
      <c r="AG1243" s="2">
        <f ca="1"/>
        <v>0.63370696812965033</v>
      </c>
      <c r="AH1243" s="2" t="str">
        <f ca="1"/>
        <v>Bad</v>
      </c>
    </row>
    <row r="1244" spans="2:34" x14ac:dyDescent="0.2">
      <c r="B1244" s="2">
        <f ca="1"/>
        <v>0.35586174318571917</v>
      </c>
      <c r="O1244" s="2">
        <f ca="1"/>
        <v>-1.1320730431947337</v>
      </c>
      <c r="X1244" s="2">
        <f ca="1"/>
        <v>72.730334204174085</v>
      </c>
      <c r="AG1244" s="2">
        <f ca="1"/>
        <v>0.26104971112798769</v>
      </c>
      <c r="AH1244" s="2" t="str">
        <f ca="1"/>
        <v>OK</v>
      </c>
    </row>
    <row r="1245" spans="2:34" x14ac:dyDescent="0.2">
      <c r="B1245" s="2">
        <f ca="1"/>
        <v>0.69810529708622049</v>
      </c>
      <c r="O1245" s="2">
        <f ca="1"/>
        <v>0.81589536243911043</v>
      </c>
      <c r="X1245" s="2">
        <f ca="1"/>
        <v>84.08447673091348</v>
      </c>
      <c r="AG1245" s="2">
        <f ca="1"/>
        <v>0.84884392751748305</v>
      </c>
      <c r="AH1245" s="2" t="str">
        <f ca="1"/>
        <v>Bad</v>
      </c>
    </row>
    <row r="1246" spans="2:34" x14ac:dyDescent="0.2">
      <c r="B1246" s="2">
        <f ca="1"/>
        <v>0.54243000099579008</v>
      </c>
      <c r="O1246" s="2">
        <f ca="1"/>
        <v>-1.004817588162312</v>
      </c>
      <c r="X1246" s="2">
        <f ca="1"/>
        <v>31.262947212973845</v>
      </c>
      <c r="AG1246" s="2">
        <f ca="1"/>
        <v>0.88405091359099686</v>
      </c>
      <c r="AH1246" s="2" t="str">
        <f ca="1"/>
        <v>Bad</v>
      </c>
    </row>
    <row r="1247" spans="2:34" x14ac:dyDescent="0.2">
      <c r="B1247" s="2">
        <f ca="1"/>
        <v>0.93705240548343127</v>
      </c>
      <c r="O1247" s="2">
        <f ca="1"/>
        <v>-0.17537906371533715</v>
      </c>
      <c r="X1247" s="2">
        <f ca="1"/>
        <v>54.647982430537354</v>
      </c>
      <c r="AG1247" s="2">
        <f ca="1"/>
        <v>0.46137952362996315</v>
      </c>
      <c r="AH1247" s="2" t="str">
        <f ca="1"/>
        <v>Bad</v>
      </c>
    </row>
    <row r="1248" spans="2:34" x14ac:dyDescent="0.2">
      <c r="B1248" s="2">
        <f ca="1"/>
        <v>0.98662013536906046</v>
      </c>
      <c r="O1248" s="2">
        <f ca="1"/>
        <v>-0.64957013961998</v>
      </c>
      <c r="X1248" s="2">
        <f ca="1"/>
        <v>53.997668002799067</v>
      </c>
      <c r="AG1248" s="2">
        <f ca="1"/>
        <v>0.40859175108541512</v>
      </c>
      <c r="AH1248" s="2" t="str">
        <f ca="1"/>
        <v>Bad</v>
      </c>
    </row>
    <row r="1249" spans="2:34" x14ac:dyDescent="0.2">
      <c r="B1249" s="2">
        <f ca="1"/>
        <v>0.92390723735717017</v>
      </c>
      <c r="O1249" s="2">
        <f ca="1"/>
        <v>0.86219598188192204</v>
      </c>
      <c r="X1249" s="2">
        <f ca="1"/>
        <v>30.255243643288054</v>
      </c>
      <c r="AG1249" s="2">
        <f ca="1"/>
        <v>0.99082942115927808</v>
      </c>
      <c r="AH1249" s="2" t="str">
        <f ca="1"/>
        <v>Bad</v>
      </c>
    </row>
    <row r="1250" spans="2:34" x14ac:dyDescent="0.2">
      <c r="B1250" s="2">
        <f ca="1"/>
        <v>0.9660608871907479</v>
      </c>
      <c r="O1250" s="2">
        <f ca="1"/>
        <v>2.1695644144084953</v>
      </c>
      <c r="X1250" s="2">
        <f ca="1"/>
        <v>64.455705325289756</v>
      </c>
      <c r="AG1250" s="2">
        <f ca="1"/>
        <v>0.90180467415042442</v>
      </c>
      <c r="AH1250" s="2" t="str">
        <f ca="1"/>
        <v>Bad</v>
      </c>
    </row>
    <row r="1251" spans="2:34" x14ac:dyDescent="0.2">
      <c r="B1251" s="2">
        <f ca="1"/>
        <v>0.84136735715297606</v>
      </c>
      <c r="O1251" s="2">
        <f ca="1"/>
        <v>1.1687916909861866</v>
      </c>
      <c r="X1251" s="2">
        <f ca="1"/>
        <v>42.839107834295056</v>
      </c>
      <c r="AG1251" s="2">
        <f ca="1"/>
        <v>0.68197265293606479</v>
      </c>
      <c r="AH1251" s="2" t="str">
        <f ca="1"/>
        <v>Bad</v>
      </c>
    </row>
    <row r="1252" spans="2:34" x14ac:dyDescent="0.2">
      <c r="B1252" s="2">
        <f ca="1"/>
        <v>0.78068057614705721</v>
      </c>
      <c r="O1252" s="2">
        <f ca="1"/>
        <v>1.0887015497818004</v>
      </c>
      <c r="X1252" s="2">
        <f ca="1"/>
        <v>18.951841356508186</v>
      </c>
      <c r="AG1252" s="2">
        <f ca="1"/>
        <v>0.92125523596006431</v>
      </c>
      <c r="AH1252" s="2" t="str">
        <f ca="1"/>
        <v>Bad</v>
      </c>
    </row>
    <row r="1253" spans="2:34" x14ac:dyDescent="0.2">
      <c r="B1253" s="2">
        <f ca="1"/>
        <v>0.13688981680484913</v>
      </c>
      <c r="O1253" s="2">
        <f ca="1"/>
        <v>-1.163785071344983E-2</v>
      </c>
      <c r="X1253" s="2">
        <f ca="1"/>
        <v>37.435537013698877</v>
      </c>
      <c r="AG1253" s="2">
        <f ca="1"/>
        <v>0.29796456239012148</v>
      </c>
      <c r="AH1253" s="2" t="str">
        <f ca="1"/>
        <v>OK</v>
      </c>
    </row>
    <row r="1254" spans="2:34" x14ac:dyDescent="0.2">
      <c r="B1254" s="2">
        <f ca="1"/>
        <v>0.88286496683058413</v>
      </c>
      <c r="O1254" s="2">
        <f ca="1"/>
        <v>0.59317176801178595</v>
      </c>
      <c r="X1254" s="2">
        <f ca="1"/>
        <v>54.090861754037917</v>
      </c>
      <c r="AG1254" s="2">
        <f ca="1"/>
        <v>0.30933881060651691</v>
      </c>
      <c r="AH1254" s="2" t="str">
        <f ca="1"/>
        <v>OK</v>
      </c>
    </row>
    <row r="1255" spans="2:34" x14ac:dyDescent="0.2">
      <c r="B1255" s="2">
        <f ca="1"/>
        <v>0.49894970711676279</v>
      </c>
      <c r="O1255" s="2">
        <f ca="1"/>
        <v>-0.48066223042010736</v>
      </c>
      <c r="X1255" s="2">
        <f ca="1"/>
        <v>29.900162261792673</v>
      </c>
      <c r="AG1255" s="2">
        <f ca="1"/>
        <v>0.77288343959619699</v>
      </c>
      <c r="AH1255" s="2" t="str">
        <f ca="1"/>
        <v>Bad</v>
      </c>
    </row>
    <row r="1256" spans="2:34" x14ac:dyDescent="0.2">
      <c r="B1256" s="2">
        <f ca="1"/>
        <v>0.67390190840706676</v>
      </c>
      <c r="O1256" s="2">
        <f ca="1"/>
        <v>0.11388321216965348</v>
      </c>
      <c r="X1256" s="2">
        <f ca="1"/>
        <v>66.022697843110933</v>
      </c>
      <c r="AG1256" s="2">
        <f ca="1"/>
        <v>0.88273966567518825</v>
      </c>
      <c r="AH1256" s="2" t="str">
        <f ca="1"/>
        <v>Bad</v>
      </c>
    </row>
    <row r="1257" spans="2:34" x14ac:dyDescent="0.2">
      <c r="B1257" s="2">
        <f ca="1"/>
        <v>0.9007009654486009</v>
      </c>
      <c r="O1257" s="2">
        <f ca="1"/>
        <v>-1.247875524970337</v>
      </c>
      <c r="X1257" s="2">
        <f ca="1"/>
        <v>42.089578691436216</v>
      </c>
      <c r="AG1257" s="2">
        <f ca="1"/>
        <v>0.36985304825569987</v>
      </c>
      <c r="AH1257" s="2" t="str">
        <f ca="1"/>
        <v>OK</v>
      </c>
    </row>
    <row r="1258" spans="2:34" x14ac:dyDescent="0.2">
      <c r="B1258" s="2">
        <f ca="1"/>
        <v>0.86647496173120042</v>
      </c>
      <c r="O1258" s="2">
        <f ca="1"/>
        <v>-0.83610525967815386</v>
      </c>
      <c r="X1258" s="2">
        <f ca="1"/>
        <v>43.189563771059696</v>
      </c>
      <c r="AG1258" s="2">
        <f ca="1"/>
        <v>0.30546405874499039</v>
      </c>
      <c r="AH1258" s="2" t="str">
        <f ca="1"/>
        <v>OK</v>
      </c>
    </row>
    <row r="1259" spans="2:34" x14ac:dyDescent="0.2">
      <c r="B1259" s="2">
        <f ca="1"/>
        <v>0.13194302325536622</v>
      </c>
      <c r="O1259" s="2">
        <f ca="1"/>
        <v>1.6161998573173453</v>
      </c>
      <c r="X1259" s="2">
        <f ca="1"/>
        <v>35.232266795362158</v>
      </c>
      <c r="AG1259" s="2">
        <f ca="1"/>
        <v>0.97102716834790859</v>
      </c>
      <c r="AH1259" s="2" t="str">
        <f ca="1"/>
        <v>Bad</v>
      </c>
    </row>
    <row r="1260" spans="2:34" x14ac:dyDescent="0.2">
      <c r="B1260" s="2">
        <f ca="1"/>
        <v>0.33338797603942827</v>
      </c>
      <c r="O1260" s="2">
        <f ca="1"/>
        <v>-0.79194874129410175</v>
      </c>
      <c r="X1260" s="2">
        <f ca="1"/>
        <v>38.671325726263603</v>
      </c>
      <c r="AG1260" s="2">
        <f ca="1"/>
        <v>8.7349584346065878E-3</v>
      </c>
      <c r="AH1260" s="2" t="str">
        <f ca="1"/>
        <v>Good</v>
      </c>
    </row>
    <row r="1261" spans="2:34" x14ac:dyDescent="0.2">
      <c r="B1261" s="2">
        <f ca="1"/>
        <v>0.95300158614624708</v>
      </c>
      <c r="O1261" s="2">
        <f ca="1"/>
        <v>-1.702141405023743E-3</v>
      </c>
      <c r="X1261" s="2">
        <f ca="1"/>
        <v>43.194624385358523</v>
      </c>
      <c r="AG1261" s="2">
        <f ca="1"/>
        <v>0.79510651576290337</v>
      </c>
      <c r="AH1261" s="2" t="str">
        <f ca="1"/>
        <v>Bad</v>
      </c>
    </row>
    <row r="1262" spans="2:34" x14ac:dyDescent="0.2">
      <c r="B1262" s="2">
        <f ca="1"/>
        <v>0.26623539994290102</v>
      </c>
      <c r="O1262" s="2">
        <f ca="1"/>
        <v>3.853494226497442E-2</v>
      </c>
      <c r="X1262" s="2">
        <f ca="1"/>
        <v>41.50798392940213</v>
      </c>
      <c r="AG1262" s="2">
        <f ca="1"/>
        <v>0.11046506913222909</v>
      </c>
      <c r="AH1262" s="2" t="str">
        <f ca="1"/>
        <v>OK</v>
      </c>
    </row>
    <row r="1263" spans="2:34" x14ac:dyDescent="0.2">
      <c r="B1263" s="2">
        <f ca="1"/>
        <v>0.7161967445678763</v>
      </c>
      <c r="O1263" s="2">
        <f ca="1"/>
        <v>0.31836992816247628</v>
      </c>
      <c r="X1263" s="2">
        <f ca="1"/>
        <v>44.703726406701641</v>
      </c>
      <c r="AG1263" s="2">
        <f ca="1"/>
        <v>0.25864188742007843</v>
      </c>
      <c r="AH1263" s="2" t="str">
        <f ca="1"/>
        <v>OK</v>
      </c>
    </row>
    <row r="1264" spans="2:34" x14ac:dyDescent="0.2">
      <c r="B1264" s="2">
        <f ca="1"/>
        <v>0.4792385886227446</v>
      </c>
      <c r="O1264" s="2">
        <f ca="1"/>
        <v>1.6762411080591753</v>
      </c>
      <c r="X1264" s="2">
        <f ca="1"/>
        <v>65.785468361990965</v>
      </c>
      <c r="AG1264" s="2">
        <f ca="1"/>
        <v>0.51756224713755139</v>
      </c>
      <c r="AH1264" s="2" t="str">
        <f ca="1"/>
        <v>Bad</v>
      </c>
    </row>
    <row r="1265" spans="2:34" x14ac:dyDescent="0.2">
      <c r="B1265" s="2">
        <f ca="1"/>
        <v>0.8559436645726346</v>
      </c>
      <c r="O1265" s="2">
        <f ca="1"/>
        <v>-1.7850807126117283</v>
      </c>
      <c r="X1265" s="2">
        <f ca="1"/>
        <v>79.457534529458428</v>
      </c>
      <c r="AG1265" s="2">
        <f ca="1"/>
        <v>0.78012200373303253</v>
      </c>
      <c r="AH1265" s="2" t="str">
        <f ca="1"/>
        <v>Bad</v>
      </c>
    </row>
    <row r="1266" spans="2:34" x14ac:dyDescent="0.2">
      <c r="B1266" s="2">
        <f ca="1"/>
        <v>0.87631052787001784</v>
      </c>
      <c r="O1266" s="2">
        <f ca="1"/>
        <v>1.413619418889011</v>
      </c>
      <c r="X1266" s="2">
        <f ca="1"/>
        <v>55.790886436385236</v>
      </c>
      <c r="AG1266" s="2">
        <f ca="1"/>
        <v>0.62876383989183782</v>
      </c>
      <c r="AH1266" s="2" t="str">
        <f ca="1"/>
        <v>Bad</v>
      </c>
    </row>
    <row r="1267" spans="2:34" x14ac:dyDescent="0.2">
      <c r="B1267" s="2">
        <f ca="1"/>
        <v>0.65155110091052304</v>
      </c>
      <c r="O1267" s="2">
        <f ca="1"/>
        <v>-0.46331407955223697</v>
      </c>
      <c r="X1267" s="2">
        <f ca="1"/>
        <v>38.097230631345262</v>
      </c>
      <c r="AG1267" s="2">
        <f ca="1"/>
        <v>0.79618449326043872</v>
      </c>
      <c r="AH1267" s="2" t="str">
        <f ca="1"/>
        <v>Bad</v>
      </c>
    </row>
    <row r="1268" spans="2:34" x14ac:dyDescent="0.2">
      <c r="B1268" s="2">
        <f ca="1"/>
        <v>0.95739355908177926</v>
      </c>
      <c r="O1268" s="2">
        <f ca="1"/>
        <v>-0.2752287848806616</v>
      </c>
      <c r="X1268" s="2">
        <f ca="1"/>
        <v>60.584372867400482</v>
      </c>
      <c r="AG1268" s="2">
        <f ca="1"/>
        <v>0.59344747714658808</v>
      </c>
      <c r="AH1268" s="2" t="str">
        <f ca="1"/>
        <v>Bad</v>
      </c>
    </row>
    <row r="1269" spans="2:34" x14ac:dyDescent="0.2">
      <c r="B1269" s="2">
        <f ca="1"/>
        <v>0.45984543978414494</v>
      </c>
      <c r="O1269" s="2">
        <f ca="1"/>
        <v>2.0326438103365874</v>
      </c>
      <c r="X1269" s="2">
        <f ca="1"/>
        <v>56.968346721586144</v>
      </c>
      <c r="AG1269" s="2">
        <f ca="1"/>
        <v>0.23116204907899429</v>
      </c>
      <c r="AH1269" s="2" t="str">
        <f ca="1"/>
        <v>OK</v>
      </c>
    </row>
    <row r="1270" spans="2:34" x14ac:dyDescent="0.2">
      <c r="B1270" s="2">
        <f ca="1"/>
        <v>0.55332863000632249</v>
      </c>
      <c r="O1270" s="2">
        <f ca="1"/>
        <v>-1.2756441454152001</v>
      </c>
      <c r="X1270" s="2">
        <f ca="1"/>
        <v>33.073877969325025</v>
      </c>
      <c r="AG1270" s="2">
        <f ca="1"/>
        <v>0.59049219295498223</v>
      </c>
      <c r="AH1270" s="2" t="str">
        <f ca="1"/>
        <v>Bad</v>
      </c>
    </row>
    <row r="1271" spans="2:34" x14ac:dyDescent="0.2">
      <c r="B1271" s="2">
        <f ca="1"/>
        <v>0.90780409758472747</v>
      </c>
      <c r="O1271" s="2">
        <f ca="1"/>
        <v>-9.8747031924990888E-2</v>
      </c>
      <c r="X1271" s="2">
        <f ca="1"/>
        <v>44.607651814478054</v>
      </c>
      <c r="AG1271" s="2">
        <f ca="1"/>
        <v>0.65002981007928451</v>
      </c>
      <c r="AH1271" s="2" t="str">
        <f ca="1"/>
        <v>Bad</v>
      </c>
    </row>
    <row r="1272" spans="2:34" x14ac:dyDescent="0.2">
      <c r="B1272" s="2">
        <f ca="1"/>
        <v>0.19335380259865653</v>
      </c>
      <c r="O1272" s="2">
        <f ca="1"/>
        <v>-2.2556464712942321</v>
      </c>
      <c r="X1272" s="2">
        <f ca="1"/>
        <v>52.243183191470536</v>
      </c>
      <c r="AG1272" s="2">
        <f ca="1"/>
        <v>0.85576500459104166</v>
      </c>
      <c r="AH1272" s="2" t="str">
        <f ca="1"/>
        <v>Bad</v>
      </c>
    </row>
    <row r="1273" spans="2:34" x14ac:dyDescent="0.2">
      <c r="B1273" s="2">
        <f ca="1"/>
        <v>0.68639772213050687</v>
      </c>
      <c r="O1273" s="2">
        <f ca="1"/>
        <v>-0.25838256057476672</v>
      </c>
      <c r="X1273" s="2">
        <f ca="1"/>
        <v>37.552940052078348</v>
      </c>
      <c r="AG1273" s="2">
        <f ca="1"/>
        <v>0.61006935004334162</v>
      </c>
      <c r="AH1273" s="2" t="str">
        <f ca="1"/>
        <v>Bad</v>
      </c>
    </row>
    <row r="1274" spans="2:34" x14ac:dyDescent="0.2">
      <c r="B1274" s="2">
        <f ca="1"/>
        <v>0.39647591817374095</v>
      </c>
      <c r="O1274" s="2">
        <f ca="1"/>
        <v>-3.7101889603452474E-2</v>
      </c>
      <c r="X1274" s="2">
        <f ca="1"/>
        <v>39.044812495741532</v>
      </c>
      <c r="AG1274" s="2">
        <f ca="1"/>
        <v>0.67158161849813691</v>
      </c>
      <c r="AH1274" s="2" t="str">
        <f ca="1"/>
        <v>Bad</v>
      </c>
    </row>
    <row r="1275" spans="2:34" x14ac:dyDescent="0.2">
      <c r="B1275" s="2">
        <f ca="1"/>
        <v>0.7803559927389605</v>
      </c>
      <c r="O1275" s="2">
        <f ca="1"/>
        <v>-1.3862665018980498</v>
      </c>
      <c r="X1275" s="2">
        <f ca="1"/>
        <v>58.855089866014573</v>
      </c>
      <c r="AG1275" s="2">
        <f ca="1"/>
        <v>0.18139976883899944</v>
      </c>
      <c r="AH1275" s="2" t="str">
        <f ca="1"/>
        <v>OK</v>
      </c>
    </row>
    <row r="1276" spans="2:34" x14ac:dyDescent="0.2">
      <c r="B1276" s="2">
        <f ca="1"/>
        <v>0.2057922344357157</v>
      </c>
      <c r="O1276" s="2">
        <f ca="1"/>
        <v>0.25681577239999409</v>
      </c>
      <c r="X1276" s="2">
        <f ca="1"/>
        <v>84.343522919301421</v>
      </c>
      <c r="AG1276" s="2">
        <f ca="1"/>
        <v>0.95413137963323069</v>
      </c>
      <c r="AH1276" s="2" t="str">
        <f ca="1"/>
        <v>Bad</v>
      </c>
    </row>
    <row r="1277" spans="2:34" x14ac:dyDescent="0.2">
      <c r="B1277" s="2">
        <f ca="1"/>
        <v>0.47935652221565217</v>
      </c>
      <c r="O1277" s="2">
        <f ca="1"/>
        <v>0.96601550587144414</v>
      </c>
      <c r="X1277" s="2">
        <f ca="1"/>
        <v>51.337992730808104</v>
      </c>
      <c r="AG1277" s="2">
        <f ca="1"/>
        <v>1.8218883512920225E-2</v>
      </c>
      <c r="AH1277" s="2" t="str">
        <f ca="1"/>
        <v>Good</v>
      </c>
    </row>
    <row r="1278" spans="2:34" x14ac:dyDescent="0.2">
      <c r="B1278" s="2">
        <f ca="1"/>
        <v>0.60457287532839477</v>
      </c>
      <c r="O1278" s="2">
        <f ca="1"/>
        <v>1.2213802532995723</v>
      </c>
      <c r="X1278" s="2">
        <f ca="1"/>
        <v>39.052102389534021</v>
      </c>
      <c r="AG1278" s="2">
        <f ca="1"/>
        <v>0.13624727610406051</v>
      </c>
      <c r="AH1278" s="2" t="str">
        <f ca="1"/>
        <v>OK</v>
      </c>
    </row>
    <row r="1279" spans="2:34" x14ac:dyDescent="0.2">
      <c r="B1279" s="2">
        <f ca="1"/>
        <v>0.73192014153433704</v>
      </c>
      <c r="O1279" s="2">
        <f ca="1"/>
        <v>0.52780404714629681</v>
      </c>
      <c r="X1279" s="2">
        <f ca="1"/>
        <v>69.013207298094471</v>
      </c>
      <c r="AG1279" s="2">
        <f ca="1"/>
        <v>0.96620057926097336</v>
      </c>
      <c r="AH1279" s="2" t="str">
        <f ca="1"/>
        <v>Bad</v>
      </c>
    </row>
    <row r="1280" spans="2:34" x14ac:dyDescent="0.2">
      <c r="B1280" s="2">
        <f ca="1"/>
        <v>0.51231566256599259</v>
      </c>
      <c r="O1280" s="2">
        <f ca="1"/>
        <v>8.9312328368030047E-2</v>
      </c>
      <c r="X1280" s="2">
        <f ca="1"/>
        <v>24.742163826889584</v>
      </c>
      <c r="AG1280" s="2">
        <f ca="1"/>
        <v>0.20923979395919967</v>
      </c>
      <c r="AH1280" s="2" t="str">
        <f ca="1"/>
        <v>OK</v>
      </c>
    </row>
    <row r="1281" spans="2:34" x14ac:dyDescent="0.2">
      <c r="B1281" s="2">
        <f ca="1"/>
        <v>0.73987060825425099</v>
      </c>
      <c r="O1281" s="2">
        <f ca="1"/>
        <v>1.0466327643238689</v>
      </c>
      <c r="X1281" s="2">
        <f ca="1"/>
        <v>41.905532398376153</v>
      </c>
      <c r="AG1281" s="2">
        <f ca="1"/>
        <v>2.7479516060870512E-2</v>
      </c>
      <c r="AH1281" s="2" t="str">
        <f ca="1"/>
        <v>Good</v>
      </c>
    </row>
    <row r="1282" spans="2:34" x14ac:dyDescent="0.2">
      <c r="B1282" s="2">
        <f ca="1"/>
        <v>0.40532908935414169</v>
      </c>
      <c r="O1282" s="2">
        <f ca="1"/>
        <v>-0.17377152838217338</v>
      </c>
      <c r="X1282" s="2">
        <f ca="1"/>
        <v>61.3794941493274</v>
      </c>
      <c r="AG1282" s="2">
        <f ca="1"/>
        <v>0.20925737222569585</v>
      </c>
      <c r="AH1282" s="2" t="str">
        <f ca="1"/>
        <v>OK</v>
      </c>
    </row>
    <row r="1283" spans="2:34" x14ac:dyDescent="0.2">
      <c r="B1283" s="2">
        <f ca="1"/>
        <v>0.80810530675352799</v>
      </c>
      <c r="O1283" s="2">
        <f ca="1"/>
        <v>0.76223448797398785</v>
      </c>
      <c r="X1283" s="2">
        <f ca="1"/>
        <v>55.158834609355416</v>
      </c>
      <c r="AG1283" s="2">
        <f ca="1"/>
        <v>5.9250965485456497E-2</v>
      </c>
      <c r="AH1283" s="2" t="str">
        <f ca="1"/>
        <v>OK</v>
      </c>
    </row>
    <row r="1284" spans="2:34" x14ac:dyDescent="0.2">
      <c r="B1284" s="2">
        <f ca="1"/>
        <v>0.28167702152399543</v>
      </c>
      <c r="O1284" s="2">
        <f ca="1"/>
        <v>-7.811709191251516E-2</v>
      </c>
      <c r="X1284" s="2">
        <f ca="1"/>
        <v>36.440454205057918</v>
      </c>
      <c r="AG1284" s="2">
        <f ca="1"/>
        <v>0.14895747084548216</v>
      </c>
      <c r="AH1284" s="2" t="str">
        <f ca="1"/>
        <v>OK</v>
      </c>
    </row>
    <row r="1285" spans="2:34" x14ac:dyDescent="0.2">
      <c r="B1285" s="2">
        <f ca="1"/>
        <v>0.75338675112940501</v>
      </c>
      <c r="O1285" s="2">
        <f ca="1"/>
        <v>-0.7662686592695177</v>
      </c>
      <c r="X1285" s="2">
        <f ca="1"/>
        <v>68.941163335522845</v>
      </c>
      <c r="AG1285" s="2">
        <f ca="1"/>
        <v>0.5672676761912554</v>
      </c>
      <c r="AH1285" s="2" t="str">
        <f ca="1"/>
        <v>Bad</v>
      </c>
    </row>
    <row r="1286" spans="2:34" x14ac:dyDescent="0.2">
      <c r="B1286" s="2">
        <f ca="1"/>
        <v>1.1106978664682021E-2</v>
      </c>
      <c r="O1286" s="2">
        <f ca="1"/>
        <v>1.2195565579019247</v>
      </c>
      <c r="X1286" s="2">
        <f ca="1"/>
        <v>57.86126994999514</v>
      </c>
      <c r="AG1286" s="2">
        <f ca="1"/>
        <v>0.10576948988867119</v>
      </c>
      <c r="AH1286" s="2" t="str">
        <f ca="1"/>
        <v>OK</v>
      </c>
    </row>
    <row r="1287" spans="2:34" x14ac:dyDescent="0.2">
      <c r="B1287" s="2">
        <f ca="1"/>
        <v>0.82353249297571507</v>
      </c>
      <c r="O1287" s="2">
        <f ca="1"/>
        <v>0.22289145532247653</v>
      </c>
      <c r="X1287" s="2">
        <f ca="1"/>
        <v>37.948774558050587</v>
      </c>
      <c r="AG1287" s="2">
        <f ca="1"/>
        <v>0.79762093861066297</v>
      </c>
      <c r="AH1287" s="2" t="str">
        <f ca="1"/>
        <v>Bad</v>
      </c>
    </row>
    <row r="1288" spans="2:34" x14ac:dyDescent="0.2">
      <c r="B1288" s="2">
        <f ca="1"/>
        <v>0.56137387496555013</v>
      </c>
      <c r="O1288" s="2">
        <f ca="1"/>
        <v>1.2837122882404632</v>
      </c>
      <c r="X1288" s="2">
        <f ca="1"/>
        <v>35.733519998201309</v>
      </c>
      <c r="AG1288" s="2">
        <f ca="1"/>
        <v>0.11841888341424101</v>
      </c>
      <c r="AH1288" s="2" t="str">
        <f ca="1"/>
        <v>OK</v>
      </c>
    </row>
    <row r="1289" spans="2:34" x14ac:dyDescent="0.2">
      <c r="B1289" s="2">
        <f ca="1"/>
        <v>0.12387040557993401</v>
      </c>
      <c r="O1289" s="2">
        <f ca="1"/>
        <v>-9.5101295557823179E-2</v>
      </c>
      <c r="X1289" s="2">
        <f ca="1"/>
        <v>57.384816292206729</v>
      </c>
      <c r="AG1289" s="2">
        <f ca="1"/>
        <v>0.85975112397802178</v>
      </c>
      <c r="AH1289" s="2" t="str">
        <f ca="1"/>
        <v>Bad</v>
      </c>
    </row>
    <row r="1290" spans="2:34" x14ac:dyDescent="0.2">
      <c r="B1290" s="2">
        <f ca="1"/>
        <v>0.75349835664269582</v>
      </c>
      <c r="O1290" s="2">
        <f ca="1"/>
        <v>0.73600195231815724</v>
      </c>
      <c r="X1290" s="2">
        <f ca="1"/>
        <v>54.888271816610334</v>
      </c>
      <c r="AG1290" s="2">
        <f ca="1"/>
        <v>0.86184745552670972</v>
      </c>
      <c r="AH1290" s="2" t="str">
        <f ca="1"/>
        <v>Bad</v>
      </c>
    </row>
    <row r="1291" spans="2:34" x14ac:dyDescent="0.2">
      <c r="B1291" s="2">
        <f ca="1"/>
        <v>0.6941334448871479</v>
      </c>
      <c r="O1291" s="2">
        <f ca="1"/>
        <v>3.0616950442848245E-2</v>
      </c>
      <c r="X1291" s="2">
        <f ca="1"/>
        <v>74.495717978872008</v>
      </c>
      <c r="AG1291" s="2">
        <f ca="1"/>
        <v>0.81581729746779619</v>
      </c>
      <c r="AH1291" s="2" t="str">
        <f ca="1"/>
        <v>Bad</v>
      </c>
    </row>
    <row r="1292" spans="2:34" x14ac:dyDescent="0.2">
      <c r="B1292" s="2">
        <f ca="1"/>
        <v>0.31713237282503282</v>
      </c>
      <c r="O1292" s="2">
        <f ca="1"/>
        <v>-1.4693732250363054</v>
      </c>
      <c r="X1292" s="2">
        <f ca="1"/>
        <v>30.858439865407664</v>
      </c>
      <c r="AG1292" s="2">
        <f ca="1"/>
        <v>0.43227643849276465</v>
      </c>
      <c r="AH1292" s="2" t="str">
        <f ca="1"/>
        <v>Bad</v>
      </c>
    </row>
    <row r="1293" spans="2:34" x14ac:dyDescent="0.2">
      <c r="B1293" s="2">
        <f ca="1"/>
        <v>0.97651297855479657</v>
      </c>
      <c r="O1293" s="2">
        <f ca="1"/>
        <v>-0.4664734373154425</v>
      </c>
      <c r="X1293" s="2">
        <f ca="1"/>
        <v>56.717672083085077</v>
      </c>
      <c r="AG1293" s="2">
        <f ca="1"/>
        <v>0.50761122337080411</v>
      </c>
      <c r="AH1293" s="2" t="str">
        <f ca="1"/>
        <v>Bad</v>
      </c>
    </row>
    <row r="1294" spans="2:34" x14ac:dyDescent="0.2">
      <c r="B1294" s="2">
        <f ca="1"/>
        <v>0.98970721114353499</v>
      </c>
      <c r="O1294" s="2">
        <f ca="1"/>
        <v>0.56089701075323295</v>
      </c>
      <c r="X1294" s="2">
        <f ca="1"/>
        <v>36.089571935882759</v>
      </c>
      <c r="AG1294" s="2">
        <f ca="1"/>
        <v>2.2950351895931753E-2</v>
      </c>
      <c r="AH1294" s="2" t="str">
        <f ca="1"/>
        <v>Good</v>
      </c>
    </row>
    <row r="1295" spans="2:34" x14ac:dyDescent="0.2">
      <c r="B1295" s="2">
        <f ca="1"/>
        <v>0.36730657434578928</v>
      </c>
      <c r="O1295" s="2">
        <f ca="1"/>
        <v>-0.88887218928433143</v>
      </c>
      <c r="X1295" s="2">
        <f ca="1"/>
        <v>54.843266540156094</v>
      </c>
      <c r="AG1295" s="2">
        <f ca="1"/>
        <v>0.96526626543234384</v>
      </c>
      <c r="AH1295" s="2" t="str">
        <f ca="1"/>
        <v>Bad</v>
      </c>
    </row>
    <row r="1296" spans="2:34" x14ac:dyDescent="0.2">
      <c r="B1296" s="2">
        <f ca="1"/>
        <v>0.21002540967891514</v>
      </c>
      <c r="O1296" s="2">
        <f ca="1"/>
        <v>-1.4230989518841013</v>
      </c>
      <c r="X1296" s="2">
        <f ca="1"/>
        <v>35.489618020458792</v>
      </c>
      <c r="AG1296" s="2">
        <f ca="1"/>
        <v>0.32976006307410666</v>
      </c>
      <c r="AH1296" s="2" t="str">
        <f ca="1"/>
        <v>OK</v>
      </c>
    </row>
    <row r="1297" spans="2:34" x14ac:dyDescent="0.2">
      <c r="B1297" s="2">
        <f ca="1"/>
        <v>0.73285708687393081</v>
      </c>
      <c r="O1297" s="2">
        <f ca="1"/>
        <v>-1.3683824680238061</v>
      </c>
      <c r="X1297" s="2">
        <f ca="1"/>
        <v>30.335466907460841</v>
      </c>
      <c r="AG1297" s="2">
        <f ca="1"/>
        <v>0.59155896886088355</v>
      </c>
      <c r="AH1297" s="2" t="str">
        <f ca="1"/>
        <v>Bad</v>
      </c>
    </row>
    <row r="1298" spans="2:34" x14ac:dyDescent="0.2">
      <c r="B1298" s="2">
        <f ca="1"/>
        <v>0.19173912771819746</v>
      </c>
      <c r="O1298" s="2">
        <f ca="1"/>
        <v>1.8486752427518605</v>
      </c>
      <c r="X1298" s="2">
        <f ca="1"/>
        <v>58.846094444364134</v>
      </c>
      <c r="AG1298" s="2">
        <f ca="1"/>
        <v>0.36546628961741789</v>
      </c>
      <c r="AH1298" s="2" t="str">
        <f ca="1"/>
        <v>OK</v>
      </c>
    </row>
    <row r="1299" spans="2:34" x14ac:dyDescent="0.2">
      <c r="B1299" s="2">
        <f ca="1"/>
        <v>0.94490694651689466</v>
      </c>
      <c r="O1299" s="2">
        <f ca="1"/>
        <v>-0.11525506103119344</v>
      </c>
      <c r="X1299" s="2">
        <f ca="1"/>
        <v>33.121328382777207</v>
      </c>
      <c r="AG1299" s="2">
        <f ca="1"/>
        <v>0.7600153586856051</v>
      </c>
      <c r="AH1299" s="2" t="str">
        <f ca="1"/>
        <v>Bad</v>
      </c>
    </row>
    <row r="1300" spans="2:34" x14ac:dyDescent="0.2">
      <c r="B1300" s="2">
        <f ca="1"/>
        <v>0.71200547520466584</v>
      </c>
      <c r="O1300" s="2">
        <f ca="1"/>
        <v>1.0127930509420009</v>
      </c>
      <c r="X1300" s="2">
        <f ca="1"/>
        <v>78.210468553227258</v>
      </c>
      <c r="AG1300" s="2">
        <f ca="1"/>
        <v>0.69363666508646005</v>
      </c>
      <c r="AH1300" s="2" t="str">
        <f ca="1"/>
        <v>Bad</v>
      </c>
    </row>
    <row r="1301" spans="2:34" x14ac:dyDescent="0.2">
      <c r="B1301" s="2">
        <f ca="1"/>
        <v>0.17596767603950791</v>
      </c>
      <c r="O1301" s="2">
        <f ca="1"/>
        <v>0.14743352703019399</v>
      </c>
      <c r="X1301" s="2">
        <f ca="1"/>
        <v>45.398567612105403</v>
      </c>
      <c r="AG1301" s="2">
        <f ca="1"/>
        <v>7.5572830718918516E-2</v>
      </c>
      <c r="AH1301" s="2" t="str">
        <f ca="1"/>
        <v>OK</v>
      </c>
    </row>
    <row r="1302" spans="2:34" x14ac:dyDescent="0.2">
      <c r="B1302" s="2">
        <f ca="1"/>
        <v>0.22562730846001222</v>
      </c>
      <c r="O1302" s="2">
        <f ca="1"/>
        <v>0.80434158910255482</v>
      </c>
      <c r="X1302" s="2">
        <f ca="1"/>
        <v>41.518980600395771</v>
      </c>
      <c r="AG1302" s="2">
        <f ca="1"/>
        <v>4.5669266021774568E-2</v>
      </c>
      <c r="AH1302" s="2" t="str">
        <f ca="1"/>
        <v>Good</v>
      </c>
    </row>
    <row r="1303" spans="2:34" x14ac:dyDescent="0.2">
      <c r="B1303" s="2">
        <f ca="1"/>
        <v>0.12228044074317612</v>
      </c>
      <c r="O1303" s="2">
        <f ca="1"/>
        <v>-0.51565983441512531</v>
      </c>
      <c r="X1303" s="2">
        <f ca="1"/>
        <v>54.80721319255246</v>
      </c>
      <c r="AG1303" s="2">
        <f ca="1"/>
        <v>0.973437252519604</v>
      </c>
      <c r="AH1303" s="2" t="str">
        <f ca="1"/>
        <v>Bad</v>
      </c>
    </row>
    <row r="1304" spans="2:34" x14ac:dyDescent="0.2">
      <c r="B1304" s="2">
        <f ca="1"/>
        <v>0.36698827306766568</v>
      </c>
      <c r="O1304" s="2">
        <f ca="1"/>
        <v>0.85298874537779967</v>
      </c>
      <c r="X1304" s="2">
        <f ca="1"/>
        <v>54.454537527733031</v>
      </c>
      <c r="AG1304" s="2">
        <f ca="1"/>
        <v>0.74805281253649469</v>
      </c>
      <c r="AH1304" s="2" t="str">
        <f ca="1"/>
        <v>Bad</v>
      </c>
    </row>
    <row r="1305" spans="2:34" x14ac:dyDescent="0.2">
      <c r="B1305" s="2">
        <f ca="1"/>
        <v>0.9430556510728525</v>
      </c>
      <c r="O1305" s="2">
        <f ca="1"/>
        <v>0.15378873274304039</v>
      </c>
      <c r="X1305" s="2">
        <f ca="1"/>
        <v>60.278542789524614</v>
      </c>
      <c r="AG1305" s="2">
        <f ca="1"/>
        <v>0.29057248453386197</v>
      </c>
      <c r="AH1305" s="2" t="str">
        <f ca="1"/>
        <v>OK</v>
      </c>
    </row>
    <row r="1306" spans="2:34" x14ac:dyDescent="0.2">
      <c r="B1306" s="2">
        <f ca="1"/>
        <v>0.6951782978705463</v>
      </c>
      <c r="O1306" s="2">
        <f ca="1"/>
        <v>-1.2687604418668292</v>
      </c>
      <c r="X1306" s="2">
        <f ca="1"/>
        <v>30.018324935701909</v>
      </c>
      <c r="AG1306" s="2">
        <f ca="1"/>
        <v>0.16337621328434482</v>
      </c>
      <c r="AH1306" s="2" t="str">
        <f ca="1"/>
        <v>OK</v>
      </c>
    </row>
    <row r="1307" spans="2:34" x14ac:dyDescent="0.2">
      <c r="B1307" s="2">
        <f ca="1"/>
        <v>0.14475226693039067</v>
      </c>
      <c r="O1307" s="2">
        <f ca="1"/>
        <v>1.3397241866224026</v>
      </c>
      <c r="X1307" s="2">
        <f ca="1"/>
        <v>43.693494032453486</v>
      </c>
      <c r="AG1307" s="2">
        <f ca="1"/>
        <v>0.40305299130578165</v>
      </c>
      <c r="AH1307" s="2" t="str">
        <f ca="1"/>
        <v>Bad</v>
      </c>
    </row>
    <row r="1308" spans="2:34" x14ac:dyDescent="0.2">
      <c r="B1308" s="2">
        <f ca="1"/>
        <v>0.5135479134429779</v>
      </c>
      <c r="O1308" s="2">
        <f ca="1"/>
        <v>-0.85648413014628821</v>
      </c>
      <c r="X1308" s="2">
        <f ca="1"/>
        <v>62.262011967561612</v>
      </c>
      <c r="AG1308" s="2">
        <f ca="1"/>
        <v>0.76892439689281478</v>
      </c>
      <c r="AH1308" s="2" t="str">
        <f ca="1"/>
        <v>Bad</v>
      </c>
    </row>
    <row r="1309" spans="2:34" x14ac:dyDescent="0.2">
      <c r="B1309" s="2">
        <f ca="1"/>
        <v>0.20270152098626681</v>
      </c>
      <c r="O1309" s="2">
        <f ca="1"/>
        <v>0.28001352985337508</v>
      </c>
      <c r="X1309" s="2">
        <f ca="1"/>
        <v>51.947947066851519</v>
      </c>
      <c r="AG1309" s="2">
        <f ca="1"/>
        <v>0.65387980188793349</v>
      </c>
      <c r="AH1309" s="2" t="str">
        <f ca="1"/>
        <v>Bad</v>
      </c>
    </row>
    <row r="1310" spans="2:34" x14ac:dyDescent="0.2">
      <c r="B1310" s="2">
        <f ca="1"/>
        <v>0.33605612312897892</v>
      </c>
      <c r="O1310" s="2">
        <f ca="1"/>
        <v>0.14243990710079854</v>
      </c>
      <c r="X1310" s="2">
        <f ca="1"/>
        <v>38.306568634852866</v>
      </c>
      <c r="AG1310" s="2">
        <f ca="1"/>
        <v>0.61445629723513862</v>
      </c>
      <c r="AH1310" s="2" t="str">
        <f ca="1"/>
        <v>Bad</v>
      </c>
    </row>
    <row r="1311" spans="2:34" x14ac:dyDescent="0.2">
      <c r="B1311" s="2">
        <f ca="1"/>
        <v>0.60052572530186099</v>
      </c>
      <c r="O1311" s="2">
        <f ca="1"/>
        <v>-0.14335222346392421</v>
      </c>
      <c r="X1311" s="2">
        <f ca="1"/>
        <v>28.925149309347393</v>
      </c>
      <c r="AG1311" s="2">
        <f ca="1"/>
        <v>0.42884486664748134</v>
      </c>
      <c r="AH1311" s="2" t="str">
        <f ca="1"/>
        <v>Bad</v>
      </c>
    </row>
    <row r="1312" spans="2:34" x14ac:dyDescent="0.2">
      <c r="B1312" s="2">
        <f ca="1"/>
        <v>0.54414185459168896</v>
      </c>
      <c r="O1312" s="2">
        <f ca="1"/>
        <v>-0.4558879174460122</v>
      </c>
      <c r="X1312" s="2">
        <f ca="1"/>
        <v>28.560991402476748</v>
      </c>
      <c r="AG1312" s="2">
        <f ca="1"/>
        <v>0.66037795304908453</v>
      </c>
      <c r="AH1312" s="2" t="str">
        <f ca="1"/>
        <v>Bad</v>
      </c>
    </row>
    <row r="1313" spans="2:34" x14ac:dyDescent="0.2">
      <c r="B1313" s="2">
        <f ca="1"/>
        <v>0.400895199287429</v>
      </c>
      <c r="O1313" s="2">
        <f ca="1"/>
        <v>-2.2116598152705431</v>
      </c>
      <c r="X1313" s="2">
        <f ca="1"/>
        <v>51.220540317778848</v>
      </c>
      <c r="AG1313" s="2">
        <f ca="1"/>
        <v>4.7904513630047107E-2</v>
      </c>
      <c r="AH1313" s="2" t="str">
        <f ca="1"/>
        <v>Good</v>
      </c>
    </row>
    <row r="1314" spans="2:34" x14ac:dyDescent="0.2">
      <c r="B1314" s="2">
        <f ca="1"/>
        <v>0.33475206321360829</v>
      </c>
      <c r="O1314" s="2">
        <f ca="1"/>
        <v>0.60044156978389907</v>
      </c>
      <c r="X1314" s="2">
        <f ca="1"/>
        <v>49.074832733803106</v>
      </c>
      <c r="AG1314" s="2">
        <f ca="1"/>
        <v>0.22803702953716698</v>
      </c>
      <c r="AH1314" s="2" t="str">
        <f ca="1"/>
        <v>OK</v>
      </c>
    </row>
    <row r="1315" spans="2:34" x14ac:dyDescent="0.2">
      <c r="B1315" s="2">
        <f ca="1"/>
        <v>0.23364772460564565</v>
      </c>
      <c r="O1315" s="2">
        <f ca="1"/>
        <v>-0.98773275505205427</v>
      </c>
      <c r="X1315" s="2">
        <f ca="1"/>
        <v>29.661617881787123</v>
      </c>
      <c r="AG1315" s="2">
        <f ca="1"/>
        <v>0.76748991890752549</v>
      </c>
      <c r="AH1315" s="2" t="str">
        <f ca="1"/>
        <v>Bad</v>
      </c>
    </row>
    <row r="1316" spans="2:34" x14ac:dyDescent="0.2">
      <c r="B1316" s="2">
        <f ca="1"/>
        <v>0.47972309211330377</v>
      </c>
      <c r="O1316" s="2">
        <f ca="1"/>
        <v>0.30043613775036865</v>
      </c>
      <c r="X1316" s="2">
        <f ca="1"/>
        <v>70.515465428795352</v>
      </c>
      <c r="AG1316" s="2">
        <f ca="1"/>
        <v>0.99884505154526559</v>
      </c>
      <c r="AH1316" s="2" t="str">
        <f ca="1"/>
        <v>Bad</v>
      </c>
    </row>
    <row r="1317" spans="2:34" x14ac:dyDescent="0.2">
      <c r="B1317" s="2">
        <f ca="1"/>
        <v>0.2464680358633311</v>
      </c>
      <c r="O1317" s="2">
        <f ca="1"/>
        <v>1.0278023013081186</v>
      </c>
      <c r="X1317" s="2">
        <f ca="1"/>
        <v>56.936355219457894</v>
      </c>
      <c r="AG1317" s="2">
        <f ca="1"/>
        <v>0.95101679561051733</v>
      </c>
      <c r="AH1317" s="2" t="str">
        <f ca="1"/>
        <v>Bad</v>
      </c>
    </row>
    <row r="1318" spans="2:34" x14ac:dyDescent="0.2">
      <c r="B1318" s="2">
        <f ca="1"/>
        <v>0.31266829888890335</v>
      </c>
      <c r="O1318" s="2">
        <f ca="1"/>
        <v>0.61405912852184219</v>
      </c>
      <c r="X1318" s="2">
        <f ca="1"/>
        <v>56.506340250186156</v>
      </c>
      <c r="AG1318" s="2">
        <f ca="1"/>
        <v>0.64233012806435563</v>
      </c>
      <c r="AH1318" s="2" t="str">
        <f ca="1"/>
        <v>Bad</v>
      </c>
    </row>
    <row r="1319" spans="2:34" x14ac:dyDescent="0.2">
      <c r="B1319" s="2">
        <f ca="1"/>
        <v>5.2334454311326439E-2</v>
      </c>
      <c r="O1319" s="2">
        <f ca="1"/>
        <v>0.40279841078830053</v>
      </c>
      <c r="X1319" s="2">
        <f ca="1"/>
        <v>53.631583003447034</v>
      </c>
      <c r="AG1319" s="2">
        <f ca="1"/>
        <v>0.40937544507966805</v>
      </c>
      <c r="AH1319" s="2" t="str">
        <f ca="1"/>
        <v>Bad</v>
      </c>
    </row>
    <row r="1320" spans="2:34" x14ac:dyDescent="0.2">
      <c r="B1320" s="2">
        <f ca="1"/>
        <v>0.77595436659492512</v>
      </c>
      <c r="O1320" s="2">
        <f ca="1"/>
        <v>1.0261103399634699</v>
      </c>
      <c r="X1320" s="2">
        <f ca="1"/>
        <v>60.290732950663838</v>
      </c>
      <c r="AG1320" s="2">
        <f ca="1"/>
        <v>0.86843483837275781</v>
      </c>
      <c r="AH1320" s="2" t="str">
        <f ca="1"/>
        <v>Bad</v>
      </c>
    </row>
    <row r="1321" spans="2:34" x14ac:dyDescent="0.2">
      <c r="B1321" s="2">
        <f ca="1"/>
        <v>0.77011653250904155</v>
      </c>
      <c r="O1321" s="2">
        <f ca="1"/>
        <v>0.9841634264974537</v>
      </c>
      <c r="X1321" s="2">
        <f ca="1"/>
        <v>55.072065626577043</v>
      </c>
      <c r="AG1321" s="2">
        <f ca="1"/>
        <v>0.82887955423344417</v>
      </c>
      <c r="AH1321" s="2" t="str">
        <f ca="1"/>
        <v>Bad</v>
      </c>
    </row>
    <row r="1322" spans="2:34" x14ac:dyDescent="0.2">
      <c r="B1322" s="2">
        <f ca="1"/>
        <v>0.34908291820353865</v>
      </c>
      <c r="O1322" s="2">
        <f ca="1"/>
        <v>1.5504471991608235</v>
      </c>
      <c r="X1322" s="2">
        <f ca="1"/>
        <v>55.37452607609498</v>
      </c>
      <c r="AG1322" s="2">
        <f ca="1"/>
        <v>0.6909557132427262</v>
      </c>
      <c r="AH1322" s="2" t="str">
        <f ca="1"/>
        <v>Bad</v>
      </c>
    </row>
    <row r="1323" spans="2:34" x14ac:dyDescent="0.2">
      <c r="B1323" s="2">
        <f ca="1"/>
        <v>5.5998696956161442E-2</v>
      </c>
      <c r="O1323" s="2">
        <f ca="1"/>
        <v>0.5982637760787064</v>
      </c>
      <c r="X1323" s="2">
        <f ca="1"/>
        <v>61.679938931254853</v>
      </c>
      <c r="AG1323" s="2">
        <f ca="1"/>
        <v>0.16104461451618124</v>
      </c>
      <c r="AH1323" s="2" t="str">
        <f ca="1"/>
        <v>OK</v>
      </c>
    </row>
    <row r="1324" spans="2:34" x14ac:dyDescent="0.2">
      <c r="B1324" s="2">
        <f ca="1"/>
        <v>0.15217877870044605</v>
      </c>
      <c r="O1324" s="2">
        <f ca="1"/>
        <v>1.0793932078878132</v>
      </c>
      <c r="X1324" s="2">
        <f ca="1"/>
        <v>40.666131589044696</v>
      </c>
      <c r="AG1324" s="2">
        <f ca="1"/>
        <v>0.95506072816117737</v>
      </c>
      <c r="AH1324" s="2" t="str">
        <f ca="1"/>
        <v>Bad</v>
      </c>
    </row>
    <row r="1325" spans="2:34" x14ac:dyDescent="0.2">
      <c r="B1325" s="2">
        <f ca="1"/>
        <v>0.53642804710799741</v>
      </c>
      <c r="O1325" s="2">
        <f ca="1"/>
        <v>0.64415900866780651</v>
      </c>
      <c r="X1325" s="2">
        <f ca="1"/>
        <v>43.120496043174448</v>
      </c>
      <c r="AG1325" s="2">
        <f ca="1"/>
        <v>0.37302593488855829</v>
      </c>
      <c r="AH1325" s="2" t="str">
        <f ca="1"/>
        <v>OK</v>
      </c>
    </row>
    <row r="1326" spans="2:34" x14ac:dyDescent="0.2">
      <c r="B1326" s="2">
        <f ca="1"/>
        <v>0.91796499741698301</v>
      </c>
      <c r="O1326" s="2">
        <f ca="1"/>
        <v>0.90027774280338668</v>
      </c>
      <c r="X1326" s="2">
        <f ca="1"/>
        <v>54.779682513570698</v>
      </c>
      <c r="AG1326" s="2">
        <f ca="1"/>
        <v>0.15920738942174917</v>
      </c>
      <c r="AH1326" s="2" t="str">
        <f ca="1"/>
        <v>OK</v>
      </c>
    </row>
    <row r="1327" spans="2:34" x14ac:dyDescent="0.2">
      <c r="B1327" s="2">
        <f ca="1"/>
        <v>0.51100943324322512</v>
      </c>
      <c r="O1327" s="2">
        <f ca="1"/>
        <v>0.59467394670134766</v>
      </c>
      <c r="X1327" s="2">
        <f ca="1"/>
        <v>57.529490281085216</v>
      </c>
      <c r="AG1327" s="2">
        <f ca="1"/>
        <v>0.72930063977207116</v>
      </c>
      <c r="AH1327" s="2" t="str">
        <f ca="1"/>
        <v>Bad</v>
      </c>
    </row>
    <row r="1328" spans="2:34" x14ac:dyDescent="0.2">
      <c r="B1328" s="2">
        <f ca="1"/>
        <v>0.7826007577922216</v>
      </c>
      <c r="O1328" s="2">
        <f ca="1"/>
        <v>-1.380200906290298</v>
      </c>
      <c r="X1328" s="2">
        <f ca="1"/>
        <v>45.280636241220208</v>
      </c>
      <c r="AG1328" s="2">
        <f ca="1"/>
        <v>0.39487810103580046</v>
      </c>
      <c r="AH1328" s="2" t="str">
        <f ca="1"/>
        <v>OK</v>
      </c>
    </row>
    <row r="1329" spans="2:34" x14ac:dyDescent="0.2">
      <c r="B1329" s="2">
        <f ca="1"/>
        <v>0.624256287258252</v>
      </c>
      <c r="O1329" s="2">
        <f ca="1"/>
        <v>-0.13466779294328377</v>
      </c>
      <c r="X1329" s="2">
        <f ca="1"/>
        <v>54.743199332237602</v>
      </c>
      <c r="AG1329" s="2">
        <f ca="1"/>
        <v>0.78025096155047491</v>
      </c>
      <c r="AH1329" s="2" t="str">
        <f ca="1"/>
        <v>Bad</v>
      </c>
    </row>
    <row r="1330" spans="2:34" x14ac:dyDescent="0.2">
      <c r="B1330" s="2">
        <f ca="1"/>
        <v>0.3420960955251735</v>
      </c>
      <c r="O1330" s="2">
        <f ca="1"/>
        <v>1.17598972283366</v>
      </c>
      <c r="X1330" s="2">
        <f ca="1"/>
        <v>50.310050744268878</v>
      </c>
      <c r="AG1330" s="2">
        <f ca="1"/>
        <v>0.79239188903832325</v>
      </c>
      <c r="AH1330" s="2" t="str">
        <f ca="1"/>
        <v>Bad</v>
      </c>
    </row>
    <row r="1331" spans="2:34" x14ac:dyDescent="0.2">
      <c r="B1331" s="2">
        <f ca="1"/>
        <v>0.83369577884676005</v>
      </c>
      <c r="O1331" s="2">
        <f ca="1"/>
        <v>7.5723964791199097E-2</v>
      </c>
      <c r="X1331" s="2">
        <f ca="1"/>
        <v>47.877715162215644</v>
      </c>
      <c r="AG1331" s="2">
        <f ca="1"/>
        <v>0.48545835659674519</v>
      </c>
      <c r="AH1331" s="2" t="str">
        <f ca="1"/>
        <v>Bad</v>
      </c>
    </row>
    <row r="1332" spans="2:34" x14ac:dyDescent="0.2">
      <c r="B1332" s="2">
        <f ca="1"/>
        <v>0.13456688685762042</v>
      </c>
      <c r="O1332" s="2">
        <f ca="1"/>
        <v>0.39737096049564236</v>
      </c>
      <c r="X1332" s="2">
        <f ca="1"/>
        <v>30.247878916938838</v>
      </c>
      <c r="AG1332" s="2">
        <f ca="1"/>
        <v>0.52908102976416327</v>
      </c>
      <c r="AH1332" s="2" t="str">
        <f ca="1"/>
        <v>Bad</v>
      </c>
    </row>
    <row r="1333" spans="2:34" x14ac:dyDescent="0.2">
      <c r="B1333" s="2">
        <f ca="1"/>
        <v>0.15178407844241915</v>
      </c>
      <c r="O1333" s="2">
        <f ca="1"/>
        <v>0.76229621785016644</v>
      </c>
      <c r="X1333" s="2">
        <f ca="1"/>
        <v>37.516018971701598</v>
      </c>
      <c r="AG1333" s="2">
        <f ca="1"/>
        <v>0.37753913170130615</v>
      </c>
      <c r="AH1333" s="2" t="str">
        <f ca="1"/>
        <v>OK</v>
      </c>
    </row>
    <row r="1334" spans="2:34" x14ac:dyDescent="0.2">
      <c r="B1334" s="2">
        <f ca="1"/>
        <v>0.94966229045176709</v>
      </c>
      <c r="O1334" s="2">
        <f ca="1"/>
        <v>1.3340220884996439</v>
      </c>
      <c r="X1334" s="2">
        <f ca="1"/>
        <v>67.656087316071151</v>
      </c>
      <c r="AG1334" s="2">
        <f ca="1"/>
        <v>0.21359414253149578</v>
      </c>
      <c r="AH1334" s="2" t="str">
        <f ca="1"/>
        <v>OK</v>
      </c>
    </row>
    <row r="1335" spans="2:34" x14ac:dyDescent="0.2">
      <c r="B1335" s="2">
        <f ca="1"/>
        <v>0.7731013275092633</v>
      </c>
      <c r="O1335" s="2">
        <f ca="1"/>
        <v>-0.2243418240488376</v>
      </c>
      <c r="X1335" s="2">
        <f ca="1"/>
        <v>51.145912483984674</v>
      </c>
      <c r="AG1335" s="2">
        <f ca="1"/>
        <v>0.28600976438835501</v>
      </c>
      <c r="AH1335" s="2" t="str">
        <f ca="1"/>
        <v>OK</v>
      </c>
    </row>
    <row r="1336" spans="2:34" x14ac:dyDescent="0.2">
      <c r="B1336" s="2">
        <f ca="1"/>
        <v>0.13550309403129712</v>
      </c>
      <c r="O1336" s="2">
        <f ca="1"/>
        <v>0.68826905608825584</v>
      </c>
      <c r="X1336" s="2">
        <f ca="1"/>
        <v>51.517285991767466</v>
      </c>
      <c r="AG1336" s="2">
        <f ca="1"/>
        <v>0.26092367703883168</v>
      </c>
      <c r="AH1336" s="2" t="str">
        <f ca="1"/>
        <v>OK</v>
      </c>
    </row>
    <row r="1337" spans="2:34" x14ac:dyDescent="0.2">
      <c r="B1337" s="2">
        <f ca="1"/>
        <v>0.35049259944993394</v>
      </c>
      <c r="O1337" s="2">
        <f ca="1"/>
        <v>0.1091118424883524</v>
      </c>
      <c r="X1337" s="2">
        <f ca="1"/>
        <v>27.343781345956696</v>
      </c>
      <c r="AG1337" s="2">
        <f ca="1"/>
        <v>0.70318731811317958</v>
      </c>
      <c r="AH1337" s="2" t="str">
        <f ca="1"/>
        <v>Bad</v>
      </c>
    </row>
    <row r="1338" spans="2:34" x14ac:dyDescent="0.2">
      <c r="B1338" s="2">
        <f ca="1"/>
        <v>0.35163376467318019</v>
      </c>
      <c r="O1338" s="2">
        <f ca="1"/>
        <v>0.71015832120664268</v>
      </c>
      <c r="X1338" s="2">
        <f ca="1"/>
        <v>50.267926302619053</v>
      </c>
      <c r="AG1338" s="2">
        <f ca="1"/>
        <v>5.6364864447270069E-2</v>
      </c>
      <c r="AH1338" s="2" t="str">
        <f ca="1"/>
        <v>OK</v>
      </c>
    </row>
    <row r="1339" spans="2:34" x14ac:dyDescent="0.2">
      <c r="B1339" s="2">
        <f ca="1"/>
        <v>0.35914085811073959</v>
      </c>
      <c r="O1339" s="2">
        <f ca="1"/>
        <v>-0.86254661588275638</v>
      </c>
      <c r="X1339" s="2">
        <f ca="1"/>
        <v>32.865091406591446</v>
      </c>
      <c r="AG1339" s="2">
        <f ca="1"/>
        <v>0.37433033989857356</v>
      </c>
      <c r="AH1339" s="2" t="str">
        <f ca="1"/>
        <v>OK</v>
      </c>
    </row>
    <row r="1340" spans="2:34" x14ac:dyDescent="0.2">
      <c r="B1340" s="2">
        <f ca="1"/>
        <v>0.26835173086572439</v>
      </c>
      <c r="O1340" s="2">
        <f ca="1"/>
        <v>1.0057527639070676</v>
      </c>
      <c r="X1340" s="2">
        <f ca="1"/>
        <v>26.492978089032164</v>
      </c>
      <c r="AG1340" s="2">
        <f ca="1"/>
        <v>0.66722965143566682</v>
      </c>
      <c r="AH1340" s="2" t="str">
        <f ca="1"/>
        <v>Bad</v>
      </c>
    </row>
    <row r="1341" spans="2:34" x14ac:dyDescent="0.2">
      <c r="B1341" s="2">
        <f ca="1"/>
        <v>0.43064708468225166</v>
      </c>
      <c r="O1341" s="2">
        <f ca="1"/>
        <v>1.264974497186611</v>
      </c>
      <c r="X1341" s="2">
        <f ca="1"/>
        <v>59.511546042282227</v>
      </c>
      <c r="AG1341" s="2">
        <f ca="1"/>
        <v>0.34718858135535791</v>
      </c>
      <c r="AH1341" s="2" t="str">
        <f ca="1"/>
        <v>OK</v>
      </c>
    </row>
    <row r="1342" spans="2:34" x14ac:dyDescent="0.2">
      <c r="B1342" s="2">
        <f ca="1"/>
        <v>0.4477751110626158</v>
      </c>
      <c r="O1342" s="2">
        <f ca="1"/>
        <v>1.6722808979821964</v>
      </c>
      <c r="X1342" s="2">
        <f ca="1"/>
        <v>68.327646162861427</v>
      </c>
      <c r="AG1342" s="2">
        <f ca="1"/>
        <v>0.82718981934271385</v>
      </c>
      <c r="AH1342" s="2" t="str">
        <f ca="1"/>
        <v>Bad</v>
      </c>
    </row>
    <row r="1343" spans="2:34" x14ac:dyDescent="0.2">
      <c r="B1343" s="2">
        <f ca="1"/>
        <v>0.509464122931087</v>
      </c>
      <c r="O1343" s="2">
        <f ca="1"/>
        <v>-0.4482863648786804</v>
      </c>
      <c r="X1343" s="2">
        <f ca="1"/>
        <v>59.487681467642794</v>
      </c>
      <c r="AG1343" s="2">
        <f ca="1"/>
        <v>0.24622831544676527</v>
      </c>
      <c r="AH1343" s="2" t="str">
        <f ca="1"/>
        <v>OK</v>
      </c>
    </row>
    <row r="1344" spans="2:34" x14ac:dyDescent="0.2">
      <c r="B1344" s="2">
        <f ca="1"/>
        <v>4.0054803436702979E-2</v>
      </c>
      <c r="O1344" s="2">
        <f ca="1"/>
        <v>1.654710412633255</v>
      </c>
      <c r="X1344" s="2">
        <f ca="1"/>
        <v>49.431935321480566</v>
      </c>
      <c r="AG1344" s="2">
        <f ca="1"/>
        <v>0.88673466559898384</v>
      </c>
      <c r="AH1344" s="2" t="str">
        <f ca="1"/>
        <v>Bad</v>
      </c>
    </row>
    <row r="1345" spans="2:34" x14ac:dyDescent="0.2">
      <c r="B1345" s="2">
        <f ca="1"/>
        <v>9.8134098025184802E-2</v>
      </c>
      <c r="O1345" s="2">
        <f ca="1"/>
        <v>1.9367625395799146</v>
      </c>
      <c r="X1345" s="2">
        <f ca="1"/>
        <v>54.400725660310385</v>
      </c>
      <c r="AG1345" s="2">
        <f ca="1"/>
        <v>5.229467383024633E-2</v>
      </c>
      <c r="AH1345" s="2" t="str">
        <f ca="1"/>
        <v>OK</v>
      </c>
    </row>
    <row r="1346" spans="2:34" x14ac:dyDescent="0.2">
      <c r="B1346" s="2">
        <f ca="1"/>
        <v>5.0829791516625589E-2</v>
      </c>
      <c r="O1346" s="2">
        <f ca="1"/>
        <v>-2.1371016225273376</v>
      </c>
      <c r="X1346" s="2">
        <f ca="1"/>
        <v>69.348730527754014</v>
      </c>
      <c r="AG1346" s="2">
        <f ca="1"/>
        <v>0.42844660794162315</v>
      </c>
      <c r="AH1346" s="2" t="str">
        <f ca="1"/>
        <v>Bad</v>
      </c>
    </row>
    <row r="1347" spans="2:34" x14ac:dyDescent="0.2">
      <c r="B1347" s="2">
        <f ca="1"/>
        <v>0.38380590647589496</v>
      </c>
      <c r="O1347" s="2">
        <f ca="1"/>
        <v>-1.6962779758409865</v>
      </c>
      <c r="X1347" s="2">
        <f ca="1"/>
        <v>29.778969243139187</v>
      </c>
      <c r="AG1347" s="2">
        <f ca="1"/>
        <v>0.54821279750930652</v>
      </c>
      <c r="AH1347" s="2" t="str">
        <f ca="1"/>
        <v>Bad</v>
      </c>
    </row>
    <row r="1348" spans="2:34" x14ac:dyDescent="0.2">
      <c r="B1348" s="2">
        <f ca="1"/>
        <v>3.9281350221019862E-2</v>
      </c>
      <c r="O1348" s="2">
        <f ca="1"/>
        <v>-0.16132088754999124</v>
      </c>
      <c r="X1348" s="2">
        <f ca="1"/>
        <v>62.004300849708756</v>
      </c>
      <c r="AG1348" s="2">
        <f ca="1"/>
        <v>0.78403103186557233</v>
      </c>
      <c r="AH1348" s="2" t="str">
        <f ca="1"/>
        <v>Bad</v>
      </c>
    </row>
    <row r="1349" spans="2:34" x14ac:dyDescent="0.2">
      <c r="B1349" s="2">
        <f ca="1"/>
        <v>0.89791855997529768</v>
      </c>
      <c r="O1349" s="2">
        <f ca="1"/>
        <v>-2.5705534264002288</v>
      </c>
      <c r="X1349" s="2">
        <f ca="1"/>
        <v>50.068052700832084</v>
      </c>
      <c r="AG1349" s="2">
        <f ca="1"/>
        <v>0.48100656098698003</v>
      </c>
      <c r="AH1349" s="2" t="str">
        <f ca="1"/>
        <v>Bad</v>
      </c>
    </row>
    <row r="1350" spans="2:34" x14ac:dyDescent="0.2">
      <c r="B1350" s="2">
        <f ca="1"/>
        <v>0.96230880097872795</v>
      </c>
      <c r="O1350" s="2">
        <f ca="1"/>
        <v>-1.6600261639393568</v>
      </c>
      <c r="X1350" s="2">
        <f ca="1"/>
        <v>40.885280557416138</v>
      </c>
      <c r="AG1350" s="2">
        <f ca="1"/>
        <v>0.46397908433644308</v>
      </c>
      <c r="AH1350" s="2" t="str">
        <f ca="1"/>
        <v>Bad</v>
      </c>
    </row>
    <row r="1351" spans="2:34" x14ac:dyDescent="0.2">
      <c r="B1351" s="2">
        <f ca="1"/>
        <v>0.45988933298430146</v>
      </c>
      <c r="O1351" s="2">
        <f ca="1"/>
        <v>-0.59331093127298751</v>
      </c>
      <c r="X1351" s="2">
        <f ca="1"/>
        <v>54.443456201776463</v>
      </c>
      <c r="AG1351" s="2">
        <f ca="1"/>
        <v>0.29992524710987944</v>
      </c>
      <c r="AH1351" s="2" t="str">
        <f ca="1"/>
        <v>OK</v>
      </c>
    </row>
    <row r="1352" spans="2:34" x14ac:dyDescent="0.2">
      <c r="B1352" s="2">
        <f ca="1"/>
        <v>0.26658775030547832</v>
      </c>
      <c r="O1352" s="2">
        <f ca="1"/>
        <v>9.2271092498324769E-2</v>
      </c>
      <c r="X1352" s="2">
        <f ca="1"/>
        <v>33.306231451061116</v>
      </c>
      <c r="AG1352" s="2">
        <f ca="1"/>
        <v>0.59209407848012319</v>
      </c>
      <c r="AH1352" s="2" t="str">
        <f ca="1"/>
        <v>Bad</v>
      </c>
    </row>
    <row r="1353" spans="2:34" x14ac:dyDescent="0.2">
      <c r="B1353" s="2">
        <f ca="1"/>
        <v>0.4269934889358975</v>
      </c>
      <c r="O1353" s="2">
        <f ca="1"/>
        <v>-0.68290469612198312</v>
      </c>
      <c r="X1353" s="2">
        <f ca="1"/>
        <v>66.514517187373613</v>
      </c>
      <c r="AG1353" s="2">
        <f ca="1"/>
        <v>9.2659580667399988E-2</v>
      </c>
      <c r="AH1353" s="2" t="str">
        <f ca="1"/>
        <v>OK</v>
      </c>
    </row>
    <row r="1354" spans="2:34" x14ac:dyDescent="0.2">
      <c r="B1354" s="2">
        <f ca="1"/>
        <v>0.29257729275316957</v>
      </c>
      <c r="O1354" s="2">
        <f ca="1"/>
        <v>-0.73850808927732559</v>
      </c>
      <c r="X1354" s="2">
        <f ca="1"/>
        <v>58.520509245934008</v>
      </c>
      <c r="AG1354" s="2">
        <f ca="1"/>
        <v>0.71971680079226008</v>
      </c>
      <c r="AH1354" s="2" t="str">
        <f ca="1"/>
        <v>Bad</v>
      </c>
    </row>
    <row r="1355" spans="2:34" x14ac:dyDescent="0.2">
      <c r="B1355" s="2">
        <f ca="1"/>
        <v>0.23863822600415152</v>
      </c>
      <c r="O1355" s="2">
        <f ca="1"/>
        <v>0.73812292602162022</v>
      </c>
      <c r="X1355" s="2">
        <f ca="1"/>
        <v>33.525008839950438</v>
      </c>
      <c r="AG1355" s="2">
        <f ca="1"/>
        <v>0.80887157717248104</v>
      </c>
      <c r="AH1355" s="2" t="str">
        <f ca="1"/>
        <v>Bad</v>
      </c>
    </row>
    <row r="1356" spans="2:34" x14ac:dyDescent="0.2">
      <c r="B1356" s="2">
        <f ca="1"/>
        <v>0.81752356181690811</v>
      </c>
      <c r="O1356" s="2">
        <f ca="1"/>
        <v>0.63389068748768695</v>
      </c>
      <c r="X1356" s="2">
        <f ca="1"/>
        <v>79.710209822526011</v>
      </c>
      <c r="AG1356" s="2">
        <f ca="1"/>
        <v>0.61597814442700005</v>
      </c>
      <c r="AH1356" s="2" t="str">
        <f ca="1"/>
        <v>Bad</v>
      </c>
    </row>
    <row r="1357" spans="2:34" x14ac:dyDescent="0.2">
      <c r="B1357" s="2">
        <f ca="1"/>
        <v>0.3097096767649361</v>
      </c>
      <c r="O1357" s="2">
        <f ca="1"/>
        <v>2.9521396613631246</v>
      </c>
      <c r="X1357" s="2">
        <f ca="1"/>
        <v>38.852876383691488</v>
      </c>
      <c r="AG1357" s="2">
        <f ca="1"/>
        <v>0.92441177719264322</v>
      </c>
      <c r="AH1357" s="2" t="str">
        <f ca="1"/>
        <v>Bad</v>
      </c>
    </row>
    <row r="1358" spans="2:34" x14ac:dyDescent="0.2">
      <c r="B1358" s="2">
        <f ca="1"/>
        <v>0.99504293121066678</v>
      </c>
      <c r="O1358" s="2">
        <f ca="1"/>
        <v>0.37491273094419508</v>
      </c>
      <c r="X1358" s="2">
        <f ca="1"/>
        <v>32.914798575468573</v>
      </c>
      <c r="AG1358" s="2">
        <f ca="1"/>
        <v>0.75172432154137492</v>
      </c>
      <c r="AH1358" s="2" t="str">
        <f ca="1"/>
        <v>Bad</v>
      </c>
    </row>
    <row r="1359" spans="2:34" x14ac:dyDescent="0.2">
      <c r="B1359" s="2">
        <f ca="1"/>
        <v>0.98026147638220196</v>
      </c>
      <c r="O1359" s="2">
        <f ca="1"/>
        <v>0.46298069057613556</v>
      </c>
      <c r="X1359" s="2">
        <f ca="1"/>
        <v>35.992460792097688</v>
      </c>
      <c r="AG1359" s="2">
        <f ca="1"/>
        <v>0.65878700696479853</v>
      </c>
      <c r="AH1359" s="2" t="str">
        <f ca="1"/>
        <v>Bad</v>
      </c>
    </row>
    <row r="1360" spans="2:34" x14ac:dyDescent="0.2">
      <c r="B1360" s="2">
        <f ca="1"/>
        <v>0.38409248847540889</v>
      </c>
      <c r="O1360" s="2">
        <f ca="1"/>
        <v>1.3417278550443001</v>
      </c>
      <c r="X1360" s="2">
        <f ca="1"/>
        <v>73.515059434379964</v>
      </c>
      <c r="AG1360" s="2">
        <f ca="1"/>
        <v>0.56287577380606102</v>
      </c>
      <c r="AH1360" s="2" t="str">
        <f ca="1"/>
        <v>Bad</v>
      </c>
    </row>
    <row r="1361" spans="2:34" x14ac:dyDescent="0.2">
      <c r="B1361" s="2">
        <f ca="1"/>
        <v>0.99912055421007473</v>
      </c>
      <c r="O1361" s="2">
        <f ca="1"/>
        <v>-0.25731077793984064</v>
      </c>
      <c r="X1361" s="2">
        <f ca="1"/>
        <v>40.715704890218738</v>
      </c>
      <c r="AG1361" s="2">
        <f ca="1"/>
        <v>0.52232596548558607</v>
      </c>
      <c r="AH1361" s="2" t="str">
        <f ca="1"/>
        <v>Bad</v>
      </c>
    </row>
    <row r="1362" spans="2:34" x14ac:dyDescent="0.2">
      <c r="B1362" s="2">
        <f ca="1"/>
        <v>0.17714396159084722</v>
      </c>
      <c r="O1362" s="2">
        <f ca="1"/>
        <v>-1.0025129032151447</v>
      </c>
      <c r="X1362" s="2">
        <f ca="1"/>
        <v>40.961892037936764</v>
      </c>
      <c r="AG1362" s="2">
        <f ca="1"/>
        <v>0.95617085714495298</v>
      </c>
      <c r="AH1362" s="2" t="str">
        <f ca="1"/>
        <v>Bad</v>
      </c>
    </row>
    <row r="1363" spans="2:34" x14ac:dyDescent="0.2">
      <c r="B1363" s="2">
        <f ca="1"/>
        <v>0.24422687866609016</v>
      </c>
      <c r="O1363" s="2">
        <f ca="1"/>
        <v>-6.0089766597309364E-2</v>
      </c>
      <c r="X1363" s="2">
        <f ca="1"/>
        <v>66.658284879671598</v>
      </c>
      <c r="AG1363" s="2">
        <f ca="1"/>
        <v>0.30752222700932563</v>
      </c>
      <c r="AH1363" s="2" t="str">
        <f ca="1"/>
        <v>OK</v>
      </c>
    </row>
    <row r="1364" spans="2:34" x14ac:dyDescent="0.2">
      <c r="B1364" s="2">
        <f ca="1"/>
        <v>0.61420120335686157</v>
      </c>
      <c r="O1364" s="2">
        <f ca="1"/>
        <v>0.97760055613662022</v>
      </c>
      <c r="X1364" s="2">
        <f ca="1"/>
        <v>25.688248335380479</v>
      </c>
      <c r="AG1364" s="2">
        <f ca="1"/>
        <v>0.25054231732306675</v>
      </c>
      <c r="AH1364" s="2" t="str">
        <f ca="1"/>
        <v>OK</v>
      </c>
    </row>
    <row r="1365" spans="2:34" x14ac:dyDescent="0.2">
      <c r="B1365" s="2">
        <f ca="1"/>
        <v>0.21249649823486938</v>
      </c>
      <c r="O1365" s="2">
        <f ca="1"/>
        <v>-1.348393917809231</v>
      </c>
      <c r="X1365" s="2">
        <f ca="1"/>
        <v>33.336443786345711</v>
      </c>
      <c r="AG1365" s="2">
        <f ca="1"/>
        <v>0.51865377140887281</v>
      </c>
      <c r="AH1365" s="2" t="str">
        <f ca="1"/>
        <v>Bad</v>
      </c>
    </row>
    <row r="1366" spans="2:34" x14ac:dyDescent="0.2">
      <c r="B1366" s="2">
        <f ca="1"/>
        <v>3.1158077980240728E-2</v>
      </c>
      <c r="O1366" s="2">
        <f ca="1"/>
        <v>-0.27821291127628855</v>
      </c>
      <c r="X1366" s="2">
        <f ca="1"/>
        <v>37.03452209892599</v>
      </c>
      <c r="AG1366" s="2">
        <f ca="1"/>
        <v>0.73703409450266033</v>
      </c>
      <c r="AH1366" s="2" t="str">
        <f ca="1"/>
        <v>Bad</v>
      </c>
    </row>
    <row r="1367" spans="2:34" x14ac:dyDescent="0.2">
      <c r="B1367" s="2">
        <f ca="1"/>
        <v>8.1109340460149726E-2</v>
      </c>
      <c r="O1367" s="2">
        <f ca="1"/>
        <v>-0.25883083953102587</v>
      </c>
      <c r="X1367" s="2">
        <f ca="1"/>
        <v>53.595485525048304</v>
      </c>
      <c r="AG1367" s="2">
        <f ca="1"/>
        <v>0.76233236736615773</v>
      </c>
      <c r="AH1367" s="2" t="str">
        <f ca="1"/>
        <v>Bad</v>
      </c>
    </row>
    <row r="1368" spans="2:34" x14ac:dyDescent="0.2">
      <c r="B1368" s="2">
        <f ca="1"/>
        <v>0.41161037322934013</v>
      </c>
      <c r="O1368" s="2">
        <f ca="1"/>
        <v>-1.4147907253293144</v>
      </c>
      <c r="X1368" s="2">
        <f ca="1"/>
        <v>84.118376984743833</v>
      </c>
      <c r="AG1368" s="2">
        <f ca="1"/>
        <v>0.80459424294204251</v>
      </c>
      <c r="AH1368" s="2" t="str">
        <f ca="1"/>
        <v>Bad</v>
      </c>
    </row>
    <row r="1369" spans="2:34" x14ac:dyDescent="0.2">
      <c r="B1369" s="2">
        <f ca="1"/>
        <v>0.82488389332642464</v>
      </c>
      <c r="O1369" s="2">
        <f ca="1"/>
        <v>-0.64314039801709089</v>
      </c>
      <c r="X1369" s="2">
        <f ca="1"/>
        <v>31.086391456365746</v>
      </c>
      <c r="AG1369" s="2">
        <f ca="1"/>
        <v>4.169708359426938E-2</v>
      </c>
      <c r="AH1369" s="2" t="str">
        <f ca="1"/>
        <v>Good</v>
      </c>
    </row>
    <row r="1370" spans="2:34" x14ac:dyDescent="0.2">
      <c r="B1370" s="2">
        <f ca="1"/>
        <v>0.96395105039383022</v>
      </c>
      <c r="O1370" s="2">
        <f ca="1"/>
        <v>0.59148029984428596</v>
      </c>
      <c r="X1370" s="2">
        <f ca="1"/>
        <v>88.943625845067999</v>
      </c>
      <c r="AG1370" s="2">
        <f ca="1"/>
        <v>0.19949371635678137</v>
      </c>
      <c r="AH1370" s="2" t="str">
        <f ca="1"/>
        <v>OK</v>
      </c>
    </row>
    <row r="1371" spans="2:34" x14ac:dyDescent="0.2">
      <c r="B1371" s="2">
        <f ca="1"/>
        <v>0.14005224882889289</v>
      </c>
      <c r="O1371" s="2">
        <f ca="1"/>
        <v>-0.95472038371716739</v>
      </c>
      <c r="X1371" s="2">
        <f ca="1"/>
        <v>62.770601561258218</v>
      </c>
      <c r="AG1371" s="2">
        <f ca="1"/>
        <v>0.52919773233584877</v>
      </c>
      <c r="AH1371" s="2" t="str">
        <f ca="1"/>
        <v>Bad</v>
      </c>
    </row>
    <row r="1372" spans="2:34" x14ac:dyDescent="0.2">
      <c r="B1372" s="2">
        <f ca="1"/>
        <v>0.58528734266756266</v>
      </c>
      <c r="O1372" s="2">
        <f ca="1"/>
        <v>-0.1152052951727662</v>
      </c>
      <c r="X1372" s="2">
        <f ca="1"/>
        <v>51.791993140216618</v>
      </c>
      <c r="AG1372" s="2">
        <f ca="1"/>
        <v>0.18287576967847419</v>
      </c>
      <c r="AH1372" s="2" t="str">
        <f ca="1"/>
        <v>OK</v>
      </c>
    </row>
    <row r="1373" spans="2:34" x14ac:dyDescent="0.2">
      <c r="B1373" s="2">
        <f ca="1"/>
        <v>0.30005377693984925</v>
      </c>
      <c r="O1373" s="2">
        <f ca="1"/>
        <v>-0.22148164610892304</v>
      </c>
      <c r="X1373" s="2">
        <f ca="1"/>
        <v>41.914798464834504</v>
      </c>
      <c r="AG1373" s="2">
        <f ca="1"/>
        <v>0.46277410781345529</v>
      </c>
      <c r="AH1373" s="2" t="str">
        <f ca="1"/>
        <v>Bad</v>
      </c>
    </row>
    <row r="1374" spans="2:34" x14ac:dyDescent="0.2">
      <c r="B1374" s="2">
        <f ca="1"/>
        <v>0.84866845422480419</v>
      </c>
      <c r="O1374" s="2">
        <f ca="1"/>
        <v>0.65414768053820638</v>
      </c>
      <c r="X1374" s="2">
        <f ca="1"/>
        <v>40.543541245027896</v>
      </c>
      <c r="AG1374" s="2">
        <f ca="1"/>
        <v>4.6867786133452549E-2</v>
      </c>
      <c r="AH1374" s="2" t="str">
        <f ca="1"/>
        <v>Good</v>
      </c>
    </row>
    <row r="1375" spans="2:34" x14ac:dyDescent="0.2">
      <c r="B1375" s="2">
        <f ca="1"/>
        <v>0.4462282344585109</v>
      </c>
      <c r="O1375" s="2">
        <f ca="1"/>
        <v>0.39193475910111708</v>
      </c>
      <c r="X1375" s="2">
        <f ca="1"/>
        <v>73.347233959660628</v>
      </c>
      <c r="AG1375" s="2">
        <f ca="1"/>
        <v>0.26518727111379636</v>
      </c>
      <c r="AH1375" s="2" t="str">
        <f ca="1"/>
        <v>OK</v>
      </c>
    </row>
    <row r="1376" spans="2:34" x14ac:dyDescent="0.2">
      <c r="B1376" s="2">
        <f ca="1"/>
        <v>0.45245864633365707</v>
      </c>
      <c r="O1376" s="2">
        <f ca="1"/>
        <v>1.7460940747537361</v>
      </c>
      <c r="X1376" s="2">
        <f ca="1"/>
        <v>46.743096037000207</v>
      </c>
      <c r="AG1376" s="2">
        <f ca="1"/>
        <v>0.90749922063214039</v>
      </c>
      <c r="AH1376" s="2" t="str">
        <f ca="1"/>
        <v>Bad</v>
      </c>
    </row>
    <row r="1377" spans="2:34" x14ac:dyDescent="0.2">
      <c r="B1377" s="2">
        <f ca="1"/>
        <v>0.55138224866155472</v>
      </c>
      <c r="O1377" s="2">
        <f ca="1"/>
        <v>0.13296100759682308</v>
      </c>
      <c r="X1377" s="2">
        <f ca="1"/>
        <v>45.173749363018757</v>
      </c>
      <c r="AG1377" s="2">
        <f ca="1"/>
        <v>0.57301356831856665</v>
      </c>
      <c r="AH1377" s="2" t="str">
        <f ca="1"/>
        <v>Bad</v>
      </c>
    </row>
    <row r="1378" spans="2:34" x14ac:dyDescent="0.2">
      <c r="B1378" s="2">
        <f ca="1"/>
        <v>0.39267304185847163</v>
      </c>
      <c r="O1378" s="2">
        <f ca="1"/>
        <v>1.6858405218553079</v>
      </c>
      <c r="X1378" s="2">
        <f ca="1"/>
        <v>44.220926513431579</v>
      </c>
      <c r="AG1378" s="2">
        <f ca="1"/>
        <v>0.13801928215598602</v>
      </c>
      <c r="AH1378" s="2" t="str">
        <f ca="1"/>
        <v>OK</v>
      </c>
    </row>
    <row r="1379" spans="2:34" x14ac:dyDescent="0.2">
      <c r="B1379" s="2">
        <f ca="1"/>
        <v>0.71706943950414992</v>
      </c>
      <c r="O1379" s="2">
        <f ca="1"/>
        <v>-0.9250750197242481</v>
      </c>
      <c r="X1379" s="2">
        <f ca="1"/>
        <v>63.250884564262819</v>
      </c>
      <c r="AG1379" s="2">
        <f ca="1"/>
        <v>0.4313537480143248</v>
      </c>
      <c r="AH1379" s="2" t="str">
        <f ca="1"/>
        <v>Bad</v>
      </c>
    </row>
    <row r="1380" spans="2:34" x14ac:dyDescent="0.2">
      <c r="B1380" s="2">
        <f ca="1"/>
        <v>0.7101904558135459</v>
      </c>
      <c r="O1380" s="2">
        <f ca="1"/>
        <v>-1.2698235386846217</v>
      </c>
      <c r="X1380" s="2">
        <f ca="1"/>
        <v>45.905983148327046</v>
      </c>
      <c r="AG1380" s="2">
        <f ca="1"/>
        <v>0.70706495242488021</v>
      </c>
      <c r="AH1380" s="2" t="str">
        <f ca="1"/>
        <v>Bad</v>
      </c>
    </row>
    <row r="1381" spans="2:34" x14ac:dyDescent="0.2">
      <c r="B1381" s="2">
        <f ca="1"/>
        <v>0.53153617380461449</v>
      </c>
      <c r="O1381" s="2">
        <f ca="1"/>
        <v>0.2599495568757601</v>
      </c>
      <c r="X1381" s="2">
        <f ca="1"/>
        <v>52.072554498496338</v>
      </c>
      <c r="AG1381" s="2">
        <f ca="1"/>
        <v>0.13273350165445397</v>
      </c>
      <c r="AH1381" s="2" t="str">
        <f ca="1"/>
        <v>OK</v>
      </c>
    </row>
    <row r="1382" spans="2:34" x14ac:dyDescent="0.2">
      <c r="B1382" s="2">
        <f ca="1"/>
        <v>0.93848946746260409</v>
      </c>
      <c r="O1382" s="2">
        <f ca="1"/>
        <v>0.19568284335179978</v>
      </c>
      <c r="X1382" s="2">
        <f ca="1"/>
        <v>61.575427420256794</v>
      </c>
      <c r="AG1382" s="2">
        <f ca="1"/>
        <v>3.6760230544803374E-3</v>
      </c>
      <c r="AH1382" s="2" t="str">
        <f ca="1"/>
        <v>Good</v>
      </c>
    </row>
    <row r="1383" spans="2:34" x14ac:dyDescent="0.2">
      <c r="B1383" s="2">
        <f ca="1"/>
        <v>0.28565150890203506</v>
      </c>
      <c r="O1383" s="2">
        <f ca="1"/>
        <v>-0.82912614037332633</v>
      </c>
      <c r="X1383" s="2">
        <f ca="1"/>
        <v>45.797012035429759</v>
      </c>
      <c r="AG1383" s="2">
        <f ca="1"/>
        <v>0.96484002850489081</v>
      </c>
      <c r="AH1383" s="2" t="str">
        <f ca="1"/>
        <v>Bad</v>
      </c>
    </row>
    <row r="1384" spans="2:34" x14ac:dyDescent="0.2">
      <c r="B1384" s="2">
        <f ca="1"/>
        <v>0.37494131033669209</v>
      </c>
      <c r="O1384" s="2">
        <f ca="1"/>
        <v>-0.68742189914384288</v>
      </c>
      <c r="X1384" s="2">
        <f ca="1"/>
        <v>41.216509102581576</v>
      </c>
      <c r="AG1384" s="2">
        <f ca="1"/>
        <v>0.25370200911020513</v>
      </c>
      <c r="AH1384" s="2" t="str">
        <f ca="1"/>
        <v>OK</v>
      </c>
    </row>
    <row r="1385" spans="2:34" x14ac:dyDescent="0.2">
      <c r="B1385" s="2">
        <f ca="1"/>
        <v>0.8407013705242723</v>
      </c>
      <c r="O1385" s="2">
        <f ca="1"/>
        <v>-1.0595102195773161</v>
      </c>
      <c r="X1385" s="2">
        <f ca="1"/>
        <v>44.103065859119219</v>
      </c>
      <c r="AG1385" s="2">
        <f ca="1"/>
        <v>0.61937931775768451</v>
      </c>
      <c r="AH1385" s="2" t="str">
        <f ca="1"/>
        <v>Bad</v>
      </c>
    </row>
    <row r="1386" spans="2:34" x14ac:dyDescent="0.2">
      <c r="B1386" s="2">
        <f ca="1"/>
        <v>0.2447388628789855</v>
      </c>
      <c r="O1386" s="2">
        <f ca="1"/>
        <v>0.9428872973461585</v>
      </c>
      <c r="X1386" s="2">
        <f ca="1"/>
        <v>28.472652193982718</v>
      </c>
      <c r="AG1386" s="2">
        <f ca="1"/>
        <v>0.19546034161144998</v>
      </c>
      <c r="AH1386" s="2" t="str">
        <f ca="1"/>
        <v>OK</v>
      </c>
    </row>
    <row r="1387" spans="2:34" x14ac:dyDescent="0.2">
      <c r="B1387" s="2">
        <f ca="1"/>
        <v>0.38036117680462955</v>
      </c>
      <c r="O1387" s="2">
        <f ca="1"/>
        <v>-1.1889266005233177</v>
      </c>
      <c r="X1387" s="2">
        <f ca="1"/>
        <v>39.420485213825586</v>
      </c>
      <c r="AG1387" s="2">
        <f ca="1"/>
        <v>0.18115144517928949</v>
      </c>
      <c r="AH1387" s="2" t="str">
        <f ca="1"/>
        <v>OK</v>
      </c>
    </row>
    <row r="1388" spans="2:34" x14ac:dyDescent="0.2">
      <c r="B1388" s="2">
        <f ca="1"/>
        <v>0.11476958087541789</v>
      </c>
      <c r="O1388" s="2">
        <f ca="1"/>
        <v>2.2255265427876201</v>
      </c>
      <c r="X1388" s="2">
        <f ca="1"/>
        <v>59.367624134203183</v>
      </c>
      <c r="AG1388" s="2">
        <f ca="1"/>
        <v>0.83308498143533405</v>
      </c>
      <c r="AH1388" s="2" t="str">
        <f ca="1"/>
        <v>Bad</v>
      </c>
    </row>
    <row r="1389" spans="2:34" x14ac:dyDescent="0.2">
      <c r="B1389" s="2">
        <f ca="1"/>
        <v>0.50114962142572894</v>
      </c>
      <c r="O1389" s="2">
        <f ca="1"/>
        <v>0.38289086080266688</v>
      </c>
      <c r="X1389" s="2">
        <f ca="1"/>
        <v>52.03036284501411</v>
      </c>
      <c r="AG1389" s="2">
        <f ca="1"/>
        <v>0.7613166720040041</v>
      </c>
      <c r="AH1389" s="2" t="str">
        <f ca="1"/>
        <v>Bad</v>
      </c>
    </row>
    <row r="1390" spans="2:34" x14ac:dyDescent="0.2">
      <c r="B1390" s="2">
        <f ca="1"/>
        <v>0.75661911632544432</v>
      </c>
      <c r="O1390" s="2">
        <f ca="1"/>
        <v>1.0084377890255856</v>
      </c>
      <c r="X1390" s="2">
        <f ca="1"/>
        <v>54.275793899259746</v>
      </c>
      <c r="AG1390" s="2">
        <f ca="1"/>
        <v>0.91766575552276741</v>
      </c>
      <c r="AH1390" s="2" t="str">
        <f ca="1"/>
        <v>Bad</v>
      </c>
    </row>
    <row r="1391" spans="2:34" x14ac:dyDescent="0.2">
      <c r="B1391" s="2">
        <f ca="1"/>
        <v>0.67379363974654005</v>
      </c>
      <c r="O1391" s="2">
        <f ca="1"/>
        <v>-1.1383457620713262</v>
      </c>
      <c r="X1391" s="2">
        <f ca="1"/>
        <v>61.841636782928745</v>
      </c>
      <c r="AG1391" s="2">
        <f ca="1"/>
        <v>0.14535335008903005</v>
      </c>
      <c r="AH1391" s="2" t="str">
        <f ca="1"/>
        <v>OK</v>
      </c>
    </row>
    <row r="1392" spans="2:34" x14ac:dyDescent="0.2">
      <c r="B1392" s="2">
        <f ca="1"/>
        <v>0.43699365467606799</v>
      </c>
      <c r="O1392" s="2">
        <f ca="1"/>
        <v>0.25764304859835685</v>
      </c>
      <c r="X1392" s="2">
        <f ca="1"/>
        <v>34.734915396507013</v>
      </c>
      <c r="AG1392" s="2">
        <f ca="1"/>
        <v>0.53359054183369903</v>
      </c>
      <c r="AH1392" s="2" t="str">
        <f ca="1"/>
        <v>Bad</v>
      </c>
    </row>
    <row r="1393" spans="2:34" x14ac:dyDescent="0.2">
      <c r="B1393" s="2">
        <f ca="1"/>
        <v>0.44242586647133675</v>
      </c>
      <c r="O1393" s="2">
        <f ca="1"/>
        <v>6.9221395924132109E-2</v>
      </c>
      <c r="X1393" s="2">
        <f ca="1"/>
        <v>40.463947274927989</v>
      </c>
      <c r="AG1393" s="2">
        <f ca="1"/>
        <v>0.95398057893793697</v>
      </c>
      <c r="AH1393" s="2" t="str">
        <f ca="1"/>
        <v>Bad</v>
      </c>
    </row>
    <row r="1394" spans="2:34" x14ac:dyDescent="0.2">
      <c r="B1394" s="2">
        <f ca="1"/>
        <v>0.52448515194101319</v>
      </c>
      <c r="O1394" s="2">
        <f ca="1"/>
        <v>-1.2809193047806631</v>
      </c>
      <c r="X1394" s="2">
        <f ca="1"/>
        <v>30.309873642527624</v>
      </c>
      <c r="AG1394" s="2">
        <f ca="1"/>
        <v>0.43689684583977151</v>
      </c>
      <c r="AH1394" s="2" t="str">
        <f ca="1"/>
        <v>Bad</v>
      </c>
    </row>
    <row r="1395" spans="2:34" x14ac:dyDescent="0.2">
      <c r="B1395" s="2">
        <f ca="1"/>
        <v>0.8057303538223537</v>
      </c>
      <c r="O1395" s="2">
        <f ca="1"/>
        <v>0.80580736230617267</v>
      </c>
      <c r="X1395" s="2">
        <f ca="1"/>
        <v>79.246210556802367</v>
      </c>
      <c r="AG1395" s="2">
        <f ca="1"/>
        <v>0.29685054987794612</v>
      </c>
      <c r="AH1395" s="2" t="str">
        <f ca="1"/>
        <v>OK</v>
      </c>
    </row>
    <row r="1396" spans="2:34" x14ac:dyDescent="0.2">
      <c r="B1396" s="2">
        <f ca="1"/>
        <v>0.68116119112681361</v>
      </c>
      <c r="O1396" s="2">
        <f ca="1"/>
        <v>-0.68725229206110927</v>
      </c>
      <c r="X1396" s="2">
        <f ca="1"/>
        <v>54.703976420041343</v>
      </c>
      <c r="AG1396" s="2">
        <f ca="1"/>
        <v>0.63826352927075747</v>
      </c>
      <c r="AH1396" s="2" t="str">
        <f ca="1"/>
        <v>Bad</v>
      </c>
    </row>
    <row r="1397" spans="2:34" x14ac:dyDescent="0.2">
      <c r="B1397" s="2">
        <f ca="1"/>
        <v>0.32444899679501349</v>
      </c>
      <c r="O1397" s="2">
        <f ca="1"/>
        <v>0.39327532060876191</v>
      </c>
      <c r="X1397" s="2">
        <f ca="1"/>
        <v>39.756448957973006</v>
      </c>
      <c r="AG1397" s="2">
        <f ca="1"/>
        <v>0.49230501621872547</v>
      </c>
      <c r="AH1397" s="2" t="str">
        <f ca="1"/>
        <v>Bad</v>
      </c>
    </row>
    <row r="1398" spans="2:34" x14ac:dyDescent="0.2">
      <c r="B1398" s="2">
        <f ca="1"/>
        <v>4.1841402979627906E-2</v>
      </c>
      <c r="O1398" s="2">
        <f ca="1"/>
        <v>-1.6944689798715769</v>
      </c>
      <c r="X1398" s="2">
        <f ca="1"/>
        <v>46.125185289484364</v>
      </c>
      <c r="AG1398" s="2">
        <f ca="1"/>
        <v>4.7887053327971607E-2</v>
      </c>
      <c r="AH1398" s="2" t="str">
        <f ca="1"/>
        <v>Good</v>
      </c>
    </row>
    <row r="1399" spans="2:34" x14ac:dyDescent="0.2">
      <c r="B1399" s="2">
        <f ca="1"/>
        <v>0.60838948700559414</v>
      </c>
      <c r="O1399" s="2">
        <f ca="1"/>
        <v>1.059717208485236</v>
      </c>
      <c r="X1399" s="2">
        <f ca="1"/>
        <v>60.453598982078461</v>
      </c>
      <c r="AG1399" s="2">
        <f ca="1"/>
        <v>0.14241142753860259</v>
      </c>
      <c r="AH1399" s="2" t="str">
        <f ca="1"/>
        <v>OK</v>
      </c>
    </row>
    <row r="1400" spans="2:34" x14ac:dyDescent="0.2">
      <c r="B1400" s="2">
        <f ca="1"/>
        <v>0.40262840913908571</v>
      </c>
      <c r="O1400" s="2">
        <f ca="1"/>
        <v>-0.32781428846601035</v>
      </c>
      <c r="X1400" s="2">
        <f ca="1"/>
        <v>27.416082100021718</v>
      </c>
      <c r="AG1400" s="2">
        <f ca="1"/>
        <v>0.68708024745065366</v>
      </c>
      <c r="AH1400" s="2" t="str">
        <f ca="1"/>
        <v>Bad</v>
      </c>
    </row>
    <row r="1401" spans="2:34" x14ac:dyDescent="0.2">
      <c r="B1401" s="2">
        <f ca="1"/>
        <v>0.20329538747366604</v>
      </c>
      <c r="O1401" s="2">
        <f ca="1"/>
        <v>-1.1520110199681979</v>
      </c>
      <c r="X1401" s="2">
        <f ca="1"/>
        <v>108.964058652074</v>
      </c>
      <c r="AG1401" s="2">
        <f ca="1"/>
        <v>0.86878281234014154</v>
      </c>
      <c r="AH1401" s="2" t="str">
        <f ca="1"/>
        <v>Bad</v>
      </c>
    </row>
    <row r="1402" spans="2:34" x14ac:dyDescent="0.2">
      <c r="B1402" s="2">
        <f ca="1"/>
        <v>0.18305451004265683</v>
      </c>
      <c r="O1402" s="2">
        <f ca="1"/>
        <v>1.1331200984338254</v>
      </c>
      <c r="X1402" s="2">
        <f ca="1"/>
        <v>36.824657022790021</v>
      </c>
      <c r="AG1402" s="2">
        <f ca="1"/>
        <v>0.41007911913269934</v>
      </c>
      <c r="AH1402" s="2" t="str">
        <f ca="1"/>
        <v>Bad</v>
      </c>
    </row>
    <row r="1403" spans="2:34" x14ac:dyDescent="0.2">
      <c r="B1403" s="2">
        <f ca="1"/>
        <v>0.84949686399824342</v>
      </c>
      <c r="O1403" s="2">
        <f ca="1"/>
        <v>-0.55025501321826609</v>
      </c>
      <c r="X1403" s="2">
        <f ca="1"/>
        <v>43.179754798910565</v>
      </c>
      <c r="AG1403" s="2">
        <f ca="1"/>
        <v>0.69570342020868026</v>
      </c>
      <c r="AH1403" s="2" t="str">
        <f ca="1"/>
        <v>Bad</v>
      </c>
    </row>
    <row r="1404" spans="2:34" x14ac:dyDescent="0.2">
      <c r="B1404" s="2">
        <f ca="1"/>
        <v>0.13604636211203158</v>
      </c>
      <c r="O1404" s="2">
        <f ca="1"/>
        <v>-0.99280287907893128</v>
      </c>
      <c r="X1404" s="2">
        <f ca="1"/>
        <v>45.616789635545025</v>
      </c>
      <c r="AG1404" s="2">
        <f ca="1"/>
        <v>0.79911567459910882</v>
      </c>
      <c r="AH1404" s="2" t="str">
        <f ca="1"/>
        <v>Bad</v>
      </c>
    </row>
    <row r="1405" spans="2:34" x14ac:dyDescent="0.2">
      <c r="B1405" s="2">
        <f ca="1"/>
        <v>0.89358735294482394</v>
      </c>
      <c r="O1405" s="2">
        <f ca="1"/>
        <v>-0.67025907353461223</v>
      </c>
      <c r="X1405" s="2">
        <f ca="1"/>
        <v>45.43799773240557</v>
      </c>
      <c r="AG1405" s="2">
        <f ca="1"/>
        <v>0.36622095865746185</v>
      </c>
      <c r="AH1405" s="2" t="str">
        <f ca="1"/>
        <v>OK</v>
      </c>
    </row>
    <row r="1406" spans="2:34" x14ac:dyDescent="0.2">
      <c r="B1406" s="2">
        <f ca="1"/>
        <v>0.70321036697254558</v>
      </c>
      <c r="O1406" s="2">
        <f ca="1"/>
        <v>-2.5107273093615876</v>
      </c>
      <c r="X1406" s="2">
        <f ca="1"/>
        <v>67.914555063588864</v>
      </c>
      <c r="AG1406" s="2">
        <f ca="1"/>
        <v>0.47822671881616308</v>
      </c>
      <c r="AH1406" s="2" t="str">
        <f ca="1"/>
        <v>Bad</v>
      </c>
    </row>
    <row r="1407" spans="2:34" x14ac:dyDescent="0.2">
      <c r="B1407" s="2">
        <f ca="1"/>
        <v>9.9937075086469207E-2</v>
      </c>
      <c r="O1407" s="2">
        <f ca="1"/>
        <v>1.0700261382252423</v>
      </c>
      <c r="X1407" s="2">
        <f ca="1"/>
        <v>57.976710756368071</v>
      </c>
      <c r="AG1407" s="2">
        <f ca="1"/>
        <v>5.6083051975826193E-2</v>
      </c>
      <c r="AH1407" s="2" t="str">
        <f ca="1"/>
        <v>OK</v>
      </c>
    </row>
    <row r="1408" spans="2:34" x14ac:dyDescent="0.2">
      <c r="B1408" s="2">
        <f ca="1"/>
        <v>0.90157270972099646</v>
      </c>
      <c r="O1408" s="2">
        <f ca="1"/>
        <v>-0.27570675727510652</v>
      </c>
      <c r="X1408" s="2">
        <f ca="1"/>
        <v>44.49478874639717</v>
      </c>
      <c r="AG1408" s="2">
        <f ca="1"/>
        <v>0.50455451846047783</v>
      </c>
      <c r="AH1408" s="2" t="str">
        <f ca="1"/>
        <v>Bad</v>
      </c>
    </row>
    <row r="1409" spans="2:34" x14ac:dyDescent="0.2">
      <c r="B1409" s="2">
        <f ca="1"/>
        <v>0.50917843930061513</v>
      </c>
      <c r="O1409" s="2">
        <f ca="1"/>
        <v>-0.32866371853463439</v>
      </c>
      <c r="X1409" s="2">
        <f ca="1"/>
        <v>45.864125400660924</v>
      </c>
      <c r="AG1409" s="2">
        <f ca="1"/>
        <v>0.54968860944668752</v>
      </c>
      <c r="AH1409" s="2" t="str">
        <f ca="1"/>
        <v>Bad</v>
      </c>
    </row>
    <row r="1410" spans="2:34" x14ac:dyDescent="0.2">
      <c r="B1410" s="2">
        <f ca="1"/>
        <v>0.32449582078057881</v>
      </c>
      <c r="O1410" s="2">
        <f ca="1"/>
        <v>0.28884855781245994</v>
      </c>
      <c r="X1410" s="2">
        <f ca="1"/>
        <v>39.936661662804937</v>
      </c>
      <c r="AG1410" s="2">
        <f ca="1"/>
        <v>2.8084424764986515E-2</v>
      </c>
      <c r="AH1410" s="2" t="str">
        <f ca="1"/>
        <v>Good</v>
      </c>
    </row>
    <row r="1411" spans="2:34" x14ac:dyDescent="0.2">
      <c r="B1411" s="2">
        <f ca="1"/>
        <v>4.5644295029039661E-2</v>
      </c>
      <c r="O1411" s="2">
        <f ca="1"/>
        <v>-1.2598312852042133</v>
      </c>
      <c r="X1411" s="2">
        <f ca="1"/>
        <v>30.646918192259509</v>
      </c>
      <c r="AG1411" s="2">
        <f ca="1"/>
        <v>0.31438239956520264</v>
      </c>
      <c r="AH1411" s="2" t="str">
        <f ca="1"/>
        <v>OK</v>
      </c>
    </row>
    <row r="1412" spans="2:34" x14ac:dyDescent="0.2">
      <c r="B1412" s="2">
        <f ca="1"/>
        <v>6.6288910219828967E-2</v>
      </c>
      <c r="O1412" s="2">
        <f ca="1"/>
        <v>-0.27870690077206783</v>
      </c>
      <c r="X1412" s="2">
        <f ca="1"/>
        <v>46.596099256669717</v>
      </c>
      <c r="AG1412" s="2">
        <f ca="1"/>
        <v>0.12323861030656458</v>
      </c>
      <c r="AH1412" s="2" t="str">
        <f ca="1"/>
        <v>OK</v>
      </c>
    </row>
    <row r="1413" spans="2:34" x14ac:dyDescent="0.2">
      <c r="B1413" s="2">
        <f ca="1"/>
        <v>0.89913163015709707</v>
      </c>
      <c r="O1413" s="2">
        <f ca="1"/>
        <v>-0.57526782775404495</v>
      </c>
      <c r="X1413" s="2">
        <f ca="1"/>
        <v>41.338843370445701</v>
      </c>
      <c r="AG1413" s="2">
        <f ca="1"/>
        <v>0.59983564946390766</v>
      </c>
      <c r="AH1413" s="2" t="str">
        <f ca="1"/>
        <v>Bad</v>
      </c>
    </row>
    <row r="1414" spans="2:34" x14ac:dyDescent="0.2">
      <c r="B1414" s="2">
        <f ca="1"/>
        <v>0.64313539326972302</v>
      </c>
      <c r="O1414" s="2">
        <f ca="1"/>
        <v>-0.50999107894282547</v>
      </c>
      <c r="X1414" s="2">
        <f ca="1"/>
        <v>46.161932350486062</v>
      </c>
      <c r="AG1414" s="2">
        <f ca="1"/>
        <v>0.62646678265656175</v>
      </c>
      <c r="AH1414" s="2" t="str">
        <f ca="1"/>
        <v>Bad</v>
      </c>
    </row>
    <row r="1415" spans="2:34" x14ac:dyDescent="0.2">
      <c r="B1415" s="2">
        <f ca="1"/>
        <v>0.55345313218829362</v>
      </c>
      <c r="O1415" s="2">
        <f ca="1"/>
        <v>-0.57858769251637732</v>
      </c>
      <c r="X1415" s="2">
        <f ca="1"/>
        <v>98.107033662972754</v>
      </c>
      <c r="AG1415" s="2">
        <f ca="1"/>
        <v>0.54653744389996239</v>
      </c>
      <c r="AH1415" s="2" t="str">
        <f ca="1"/>
        <v>Bad</v>
      </c>
    </row>
    <row r="1416" spans="2:34" x14ac:dyDescent="0.2">
      <c r="B1416" s="2">
        <f ca="1"/>
        <v>0.71060679323848075</v>
      </c>
      <c r="O1416" s="2">
        <f ca="1"/>
        <v>0.3304446829365647</v>
      </c>
      <c r="X1416" s="2">
        <f ca="1"/>
        <v>38.594552988912426</v>
      </c>
      <c r="AG1416" s="2">
        <f ca="1"/>
        <v>0.34856228546531653</v>
      </c>
      <c r="AH1416" s="2" t="str">
        <f ca="1"/>
        <v>OK</v>
      </c>
    </row>
    <row r="1417" spans="2:34" x14ac:dyDescent="0.2">
      <c r="B1417" s="2">
        <f ca="1"/>
        <v>0.74892568575634266</v>
      </c>
      <c r="O1417" s="2">
        <f ca="1"/>
        <v>0.24680405296174274</v>
      </c>
      <c r="X1417" s="2">
        <f ca="1"/>
        <v>50.084786618015016</v>
      </c>
      <c r="AG1417" s="2">
        <f ca="1"/>
        <v>0.55556396727935864</v>
      </c>
      <c r="AH1417" s="2" t="str">
        <f ca="1"/>
        <v>Bad</v>
      </c>
    </row>
    <row r="1418" spans="2:34" x14ac:dyDescent="0.2">
      <c r="B1418" s="2">
        <f ca="1"/>
        <v>0.47745240989772575</v>
      </c>
      <c r="O1418" s="2">
        <f ca="1"/>
        <v>-0.744858952053152</v>
      </c>
      <c r="X1418" s="2">
        <f ca="1"/>
        <v>35.085286686372541</v>
      </c>
      <c r="AG1418" s="2">
        <f ca="1"/>
        <v>0.49100820140278856</v>
      </c>
      <c r="AH1418" s="2" t="str">
        <f ca="1"/>
        <v>Bad</v>
      </c>
    </row>
    <row r="1419" spans="2:34" x14ac:dyDescent="0.2">
      <c r="B1419" s="2">
        <f ca="1"/>
        <v>0.9326308914322694</v>
      </c>
      <c r="O1419" s="2">
        <f ca="1"/>
        <v>-0.31470079498833092</v>
      </c>
      <c r="X1419" s="2">
        <f ca="1"/>
        <v>19.033574797233367</v>
      </c>
      <c r="AG1419" s="2">
        <f ca="1"/>
        <v>0.27375916166133352</v>
      </c>
      <c r="AH1419" s="2" t="str">
        <f ca="1"/>
        <v>OK</v>
      </c>
    </row>
    <row r="1420" spans="2:34" x14ac:dyDescent="0.2">
      <c r="B1420" s="2">
        <f ca="1"/>
        <v>0.94396199379201673</v>
      </c>
      <c r="O1420" s="2">
        <f ca="1"/>
        <v>-1.8938401017121351</v>
      </c>
      <c r="X1420" s="2">
        <f ca="1"/>
        <v>47.755183994654701</v>
      </c>
      <c r="AG1420" s="2">
        <f ca="1"/>
        <v>0.33485006463381217</v>
      </c>
      <c r="AH1420" s="2" t="str">
        <f ca="1"/>
        <v>OK</v>
      </c>
    </row>
    <row r="1421" spans="2:34" x14ac:dyDescent="0.2">
      <c r="B1421" s="2">
        <f ca="1"/>
        <v>0.30391877763982289</v>
      </c>
      <c r="O1421" s="2">
        <f ca="1"/>
        <v>-0.86454656465167845</v>
      </c>
      <c r="X1421" s="2">
        <f ca="1"/>
        <v>37.145990748059184</v>
      </c>
      <c r="AG1421" s="2">
        <f ca="1"/>
        <v>4.8596178472180673E-2</v>
      </c>
      <c r="AH1421" s="2" t="str">
        <f ca="1"/>
        <v>Good</v>
      </c>
    </row>
    <row r="1422" spans="2:34" x14ac:dyDescent="0.2">
      <c r="B1422" s="2">
        <f ca="1"/>
        <v>0.43376327203612286</v>
      </c>
      <c r="O1422" s="2">
        <f ca="1"/>
        <v>1.0875200739626345</v>
      </c>
      <c r="X1422" s="2">
        <f ca="1"/>
        <v>50.355109062507928</v>
      </c>
      <c r="AG1422" s="2">
        <f ca="1"/>
        <v>0.59241623329235504</v>
      </c>
      <c r="AH1422" s="2" t="str">
        <f ca="1"/>
        <v>Bad</v>
      </c>
    </row>
    <row r="1423" spans="2:34" x14ac:dyDescent="0.2">
      <c r="B1423" s="2">
        <f ca="1"/>
        <v>0.22598906689232323</v>
      </c>
      <c r="O1423" s="2">
        <f ca="1"/>
        <v>0.1587052476309059</v>
      </c>
      <c r="X1423" s="2">
        <f ca="1"/>
        <v>60.088307524360296</v>
      </c>
      <c r="AG1423" s="2">
        <f ca="1"/>
        <v>0.85400462461705073</v>
      </c>
      <c r="AH1423" s="2" t="str">
        <f ca="1"/>
        <v>Bad</v>
      </c>
    </row>
    <row r="1424" spans="2:34" x14ac:dyDescent="0.2">
      <c r="B1424" s="2">
        <f ca="1"/>
        <v>0.63732415114007823</v>
      </c>
      <c r="O1424" s="2">
        <f ca="1"/>
        <v>-1.8491442764437276</v>
      </c>
      <c r="X1424" s="2">
        <f ca="1"/>
        <v>44.238305568755258</v>
      </c>
      <c r="AG1424" s="2">
        <f ca="1"/>
        <v>0.26534667843465387</v>
      </c>
      <c r="AH1424" s="2" t="str">
        <f ca="1"/>
        <v>OK</v>
      </c>
    </row>
    <row r="1425" spans="2:34" x14ac:dyDescent="0.2">
      <c r="B1425" s="2">
        <f ca="1"/>
        <v>0.6176621073372901</v>
      </c>
      <c r="O1425" s="2">
        <f ca="1"/>
        <v>0.95346233699140903</v>
      </c>
      <c r="X1425" s="2">
        <f ca="1"/>
        <v>38.031392448922688</v>
      </c>
      <c r="AG1425" s="2">
        <f ca="1"/>
        <v>0.75563801203516023</v>
      </c>
      <c r="AH1425" s="2" t="str">
        <f ca="1"/>
        <v>Bad</v>
      </c>
    </row>
    <row r="1426" spans="2:34" x14ac:dyDescent="0.2">
      <c r="B1426" s="2">
        <f ca="1"/>
        <v>0.10321442736972841</v>
      </c>
      <c r="O1426" s="2">
        <f ca="1"/>
        <v>-0.49593031181584113</v>
      </c>
      <c r="X1426" s="2">
        <f ca="1"/>
        <v>62.615688651310847</v>
      </c>
      <c r="AG1426" s="2">
        <f ca="1"/>
        <v>0.31267519298721314</v>
      </c>
      <c r="AH1426" s="2" t="str">
        <f ca="1"/>
        <v>OK</v>
      </c>
    </row>
    <row r="1427" spans="2:34" x14ac:dyDescent="0.2">
      <c r="B1427" s="2">
        <f ca="1"/>
        <v>5.6517961281539186E-2</v>
      </c>
      <c r="O1427" s="2">
        <f ca="1"/>
        <v>0.80623812374358739</v>
      </c>
      <c r="X1427" s="2">
        <f ca="1"/>
        <v>61.68263247700709</v>
      </c>
      <c r="AG1427" s="2">
        <f ca="1"/>
        <v>0.44007165779427226</v>
      </c>
      <c r="AH1427" s="2" t="str">
        <f ca="1"/>
        <v>Bad</v>
      </c>
    </row>
    <row r="1428" spans="2:34" x14ac:dyDescent="0.2">
      <c r="B1428" s="2">
        <f ca="1"/>
        <v>3.5839777046462462E-2</v>
      </c>
      <c r="O1428" s="2">
        <f ca="1"/>
        <v>8.7267706004430318E-2</v>
      </c>
      <c r="X1428" s="2">
        <f ca="1"/>
        <v>69.02613504793726</v>
      </c>
      <c r="AG1428" s="2">
        <f ca="1"/>
        <v>0.61211306185945547</v>
      </c>
      <c r="AH1428" s="2" t="str">
        <f ca="1"/>
        <v>Bad</v>
      </c>
    </row>
    <row r="1429" spans="2:34" x14ac:dyDescent="0.2">
      <c r="B1429" s="2">
        <f ca="1"/>
        <v>0.19869498715059097</v>
      </c>
      <c r="O1429" s="2">
        <f ca="1"/>
        <v>-1.2998460612250562</v>
      </c>
      <c r="X1429" s="2">
        <f ca="1"/>
        <v>70.610548811258695</v>
      </c>
      <c r="AG1429" s="2">
        <f ca="1"/>
        <v>0.86650437022709914</v>
      </c>
      <c r="AH1429" s="2" t="str">
        <f ca="1"/>
        <v>Bad</v>
      </c>
    </row>
    <row r="1430" spans="2:34" x14ac:dyDescent="0.2">
      <c r="B1430" s="2">
        <f ca="1"/>
        <v>0.88774917807839193</v>
      </c>
      <c r="O1430" s="2">
        <f ca="1"/>
        <v>-0.32435772294199838</v>
      </c>
      <c r="X1430" s="2">
        <f ca="1"/>
        <v>30.295438806329042</v>
      </c>
      <c r="AG1430" s="2">
        <f ca="1"/>
        <v>0.10677047235604298</v>
      </c>
      <c r="AH1430" s="2" t="str">
        <f ca="1"/>
        <v>OK</v>
      </c>
    </row>
    <row r="1431" spans="2:34" x14ac:dyDescent="0.2">
      <c r="B1431" s="2">
        <f ca="1"/>
        <v>0.48558666808166162</v>
      </c>
      <c r="O1431" s="2">
        <f ca="1"/>
        <v>0.46293399424312864</v>
      </c>
      <c r="X1431" s="2">
        <f ca="1"/>
        <v>60.267515923502415</v>
      </c>
      <c r="AG1431" s="2">
        <f ca="1"/>
        <v>0.31549985824816607</v>
      </c>
      <c r="AH1431" s="2" t="str">
        <f ca="1"/>
        <v>OK</v>
      </c>
    </row>
    <row r="1432" spans="2:34" x14ac:dyDescent="0.2">
      <c r="B1432" s="2">
        <f ca="1"/>
        <v>0.59610839341800625</v>
      </c>
      <c r="O1432" s="2">
        <f ca="1"/>
        <v>-0.97616462187499597</v>
      </c>
      <c r="X1432" s="2">
        <f ca="1"/>
        <v>37.19998595464341</v>
      </c>
      <c r="AG1432" s="2">
        <f ca="1"/>
        <v>0.97146385019150294</v>
      </c>
      <c r="AH1432" s="2" t="str">
        <f ca="1"/>
        <v>Bad</v>
      </c>
    </row>
    <row r="1433" spans="2:34" x14ac:dyDescent="0.2">
      <c r="B1433" s="2">
        <f ca="1"/>
        <v>0.2815842153736563</v>
      </c>
      <c r="O1433" s="2">
        <f ca="1"/>
        <v>-0.47210039668088194</v>
      </c>
      <c r="X1433" s="2">
        <f ca="1"/>
        <v>82.092031624917098</v>
      </c>
      <c r="AG1433" s="2">
        <f ca="1"/>
        <v>0.31070336130612497</v>
      </c>
      <c r="AH1433" s="2" t="str">
        <f ca="1"/>
        <v>OK</v>
      </c>
    </row>
    <row r="1434" spans="2:34" x14ac:dyDescent="0.2">
      <c r="B1434" s="2">
        <f ca="1"/>
        <v>0.51215423318324116</v>
      </c>
      <c r="O1434" s="2">
        <f ca="1"/>
        <v>-2.137909513899849</v>
      </c>
      <c r="X1434" s="2">
        <f ca="1"/>
        <v>38.796331300141858</v>
      </c>
      <c r="AG1434" s="2">
        <f ca="1"/>
        <v>0.9771423928318399</v>
      </c>
      <c r="AH1434" s="2" t="str">
        <f ca="1"/>
        <v>Bad</v>
      </c>
    </row>
    <row r="1435" spans="2:34" x14ac:dyDescent="0.2">
      <c r="B1435" s="2">
        <f ca="1"/>
        <v>0.96409400295070924</v>
      </c>
      <c r="O1435" s="2">
        <f ca="1"/>
        <v>8.6740307398995888E-3</v>
      </c>
      <c r="X1435" s="2">
        <f ca="1"/>
        <v>18.335165446281461</v>
      </c>
      <c r="AG1435" s="2">
        <f ca="1"/>
        <v>0.65120129911902014</v>
      </c>
      <c r="AH1435" s="2" t="str">
        <f ca="1"/>
        <v>Bad</v>
      </c>
    </row>
    <row r="1436" spans="2:34" x14ac:dyDescent="0.2">
      <c r="B1436" s="2">
        <f ca="1"/>
        <v>0.147944955637628</v>
      </c>
      <c r="O1436" s="2">
        <f ca="1"/>
        <v>0.68651165085214172</v>
      </c>
      <c r="X1436" s="2">
        <f ca="1"/>
        <v>45.074190727080037</v>
      </c>
      <c r="AG1436" s="2">
        <f ca="1"/>
        <v>0.68784306507400395</v>
      </c>
      <c r="AH1436" s="2" t="str">
        <f ca="1"/>
        <v>Bad</v>
      </c>
    </row>
    <row r="1437" spans="2:34" x14ac:dyDescent="0.2">
      <c r="B1437" s="2">
        <f ca="1"/>
        <v>0.14263765770088233</v>
      </c>
      <c r="O1437" s="2">
        <f ca="1"/>
        <v>-0.90975196796631774</v>
      </c>
      <c r="X1437" s="2">
        <f ca="1"/>
        <v>52.175517280503492</v>
      </c>
      <c r="AG1437" s="2">
        <f ca="1"/>
        <v>0.46855693986088975</v>
      </c>
      <c r="AH1437" s="2" t="str">
        <f ca="1"/>
        <v>Bad</v>
      </c>
    </row>
    <row r="1438" spans="2:34" x14ac:dyDescent="0.2">
      <c r="B1438" s="2">
        <f ca="1"/>
        <v>0.30250077568141776</v>
      </c>
      <c r="O1438" s="2">
        <f ca="1"/>
        <v>-1.19933461585917</v>
      </c>
      <c r="X1438" s="2">
        <f ca="1"/>
        <v>39.890084460057203</v>
      </c>
      <c r="AG1438" s="2">
        <f ca="1"/>
        <v>0.42834140148562816</v>
      </c>
      <c r="AH1438" s="2" t="str">
        <f ca="1"/>
        <v>Bad</v>
      </c>
    </row>
    <row r="1439" spans="2:34" x14ac:dyDescent="0.2">
      <c r="B1439" s="2">
        <f ca="1"/>
        <v>0.45323205855027249</v>
      </c>
      <c r="O1439" s="2">
        <f ca="1"/>
        <v>8.8037685370037904E-3</v>
      </c>
      <c r="X1439" s="2">
        <f ca="1"/>
        <v>47.848937081913476</v>
      </c>
      <c r="AG1439" s="2">
        <f ca="1"/>
        <v>0.51377754393227426</v>
      </c>
      <c r="AH1439" s="2" t="str">
        <f ca="1"/>
        <v>Bad</v>
      </c>
    </row>
    <row r="1440" spans="2:34" x14ac:dyDescent="0.2">
      <c r="B1440" s="2">
        <f ca="1"/>
        <v>0.1307060258341648</v>
      </c>
      <c r="O1440" s="2">
        <f ca="1"/>
        <v>1.8534453347920254E-2</v>
      </c>
      <c r="X1440" s="2">
        <f ca="1"/>
        <v>32.853488829859714</v>
      </c>
      <c r="AG1440" s="2">
        <f ca="1"/>
        <v>0.24415473960706247</v>
      </c>
      <c r="AH1440" s="2" t="str">
        <f ca="1"/>
        <v>OK</v>
      </c>
    </row>
    <row r="1441" spans="2:34" x14ac:dyDescent="0.2">
      <c r="B1441" s="2">
        <f ca="1"/>
        <v>0.76366992984150239</v>
      </c>
      <c r="O1441" s="2">
        <f ca="1"/>
        <v>1.2605659408193115</v>
      </c>
      <c r="X1441" s="2">
        <f ca="1"/>
        <v>54.671289703654516</v>
      </c>
      <c r="AG1441" s="2">
        <f ca="1"/>
        <v>0.81193874556701506</v>
      </c>
      <c r="AH1441" s="2" t="str">
        <f ca="1"/>
        <v>Bad</v>
      </c>
    </row>
    <row r="1442" spans="2:34" x14ac:dyDescent="0.2">
      <c r="B1442" s="2">
        <f ca="1"/>
        <v>3.4590715999816002E-3</v>
      </c>
      <c r="O1442" s="2">
        <f ca="1"/>
        <v>2.0121858988877048</v>
      </c>
      <c r="X1442" s="2">
        <f ca="1"/>
        <v>48.5829274491254</v>
      </c>
      <c r="AG1442" s="2">
        <f ca="1"/>
        <v>0.33066612199052048</v>
      </c>
      <c r="AH1442" s="2" t="str">
        <f ca="1"/>
        <v>OK</v>
      </c>
    </row>
    <row r="1443" spans="2:34" x14ac:dyDescent="0.2">
      <c r="B1443" s="2">
        <f ca="1"/>
        <v>0.39448835291179063</v>
      </c>
      <c r="O1443" s="2">
        <f ca="1"/>
        <v>1.5806839604773149</v>
      </c>
      <c r="X1443" s="2">
        <f ca="1"/>
        <v>56.40869714668807</v>
      </c>
      <c r="AG1443" s="2">
        <f ca="1"/>
        <v>0.52196355927064975</v>
      </c>
      <c r="AH1443" s="2" t="str">
        <f ca="1"/>
        <v>Bad</v>
      </c>
    </row>
    <row r="1444" spans="2:34" x14ac:dyDescent="0.2">
      <c r="B1444" s="2">
        <f ca="1"/>
        <v>0.59552692097765902</v>
      </c>
      <c r="O1444" s="2">
        <f ca="1"/>
        <v>0.24859688625864126</v>
      </c>
      <c r="X1444" s="2">
        <f ca="1"/>
        <v>56.393386299115292</v>
      </c>
      <c r="AG1444" s="2">
        <f ca="1"/>
        <v>0.52398815096992846</v>
      </c>
      <c r="AH1444" s="2" t="str">
        <f ca="1"/>
        <v>Bad</v>
      </c>
    </row>
    <row r="1445" spans="2:34" x14ac:dyDescent="0.2">
      <c r="B1445" s="2">
        <f ca="1"/>
        <v>0.49327129600559161</v>
      </c>
      <c r="O1445" s="2">
        <f ca="1"/>
        <v>0.5100394838190766</v>
      </c>
      <c r="X1445" s="2">
        <f ca="1"/>
        <v>37.839916197139999</v>
      </c>
      <c r="AG1445" s="2">
        <f ca="1"/>
        <v>4.6468949791401926E-2</v>
      </c>
      <c r="AH1445" s="2" t="str">
        <f ca="1"/>
        <v>Good</v>
      </c>
    </row>
    <row r="1446" spans="2:34" x14ac:dyDescent="0.2">
      <c r="B1446" s="2">
        <f ca="1"/>
        <v>0.72540493638647985</v>
      </c>
      <c r="O1446" s="2">
        <f ca="1"/>
        <v>0.32051673965496957</v>
      </c>
      <c r="X1446" s="2">
        <f ca="1"/>
        <v>33.190080901954076</v>
      </c>
      <c r="AG1446" s="2">
        <f ca="1"/>
        <v>0.42700148457092113</v>
      </c>
      <c r="AH1446" s="2" t="str">
        <f ca="1"/>
        <v>Bad</v>
      </c>
    </row>
    <row r="1447" spans="2:34" x14ac:dyDescent="0.2">
      <c r="B1447" s="2">
        <f ca="1"/>
        <v>0.17926692076335993</v>
      </c>
      <c r="O1447" s="2">
        <f ca="1"/>
        <v>-0.22977008921943301</v>
      </c>
      <c r="X1447" s="2">
        <f ca="1"/>
        <v>48.295833183409357</v>
      </c>
      <c r="AG1447" s="2">
        <f ca="1"/>
        <v>0.22881797468423759</v>
      </c>
      <c r="AH1447" s="2" t="str">
        <f ca="1"/>
        <v>OK</v>
      </c>
    </row>
    <row r="1448" spans="2:34" x14ac:dyDescent="0.2">
      <c r="B1448" s="2">
        <f ca="1"/>
        <v>0.88763148359581834</v>
      </c>
      <c r="O1448" s="2">
        <f ca="1"/>
        <v>-1.1164845273703226</v>
      </c>
      <c r="X1448" s="2">
        <f ca="1"/>
        <v>55.22410050701555</v>
      </c>
      <c r="AG1448" s="2">
        <f ca="1"/>
        <v>0.95445380414854397</v>
      </c>
      <c r="AH1448" s="2" t="str">
        <f ca="1"/>
        <v>Bad</v>
      </c>
    </row>
    <row r="1449" spans="2:34" x14ac:dyDescent="0.2">
      <c r="B1449" s="2">
        <f ca="1"/>
        <v>0.26800123082310234</v>
      </c>
      <c r="O1449" s="2">
        <f ca="1"/>
        <v>3.9289554049430193E-2</v>
      </c>
      <c r="X1449" s="2">
        <f ca="1"/>
        <v>25.038237464155706</v>
      </c>
      <c r="AG1449" s="2">
        <f ca="1"/>
        <v>0.71067108487510633</v>
      </c>
      <c r="AH1449" s="2" t="str">
        <f ca="1"/>
        <v>Bad</v>
      </c>
    </row>
    <row r="1450" spans="2:34" x14ac:dyDescent="0.2">
      <c r="B1450" s="2">
        <f ca="1"/>
        <v>0.4935407910573959</v>
      </c>
      <c r="O1450" s="2">
        <f ca="1"/>
        <v>-0.10363647727275611</v>
      </c>
      <c r="X1450" s="2">
        <f ca="1"/>
        <v>31.580838933551853</v>
      </c>
      <c r="AG1450" s="2">
        <f ca="1"/>
        <v>0.22403971611266638</v>
      </c>
      <c r="AH1450" s="2" t="str">
        <f ca="1"/>
        <v>OK</v>
      </c>
    </row>
    <row r="1451" spans="2:34" x14ac:dyDescent="0.2">
      <c r="B1451" s="2">
        <f ca="1"/>
        <v>0.76039277973734976</v>
      </c>
      <c r="O1451" s="2">
        <f ca="1"/>
        <v>0.52296560039848239</v>
      </c>
      <c r="X1451" s="2">
        <f ca="1"/>
        <v>36.781519317700827</v>
      </c>
      <c r="AG1451" s="2">
        <f ca="1"/>
        <v>0.617959531183913</v>
      </c>
      <c r="AH1451" s="2" t="str">
        <f ca="1"/>
        <v>Bad</v>
      </c>
    </row>
    <row r="1452" spans="2:34" x14ac:dyDescent="0.2">
      <c r="B1452" s="2">
        <f ca="1"/>
        <v>0.28013755568690568</v>
      </c>
      <c r="O1452" s="2">
        <f ca="1"/>
        <v>1.6212471800806623</v>
      </c>
      <c r="X1452" s="2">
        <f ca="1"/>
        <v>35.386752878955086</v>
      </c>
      <c r="AG1452" s="2">
        <f ca="1"/>
        <v>0.36083527053514652</v>
      </c>
      <c r="AH1452" s="2" t="str">
        <f ca="1"/>
        <v>OK</v>
      </c>
    </row>
    <row r="1453" spans="2:34" x14ac:dyDescent="0.2">
      <c r="B1453" s="2">
        <f ca="1"/>
        <v>0.90650353198183775</v>
      </c>
      <c r="O1453" s="2">
        <f ca="1"/>
        <v>0.94808256723776707</v>
      </c>
      <c r="X1453" s="2">
        <f ca="1"/>
        <v>72.105631341448245</v>
      </c>
      <c r="AG1453" s="2">
        <f ca="1"/>
        <v>0.88312867657610972</v>
      </c>
      <c r="AH1453" s="2" t="str">
        <f ca="1"/>
        <v>Bad</v>
      </c>
    </row>
    <row r="1454" spans="2:34" x14ac:dyDescent="0.2">
      <c r="B1454" s="2">
        <f ca="1"/>
        <v>0.19691743719491095</v>
      </c>
      <c r="O1454" s="2">
        <f ca="1"/>
        <v>0.92810813030378669</v>
      </c>
      <c r="X1454" s="2">
        <f ca="1"/>
        <v>61.189118630717957</v>
      </c>
      <c r="AG1454" s="2">
        <f ca="1"/>
        <v>0.77939034990557454</v>
      </c>
      <c r="AH1454" s="2" t="str">
        <f ca="1"/>
        <v>Bad</v>
      </c>
    </row>
    <row r="1455" spans="2:34" x14ac:dyDescent="0.2">
      <c r="B1455" s="2">
        <f ca="1"/>
        <v>0.42067324618091773</v>
      </c>
      <c r="O1455" s="2">
        <f ca="1"/>
        <v>-0.49384311894232746</v>
      </c>
      <c r="X1455" s="2">
        <f ca="1"/>
        <v>26.719969176699777</v>
      </c>
      <c r="AG1455" s="2">
        <f ca="1"/>
        <v>0.23467539913775526</v>
      </c>
      <c r="AH1455" s="2" t="str">
        <f ca="1"/>
        <v>OK</v>
      </c>
    </row>
    <row r="1456" spans="2:34" x14ac:dyDescent="0.2">
      <c r="B1456" s="2">
        <f ca="1"/>
        <v>0.69696103172156798</v>
      </c>
      <c r="O1456" s="2">
        <f ca="1"/>
        <v>-7.43340001988749E-2</v>
      </c>
      <c r="X1456" s="2">
        <f ca="1"/>
        <v>58.745409995024112</v>
      </c>
      <c r="AG1456" s="2">
        <f ca="1"/>
        <v>0.31373136995387485</v>
      </c>
      <c r="AH1456" s="2" t="str">
        <f ca="1"/>
        <v>OK</v>
      </c>
    </row>
    <row r="1457" spans="2:34" x14ac:dyDescent="0.2">
      <c r="B1457" s="2">
        <f ca="1"/>
        <v>3.6081085560930815E-2</v>
      </c>
      <c r="O1457" s="2">
        <f ca="1"/>
        <v>-0.19224710573884998</v>
      </c>
      <c r="X1457" s="2">
        <f ca="1"/>
        <v>53.757266768912196</v>
      </c>
      <c r="AG1457" s="2">
        <f ca="1"/>
        <v>0.24050958592096006</v>
      </c>
      <c r="AH1457" s="2" t="str">
        <f ca="1"/>
        <v>OK</v>
      </c>
    </row>
    <row r="1458" spans="2:34" x14ac:dyDescent="0.2">
      <c r="B1458" s="2">
        <f ca="1"/>
        <v>0.89559513691271264</v>
      </c>
      <c r="O1458" s="2">
        <f ca="1"/>
        <v>-1.1979696200117396</v>
      </c>
      <c r="X1458" s="2">
        <f ca="1"/>
        <v>54.837470346950347</v>
      </c>
      <c r="AG1458" s="2">
        <f ca="1"/>
        <v>0.31746135943000819</v>
      </c>
      <c r="AH1458" s="2" t="str">
        <f ca="1"/>
        <v>OK</v>
      </c>
    </row>
    <row r="1459" spans="2:34" x14ac:dyDescent="0.2">
      <c r="B1459" s="2">
        <f ca="1"/>
        <v>0.39406216605937905</v>
      </c>
      <c r="O1459" s="2">
        <f ca="1"/>
        <v>-6.0385134726740668E-2</v>
      </c>
      <c r="X1459" s="2">
        <f ca="1"/>
        <v>80.957815100739765</v>
      </c>
      <c r="AG1459" s="2">
        <f ca="1"/>
        <v>0.63833277876757522</v>
      </c>
      <c r="AH1459" s="2" t="str">
        <f ca="1"/>
        <v>Bad</v>
      </c>
    </row>
    <row r="1460" spans="2:34" x14ac:dyDescent="0.2">
      <c r="B1460" s="2">
        <f ca="1"/>
        <v>1.2267385426936617E-2</v>
      </c>
      <c r="O1460" s="2">
        <f ca="1"/>
        <v>1.2917598749518691</v>
      </c>
      <c r="X1460" s="2">
        <f ca="1"/>
        <v>57.697861228876519</v>
      </c>
      <c r="AG1460" s="2">
        <f ca="1"/>
        <v>0.67544678134568747</v>
      </c>
      <c r="AH1460" s="2" t="str">
        <f ca="1"/>
        <v>Bad</v>
      </c>
    </row>
    <row r="1461" spans="2:34" x14ac:dyDescent="0.2">
      <c r="B1461" s="2">
        <f ca="1"/>
        <v>0.14511392757743269</v>
      </c>
      <c r="O1461" s="2">
        <f ca="1"/>
        <v>-0.59247804247367641</v>
      </c>
      <c r="X1461" s="2">
        <f ca="1"/>
        <v>17.728889037252745</v>
      </c>
      <c r="AG1461" s="2">
        <f ca="1"/>
        <v>0.38352725794195885</v>
      </c>
      <c r="AH1461" s="2" t="str">
        <f ca="1"/>
        <v>OK</v>
      </c>
    </row>
    <row r="1462" spans="2:34" x14ac:dyDescent="0.2">
      <c r="B1462" s="2">
        <f ca="1"/>
        <v>0.69870524802798561</v>
      </c>
      <c r="O1462" s="2">
        <f ca="1"/>
        <v>-1.7306644374679512</v>
      </c>
      <c r="X1462" s="2">
        <f ca="1"/>
        <v>36.097039603444664</v>
      </c>
      <c r="AG1462" s="2">
        <f ca="1"/>
        <v>0.94730209523839504</v>
      </c>
      <c r="AH1462" s="2" t="str">
        <f ca="1"/>
        <v>Bad</v>
      </c>
    </row>
    <row r="1463" spans="2:34" x14ac:dyDescent="0.2">
      <c r="B1463" s="2">
        <f ca="1"/>
        <v>0.86410491353039154</v>
      </c>
      <c r="O1463" s="2">
        <f ca="1"/>
        <v>0.53050160432193849</v>
      </c>
      <c r="X1463" s="2">
        <f ca="1"/>
        <v>76.135960171245358</v>
      </c>
      <c r="AG1463" s="2">
        <f ca="1"/>
        <v>0.90030334297374592</v>
      </c>
      <c r="AH1463" s="2" t="str">
        <f ca="1"/>
        <v>Bad</v>
      </c>
    </row>
    <row r="1464" spans="2:34" x14ac:dyDescent="0.2">
      <c r="B1464" s="2">
        <f ca="1"/>
        <v>0.11164450650666957</v>
      </c>
      <c r="O1464" s="2">
        <f ca="1"/>
        <v>-0.34905269249773752</v>
      </c>
      <c r="X1464" s="2">
        <f ca="1"/>
        <v>62.275337284823976</v>
      </c>
      <c r="AG1464" s="2">
        <f ca="1"/>
        <v>0.35950617662565376</v>
      </c>
      <c r="AH1464" s="2" t="str">
        <f ca="1"/>
        <v>OK</v>
      </c>
    </row>
    <row r="1465" spans="2:34" x14ac:dyDescent="0.2">
      <c r="B1465" s="2">
        <f ca="1"/>
        <v>0.88492475729163322</v>
      </c>
      <c r="O1465" s="2">
        <f ca="1"/>
        <v>-0.57291339501205885</v>
      </c>
      <c r="X1465" s="2">
        <f ca="1"/>
        <v>65.724551607883257</v>
      </c>
      <c r="AG1465" s="2">
        <f ca="1"/>
        <v>0.92910399170745084</v>
      </c>
      <c r="AH1465" s="2" t="str">
        <f ca="1"/>
        <v>Bad</v>
      </c>
    </row>
    <row r="1466" spans="2:34" x14ac:dyDescent="0.2">
      <c r="B1466" s="2">
        <f ca="1"/>
        <v>0.92311565632263992</v>
      </c>
      <c r="O1466" s="2">
        <f ca="1"/>
        <v>-0.79564293981960388</v>
      </c>
      <c r="X1466" s="2">
        <f ca="1"/>
        <v>52.447332037738605</v>
      </c>
      <c r="AG1466" s="2">
        <f ca="1"/>
        <v>9.0478950967573635E-2</v>
      </c>
      <c r="AH1466" s="2" t="str">
        <f ca="1"/>
        <v>OK</v>
      </c>
    </row>
    <row r="1467" spans="2:34" x14ac:dyDescent="0.2">
      <c r="B1467" s="2">
        <f ca="1"/>
        <v>0.68940173266641236</v>
      </c>
      <c r="O1467" s="2">
        <f ca="1"/>
        <v>0.98207913828352311</v>
      </c>
      <c r="X1467" s="2">
        <f ca="1"/>
        <v>59.735751141372617</v>
      </c>
      <c r="AG1467" s="2">
        <f ca="1"/>
        <v>0.59174176035891302</v>
      </c>
      <c r="AH1467" s="2" t="str">
        <f ca="1"/>
        <v>Bad</v>
      </c>
    </row>
    <row r="1468" spans="2:34" x14ac:dyDescent="0.2">
      <c r="B1468" s="2">
        <f ca="1"/>
        <v>0.96224722112254035</v>
      </c>
      <c r="O1468" s="2">
        <f ca="1"/>
        <v>0.41649855315337864</v>
      </c>
      <c r="X1468" s="2">
        <f ca="1"/>
        <v>28.890531679175879</v>
      </c>
      <c r="AG1468" s="2">
        <f ca="1"/>
        <v>0.99763882183918762</v>
      </c>
      <c r="AH1468" s="2" t="str">
        <f ca="1"/>
        <v>Bad</v>
      </c>
    </row>
    <row r="1469" spans="2:34" x14ac:dyDescent="0.2">
      <c r="B1469" s="2">
        <f ca="1"/>
        <v>6.2738211146802447E-2</v>
      </c>
      <c r="O1469" s="2">
        <f ca="1"/>
        <v>0.48934710476077331</v>
      </c>
      <c r="X1469" s="2">
        <f ca="1"/>
        <v>55.917234893701817</v>
      </c>
      <c r="AG1469" s="2">
        <f ca="1"/>
        <v>0.14920357684813057</v>
      </c>
      <c r="AH1469" s="2" t="str">
        <f ca="1"/>
        <v>OK</v>
      </c>
    </row>
    <row r="1470" spans="2:34" x14ac:dyDescent="0.2">
      <c r="B1470" s="2">
        <f ca="1"/>
        <v>0.18498674558121597</v>
      </c>
      <c r="O1470" s="2">
        <f ca="1"/>
        <v>0.95173020336175529</v>
      </c>
      <c r="X1470" s="2">
        <f ca="1"/>
        <v>46.508797756289255</v>
      </c>
      <c r="AG1470" s="2">
        <f ca="1"/>
        <v>0.68858848353108937</v>
      </c>
      <c r="AH1470" s="2" t="str">
        <f ca="1"/>
        <v>Bad</v>
      </c>
    </row>
    <row r="1471" spans="2:34" x14ac:dyDescent="0.2">
      <c r="B1471" s="2">
        <f ca="1"/>
        <v>0.87435096292951586</v>
      </c>
      <c r="O1471" s="2">
        <f ca="1"/>
        <v>0.50786029976299774</v>
      </c>
      <c r="X1471" s="2">
        <f ca="1"/>
        <v>36.67507731534706</v>
      </c>
      <c r="AG1471" s="2">
        <f ca="1"/>
        <v>0.69702823023180982</v>
      </c>
      <c r="AH1471" s="2" t="str">
        <f ca="1"/>
        <v>Bad</v>
      </c>
    </row>
    <row r="1472" spans="2:34" x14ac:dyDescent="0.2">
      <c r="B1472" s="2">
        <f ca="1"/>
        <v>0.43727976182387174</v>
      </c>
      <c r="O1472" s="2">
        <f ca="1"/>
        <v>0.31786373234077714</v>
      </c>
      <c r="X1472" s="2">
        <f ca="1"/>
        <v>27.540251218375325</v>
      </c>
      <c r="AG1472" s="2">
        <f ca="1"/>
        <v>0.29141464020536745</v>
      </c>
      <c r="AH1472" s="2" t="str">
        <f ca="1"/>
        <v>OK</v>
      </c>
    </row>
    <row r="1473" spans="2:34" x14ac:dyDescent="0.2">
      <c r="B1473" s="2">
        <f ca="1"/>
        <v>0.84386893245033856</v>
      </c>
      <c r="O1473" s="2">
        <f ca="1"/>
        <v>-0.70495824023535658</v>
      </c>
      <c r="X1473" s="2">
        <f ca="1"/>
        <v>39.762399223324806</v>
      </c>
      <c r="AG1473" s="2">
        <f ca="1"/>
        <v>4.7203474796083889E-2</v>
      </c>
      <c r="AH1473" s="2" t="str">
        <f ca="1"/>
        <v>Good</v>
      </c>
    </row>
    <row r="1474" spans="2:34" x14ac:dyDescent="0.2">
      <c r="B1474" s="2">
        <f ca="1"/>
        <v>0.87622255090167167</v>
      </c>
      <c r="O1474" s="2">
        <f ca="1"/>
        <v>-0.5856953089233593</v>
      </c>
      <c r="X1474" s="2">
        <f ca="1"/>
        <v>51.406789572875724</v>
      </c>
      <c r="AG1474" s="2">
        <f ca="1"/>
        <v>0.35557442373558024</v>
      </c>
      <c r="AH1474" s="2" t="str">
        <f ca="1"/>
        <v>OK</v>
      </c>
    </row>
    <row r="1475" spans="2:34" x14ac:dyDescent="0.2">
      <c r="B1475" s="2">
        <f ca="1"/>
        <v>0.4807009420823487</v>
      </c>
      <c r="O1475" s="2">
        <f ca="1"/>
        <v>0.85651572085192074</v>
      </c>
      <c r="X1475" s="2">
        <f ca="1"/>
        <v>85.871818156815237</v>
      </c>
      <c r="AG1475" s="2">
        <f ca="1"/>
        <v>0.23382860363311497</v>
      </c>
      <c r="AH1475" s="2" t="str">
        <f ca="1"/>
        <v>OK</v>
      </c>
    </row>
    <row r="1476" spans="2:34" x14ac:dyDescent="0.2">
      <c r="B1476" s="2">
        <f ca="1"/>
        <v>0.7604063162740311</v>
      </c>
      <c r="O1476" s="2">
        <f ca="1"/>
        <v>-1.1733912741879879</v>
      </c>
      <c r="X1476" s="2">
        <f ca="1"/>
        <v>44.557290179144644</v>
      </c>
      <c r="AG1476" s="2">
        <f ca="1"/>
        <v>0.59322557585816993</v>
      </c>
      <c r="AH1476" s="2" t="str">
        <f ca="1"/>
        <v>Bad</v>
      </c>
    </row>
    <row r="1477" spans="2:34" x14ac:dyDescent="0.2">
      <c r="B1477" s="2">
        <f ca="1"/>
        <v>0.37723660023638961</v>
      </c>
      <c r="O1477" s="2">
        <f ca="1"/>
        <v>-2.3336572642890214</v>
      </c>
      <c r="X1477" s="2">
        <f ca="1"/>
        <v>22.552056399668853</v>
      </c>
      <c r="AG1477" s="2">
        <f ca="1"/>
        <v>0.54752450718440393</v>
      </c>
      <c r="AH1477" s="2" t="str">
        <f ca="1"/>
        <v>Bad</v>
      </c>
    </row>
    <row r="1478" spans="2:34" x14ac:dyDescent="0.2">
      <c r="B1478" s="2">
        <f ca="1"/>
        <v>0.58930915849050325</v>
      </c>
      <c r="O1478" s="2">
        <f ca="1"/>
        <v>-0.59308449151347942</v>
      </c>
      <c r="X1478" s="2">
        <f ca="1"/>
        <v>65.111686213276755</v>
      </c>
      <c r="AG1478" s="2">
        <f ca="1"/>
        <v>0.1967656026569593</v>
      </c>
      <c r="AH1478" s="2" t="str">
        <f ca="1"/>
        <v>OK</v>
      </c>
    </row>
    <row r="1479" spans="2:34" x14ac:dyDescent="0.2">
      <c r="B1479" s="2">
        <f ca="1"/>
        <v>0.99003993484512076</v>
      </c>
      <c r="O1479" s="2">
        <f ca="1"/>
        <v>1.1703923023100984</v>
      </c>
      <c r="X1479" s="2">
        <f ca="1"/>
        <v>24.189780738630194</v>
      </c>
      <c r="AG1479" s="2">
        <f ca="1"/>
        <v>0.21236680969617372</v>
      </c>
      <c r="AH1479" s="2" t="str">
        <f ca="1"/>
        <v>OK</v>
      </c>
    </row>
    <row r="1480" spans="2:34" x14ac:dyDescent="0.2">
      <c r="B1480" s="2">
        <f ca="1"/>
        <v>0.38555795664403525</v>
      </c>
      <c r="O1480" s="2">
        <f ca="1"/>
        <v>-9.8345263512083295E-2</v>
      </c>
      <c r="X1480" s="2">
        <f ca="1"/>
        <v>48.977414389762551</v>
      </c>
      <c r="AG1480" s="2">
        <f ca="1"/>
        <v>0.77336248531484775</v>
      </c>
      <c r="AH1480" s="2" t="str">
        <f ca="1"/>
        <v>Bad</v>
      </c>
    </row>
    <row r="1481" spans="2:34" x14ac:dyDescent="0.2">
      <c r="B1481" s="2">
        <f ca="1"/>
        <v>1.4235063373199131E-2</v>
      </c>
      <c r="O1481" s="2">
        <f ca="1"/>
        <v>-0.78120794871870125</v>
      </c>
      <c r="X1481" s="2">
        <f ca="1"/>
        <v>32.486705303688041</v>
      </c>
      <c r="AG1481" s="2">
        <f ca="1"/>
        <v>0.89312035498889197</v>
      </c>
      <c r="AH1481" s="2" t="str">
        <f ca="1"/>
        <v>Bad</v>
      </c>
    </row>
    <row r="1482" spans="2:34" x14ac:dyDescent="0.2">
      <c r="B1482" s="2">
        <f ca="1"/>
        <v>0.49902798220017019</v>
      </c>
      <c r="O1482" s="2">
        <f ca="1"/>
        <v>0.42295276596475251</v>
      </c>
      <c r="X1482" s="2">
        <f ca="1"/>
        <v>56.819821666049421</v>
      </c>
      <c r="AG1482" s="2">
        <f ca="1"/>
        <v>0.5393807915222486</v>
      </c>
      <c r="AH1482" s="2" t="str">
        <f ca="1"/>
        <v>Bad</v>
      </c>
    </row>
    <row r="1483" spans="2:34" x14ac:dyDescent="0.2">
      <c r="B1483" s="2">
        <f ca="1"/>
        <v>0.28514403015476453</v>
      </c>
      <c r="O1483" s="2">
        <f ca="1"/>
        <v>-0.41551764949096703</v>
      </c>
      <c r="X1483" s="2">
        <f ca="1"/>
        <v>42.484451553976925</v>
      </c>
      <c r="AG1483" s="2">
        <f ca="1"/>
        <v>0.18716177849700633</v>
      </c>
      <c r="AH1483" s="2" t="str">
        <f ca="1"/>
        <v>OK</v>
      </c>
    </row>
    <row r="1484" spans="2:34" x14ac:dyDescent="0.2">
      <c r="B1484" s="2">
        <f ca="1"/>
        <v>0.77350991474634845</v>
      </c>
      <c r="O1484" s="2">
        <f ca="1"/>
        <v>-0.48628442238397923</v>
      </c>
      <c r="X1484" s="2">
        <f ca="1"/>
        <v>56.901966250578752</v>
      </c>
      <c r="AG1484" s="2">
        <f ca="1"/>
        <v>0.57028480606962728</v>
      </c>
      <c r="AH1484" s="2" t="str">
        <f ca="1"/>
        <v>Bad</v>
      </c>
    </row>
    <row r="1485" spans="2:34" x14ac:dyDescent="0.2">
      <c r="B1485" s="2">
        <f ca="1"/>
        <v>0.77211867073091689</v>
      </c>
      <c r="O1485" s="2">
        <f ca="1"/>
        <v>-0.97285875087966256</v>
      </c>
      <c r="X1485" s="2">
        <f ca="1"/>
        <v>65.477468015864389</v>
      </c>
      <c r="AG1485" s="2">
        <f ca="1"/>
        <v>0.70240708633221804</v>
      </c>
      <c r="AH1485" s="2" t="str">
        <f ca="1"/>
        <v>Bad</v>
      </c>
    </row>
    <row r="1486" spans="2:34" x14ac:dyDescent="0.2">
      <c r="B1486" s="2">
        <f ca="1"/>
        <v>0.45328376557615924</v>
      </c>
      <c r="O1486" s="2">
        <f ca="1"/>
        <v>-2.7496799898963693</v>
      </c>
      <c r="X1486" s="2">
        <f ca="1"/>
        <v>43.597980894313423</v>
      </c>
      <c r="AG1486" s="2">
        <f ca="1"/>
        <v>0.95702839390675165</v>
      </c>
      <c r="AH1486" s="2" t="str">
        <f ca="1"/>
        <v>Bad</v>
      </c>
    </row>
    <row r="1487" spans="2:34" x14ac:dyDescent="0.2">
      <c r="B1487" s="2">
        <f ca="1"/>
        <v>0.78662120679352121</v>
      </c>
      <c r="O1487" s="2">
        <f ca="1"/>
        <v>-6.3741456493074736E-2</v>
      </c>
      <c r="X1487" s="2">
        <f ca="1"/>
        <v>57.382152926355928</v>
      </c>
      <c r="AG1487" s="2">
        <f ca="1"/>
        <v>8.5700734506809706E-2</v>
      </c>
      <c r="AH1487" s="2" t="str">
        <f ca="1"/>
        <v>OK</v>
      </c>
    </row>
    <row r="1488" spans="2:34" x14ac:dyDescent="0.2">
      <c r="B1488" s="2">
        <f ca="1"/>
        <v>0.58063508238989647</v>
      </c>
      <c r="O1488" s="2">
        <f ca="1"/>
        <v>0.12220568615373983</v>
      </c>
      <c r="X1488" s="2">
        <f ca="1"/>
        <v>49.515360086721991</v>
      </c>
      <c r="AG1488" s="2">
        <f ca="1"/>
        <v>0.3975133300073368</v>
      </c>
      <c r="AH1488" s="2" t="str">
        <f ca="1"/>
        <v>OK</v>
      </c>
    </row>
    <row r="1489" spans="2:34" x14ac:dyDescent="0.2">
      <c r="B1489" s="2">
        <f ca="1"/>
        <v>4.094701248523358E-2</v>
      </c>
      <c r="O1489" s="2">
        <f ca="1"/>
        <v>1.2692054086253117</v>
      </c>
      <c r="X1489" s="2">
        <f ca="1"/>
        <v>24.675685390032921</v>
      </c>
      <c r="AG1489" s="2">
        <f ca="1"/>
        <v>0.57106205239148555</v>
      </c>
      <c r="AH1489" s="2" t="str">
        <f ca="1"/>
        <v>Bad</v>
      </c>
    </row>
    <row r="1490" spans="2:34" x14ac:dyDescent="0.2">
      <c r="B1490" s="2">
        <f ca="1"/>
        <v>0.94824317323120888</v>
      </c>
      <c r="O1490" s="2">
        <f ca="1"/>
        <v>0.78703945387133911</v>
      </c>
      <c r="X1490" s="2">
        <f ca="1"/>
        <v>31.578764364843583</v>
      </c>
      <c r="AG1490" s="2">
        <f ca="1"/>
        <v>0.92793564729261724</v>
      </c>
      <c r="AH1490" s="2" t="str">
        <f ca="1"/>
        <v>Bad</v>
      </c>
    </row>
    <row r="1491" spans="2:34" x14ac:dyDescent="0.2">
      <c r="B1491" s="2">
        <f ca="1"/>
        <v>0.86690864371976106</v>
      </c>
      <c r="O1491" s="2">
        <f ca="1"/>
        <v>1.1456157272224128</v>
      </c>
      <c r="X1491" s="2">
        <f ca="1"/>
        <v>58.372428826779142</v>
      </c>
      <c r="AG1491" s="2">
        <f ca="1"/>
        <v>0.4102551258692575</v>
      </c>
      <c r="AH1491" s="2" t="str">
        <f ca="1"/>
        <v>Bad</v>
      </c>
    </row>
    <row r="1492" spans="2:34" x14ac:dyDescent="0.2">
      <c r="B1492" s="2">
        <f ca="1"/>
        <v>0.88790650763912371</v>
      </c>
      <c r="O1492" s="2">
        <f ca="1"/>
        <v>0.47013961966363021</v>
      </c>
      <c r="X1492" s="2">
        <f ca="1"/>
        <v>36.637194332273616</v>
      </c>
      <c r="AG1492" s="2">
        <f ca="1"/>
        <v>0.4409055133196651</v>
      </c>
      <c r="AH1492" s="2" t="str">
        <f ca="1"/>
        <v>Bad</v>
      </c>
    </row>
    <row r="1493" spans="2:34" x14ac:dyDescent="0.2">
      <c r="B1493" s="2">
        <f ca="1"/>
        <v>0.33527365151478827</v>
      </c>
      <c r="O1493" s="2">
        <f ca="1"/>
        <v>0.5635644669233375</v>
      </c>
      <c r="X1493" s="2">
        <f ca="1"/>
        <v>34.036466935932843</v>
      </c>
      <c r="AG1493" s="2">
        <f ca="1"/>
        <v>0.67874212738872819</v>
      </c>
      <c r="AH1493" s="2" t="str">
        <f ca="1"/>
        <v>Bad</v>
      </c>
    </row>
    <row r="1494" spans="2:34" x14ac:dyDescent="0.2">
      <c r="B1494" s="2">
        <f ca="1"/>
        <v>0.39391444795268082</v>
      </c>
      <c r="O1494" s="2">
        <f ca="1"/>
        <v>0.10926467155703083</v>
      </c>
      <c r="X1494" s="2">
        <f ca="1"/>
        <v>50.513505114504866</v>
      </c>
      <c r="AG1494" s="2">
        <f ca="1"/>
        <v>0.35774027372979145</v>
      </c>
      <c r="AH1494" s="2" t="str">
        <f ca="1"/>
        <v>OK</v>
      </c>
    </row>
    <row r="1495" spans="2:34" x14ac:dyDescent="0.2">
      <c r="B1495" s="2">
        <f ca="1"/>
        <v>0.10960627053639604</v>
      </c>
      <c r="O1495" s="2">
        <f ca="1"/>
        <v>-0.37564390359683392</v>
      </c>
      <c r="X1495" s="2">
        <f ca="1"/>
        <v>45.636944953036327</v>
      </c>
      <c r="AG1495" s="2">
        <f ca="1"/>
        <v>0.21595862004031785</v>
      </c>
      <c r="AH1495" s="2" t="str">
        <f ca="1"/>
        <v>OK</v>
      </c>
    </row>
    <row r="1496" spans="2:34" x14ac:dyDescent="0.2">
      <c r="B1496" s="2">
        <f ca="1"/>
        <v>0.69398010351832951</v>
      </c>
      <c r="O1496" s="2">
        <f ca="1"/>
        <v>5.153304050938938E-2</v>
      </c>
      <c r="X1496" s="2">
        <f ca="1"/>
        <v>64.047201243225913</v>
      </c>
      <c r="AG1496" s="2">
        <f ca="1"/>
        <v>0.83699272274228798</v>
      </c>
      <c r="AH1496" s="2" t="str">
        <f ca="1"/>
        <v>Bad</v>
      </c>
    </row>
    <row r="1497" spans="2:34" x14ac:dyDescent="0.2">
      <c r="B1497" s="2">
        <f ca="1"/>
        <v>0.38674901073822321</v>
      </c>
      <c r="O1497" s="2">
        <f ca="1"/>
        <v>-0.61859413515108708</v>
      </c>
      <c r="X1497" s="2">
        <f ca="1"/>
        <v>41.382043392048331</v>
      </c>
      <c r="AG1497" s="2">
        <f ca="1"/>
        <v>0.95229655335628594</v>
      </c>
      <c r="AH1497" s="2" t="str">
        <f ca="1"/>
        <v>Bad</v>
      </c>
    </row>
    <row r="1498" spans="2:34" x14ac:dyDescent="0.2">
      <c r="B1498" s="2">
        <f ca="1"/>
        <v>0.8821753374017276</v>
      </c>
      <c r="O1498" s="2">
        <f ca="1"/>
        <v>0.22375683165178611</v>
      </c>
      <c r="X1498" s="2">
        <f ca="1"/>
        <v>43.225733667578396</v>
      </c>
      <c r="AG1498" s="2">
        <f ca="1"/>
        <v>0.56774760793939683</v>
      </c>
      <c r="AH1498" s="2" t="str">
        <f ca="1"/>
        <v>Bad</v>
      </c>
    </row>
    <row r="1499" spans="2:34" x14ac:dyDescent="0.2">
      <c r="B1499" s="2">
        <f ca="1"/>
        <v>0.7156251477394997</v>
      </c>
      <c r="O1499" s="2">
        <f ca="1"/>
        <v>-1.0349165721616616</v>
      </c>
      <c r="X1499" s="2">
        <f ca="1"/>
        <v>51.01808340561297</v>
      </c>
      <c r="AG1499" s="2">
        <f ca="1"/>
        <v>6.6454218855465985E-2</v>
      </c>
      <c r="AH1499" s="2" t="str">
        <f ca="1"/>
        <v>OK</v>
      </c>
    </row>
    <row r="1500" spans="2:34" x14ac:dyDescent="0.2">
      <c r="B1500" s="2">
        <f ca="1"/>
        <v>0.88340788742708187</v>
      </c>
      <c r="O1500" s="2">
        <f ca="1"/>
        <v>-0.43172754808291647</v>
      </c>
      <c r="X1500" s="2">
        <f ca="1"/>
        <v>39.28993621780117</v>
      </c>
      <c r="AG1500" s="2">
        <f ca="1"/>
        <v>0.78718803165558615</v>
      </c>
      <c r="AH1500" s="2" t="str">
        <f ca="1"/>
        <v>Bad</v>
      </c>
    </row>
    <row r="1501" spans="2:34" x14ac:dyDescent="0.2">
      <c r="B1501" s="2">
        <f ca="1"/>
        <v>0.48554232280309328</v>
      </c>
      <c r="O1501" s="2">
        <f ca="1"/>
        <v>0.89899777577670337</v>
      </c>
      <c r="X1501" s="2">
        <f ca="1"/>
        <v>47.216229145121666</v>
      </c>
      <c r="AG1501" s="2">
        <f ca="1"/>
        <v>0.55083979735396182</v>
      </c>
      <c r="AH1501" s="2" t="str">
        <f ca="1"/>
        <v>Bad</v>
      </c>
    </row>
    <row r="1502" spans="2:34" x14ac:dyDescent="0.2">
      <c r="B1502" s="2">
        <f ca="1"/>
        <v>0.90663045760835281</v>
      </c>
      <c r="O1502" s="2">
        <f ca="1"/>
        <v>-1.231011058793251</v>
      </c>
      <c r="X1502" s="2">
        <f ca="1"/>
        <v>48.207300555230781</v>
      </c>
      <c r="AG1502" s="2">
        <f ca="1"/>
        <v>0.75035740086603542</v>
      </c>
      <c r="AH1502" s="2" t="str">
        <f ca="1"/>
        <v>Bad</v>
      </c>
    </row>
    <row r="1503" spans="2:34" x14ac:dyDescent="0.2">
      <c r="B1503" s="2">
        <f ca="1"/>
        <v>0.74594570017821038</v>
      </c>
      <c r="O1503" s="2">
        <f ca="1"/>
        <v>-0.1976757142585798</v>
      </c>
      <c r="X1503" s="2">
        <f ca="1"/>
        <v>55.113319529662391</v>
      </c>
      <c r="AG1503" s="2">
        <f ca="1"/>
        <v>0.84653306124827887</v>
      </c>
      <c r="AH1503" s="2" t="str">
        <f ca="1"/>
        <v>Bad</v>
      </c>
    </row>
    <row r="1504" spans="2:34" x14ac:dyDescent="0.2">
      <c r="B1504" s="2">
        <f ca="1"/>
        <v>0.39890006429515257</v>
      </c>
      <c r="O1504" s="2">
        <f ca="1"/>
        <v>1.3910235198215479</v>
      </c>
      <c r="X1504" s="2">
        <f ca="1"/>
        <v>40.758020772846763</v>
      </c>
      <c r="AG1504" s="2">
        <f ca="1"/>
        <v>0.72516903908615893</v>
      </c>
      <c r="AH1504" s="2" t="str">
        <f ca="1"/>
        <v>Bad</v>
      </c>
    </row>
    <row r="1505" spans="2:34" x14ac:dyDescent="0.2">
      <c r="B1505" s="2">
        <f ca="1"/>
        <v>0.90275377397583223</v>
      </c>
      <c r="O1505" s="2">
        <f ca="1"/>
        <v>-0.82498605710958905</v>
      </c>
      <c r="X1505" s="2">
        <f ca="1"/>
        <v>55.658025845561909</v>
      </c>
      <c r="AG1505" s="2">
        <f ca="1"/>
        <v>0.71958664036806042</v>
      </c>
      <c r="AH1505" s="2" t="str">
        <f ca="1"/>
        <v>Bad</v>
      </c>
    </row>
    <row r="1506" spans="2:34" x14ac:dyDescent="0.2">
      <c r="B1506" s="2">
        <f ca="1"/>
        <v>0.76483685049497763</v>
      </c>
      <c r="O1506" s="2">
        <f ca="1"/>
        <v>0.17827007430802871</v>
      </c>
      <c r="X1506" s="2">
        <f ca="1"/>
        <v>53.598553945204941</v>
      </c>
      <c r="AG1506" s="2">
        <f ca="1"/>
        <v>0.50021542416600218</v>
      </c>
      <c r="AH1506" s="2" t="str">
        <f ca="1"/>
        <v>Bad</v>
      </c>
    </row>
    <row r="1507" spans="2:34" x14ac:dyDescent="0.2">
      <c r="B1507" s="2">
        <f ca="1"/>
        <v>0.46741356112811605</v>
      </c>
      <c r="O1507" s="2">
        <f ca="1"/>
        <v>0.6259497722328714</v>
      </c>
      <c r="X1507" s="2">
        <f ca="1"/>
        <v>61.981097151052126</v>
      </c>
      <c r="AG1507" s="2">
        <f ca="1"/>
        <v>0.34481903479704457</v>
      </c>
      <c r="AH1507" s="2" t="str">
        <f ca="1"/>
        <v>OK</v>
      </c>
    </row>
    <row r="1508" spans="2:34" x14ac:dyDescent="0.2">
      <c r="B1508" s="2">
        <f ca="1"/>
        <v>3.1027185167963101E-2</v>
      </c>
      <c r="O1508" s="2">
        <f ca="1"/>
        <v>1.3337826277347047</v>
      </c>
      <c r="X1508" s="2">
        <f ca="1"/>
        <v>24.540053946478015</v>
      </c>
      <c r="AG1508" s="2">
        <f ca="1"/>
        <v>0.61331895290901328</v>
      </c>
      <c r="AH1508" s="2" t="str">
        <f ca="1"/>
        <v>Bad</v>
      </c>
    </row>
    <row r="1509" spans="2:34" x14ac:dyDescent="0.2">
      <c r="B1509" s="2">
        <f ca="1"/>
        <v>0.84145624924350138</v>
      </c>
      <c r="O1509" s="2">
        <f ca="1"/>
        <v>2.5799537690446805</v>
      </c>
      <c r="X1509" s="2">
        <f ca="1"/>
        <v>62.006747627978854</v>
      </c>
      <c r="AG1509" s="2">
        <f ca="1"/>
        <v>0.82001988913658952</v>
      </c>
      <c r="AH1509" s="2" t="str">
        <f ca="1"/>
        <v>Bad</v>
      </c>
    </row>
    <row r="1510" spans="2:34" x14ac:dyDescent="0.2">
      <c r="B1510" s="2">
        <f ca="1"/>
        <v>0.53734766544613599</v>
      </c>
      <c r="O1510" s="2">
        <f ca="1"/>
        <v>0.2935119561401679</v>
      </c>
      <c r="X1510" s="2">
        <f ca="1"/>
        <v>65.080334212251529</v>
      </c>
      <c r="AG1510" s="2">
        <f ca="1"/>
        <v>0.2676193387327308</v>
      </c>
      <c r="AH1510" s="2" t="str">
        <f ca="1"/>
        <v>OK</v>
      </c>
    </row>
    <row r="1511" spans="2:34" x14ac:dyDescent="0.2">
      <c r="B1511" s="2">
        <f ca="1"/>
        <v>0.6399984460930519</v>
      </c>
      <c r="O1511" s="2">
        <f ca="1"/>
        <v>-1.2561604508481019</v>
      </c>
      <c r="X1511" s="2">
        <f ca="1"/>
        <v>67.613678139860468</v>
      </c>
      <c r="AG1511" s="2">
        <f ca="1"/>
        <v>0.41132054017889819</v>
      </c>
      <c r="AH1511" s="2" t="str">
        <f ca="1"/>
        <v>Bad</v>
      </c>
    </row>
    <row r="1512" spans="2:34" x14ac:dyDescent="0.2">
      <c r="B1512" s="2">
        <f ca="1"/>
        <v>0.96231173008100179</v>
      </c>
      <c r="O1512" s="2">
        <f ca="1"/>
        <v>2.2587879835743006</v>
      </c>
      <c r="X1512" s="2">
        <f ca="1"/>
        <v>42.820309429167935</v>
      </c>
      <c r="AG1512" s="2">
        <f ca="1"/>
        <v>0.51228053139807228</v>
      </c>
      <c r="AH1512" s="2" t="str">
        <f ca="1"/>
        <v>Bad</v>
      </c>
    </row>
    <row r="1513" spans="2:34" x14ac:dyDescent="0.2">
      <c r="B1513" s="2">
        <f ca="1"/>
        <v>0.72904898877986524</v>
      </c>
      <c r="O1513" s="2">
        <f ca="1"/>
        <v>0.3193046301352111</v>
      </c>
      <c r="X1513" s="2">
        <f ca="1"/>
        <v>15.463828172248185</v>
      </c>
      <c r="AG1513" s="2">
        <f ca="1"/>
        <v>0.60841731751404815</v>
      </c>
      <c r="AH1513" s="2" t="str">
        <f ca="1"/>
        <v>Bad</v>
      </c>
    </row>
    <row r="1514" spans="2:34" x14ac:dyDescent="0.2">
      <c r="B1514" s="2">
        <f ca="1"/>
        <v>0.64307830615472761</v>
      </c>
      <c r="O1514" s="2">
        <f ca="1"/>
        <v>-0.99449435152715004</v>
      </c>
      <c r="X1514" s="2">
        <f ca="1"/>
        <v>57.642186278922011</v>
      </c>
      <c r="AG1514" s="2">
        <f ca="1"/>
        <v>0.50812285417677017</v>
      </c>
      <c r="AH1514" s="2" t="str">
        <f ca="1"/>
        <v>Bad</v>
      </c>
    </row>
    <row r="1515" spans="2:34" x14ac:dyDescent="0.2">
      <c r="B1515" s="2">
        <f ca="1"/>
        <v>0.73200464575040147</v>
      </c>
      <c r="O1515" s="2">
        <f ca="1"/>
        <v>-0.31621995336465619</v>
      </c>
      <c r="X1515" s="2">
        <f ca="1"/>
        <v>46.775739549607138</v>
      </c>
      <c r="AG1515" s="2">
        <f ca="1"/>
        <v>0.81267917704668502</v>
      </c>
      <c r="AH1515" s="2" t="str">
        <f ca="1"/>
        <v>Bad</v>
      </c>
    </row>
    <row r="1516" spans="2:34" x14ac:dyDescent="0.2">
      <c r="B1516" s="2">
        <f ca="1"/>
        <v>0.89819203722277585</v>
      </c>
      <c r="O1516" s="2">
        <f ca="1"/>
        <v>-1.7176553920158022</v>
      </c>
      <c r="X1516" s="2">
        <f ca="1"/>
        <v>35.7615214885599</v>
      </c>
      <c r="AG1516" s="2">
        <f ca="1"/>
        <v>0.5307753099090855</v>
      </c>
      <c r="AH1516" s="2" t="str">
        <f ca="1"/>
        <v>Bad</v>
      </c>
    </row>
    <row r="1517" spans="2:34" x14ac:dyDescent="0.2">
      <c r="B1517" s="2">
        <f ca="1"/>
        <v>0.36109067581276566</v>
      </c>
      <c r="O1517" s="2">
        <f ca="1"/>
        <v>-0.20862713897033397</v>
      </c>
      <c r="X1517" s="2">
        <f ca="1"/>
        <v>41.523449389771272</v>
      </c>
      <c r="AG1517" s="2">
        <f ca="1"/>
        <v>0.96635245244216228</v>
      </c>
      <c r="AH1517" s="2" t="str">
        <f ca="1"/>
        <v>Bad</v>
      </c>
    </row>
    <row r="1518" spans="2:34" x14ac:dyDescent="0.2">
      <c r="B1518" s="2">
        <f ca="1"/>
        <v>1.8548465930138702E-2</v>
      </c>
      <c r="O1518" s="2">
        <f ca="1"/>
        <v>-1.6819548230250232</v>
      </c>
      <c r="X1518" s="2">
        <f ca="1"/>
        <v>74.713489665977676</v>
      </c>
      <c r="AG1518" s="2">
        <f ca="1"/>
        <v>0.94189467299425478</v>
      </c>
      <c r="AH1518" s="2" t="str">
        <f ca="1"/>
        <v>Bad</v>
      </c>
    </row>
    <row r="1519" spans="2:34" x14ac:dyDescent="0.2">
      <c r="B1519" s="2">
        <f ca="1"/>
        <v>0.73404423569574551</v>
      </c>
      <c r="O1519" s="2">
        <f ca="1"/>
        <v>-0.50506608716473089</v>
      </c>
      <c r="X1519" s="2">
        <f ca="1"/>
        <v>53.964590375199741</v>
      </c>
      <c r="AG1519" s="2">
        <f ca="1"/>
        <v>0.14860896285083158</v>
      </c>
      <c r="AH1519" s="2" t="str">
        <f ca="1"/>
        <v>OK</v>
      </c>
    </row>
    <row r="1520" spans="2:34" x14ac:dyDescent="0.2">
      <c r="B1520" s="2">
        <f ca="1"/>
        <v>0.99920866199975977</v>
      </c>
      <c r="O1520" s="2">
        <f ca="1"/>
        <v>0.13096954044124817</v>
      </c>
      <c r="X1520" s="2">
        <f ca="1"/>
        <v>37.2772182634871</v>
      </c>
      <c r="AG1520" s="2">
        <f ca="1"/>
        <v>0.4751476045194547</v>
      </c>
      <c r="AH1520" s="2" t="str">
        <f ca="1"/>
        <v>Bad</v>
      </c>
    </row>
    <row r="1521" spans="2:34" x14ac:dyDescent="0.2">
      <c r="B1521" s="2">
        <f ca="1"/>
        <v>0.10470774658691062</v>
      </c>
      <c r="O1521" s="2">
        <f ca="1"/>
        <v>0.12653802327287494</v>
      </c>
      <c r="X1521" s="2">
        <f ca="1"/>
        <v>44.851717112705273</v>
      </c>
      <c r="AG1521" s="2">
        <f ca="1"/>
        <v>9.6403162510212859E-2</v>
      </c>
      <c r="AH1521" s="2" t="str">
        <f ca="1"/>
        <v>OK</v>
      </c>
    </row>
    <row r="1522" spans="2:34" x14ac:dyDescent="0.2">
      <c r="B1522" s="2">
        <f ca="1"/>
        <v>1.106626855970938E-2</v>
      </c>
      <c r="O1522" s="2">
        <f ca="1"/>
        <v>0.64474247278678665</v>
      </c>
      <c r="X1522" s="2">
        <f ca="1"/>
        <v>61.443415772313415</v>
      </c>
      <c r="AG1522" s="2">
        <f ca="1"/>
        <v>1.5636289170667617E-2</v>
      </c>
      <c r="AH1522" s="2" t="str">
        <f ca="1"/>
        <v>Good</v>
      </c>
    </row>
    <row r="1523" spans="2:34" x14ac:dyDescent="0.2">
      <c r="B1523" s="2">
        <f ca="1"/>
        <v>0.6855073425422169</v>
      </c>
      <c r="O1523" s="2">
        <f ca="1"/>
        <v>-0.4654676001188891</v>
      </c>
      <c r="X1523" s="2">
        <f ca="1"/>
        <v>40.113509491573616</v>
      </c>
      <c r="AG1523" s="2">
        <f ca="1"/>
        <v>0.36406368157593771</v>
      </c>
      <c r="AH1523" s="2" t="str">
        <f ca="1"/>
        <v>OK</v>
      </c>
    </row>
    <row r="1524" spans="2:34" x14ac:dyDescent="0.2">
      <c r="B1524" s="2">
        <f ca="1"/>
        <v>0.83550040807163484</v>
      </c>
      <c r="O1524" s="2">
        <f ca="1"/>
        <v>-1.0087975787670818</v>
      </c>
      <c r="X1524" s="2">
        <f ca="1"/>
        <v>62.677755108416235</v>
      </c>
      <c r="AG1524" s="2">
        <f ca="1"/>
        <v>0.53016992294066112</v>
      </c>
      <c r="AH1524" s="2" t="str">
        <f ca="1"/>
        <v>Bad</v>
      </c>
    </row>
    <row r="1525" spans="2:34" x14ac:dyDescent="0.2">
      <c r="B1525" s="2">
        <f ca="1"/>
        <v>0.87569444498629023</v>
      </c>
      <c r="O1525" s="2">
        <f ca="1"/>
        <v>-0.64729550474921582</v>
      </c>
      <c r="X1525" s="2">
        <f ca="1"/>
        <v>66.890999947523284</v>
      </c>
      <c r="AG1525" s="2">
        <f ca="1"/>
        <v>0.2671659767327077</v>
      </c>
      <c r="AH1525" s="2" t="str">
        <f ca="1"/>
        <v>OK</v>
      </c>
    </row>
    <row r="1526" spans="2:34" x14ac:dyDescent="0.2">
      <c r="B1526" s="2">
        <f ca="1"/>
        <v>0.59344217624115636</v>
      </c>
      <c r="O1526" s="2">
        <f ca="1"/>
        <v>-0.425675212406529</v>
      </c>
      <c r="X1526" s="2">
        <f ca="1"/>
        <v>64.082879122983272</v>
      </c>
      <c r="AG1526" s="2">
        <f ca="1"/>
        <v>0.47224410127327032</v>
      </c>
      <c r="AH1526" s="2" t="str">
        <f ca="1"/>
        <v>Bad</v>
      </c>
    </row>
    <row r="1527" spans="2:34" x14ac:dyDescent="0.2">
      <c r="B1527" s="2">
        <f ca="1"/>
        <v>0.63649271096918492</v>
      </c>
      <c r="O1527" s="2">
        <f ca="1"/>
        <v>1.2430233223613341</v>
      </c>
      <c r="X1527" s="2">
        <f ca="1"/>
        <v>37.736577289255003</v>
      </c>
      <c r="AG1527" s="2">
        <f ca="1"/>
        <v>0.83568781374393319</v>
      </c>
      <c r="AH1527" s="2" t="str">
        <f ca="1"/>
        <v>Bad</v>
      </c>
    </row>
    <row r="1528" spans="2:34" x14ac:dyDescent="0.2">
      <c r="B1528" s="2">
        <f ca="1"/>
        <v>0.43224064691911956</v>
      </c>
      <c r="O1528" s="2">
        <f ca="1"/>
        <v>-1.0615776268238772</v>
      </c>
      <c r="X1528" s="2">
        <f ca="1"/>
        <v>48.03624360392962</v>
      </c>
      <c r="AG1528" s="2">
        <f ca="1"/>
        <v>0.11434708279509209</v>
      </c>
      <c r="AH1528" s="2" t="str">
        <f ca="1"/>
        <v>OK</v>
      </c>
    </row>
    <row r="1529" spans="2:34" x14ac:dyDescent="0.2">
      <c r="B1529" s="2">
        <f ca="1"/>
        <v>0.60320654426101283</v>
      </c>
      <c r="O1529" s="2">
        <f ca="1"/>
        <v>0.17129812027606012</v>
      </c>
      <c r="X1529" s="2">
        <f ca="1"/>
        <v>36.425323745605425</v>
      </c>
      <c r="AG1529" s="2">
        <f ca="1"/>
        <v>0.79962908503634611</v>
      </c>
      <c r="AH1529" s="2" t="str">
        <f ca="1"/>
        <v>Bad</v>
      </c>
    </row>
    <row r="1530" spans="2:34" x14ac:dyDescent="0.2">
      <c r="B1530" s="2">
        <f ca="1"/>
        <v>0.29799134633233626</v>
      </c>
      <c r="O1530" s="2">
        <f ca="1"/>
        <v>-0.71975530164552304</v>
      </c>
      <c r="X1530" s="2">
        <f ca="1"/>
        <v>83.641112682372736</v>
      </c>
      <c r="AG1530" s="2">
        <f ca="1"/>
        <v>0.60399161321300299</v>
      </c>
      <c r="AH1530" s="2" t="str">
        <f ca="1"/>
        <v>Bad</v>
      </c>
    </row>
    <row r="1531" spans="2:34" x14ac:dyDescent="0.2">
      <c r="B1531" s="2">
        <f ca="1"/>
        <v>6.522896937176581E-2</v>
      </c>
      <c r="O1531" s="2">
        <f ca="1"/>
        <v>-2.939089402473801</v>
      </c>
      <c r="X1531" s="2">
        <f ca="1"/>
        <v>45.060399748194314</v>
      </c>
      <c r="AG1531" s="2">
        <f ca="1"/>
        <v>0.53981405877410094</v>
      </c>
      <c r="AH1531" s="2" t="str">
        <f ca="1"/>
        <v>Bad</v>
      </c>
    </row>
    <row r="1532" spans="2:34" x14ac:dyDescent="0.2">
      <c r="B1532" s="2">
        <f ca="1"/>
        <v>0.88533721814349353</v>
      </c>
      <c r="O1532" s="2">
        <f ca="1"/>
        <v>-0.16228592930352284</v>
      </c>
      <c r="X1532" s="2">
        <f ca="1"/>
        <v>60.104761552299941</v>
      </c>
      <c r="AG1532" s="2">
        <f ca="1"/>
        <v>0.7377188630978484</v>
      </c>
      <c r="AH1532" s="2" t="str">
        <f ca="1"/>
        <v>Bad</v>
      </c>
    </row>
    <row r="1533" spans="2:34" x14ac:dyDescent="0.2">
      <c r="B1533" s="2">
        <f ca="1"/>
        <v>0.62806171389295407</v>
      </c>
      <c r="O1533" s="2">
        <f ca="1"/>
        <v>0.76275786297671033</v>
      </c>
      <c r="X1533" s="2">
        <f ca="1"/>
        <v>66.338501077691376</v>
      </c>
      <c r="AG1533" s="2">
        <f ca="1"/>
        <v>0.39947117142705313</v>
      </c>
      <c r="AH1533" s="2" t="str">
        <f ca="1"/>
        <v>OK</v>
      </c>
    </row>
    <row r="1534" spans="2:34" x14ac:dyDescent="0.2">
      <c r="B1534" s="2">
        <f ca="1"/>
        <v>0.11751414314646857</v>
      </c>
      <c r="O1534" s="2">
        <f ca="1"/>
        <v>0.92800818205221602</v>
      </c>
      <c r="X1534" s="2">
        <f ca="1"/>
        <v>53.088023462103855</v>
      </c>
      <c r="AG1534" s="2">
        <f ca="1"/>
        <v>0.31374839291747092</v>
      </c>
      <c r="AH1534" s="2" t="str">
        <f ca="1"/>
        <v>OK</v>
      </c>
    </row>
    <row r="1535" spans="2:34" x14ac:dyDescent="0.2">
      <c r="B1535" s="2">
        <f ca="1"/>
        <v>0.93599236573977618</v>
      </c>
      <c r="O1535" s="2">
        <f ca="1"/>
        <v>0.62915362656249407</v>
      </c>
      <c r="X1535" s="2">
        <f ca="1"/>
        <v>44.459967973761927</v>
      </c>
      <c r="AG1535" s="2">
        <f ca="1"/>
        <v>0.71756608102306818</v>
      </c>
      <c r="AH1535" s="2" t="str">
        <f ca="1"/>
        <v>Bad</v>
      </c>
    </row>
    <row r="1536" spans="2:34" x14ac:dyDescent="0.2">
      <c r="B1536" s="2">
        <f ca="1"/>
        <v>0.83408462273059336</v>
      </c>
      <c r="O1536" s="2">
        <f ca="1"/>
        <v>0.14655624459525654</v>
      </c>
      <c r="X1536" s="2">
        <f ca="1"/>
        <v>97.205192125228479</v>
      </c>
      <c r="AG1536" s="2">
        <f ca="1"/>
        <v>0.89445442082083582</v>
      </c>
      <c r="AH1536" s="2" t="str">
        <f ca="1"/>
        <v>Bad</v>
      </c>
    </row>
    <row r="1537" spans="2:34" x14ac:dyDescent="0.2">
      <c r="B1537" s="2">
        <f ca="1"/>
        <v>0.65346770147680022</v>
      </c>
      <c r="O1537" s="2">
        <f ca="1"/>
        <v>0.20193944396095462</v>
      </c>
      <c r="X1537" s="2">
        <f ca="1"/>
        <v>63.204771512633258</v>
      </c>
      <c r="AG1537" s="2">
        <f ca="1"/>
        <v>0.92462440591616146</v>
      </c>
      <c r="AH1537" s="2" t="str">
        <f ca="1"/>
        <v>Bad</v>
      </c>
    </row>
    <row r="1538" spans="2:34" x14ac:dyDescent="0.2">
      <c r="B1538" s="2">
        <f ca="1"/>
        <v>0.76172415602837895</v>
      </c>
      <c r="O1538" s="2">
        <f ca="1"/>
        <v>0.31318909232145453</v>
      </c>
      <c r="X1538" s="2">
        <f ca="1"/>
        <v>49.752837305760629</v>
      </c>
      <c r="AG1538" s="2">
        <f ca="1"/>
        <v>0.99638073196528287</v>
      </c>
      <c r="AH1538" s="2" t="str">
        <f ca="1"/>
        <v>Bad</v>
      </c>
    </row>
    <row r="1539" spans="2:34" x14ac:dyDescent="0.2">
      <c r="B1539" s="2">
        <f ca="1"/>
        <v>6.0918627820174542E-3</v>
      </c>
      <c r="O1539" s="2">
        <f ca="1"/>
        <v>1.2728402964495347</v>
      </c>
      <c r="X1539" s="2">
        <f ca="1"/>
        <v>13.509032702079413</v>
      </c>
      <c r="AG1539" s="2">
        <f ca="1"/>
        <v>0.60560136614638527</v>
      </c>
      <c r="AH1539" s="2" t="str">
        <f ca="1"/>
        <v>Bad</v>
      </c>
    </row>
    <row r="1540" spans="2:34" x14ac:dyDescent="0.2">
      <c r="B1540" s="2">
        <f ca="1"/>
        <v>0.15146554459125294</v>
      </c>
      <c r="O1540" s="2">
        <f ca="1"/>
        <v>-0.97044817092076774</v>
      </c>
      <c r="X1540" s="2">
        <f ca="1"/>
        <v>58.88133947006969</v>
      </c>
      <c r="AG1540" s="2">
        <f ca="1"/>
        <v>0.87071400610304539</v>
      </c>
      <c r="AH1540" s="2" t="str">
        <f ca="1"/>
        <v>Bad</v>
      </c>
    </row>
    <row r="1541" spans="2:34" x14ac:dyDescent="0.2">
      <c r="B1541" s="2">
        <f ca="1"/>
        <v>0.26151425485240432</v>
      </c>
      <c r="O1541" s="2">
        <f ca="1"/>
        <v>-2.1775203091630679</v>
      </c>
      <c r="X1541" s="2">
        <f ca="1"/>
        <v>55.904421196664671</v>
      </c>
      <c r="AG1541" s="2">
        <f ca="1"/>
        <v>0.61414663852806273</v>
      </c>
      <c r="AH1541" s="2" t="str">
        <f ca="1"/>
        <v>Bad</v>
      </c>
    </row>
    <row r="1542" spans="2:34" x14ac:dyDescent="0.2">
      <c r="B1542" s="2">
        <f ca="1"/>
        <v>0.91686357778525207</v>
      </c>
      <c r="O1542" s="2">
        <f ca="1"/>
        <v>0.37475911836221204</v>
      </c>
      <c r="X1542" s="2">
        <f ca="1"/>
        <v>54.019226953243859</v>
      </c>
      <c r="AG1542" s="2">
        <f ca="1"/>
        <v>0.63516255793513077</v>
      </c>
      <c r="AH1542" s="2" t="str">
        <f ca="1"/>
        <v>Bad</v>
      </c>
    </row>
    <row r="1543" spans="2:34" x14ac:dyDescent="0.2">
      <c r="B1543" s="2">
        <f ca="1"/>
        <v>0.71417674063020464</v>
      </c>
      <c r="O1543" s="2">
        <f ca="1"/>
        <v>2.0593738824141647</v>
      </c>
      <c r="X1543" s="2">
        <f ca="1"/>
        <v>54.658040768754155</v>
      </c>
      <c r="AG1543" s="2">
        <f ca="1"/>
        <v>0.96500085384065848</v>
      </c>
      <c r="AH1543" s="2" t="str">
        <f ca="1"/>
        <v>Bad</v>
      </c>
    </row>
    <row r="1544" spans="2:34" x14ac:dyDescent="0.2">
      <c r="B1544" s="2">
        <f ca="1"/>
        <v>0.39203084760861073</v>
      </c>
      <c r="O1544" s="2">
        <f ca="1"/>
        <v>-0.36025437630773471</v>
      </c>
      <c r="X1544" s="2">
        <f ca="1"/>
        <v>84.023712796231237</v>
      </c>
      <c r="AG1544" s="2">
        <f ca="1"/>
        <v>0.64038797333996844</v>
      </c>
      <c r="AH1544" s="2" t="str">
        <f ca="1"/>
        <v>Bad</v>
      </c>
    </row>
    <row r="1545" spans="2:34" x14ac:dyDescent="0.2">
      <c r="B1545" s="2">
        <f ca="1"/>
        <v>0.13977569032740522</v>
      </c>
      <c r="O1545" s="2">
        <f ca="1"/>
        <v>0.15876578431391467</v>
      </c>
      <c r="X1545" s="2">
        <f ca="1"/>
        <v>46.569804131084126</v>
      </c>
      <c r="AG1545" s="2">
        <f ca="1"/>
        <v>0.24206433121109727</v>
      </c>
      <c r="AH1545" s="2" t="str">
        <f ca="1"/>
        <v>OK</v>
      </c>
    </row>
    <row r="1546" spans="2:34" x14ac:dyDescent="0.2">
      <c r="B1546" s="2">
        <f ca="1"/>
        <v>0.94383339361384899</v>
      </c>
      <c r="O1546" s="2">
        <f ca="1"/>
        <v>-0.62486061933196291</v>
      </c>
      <c r="X1546" s="2">
        <f ca="1"/>
        <v>53.309086445142817</v>
      </c>
      <c r="AG1546" s="2">
        <f ca="1"/>
        <v>0.93885800714851242</v>
      </c>
      <c r="AH1546" s="2" t="str">
        <f ca="1"/>
        <v>Bad</v>
      </c>
    </row>
    <row r="1547" spans="2:34" x14ac:dyDescent="0.2">
      <c r="B1547" s="2">
        <f ca="1"/>
        <v>0.81997559060732583</v>
      </c>
      <c r="O1547" s="2">
        <f ca="1"/>
        <v>1.8563941816611609</v>
      </c>
      <c r="X1547" s="2">
        <f ca="1"/>
        <v>57.747052946252012</v>
      </c>
      <c r="AG1547" s="2">
        <f ca="1"/>
        <v>0.65501495601912119</v>
      </c>
      <c r="AH1547" s="2" t="str">
        <f ca="1"/>
        <v>Bad</v>
      </c>
    </row>
    <row r="1548" spans="2:34" x14ac:dyDescent="0.2">
      <c r="B1548" s="2">
        <f ca="1"/>
        <v>0.9220220507323178</v>
      </c>
      <c r="O1548" s="2">
        <f ca="1"/>
        <v>-0.11487784542548418</v>
      </c>
      <c r="X1548" s="2">
        <f ca="1"/>
        <v>20.855910658209503</v>
      </c>
      <c r="AG1548" s="2">
        <f ca="1"/>
        <v>0.39626037802024494</v>
      </c>
      <c r="AH1548" s="2" t="str">
        <f ca="1"/>
        <v>OK</v>
      </c>
    </row>
    <row r="1549" spans="2:34" x14ac:dyDescent="0.2">
      <c r="B1549" s="2">
        <f ca="1"/>
        <v>0.93360501399724316</v>
      </c>
      <c r="O1549" s="2">
        <f ca="1"/>
        <v>-1.141182348162195</v>
      </c>
      <c r="X1549" s="2">
        <f ca="1"/>
        <v>26.466009858646821</v>
      </c>
      <c r="AG1549" s="2">
        <f ca="1"/>
        <v>5.0466144952015624E-2</v>
      </c>
      <c r="AH1549" s="2" t="str">
        <f ca="1"/>
        <v>OK</v>
      </c>
    </row>
    <row r="1550" spans="2:34" x14ac:dyDescent="0.2">
      <c r="B1550" s="2">
        <f ca="1"/>
        <v>0.68284207274217912</v>
      </c>
      <c r="O1550" s="2">
        <f ca="1"/>
        <v>0.70108626570063159</v>
      </c>
      <c r="X1550" s="2">
        <f ca="1"/>
        <v>44.399954760635595</v>
      </c>
      <c r="AG1550" s="2">
        <f ca="1"/>
        <v>0.41170513042805124</v>
      </c>
      <c r="AH1550" s="2" t="str">
        <f ca="1"/>
        <v>Bad</v>
      </c>
    </row>
    <row r="1551" spans="2:34" x14ac:dyDescent="0.2">
      <c r="B1551" s="2">
        <f ca="1"/>
        <v>0.62605602606647737</v>
      </c>
      <c r="O1551" s="2">
        <f ca="1"/>
        <v>0.25335085086825904</v>
      </c>
      <c r="X1551" s="2">
        <f ca="1"/>
        <v>65.636818981585492</v>
      </c>
      <c r="AG1551" s="2">
        <f ca="1"/>
        <v>4.3175044926846429E-3</v>
      </c>
      <c r="AH1551" s="2" t="str">
        <f ca="1"/>
        <v>Good</v>
      </c>
    </row>
    <row r="1552" spans="2:34" x14ac:dyDescent="0.2">
      <c r="B1552" s="2">
        <f ca="1"/>
        <v>0.15789503647762526</v>
      </c>
      <c r="O1552" s="2">
        <f ca="1"/>
        <v>-1.0109313256867727</v>
      </c>
      <c r="X1552" s="2">
        <f ca="1"/>
        <v>30.568085706675848</v>
      </c>
      <c r="AG1552" s="2">
        <f ca="1"/>
        <v>0.10696281542874986</v>
      </c>
      <c r="AH1552" s="2" t="str">
        <f ca="1"/>
        <v>OK</v>
      </c>
    </row>
    <row r="1553" spans="2:34" x14ac:dyDescent="0.2">
      <c r="B1553" s="2">
        <f ca="1"/>
        <v>0.51828357805562164</v>
      </c>
      <c r="O1553" s="2">
        <f ca="1"/>
        <v>0.37893386921264799</v>
      </c>
      <c r="X1553" s="2">
        <f ca="1"/>
        <v>48.575221654428525</v>
      </c>
      <c r="AG1553" s="2">
        <f ca="1"/>
        <v>0.29853622842006589</v>
      </c>
      <c r="AH1553" s="2" t="str">
        <f ca="1"/>
        <v>OK</v>
      </c>
    </row>
    <row r="1554" spans="2:34" x14ac:dyDescent="0.2">
      <c r="B1554" s="2">
        <f ca="1"/>
        <v>0.80578471368174709</v>
      </c>
      <c r="O1554" s="2">
        <f ca="1"/>
        <v>0.73222435089258964</v>
      </c>
      <c r="X1554" s="2">
        <f ca="1"/>
        <v>23.164457395200962</v>
      </c>
      <c r="AG1554" s="2">
        <f ca="1"/>
        <v>0.89362119637727155</v>
      </c>
      <c r="AH1554" s="2" t="str">
        <f ca="1"/>
        <v>Bad</v>
      </c>
    </row>
    <row r="1555" spans="2:34" x14ac:dyDescent="0.2">
      <c r="B1555" s="2">
        <f ca="1"/>
        <v>0.52967604980460004</v>
      </c>
      <c r="O1555" s="2">
        <f ca="1"/>
        <v>-0.4914104379710359</v>
      </c>
      <c r="X1555" s="2">
        <f ca="1"/>
        <v>24.847354657047372</v>
      </c>
      <c r="AG1555" s="2">
        <f ca="1"/>
        <v>0.91747536503319438</v>
      </c>
      <c r="AH1555" s="2" t="str">
        <f ca="1"/>
        <v>Bad</v>
      </c>
    </row>
    <row r="1556" spans="2:34" x14ac:dyDescent="0.2">
      <c r="B1556" s="2">
        <f ca="1"/>
        <v>0.34811134756774709</v>
      </c>
      <c r="O1556" s="2">
        <f ca="1"/>
        <v>1.4705420283267041</v>
      </c>
      <c r="X1556" s="2">
        <f ca="1"/>
        <v>38.60026662181</v>
      </c>
      <c r="AG1556" s="2">
        <f ca="1"/>
        <v>0.99243049060905197</v>
      </c>
      <c r="AH1556" s="2" t="str">
        <f ca="1"/>
        <v>Bad</v>
      </c>
    </row>
    <row r="1557" spans="2:34" x14ac:dyDescent="0.2">
      <c r="B1557" s="2">
        <f ca="1"/>
        <v>7.9201430762117386E-2</v>
      </c>
      <c r="O1557" s="2">
        <f ca="1"/>
        <v>1.6066893232264687</v>
      </c>
      <c r="X1557" s="2">
        <f ca="1"/>
        <v>19.499077294593839</v>
      </c>
      <c r="AG1557" s="2">
        <f ca="1"/>
        <v>0.41883996988307648</v>
      </c>
      <c r="AH1557" s="2" t="str">
        <f ca="1"/>
        <v>Bad</v>
      </c>
    </row>
    <row r="1558" spans="2:34" x14ac:dyDescent="0.2">
      <c r="B1558" s="2">
        <f ca="1"/>
        <v>0.50972636249849779</v>
      </c>
      <c r="O1558" s="2">
        <f ca="1"/>
        <v>-0.10458890689495239</v>
      </c>
      <c r="X1558" s="2">
        <f ca="1"/>
        <v>34.816635626400213</v>
      </c>
      <c r="AG1558" s="2">
        <f ca="1"/>
        <v>0.37425187597457255</v>
      </c>
      <c r="AH1558" s="2" t="str">
        <f ca="1"/>
        <v>OK</v>
      </c>
    </row>
    <row r="1559" spans="2:34" x14ac:dyDescent="0.2">
      <c r="B1559" s="2">
        <f ca="1"/>
        <v>0.7257673474322559</v>
      </c>
      <c r="O1559" s="2">
        <f ca="1"/>
        <v>0.84850584966998166</v>
      </c>
      <c r="X1559" s="2">
        <f ca="1"/>
        <v>56.459597877473691</v>
      </c>
      <c r="AG1559" s="2">
        <f ca="1"/>
        <v>0.28894613912910372</v>
      </c>
      <c r="AH1559" s="2" t="str">
        <f ca="1"/>
        <v>OK</v>
      </c>
    </row>
    <row r="1560" spans="2:34" x14ac:dyDescent="0.2">
      <c r="B1560" s="2">
        <f ca="1"/>
        <v>6.330381935482543E-2</v>
      </c>
      <c r="O1560" s="2">
        <f ca="1"/>
        <v>-1.4367728853745081</v>
      </c>
      <c r="X1560" s="2">
        <f ca="1"/>
        <v>54.993828122790816</v>
      </c>
      <c r="AG1560" s="2">
        <f ca="1"/>
        <v>0.43613802529498025</v>
      </c>
      <c r="AH1560" s="2" t="str">
        <f ca="1"/>
        <v>Bad</v>
      </c>
    </row>
    <row r="1561" spans="2:34" x14ac:dyDescent="0.2">
      <c r="B1561" s="2">
        <f ca="1"/>
        <v>5.52729353360224E-2</v>
      </c>
      <c r="O1561" s="2">
        <f ca="1"/>
        <v>-0.83485598516351467</v>
      </c>
      <c r="X1561" s="2">
        <f ca="1"/>
        <v>38.127342769793167</v>
      </c>
      <c r="AG1561" s="2">
        <f ca="1"/>
        <v>1.6010713001337162E-2</v>
      </c>
      <c r="AH1561" s="2" t="str">
        <f ca="1"/>
        <v>Good</v>
      </c>
    </row>
    <row r="1562" spans="2:34" x14ac:dyDescent="0.2">
      <c r="B1562" s="2">
        <f ca="1"/>
        <v>0.98614478092726809</v>
      </c>
      <c r="O1562" s="2">
        <f ca="1"/>
        <v>-0.62029182396593108</v>
      </c>
      <c r="X1562" s="2">
        <f ca="1"/>
        <v>84.949964272557395</v>
      </c>
      <c r="AG1562" s="2">
        <f ca="1"/>
        <v>0.84993472168088635</v>
      </c>
      <c r="AH1562" s="2" t="str">
        <f ca="1"/>
        <v>Bad</v>
      </c>
    </row>
    <row r="1563" spans="2:34" x14ac:dyDescent="0.2">
      <c r="B1563" s="2">
        <f ca="1"/>
        <v>7.262166643072776E-3</v>
      </c>
      <c r="O1563" s="2">
        <f ca="1"/>
        <v>-0.13989736395877975</v>
      </c>
      <c r="X1563" s="2">
        <f ca="1"/>
        <v>33.304901354309777</v>
      </c>
      <c r="AG1563" s="2">
        <f ca="1"/>
        <v>0.97546250038661086</v>
      </c>
      <c r="AH1563" s="2" t="str">
        <f ca="1"/>
        <v>Bad</v>
      </c>
    </row>
    <row r="1564" spans="2:34" x14ac:dyDescent="0.2">
      <c r="B1564" s="2">
        <f ca="1"/>
        <v>0.80900605047865448</v>
      </c>
      <c r="O1564" s="2">
        <f ca="1"/>
        <v>-0.60580117060229521</v>
      </c>
      <c r="X1564" s="2">
        <f ca="1"/>
        <v>53.690556803512884</v>
      </c>
      <c r="AG1564" s="2">
        <f ca="1"/>
        <v>0.45225242090182838</v>
      </c>
      <c r="AH1564" s="2" t="str">
        <f ca="1"/>
        <v>Bad</v>
      </c>
    </row>
    <row r="1565" spans="2:34" x14ac:dyDescent="0.2">
      <c r="B1565" s="2">
        <f ca="1"/>
        <v>0.39419473034568564</v>
      </c>
      <c r="O1565" s="2">
        <f ca="1"/>
        <v>0.18461727298382258</v>
      </c>
      <c r="X1565" s="2">
        <f ca="1"/>
        <v>53.321793034249161</v>
      </c>
      <c r="AG1565" s="2">
        <f ca="1"/>
        <v>0.4053735434788388</v>
      </c>
      <c r="AH1565" s="2" t="str">
        <f ca="1"/>
        <v>Bad</v>
      </c>
    </row>
    <row r="1566" spans="2:34" x14ac:dyDescent="0.2">
      <c r="B1566" s="2">
        <f ca="1"/>
        <v>0.33428930613630015</v>
      </c>
      <c r="O1566" s="2">
        <f ca="1"/>
        <v>-0.46836181610303268</v>
      </c>
      <c r="X1566" s="2">
        <f ca="1"/>
        <v>20.646169625450888</v>
      </c>
      <c r="AG1566" s="2">
        <f ca="1"/>
        <v>0.68665211120113323</v>
      </c>
      <c r="AH1566" s="2" t="str">
        <f ca="1"/>
        <v>Bad</v>
      </c>
    </row>
    <row r="1567" spans="2:34" x14ac:dyDescent="0.2">
      <c r="B1567" s="2">
        <f ca="1"/>
        <v>0.17999064953324728</v>
      </c>
      <c r="O1567" s="2">
        <f ca="1"/>
        <v>1.8676933380625673</v>
      </c>
      <c r="X1567" s="2">
        <f ca="1"/>
        <v>51.072028189404662</v>
      </c>
      <c r="AG1567" s="2">
        <f ca="1"/>
        <v>0.47587100484704958</v>
      </c>
      <c r="AH1567" s="2" t="str">
        <f ca="1"/>
        <v>Bad</v>
      </c>
    </row>
    <row r="1568" spans="2:34" x14ac:dyDescent="0.2">
      <c r="B1568" s="2">
        <f ca="1"/>
        <v>0.49351029441204286</v>
      </c>
      <c r="O1568" s="2">
        <f ca="1"/>
        <v>-7.4273129251178792E-3</v>
      </c>
      <c r="X1568" s="2">
        <f ca="1"/>
        <v>36.599381532129023</v>
      </c>
      <c r="AG1568" s="2">
        <f ca="1"/>
        <v>0.97041420824891733</v>
      </c>
      <c r="AH1568" s="2" t="str">
        <f ca="1"/>
        <v>Bad</v>
      </c>
    </row>
    <row r="1569" spans="2:34" x14ac:dyDescent="0.2">
      <c r="B1569" s="2">
        <f ca="1"/>
        <v>0.22376850896012179</v>
      </c>
      <c r="O1569" s="2">
        <f ca="1"/>
        <v>0.47187287707621189</v>
      </c>
      <c r="X1569" s="2">
        <f ca="1"/>
        <v>46.640266770771518</v>
      </c>
      <c r="AG1569" s="2">
        <f ca="1"/>
        <v>0.49139845978576058</v>
      </c>
      <c r="AH1569" s="2" t="str">
        <f ca="1"/>
        <v>Bad</v>
      </c>
    </row>
    <row r="1570" spans="2:34" x14ac:dyDescent="0.2">
      <c r="B1570" s="2">
        <f ca="1"/>
        <v>0.17317777129417045</v>
      </c>
      <c r="O1570" s="2">
        <f ca="1"/>
        <v>1.3691082127814709</v>
      </c>
      <c r="X1570" s="2">
        <f ca="1"/>
        <v>55.023815298126507</v>
      </c>
      <c r="AG1570" s="2">
        <f ca="1"/>
        <v>0.19430853624934019</v>
      </c>
      <c r="AH1570" s="2" t="str">
        <f ca="1"/>
        <v>OK</v>
      </c>
    </row>
    <row r="1571" spans="2:34" x14ac:dyDescent="0.2">
      <c r="B1571" s="2">
        <f ca="1"/>
        <v>0.11505599970699554</v>
      </c>
      <c r="O1571" s="2">
        <f ca="1"/>
        <v>1.377442556804902</v>
      </c>
      <c r="X1571" s="2">
        <f ca="1"/>
        <v>37.641637730317662</v>
      </c>
      <c r="AG1571" s="2">
        <f ca="1"/>
        <v>0.91553118118524712</v>
      </c>
      <c r="AH1571" s="2" t="str">
        <f ca="1"/>
        <v>Bad</v>
      </c>
    </row>
    <row r="1572" spans="2:34" x14ac:dyDescent="0.2">
      <c r="B1572" s="2">
        <f ca="1"/>
        <v>0.36527230686915191</v>
      </c>
      <c r="O1572" s="2">
        <f ca="1"/>
        <v>0.55661141696494221</v>
      </c>
      <c r="X1572" s="2">
        <f ca="1"/>
        <v>63.947316168576847</v>
      </c>
      <c r="AG1572" s="2">
        <f ca="1"/>
        <v>0.89996875921342423</v>
      </c>
      <c r="AH1572" s="2" t="str">
        <f ca="1"/>
        <v>Bad</v>
      </c>
    </row>
    <row r="1573" spans="2:34" x14ac:dyDescent="0.2">
      <c r="B1573" s="2">
        <f ca="1"/>
        <v>0.79767757164294584</v>
      </c>
      <c r="O1573" s="2">
        <f ca="1"/>
        <v>-0.95988084707226429</v>
      </c>
      <c r="X1573" s="2">
        <f ca="1"/>
        <v>57.254229720375079</v>
      </c>
      <c r="AG1573" s="2">
        <f ca="1"/>
        <v>0.24104100206112489</v>
      </c>
      <c r="AH1573" s="2" t="str">
        <f ca="1"/>
        <v>OK</v>
      </c>
    </row>
    <row r="1574" spans="2:34" x14ac:dyDescent="0.2">
      <c r="B1574" s="2">
        <f ca="1"/>
        <v>2.3861472458751587E-2</v>
      </c>
      <c r="O1574" s="2">
        <f ca="1"/>
        <v>-0.31515585204955388</v>
      </c>
      <c r="X1574" s="2">
        <f ca="1"/>
        <v>51.685517370777688</v>
      </c>
      <c r="AG1574" s="2">
        <f ca="1"/>
        <v>9.5510613906285347E-2</v>
      </c>
      <c r="AH1574" s="2" t="str">
        <f ca="1"/>
        <v>OK</v>
      </c>
    </row>
    <row r="1575" spans="2:34" x14ac:dyDescent="0.2">
      <c r="B1575" s="2">
        <f ca="1"/>
        <v>8.8694798581986145E-2</v>
      </c>
      <c r="O1575" s="2">
        <f ca="1"/>
        <v>-0.48979532872410403</v>
      </c>
      <c r="X1575" s="2">
        <f ca="1"/>
        <v>59.371328082326016</v>
      </c>
      <c r="AG1575" s="2">
        <f ca="1"/>
        <v>0.76135880044391202</v>
      </c>
      <c r="AH1575" s="2" t="str">
        <f ca="1"/>
        <v>Bad</v>
      </c>
    </row>
    <row r="1576" spans="2:34" x14ac:dyDescent="0.2">
      <c r="B1576" s="2">
        <f ca="1"/>
        <v>0.26861150083912189</v>
      </c>
      <c r="O1576" s="2">
        <f ca="1"/>
        <v>-0.27261168144583742</v>
      </c>
      <c r="X1576" s="2">
        <f ca="1"/>
        <v>58.546958067684869</v>
      </c>
      <c r="AG1576" s="2">
        <f ca="1"/>
        <v>0.12695840417107651</v>
      </c>
      <c r="AH1576" s="2" t="str">
        <f ca="1"/>
        <v>OK</v>
      </c>
    </row>
    <row r="1577" spans="2:34" x14ac:dyDescent="0.2">
      <c r="B1577" s="2">
        <f ca="1"/>
        <v>0.73197988997732888</v>
      </c>
      <c r="O1577" s="2">
        <f ca="1"/>
        <v>-0.88929800818963933</v>
      </c>
      <c r="X1577" s="2">
        <f ca="1"/>
        <v>42.738633504812</v>
      </c>
      <c r="AG1577" s="2">
        <f ca="1"/>
        <v>0.76708433805078169</v>
      </c>
      <c r="AH1577" s="2" t="str">
        <f ca="1"/>
        <v>Bad</v>
      </c>
    </row>
    <row r="1578" spans="2:34" x14ac:dyDescent="0.2">
      <c r="B1578" s="2">
        <f ca="1"/>
        <v>0.38473746296568878</v>
      </c>
      <c r="O1578" s="2">
        <f ca="1"/>
        <v>0.51869402028406819</v>
      </c>
      <c r="X1578" s="2">
        <f ca="1"/>
        <v>33.482235789222081</v>
      </c>
      <c r="AG1578" s="2">
        <f ca="1"/>
        <v>0.78424658600275077</v>
      </c>
      <c r="AH1578" s="2" t="str">
        <f ca="1"/>
        <v>Bad</v>
      </c>
    </row>
    <row r="1579" spans="2:34" x14ac:dyDescent="0.2">
      <c r="B1579" s="2">
        <f ca="1"/>
        <v>0.11798933632018938</v>
      </c>
      <c r="O1579" s="2">
        <f ca="1"/>
        <v>0.54451960433973334</v>
      </c>
      <c r="X1579" s="2">
        <f ca="1"/>
        <v>54.464383283363375</v>
      </c>
      <c r="AG1579" s="2">
        <f ca="1"/>
        <v>0.32763000314677537</v>
      </c>
      <c r="AH1579" s="2" t="str">
        <f ca="1"/>
        <v>OK</v>
      </c>
    </row>
    <row r="1580" spans="2:34" x14ac:dyDescent="0.2">
      <c r="B1580" s="2">
        <f ca="1"/>
        <v>0.64415722945013765</v>
      </c>
      <c r="O1580" s="2">
        <f ca="1"/>
        <v>-0.31645430130032265</v>
      </c>
      <c r="X1580" s="2">
        <f ca="1"/>
        <v>38.246409918056699</v>
      </c>
      <c r="AG1580" s="2">
        <f ca="1"/>
        <v>0.65945272108616049</v>
      </c>
      <c r="AH1580" s="2" t="str">
        <f ca="1"/>
        <v>Bad</v>
      </c>
    </row>
    <row r="1581" spans="2:34" x14ac:dyDescent="0.2">
      <c r="B1581" s="2">
        <f ca="1"/>
        <v>0.45751621941066944</v>
      </c>
      <c r="O1581" s="2">
        <f ca="1"/>
        <v>1.9240472749963786</v>
      </c>
      <c r="X1581" s="2">
        <f ca="1"/>
        <v>36.569276571342861</v>
      </c>
      <c r="AG1581" s="2">
        <f ca="1"/>
        <v>0.89402522432551534</v>
      </c>
      <c r="AH1581" s="2" t="str">
        <f ca="1"/>
        <v>Bad</v>
      </c>
    </row>
    <row r="1582" spans="2:34" x14ac:dyDescent="0.2">
      <c r="B1582" s="2">
        <f ca="1"/>
        <v>0.13829572656898659</v>
      </c>
      <c r="O1582" s="2">
        <f ca="1"/>
        <v>-0.17556248311803183</v>
      </c>
      <c r="X1582" s="2">
        <f ca="1"/>
        <v>61.209394741377139</v>
      </c>
      <c r="AG1582" s="2">
        <f ca="1"/>
        <v>0.74432531196661356</v>
      </c>
      <c r="AH1582" s="2" t="str">
        <f ca="1"/>
        <v>Bad</v>
      </c>
    </row>
    <row r="1583" spans="2:34" x14ac:dyDescent="0.2">
      <c r="B1583" s="2">
        <f ca="1"/>
        <v>0.57004465255364822</v>
      </c>
      <c r="O1583" s="2">
        <f ca="1"/>
        <v>-0.75944386157470201</v>
      </c>
      <c r="X1583" s="2">
        <f ca="1"/>
        <v>70.585849990634003</v>
      </c>
      <c r="AG1583" s="2">
        <f ca="1"/>
        <v>0.44075565477771406</v>
      </c>
      <c r="AH1583" s="2" t="str">
        <f ca="1"/>
        <v>Bad</v>
      </c>
    </row>
    <row r="1584" spans="2:34" x14ac:dyDescent="0.2">
      <c r="B1584" s="2">
        <f ca="1"/>
        <v>0.75127733412822306</v>
      </c>
      <c r="O1584" s="2">
        <f ca="1"/>
        <v>-0.95948966859476503</v>
      </c>
      <c r="X1584" s="2">
        <f ca="1"/>
        <v>38.009399824268357</v>
      </c>
      <c r="AG1584" s="2">
        <f ca="1"/>
        <v>0.89894947801155989</v>
      </c>
      <c r="AH1584" s="2" t="str">
        <f ca="1"/>
        <v>Bad</v>
      </c>
    </row>
    <row r="1585" spans="2:34" x14ac:dyDescent="0.2">
      <c r="B1585" s="2">
        <f ca="1"/>
        <v>0.9899095189092697</v>
      </c>
      <c r="O1585" s="2">
        <f ca="1"/>
        <v>-0.53780028195226548</v>
      </c>
      <c r="X1585" s="2">
        <f ca="1"/>
        <v>27.719387202701839</v>
      </c>
      <c r="AG1585" s="2">
        <f ca="1"/>
        <v>0.41121635825750302</v>
      </c>
      <c r="AH1585" s="2" t="str">
        <f ca="1"/>
        <v>Bad</v>
      </c>
    </row>
    <row r="1586" spans="2:34" x14ac:dyDescent="0.2">
      <c r="B1586" s="2">
        <f ca="1"/>
        <v>0.41004928722629796</v>
      </c>
      <c r="O1586" s="2">
        <f ca="1"/>
        <v>0.17342850066036283</v>
      </c>
      <c r="X1586" s="2">
        <f ca="1"/>
        <v>52.714893157505934</v>
      </c>
      <c r="AG1586" s="2">
        <f ca="1"/>
        <v>0.13286380484032545</v>
      </c>
      <c r="AH1586" s="2" t="str">
        <f ca="1"/>
        <v>OK</v>
      </c>
    </row>
    <row r="1587" spans="2:34" x14ac:dyDescent="0.2">
      <c r="B1587" s="2">
        <f ca="1"/>
        <v>0.64850471298750145</v>
      </c>
      <c r="O1587" s="2">
        <f ca="1"/>
        <v>1.5008187250450333</v>
      </c>
      <c r="X1587" s="2">
        <f ca="1"/>
        <v>40.944594725777783</v>
      </c>
      <c r="AG1587" s="2">
        <f ca="1"/>
        <v>0.27401491802125433</v>
      </c>
      <c r="AH1587" s="2" t="str">
        <f ca="1"/>
        <v>OK</v>
      </c>
    </row>
    <row r="1588" spans="2:34" x14ac:dyDescent="0.2">
      <c r="B1588" s="2">
        <f ca="1"/>
        <v>0.4241673760135114</v>
      </c>
      <c r="O1588" s="2">
        <f ca="1"/>
        <v>-1.3866881375460891</v>
      </c>
      <c r="X1588" s="2">
        <f ca="1"/>
        <v>57.344053860938956</v>
      </c>
      <c r="AG1588" s="2">
        <f ca="1"/>
        <v>0.5295730904131748</v>
      </c>
      <c r="AH1588" s="2" t="str">
        <f ca="1"/>
        <v>Bad</v>
      </c>
    </row>
    <row r="1589" spans="2:34" x14ac:dyDescent="0.2">
      <c r="B1589" s="2">
        <f ca="1"/>
        <v>0.73267913473729895</v>
      </c>
      <c r="O1589" s="2">
        <f ca="1"/>
        <v>-1.0684865426310264</v>
      </c>
      <c r="X1589" s="2">
        <f ca="1"/>
        <v>40.266042217993281</v>
      </c>
      <c r="AG1589" s="2">
        <f ca="1"/>
        <v>0.44590972249790584</v>
      </c>
      <c r="AH1589" s="2" t="str">
        <f ca="1"/>
        <v>Bad</v>
      </c>
    </row>
    <row r="1590" spans="2:34" x14ac:dyDescent="0.2">
      <c r="B1590" s="2">
        <f ca="1"/>
        <v>0.52561108897784026</v>
      </c>
      <c r="O1590" s="2">
        <f ca="1"/>
        <v>-0.72204563503364938</v>
      </c>
      <c r="X1590" s="2">
        <f ca="1"/>
        <v>62.263004758230835</v>
      </c>
      <c r="AG1590" s="2">
        <f ca="1"/>
        <v>0.59820367813550246</v>
      </c>
      <c r="AH1590" s="2" t="str">
        <f ca="1"/>
        <v>Bad</v>
      </c>
    </row>
    <row r="1591" spans="2:34" x14ac:dyDescent="0.2">
      <c r="B1591" s="2">
        <f ca="1"/>
        <v>0.24981975675305801</v>
      </c>
      <c r="O1591" s="2">
        <f ca="1"/>
        <v>0.42321655987777013</v>
      </c>
      <c r="X1591" s="2">
        <f ca="1"/>
        <v>82.082345174729966</v>
      </c>
      <c r="AG1591" s="2">
        <f ca="1"/>
        <v>0.80176817695328206</v>
      </c>
      <c r="AH1591" s="2" t="str">
        <f ca="1"/>
        <v>Bad</v>
      </c>
    </row>
    <row r="1592" spans="2:34" x14ac:dyDescent="0.2">
      <c r="B1592" s="2">
        <f ca="1"/>
        <v>0.33553803179353614</v>
      </c>
      <c r="O1592" s="2">
        <f ca="1"/>
        <v>0.74690710957661066</v>
      </c>
      <c r="X1592" s="2">
        <f ca="1"/>
        <v>61.708796851513895</v>
      </c>
      <c r="AG1592" s="2">
        <f ca="1"/>
        <v>0.86331459247392139</v>
      </c>
      <c r="AH1592" s="2" t="str">
        <f ca="1"/>
        <v>Bad</v>
      </c>
    </row>
    <row r="1593" spans="2:34" x14ac:dyDescent="0.2">
      <c r="B1593" s="2">
        <f ca="1"/>
        <v>0.47100173786344413</v>
      </c>
      <c r="O1593" s="2">
        <f ca="1"/>
        <v>0.63173348565347076</v>
      </c>
      <c r="X1593" s="2">
        <f ca="1"/>
        <v>43.602221775554504</v>
      </c>
      <c r="AG1593" s="2">
        <f ca="1"/>
        <v>0.89901135820311384</v>
      </c>
      <c r="AH1593" s="2" t="str">
        <f ca="1"/>
        <v>Bad</v>
      </c>
    </row>
    <row r="1594" spans="2:34" x14ac:dyDescent="0.2">
      <c r="B1594" s="2">
        <f ca="1"/>
        <v>0.9662219457160357</v>
      </c>
      <c r="O1594" s="2">
        <f ca="1"/>
        <v>-0.55678557897324887</v>
      </c>
      <c r="X1594" s="2">
        <f ca="1"/>
        <v>60.199709267640188</v>
      </c>
      <c r="AG1594" s="2">
        <f ca="1"/>
        <v>3.3663239951467139E-2</v>
      </c>
      <c r="AH1594" s="2" t="str">
        <f ca="1"/>
        <v>Good</v>
      </c>
    </row>
    <row r="1595" spans="2:34" x14ac:dyDescent="0.2">
      <c r="B1595" s="2">
        <f ca="1"/>
        <v>0.11688434461141739</v>
      </c>
      <c r="O1595" s="2">
        <f ca="1"/>
        <v>3.0312646350380862E-2</v>
      </c>
      <c r="X1595" s="2">
        <f ca="1"/>
        <v>43.468462525674013</v>
      </c>
      <c r="AG1595" s="2">
        <f ca="1"/>
        <v>0.21429908558688826</v>
      </c>
      <c r="AH1595" s="2" t="str">
        <f ca="1"/>
        <v>OK</v>
      </c>
    </row>
    <row r="1596" spans="2:34" x14ac:dyDescent="0.2">
      <c r="B1596" s="2">
        <f ca="1"/>
        <v>0.91439381024916866</v>
      </c>
      <c r="O1596" s="2">
        <f ca="1"/>
        <v>0.37545586482117316</v>
      </c>
      <c r="X1596" s="2">
        <f ca="1"/>
        <v>32.352438183392998</v>
      </c>
      <c r="AG1596" s="2">
        <f ca="1"/>
        <v>0.16267509488949017</v>
      </c>
      <c r="AH1596" s="2" t="str">
        <f ca="1"/>
        <v>OK</v>
      </c>
    </row>
    <row r="1597" spans="2:34" x14ac:dyDescent="0.2">
      <c r="B1597" s="2">
        <f ca="1"/>
        <v>0.47838295857848534</v>
      </c>
      <c r="O1597" s="2">
        <f ca="1"/>
        <v>-1.1906133952333506</v>
      </c>
      <c r="X1597" s="2">
        <f ca="1"/>
        <v>51.08347719233209</v>
      </c>
      <c r="AG1597" s="2">
        <f ca="1"/>
        <v>4.2827248395168382E-2</v>
      </c>
      <c r="AH1597" s="2" t="str">
        <f ca="1"/>
        <v>Good</v>
      </c>
    </row>
    <row r="1598" spans="2:34" x14ac:dyDescent="0.2">
      <c r="B1598" s="2">
        <f ca="1"/>
        <v>0.10589890830907467</v>
      </c>
      <c r="O1598" s="2">
        <f ca="1"/>
        <v>1.171484702479622</v>
      </c>
      <c r="X1598" s="2">
        <f ca="1"/>
        <v>42.294950033679577</v>
      </c>
      <c r="AG1598" s="2">
        <f ca="1"/>
        <v>9.7366482972347956E-2</v>
      </c>
      <c r="AH1598" s="2" t="str">
        <f ca="1"/>
        <v>OK</v>
      </c>
    </row>
    <row r="1599" spans="2:34" x14ac:dyDescent="0.2">
      <c r="B1599" s="2">
        <f ca="1"/>
        <v>0.21122133574150337</v>
      </c>
      <c r="O1599" s="2">
        <f ca="1"/>
        <v>-9.276247882573449E-2</v>
      </c>
      <c r="X1599" s="2">
        <f ca="1"/>
        <v>43.108450804030092</v>
      </c>
      <c r="AG1599" s="2">
        <f ca="1"/>
        <v>0.20328797739570414</v>
      </c>
      <c r="AH1599" s="2" t="str">
        <f ca="1"/>
        <v>OK</v>
      </c>
    </row>
    <row r="1600" spans="2:34" x14ac:dyDescent="0.2">
      <c r="B1600" s="2">
        <f ca="1"/>
        <v>0.10109489037774377</v>
      </c>
      <c r="O1600" s="2">
        <f ca="1"/>
        <v>0.6672826444912735</v>
      </c>
      <c r="X1600" s="2">
        <f ca="1"/>
        <v>45.006953763336533</v>
      </c>
      <c r="AG1600" s="2">
        <f ca="1"/>
        <v>0.234242097988826</v>
      </c>
      <c r="AH1600" s="2" t="str">
        <f ca="1"/>
        <v>OK</v>
      </c>
    </row>
    <row r="1601" spans="2:34" x14ac:dyDescent="0.2">
      <c r="B1601" s="2">
        <f ca="1"/>
        <v>3.7545886873407985E-2</v>
      </c>
      <c r="O1601" s="2">
        <f ca="1"/>
        <v>-0.40126838654583291</v>
      </c>
      <c r="X1601" s="2">
        <f ca="1"/>
        <v>66.590813528666075</v>
      </c>
      <c r="AG1601" s="2">
        <f ca="1"/>
        <v>0.93632281613998702</v>
      </c>
      <c r="AH1601" s="2" t="str">
        <f ca="1"/>
        <v>Bad</v>
      </c>
    </row>
    <row r="1602" spans="2:34" x14ac:dyDescent="0.2">
      <c r="B1602" s="2">
        <f ca="1"/>
        <v>0.4875858245665492</v>
      </c>
      <c r="O1602" s="2">
        <f ca="1"/>
        <v>0.3256992719847423</v>
      </c>
      <c r="X1602" s="2">
        <f ca="1"/>
        <v>64.921975283837398</v>
      </c>
      <c r="AG1602" s="2">
        <f ca="1"/>
        <v>0.74324085977724441</v>
      </c>
      <c r="AH1602" s="2" t="str">
        <f ca="1"/>
        <v>Bad</v>
      </c>
    </row>
    <row r="1603" spans="2:34" x14ac:dyDescent="0.2">
      <c r="B1603" s="2">
        <f ca="1"/>
        <v>0.76776031969917979</v>
      </c>
      <c r="O1603" s="2">
        <f ca="1"/>
        <v>0.70442195979612832</v>
      </c>
      <c r="X1603" s="2">
        <f ca="1"/>
        <v>53.975208922223189</v>
      </c>
      <c r="AG1603" s="2">
        <f ca="1"/>
        <v>0.43863537690120746</v>
      </c>
      <c r="AH1603" s="2" t="str">
        <f ca="1"/>
        <v>Bad</v>
      </c>
    </row>
    <row r="1604" spans="2:34" x14ac:dyDescent="0.2">
      <c r="B1604" s="2">
        <f ca="1"/>
        <v>0.54205294512239965</v>
      </c>
      <c r="O1604" s="2">
        <f ca="1"/>
        <v>-1.7945586864434513E-2</v>
      </c>
      <c r="X1604" s="2">
        <f ca="1"/>
        <v>50.454342457378402</v>
      </c>
      <c r="AG1604" s="2">
        <f ca="1"/>
        <v>0.71212301055745053</v>
      </c>
      <c r="AH1604" s="2" t="str">
        <f ca="1"/>
        <v>Bad</v>
      </c>
    </row>
    <row r="1605" spans="2:34" x14ac:dyDescent="0.2">
      <c r="B1605" s="2">
        <f ca="1"/>
        <v>0.74141331826926238</v>
      </c>
      <c r="O1605" s="2">
        <f ca="1"/>
        <v>0.65628458528947842</v>
      </c>
      <c r="X1605" s="2">
        <f ca="1"/>
        <v>57.159478381185167</v>
      </c>
      <c r="AG1605" s="2">
        <f ca="1"/>
        <v>0.5553217418343861</v>
      </c>
      <c r="AH1605" s="2" t="str">
        <f ca="1"/>
        <v>Bad</v>
      </c>
    </row>
    <row r="1606" spans="2:34" x14ac:dyDescent="0.2">
      <c r="B1606" s="2">
        <f ca="1"/>
        <v>0.44420368147414879</v>
      </c>
      <c r="O1606" s="2">
        <f ca="1"/>
        <v>1.8116052326647876</v>
      </c>
      <c r="X1606" s="2">
        <f ca="1"/>
        <v>59.169692735694071</v>
      </c>
      <c r="AG1606" s="2">
        <f ca="1"/>
        <v>0.66815495625396837</v>
      </c>
      <c r="AH1606" s="2" t="str">
        <f ca="1"/>
        <v>Bad</v>
      </c>
    </row>
    <row r="1607" spans="2:34" x14ac:dyDescent="0.2">
      <c r="B1607" s="2">
        <f ca="1"/>
        <v>3.1808133454085397E-3</v>
      </c>
      <c r="O1607" s="2">
        <f ca="1"/>
        <v>-0.46492181315570352</v>
      </c>
      <c r="X1607" s="2">
        <f ca="1"/>
        <v>37.094662283763327</v>
      </c>
      <c r="AG1607" s="2">
        <f ca="1"/>
        <v>0.56014846288057507</v>
      </c>
      <c r="AH1607" s="2" t="str">
        <f ca="1"/>
        <v>Bad</v>
      </c>
    </row>
    <row r="1608" spans="2:34" x14ac:dyDescent="0.2">
      <c r="B1608" s="2">
        <f ca="1"/>
        <v>0.55560658625713577</v>
      </c>
      <c r="O1608" s="2">
        <f ca="1"/>
        <v>-0.32603944057306006</v>
      </c>
      <c r="X1608" s="2">
        <f ca="1"/>
        <v>51.799565959244148</v>
      </c>
      <c r="AG1608" s="2">
        <f ca="1"/>
        <v>0.88649661073708574</v>
      </c>
      <c r="AH1608" s="2" t="str">
        <f ca="1"/>
        <v>Bad</v>
      </c>
    </row>
    <row r="1609" spans="2:34" x14ac:dyDescent="0.2">
      <c r="B1609" s="2">
        <f ca="1"/>
        <v>0.75525255483096343</v>
      </c>
      <c r="O1609" s="2">
        <f ca="1"/>
        <v>9.8023515573227721E-2</v>
      </c>
      <c r="X1609" s="2">
        <f ca="1"/>
        <v>24.636838518298752</v>
      </c>
      <c r="AG1609" s="2">
        <f ca="1"/>
        <v>0.39736909308856938</v>
      </c>
      <c r="AH1609" s="2" t="str">
        <f ca="1"/>
        <v>OK</v>
      </c>
    </row>
    <row r="1610" spans="2:34" x14ac:dyDescent="0.2">
      <c r="B1610" s="2">
        <f ca="1"/>
        <v>0.55197582867014461</v>
      </c>
      <c r="O1610" s="2">
        <f ca="1"/>
        <v>-1.0905956127386665</v>
      </c>
      <c r="X1610" s="2">
        <f ca="1"/>
        <v>59.89797251565038</v>
      </c>
      <c r="AG1610" s="2">
        <f ca="1"/>
        <v>0.73133952668200419</v>
      </c>
      <c r="AH1610" s="2" t="str">
        <f ca="1"/>
        <v>Bad</v>
      </c>
    </row>
    <row r="1611" spans="2:34" x14ac:dyDescent="0.2">
      <c r="B1611" s="2">
        <f ca="1"/>
        <v>0.72256742233092219</v>
      </c>
      <c r="O1611" s="2">
        <f ca="1"/>
        <v>-1.2757565539365876</v>
      </c>
      <c r="X1611" s="2">
        <f ca="1"/>
        <v>41.528533787382372</v>
      </c>
      <c r="AG1611" s="2">
        <f ca="1"/>
        <v>0.81887820798269373</v>
      </c>
      <c r="AH1611" s="2" t="str">
        <f ca="1"/>
        <v>Bad</v>
      </c>
    </row>
    <row r="1612" spans="2:34" x14ac:dyDescent="0.2">
      <c r="B1612" s="2">
        <f ca="1"/>
        <v>0.50062410584867556</v>
      </c>
      <c r="O1612" s="2">
        <f ca="1"/>
        <v>0.78830212352056506</v>
      </c>
      <c r="X1612" s="2">
        <f ca="1"/>
        <v>47.849716377502716</v>
      </c>
      <c r="AG1612" s="2">
        <f ca="1"/>
        <v>3.7635712317034331E-2</v>
      </c>
      <c r="AH1612" s="2" t="str">
        <f ca="1"/>
        <v>Good</v>
      </c>
    </row>
    <row r="1613" spans="2:34" x14ac:dyDescent="0.2">
      <c r="B1613" s="2">
        <f ca="1"/>
        <v>9.9626657749092518E-2</v>
      </c>
      <c r="O1613" s="2">
        <f ca="1"/>
        <v>1.2449048772480154</v>
      </c>
      <c r="X1613" s="2">
        <f ca="1"/>
        <v>35.420803499994307</v>
      </c>
      <c r="AG1613" s="2">
        <f ca="1"/>
        <v>0.50027262886483048</v>
      </c>
      <c r="AH1613" s="2" t="str">
        <f ca="1"/>
        <v>Bad</v>
      </c>
    </row>
    <row r="1614" spans="2:34" x14ac:dyDescent="0.2">
      <c r="B1614" s="2">
        <f ca="1"/>
        <v>0.15989404103431792</v>
      </c>
      <c r="O1614" s="2">
        <f ca="1"/>
        <v>9.182408315426277E-2</v>
      </c>
      <c r="X1614" s="2">
        <f ca="1"/>
        <v>53.763306290864037</v>
      </c>
      <c r="AG1614" s="2">
        <f ca="1"/>
        <v>0.60328263509333824</v>
      </c>
      <c r="AH1614" s="2" t="str">
        <f ca="1"/>
        <v>Bad</v>
      </c>
    </row>
    <row r="1615" spans="2:34" x14ac:dyDescent="0.2">
      <c r="B1615" s="2">
        <f ca="1"/>
        <v>0.42894953578778905</v>
      </c>
      <c r="O1615" s="2">
        <f ca="1"/>
        <v>-0.26230360356520671</v>
      </c>
      <c r="X1615" s="2">
        <f ca="1"/>
        <v>47.825764126203737</v>
      </c>
      <c r="AG1615" s="2">
        <f ca="1"/>
        <v>0.21806408793194443</v>
      </c>
      <c r="AH1615" s="2" t="str">
        <f ca="1"/>
        <v>OK</v>
      </c>
    </row>
    <row r="1616" spans="2:34" x14ac:dyDescent="0.2">
      <c r="B1616" s="2">
        <f ca="1"/>
        <v>0.12768585243110753</v>
      </c>
      <c r="O1616" s="2">
        <f ca="1"/>
        <v>1.6844349790062048</v>
      </c>
      <c r="X1616" s="2">
        <f ca="1"/>
        <v>82.570662852800893</v>
      </c>
      <c r="AG1616" s="2">
        <f ca="1"/>
        <v>0.61085107744770983</v>
      </c>
      <c r="AH1616" s="2" t="str">
        <f ca="1"/>
        <v>Bad</v>
      </c>
    </row>
    <row r="1617" spans="2:34" x14ac:dyDescent="0.2">
      <c r="B1617" s="2">
        <f ca="1"/>
        <v>9.4965086317179592E-2</v>
      </c>
      <c r="O1617" s="2">
        <f ca="1"/>
        <v>-0.45202735275914335</v>
      </c>
      <c r="X1617" s="2">
        <f ca="1"/>
        <v>48.276042100577769</v>
      </c>
      <c r="AG1617" s="2">
        <f ca="1"/>
        <v>7.1929279047484584E-3</v>
      </c>
      <c r="AH1617" s="2" t="str">
        <f ca="1"/>
        <v>Good</v>
      </c>
    </row>
    <row r="1618" spans="2:34" x14ac:dyDescent="0.2">
      <c r="B1618" s="2">
        <f ca="1"/>
        <v>0.13126369771432245</v>
      </c>
      <c r="O1618" s="2">
        <f ca="1"/>
        <v>-0.99091499025438723</v>
      </c>
      <c r="X1618" s="2">
        <f ca="1"/>
        <v>36.564605056341463</v>
      </c>
      <c r="AG1618" s="2">
        <f ca="1"/>
        <v>0.6558210002290028</v>
      </c>
      <c r="AH1618" s="2" t="str">
        <f ca="1"/>
        <v>Bad</v>
      </c>
    </row>
    <row r="1619" spans="2:34" x14ac:dyDescent="0.2">
      <c r="B1619" s="2">
        <f ca="1"/>
        <v>0.77506242894253585</v>
      </c>
      <c r="O1619" s="2">
        <f ca="1"/>
        <v>0.16267078743341928</v>
      </c>
      <c r="X1619" s="2">
        <f ca="1"/>
        <v>81.706051774531986</v>
      </c>
      <c r="AG1619" s="2">
        <f ca="1"/>
        <v>0.48631307071956908</v>
      </c>
      <c r="AH1619" s="2" t="str">
        <f ca="1"/>
        <v>Bad</v>
      </c>
    </row>
    <row r="1620" spans="2:34" x14ac:dyDescent="0.2">
      <c r="B1620" s="2">
        <f ca="1"/>
        <v>0.31206954771355999</v>
      </c>
      <c r="O1620" s="2">
        <f ca="1"/>
        <v>0.14729306576889339</v>
      </c>
      <c r="X1620" s="2">
        <f ca="1"/>
        <v>53.368402996840487</v>
      </c>
      <c r="AG1620" s="2">
        <f ca="1"/>
        <v>0.11170454739532776</v>
      </c>
      <c r="AH1620" s="2" t="str">
        <f ca="1"/>
        <v>OK</v>
      </c>
    </row>
    <row r="1621" spans="2:34" x14ac:dyDescent="0.2">
      <c r="B1621" s="2">
        <f ca="1"/>
        <v>0.82479389484656873</v>
      </c>
      <c r="O1621" s="2">
        <f ca="1"/>
        <v>0.94462186657824687</v>
      </c>
      <c r="X1621" s="2">
        <f ca="1"/>
        <v>43.374765702668611</v>
      </c>
      <c r="AG1621" s="2">
        <f ca="1"/>
        <v>0.45117454160256187</v>
      </c>
      <c r="AH1621" s="2" t="str">
        <f ca="1"/>
        <v>Bad</v>
      </c>
    </row>
    <row r="1622" spans="2:34" x14ac:dyDescent="0.2">
      <c r="B1622" s="2">
        <f ca="1"/>
        <v>0.21499157905967947</v>
      </c>
      <c r="O1622" s="2">
        <f ca="1"/>
        <v>0.54466768803638577</v>
      </c>
      <c r="X1622" s="2">
        <f ca="1"/>
        <v>62.117235386551158</v>
      </c>
      <c r="AG1622" s="2">
        <f ca="1"/>
        <v>0.1213882522559373</v>
      </c>
      <c r="AH1622" s="2" t="str">
        <f ca="1"/>
        <v>OK</v>
      </c>
    </row>
    <row r="1623" spans="2:34" x14ac:dyDescent="0.2">
      <c r="B1623" s="2">
        <f ca="1"/>
        <v>0.48150246780156469</v>
      </c>
      <c r="O1623" s="2">
        <f ca="1"/>
        <v>-0.26885163853686889</v>
      </c>
      <c r="X1623" s="2">
        <f ca="1"/>
        <v>38.935937234715972</v>
      </c>
      <c r="AG1623" s="2">
        <f ca="1"/>
        <v>0.82431535645155285</v>
      </c>
      <c r="AH1623" s="2" t="str">
        <f ca="1"/>
        <v>Bad</v>
      </c>
    </row>
    <row r="1624" spans="2:34" x14ac:dyDescent="0.2">
      <c r="B1624" s="2">
        <f ca="1"/>
        <v>0.56707052829936622</v>
      </c>
      <c r="O1624" s="2">
        <f ca="1"/>
        <v>0.72349457122623051</v>
      </c>
      <c r="X1624" s="2">
        <f ca="1"/>
        <v>51.713331678759474</v>
      </c>
      <c r="AG1624" s="2">
        <f ca="1"/>
        <v>0.67589783823786043</v>
      </c>
      <c r="AH1624" s="2" t="str">
        <f ca="1"/>
        <v>Bad</v>
      </c>
    </row>
    <row r="1625" spans="2:34" x14ac:dyDescent="0.2">
      <c r="B1625" s="2">
        <f ca="1"/>
        <v>0.48242953415302092</v>
      </c>
      <c r="O1625" s="2">
        <f ca="1"/>
        <v>-0.82275121769378001</v>
      </c>
      <c r="X1625" s="2">
        <f ca="1"/>
        <v>34.381190753646976</v>
      </c>
      <c r="AG1625" s="2">
        <f ca="1"/>
        <v>9.7724867038120333E-3</v>
      </c>
      <c r="AH1625" s="2" t="str">
        <f ca="1"/>
        <v>Good</v>
      </c>
    </row>
    <row r="1626" spans="2:34" x14ac:dyDescent="0.2">
      <c r="B1626" s="2">
        <f ca="1"/>
        <v>0.63322401397313066</v>
      </c>
      <c r="O1626" s="2">
        <f ca="1"/>
        <v>-1.2521467912459685</v>
      </c>
      <c r="X1626" s="2">
        <f ca="1"/>
        <v>79.442917925661959</v>
      </c>
      <c r="AG1626" s="2">
        <f ca="1"/>
        <v>0.88882897272946693</v>
      </c>
      <c r="AH1626" s="2" t="str">
        <f ca="1"/>
        <v>Bad</v>
      </c>
    </row>
    <row r="1627" spans="2:34" x14ac:dyDescent="0.2">
      <c r="B1627" s="2">
        <f ca="1"/>
        <v>0.99279619677803366</v>
      </c>
      <c r="O1627" s="2">
        <f ca="1"/>
        <v>-2.2285332788500392</v>
      </c>
      <c r="X1627" s="2">
        <f ca="1"/>
        <v>55.878335108410504</v>
      </c>
      <c r="AG1627" s="2">
        <f ca="1"/>
        <v>0.38317717375009352</v>
      </c>
      <c r="AH1627" s="2" t="str">
        <f ca="1"/>
        <v>OK</v>
      </c>
    </row>
    <row r="1628" spans="2:34" x14ac:dyDescent="0.2">
      <c r="B1628" s="2">
        <f ca="1"/>
        <v>0.26324084856774244</v>
      </c>
      <c r="O1628" s="2">
        <f ca="1"/>
        <v>-7.5214673304699081E-2</v>
      </c>
      <c r="X1628" s="2">
        <f ca="1"/>
        <v>46.658770740376838</v>
      </c>
      <c r="AG1628" s="2">
        <f ca="1"/>
        <v>0.44217803048097859</v>
      </c>
      <c r="AH1628" s="2" t="str">
        <f ca="1"/>
        <v>Bad</v>
      </c>
    </row>
    <row r="1629" spans="2:34" x14ac:dyDescent="0.2">
      <c r="B1629" s="2">
        <f ca="1"/>
        <v>0.39349886969072467</v>
      </c>
      <c r="O1629" s="2">
        <f ca="1"/>
        <v>0.52261353954512124</v>
      </c>
      <c r="X1629" s="2">
        <f ca="1"/>
        <v>55.095600031857202</v>
      </c>
      <c r="AG1629" s="2">
        <f ca="1"/>
        <v>0.14775144048900546</v>
      </c>
      <c r="AH1629" s="2" t="str">
        <f ca="1"/>
        <v>OK</v>
      </c>
    </row>
    <row r="1630" spans="2:34" x14ac:dyDescent="0.2">
      <c r="B1630" s="2">
        <f ca="1"/>
        <v>0.55688799403634048</v>
      </c>
      <c r="O1630" s="2">
        <f ca="1"/>
        <v>-0.72951188770895747</v>
      </c>
      <c r="X1630" s="2">
        <f ca="1"/>
        <v>59.100621282190573</v>
      </c>
      <c r="AG1630" s="2">
        <f ca="1"/>
        <v>0.83364768163865888</v>
      </c>
      <c r="AH1630" s="2" t="str">
        <f ca="1"/>
        <v>Bad</v>
      </c>
    </row>
    <row r="1631" spans="2:34" x14ac:dyDescent="0.2">
      <c r="B1631" s="2">
        <f ca="1"/>
        <v>0.16759188678723769</v>
      </c>
      <c r="O1631" s="2">
        <f ca="1"/>
        <v>-0.34504004261064947</v>
      </c>
      <c r="X1631" s="2">
        <f ca="1"/>
        <v>41.554585308691223</v>
      </c>
      <c r="AG1631" s="2">
        <f ca="1"/>
        <v>0.20557989730698267</v>
      </c>
      <c r="AH1631" s="2" t="str">
        <f ca="1"/>
        <v>OK</v>
      </c>
    </row>
    <row r="1632" spans="2:34" x14ac:dyDescent="0.2">
      <c r="B1632" s="2">
        <f ca="1"/>
        <v>0.18924942828515601</v>
      </c>
      <c r="O1632" s="2">
        <f ca="1"/>
        <v>0.86032980817877258</v>
      </c>
      <c r="X1632" s="2">
        <f ca="1"/>
        <v>26.645672011803107</v>
      </c>
      <c r="AG1632" s="2">
        <f ca="1"/>
        <v>0.7806718412053002</v>
      </c>
      <c r="AH1632" s="2" t="str">
        <f ca="1"/>
        <v>Bad</v>
      </c>
    </row>
    <row r="1633" spans="2:34" x14ac:dyDescent="0.2">
      <c r="B1633" s="2">
        <f ca="1"/>
        <v>0.78984477272100406</v>
      </c>
      <c r="O1633" s="2">
        <f ca="1"/>
        <v>0.33102968452393322</v>
      </c>
      <c r="X1633" s="2">
        <f ca="1"/>
        <v>35.937721168839992</v>
      </c>
      <c r="AG1633" s="2">
        <f ca="1"/>
        <v>0.80747622301231914</v>
      </c>
      <c r="AH1633" s="2" t="str">
        <f ca="1"/>
        <v>Bad</v>
      </c>
    </row>
    <row r="1634" spans="2:34" x14ac:dyDescent="0.2">
      <c r="B1634" s="2">
        <f ca="1"/>
        <v>0.52468673051757175</v>
      </c>
      <c r="O1634" s="2">
        <f ca="1"/>
        <v>-1.9354440518846563</v>
      </c>
      <c r="X1634" s="2">
        <f ca="1"/>
        <v>27.37021593738158</v>
      </c>
      <c r="AG1634" s="2">
        <f ca="1"/>
        <v>0.94807019751772592</v>
      </c>
      <c r="AH1634" s="2" t="str">
        <f ca="1"/>
        <v>Bad</v>
      </c>
    </row>
    <row r="1635" spans="2:34" x14ac:dyDescent="0.2">
      <c r="B1635" s="2">
        <f ca="1"/>
        <v>0.83185917736857529</v>
      </c>
      <c r="O1635" s="2">
        <f ca="1"/>
        <v>-1.4601835212758725</v>
      </c>
      <c r="X1635" s="2">
        <f ca="1"/>
        <v>42.483934788585323</v>
      </c>
      <c r="AG1635" s="2">
        <f ca="1"/>
        <v>0.62660176106378818</v>
      </c>
      <c r="AH1635" s="2" t="str">
        <f ca="1"/>
        <v>Bad</v>
      </c>
    </row>
    <row r="1636" spans="2:34" x14ac:dyDescent="0.2">
      <c r="B1636" s="2">
        <f ca="1"/>
        <v>0.29731031306258959</v>
      </c>
      <c r="O1636" s="2">
        <f ca="1"/>
        <v>0.50517691174898671</v>
      </c>
      <c r="X1636" s="2">
        <f ca="1"/>
        <v>35.317356051727579</v>
      </c>
      <c r="AG1636" s="2">
        <f ca="1"/>
        <v>0.68499737286322326</v>
      </c>
      <c r="AH1636" s="2" t="str">
        <f ca="1"/>
        <v>Bad</v>
      </c>
    </row>
    <row r="1637" spans="2:34" x14ac:dyDescent="0.2">
      <c r="B1637" s="2">
        <f ca="1"/>
        <v>6.6956964098711547E-2</v>
      </c>
      <c r="O1637" s="2">
        <f ca="1"/>
        <v>-0.9666955859346984</v>
      </c>
      <c r="X1637" s="2">
        <f ca="1"/>
        <v>69.49422451620633</v>
      </c>
      <c r="AG1637" s="2">
        <f ca="1"/>
        <v>0.96126964137746862</v>
      </c>
      <c r="AH1637" s="2" t="str">
        <f ca="1"/>
        <v>Bad</v>
      </c>
    </row>
    <row r="1638" spans="2:34" x14ac:dyDescent="0.2">
      <c r="B1638" s="2">
        <f ca="1"/>
        <v>4.7002858205171805E-3</v>
      </c>
      <c r="O1638" s="2">
        <f ca="1"/>
        <v>0.98335860066279701</v>
      </c>
      <c r="X1638" s="2">
        <f ca="1"/>
        <v>61.604281655069613</v>
      </c>
      <c r="AG1638" s="2">
        <f ca="1"/>
        <v>0.40232170679459478</v>
      </c>
      <c r="AH1638" s="2" t="str">
        <f ca="1"/>
        <v>Bad</v>
      </c>
    </row>
    <row r="1639" spans="2:34" x14ac:dyDescent="0.2">
      <c r="B1639" s="2">
        <f ca="1"/>
        <v>0.55020173538344852</v>
      </c>
      <c r="O1639" s="2">
        <f ca="1"/>
        <v>-0.37799128048250452</v>
      </c>
      <c r="X1639" s="2">
        <f ca="1"/>
        <v>36.487479668001384</v>
      </c>
      <c r="AG1639" s="2">
        <f ca="1"/>
        <v>0.21858921373983753</v>
      </c>
      <c r="AH1639" s="2" t="str">
        <f ca="1"/>
        <v>OK</v>
      </c>
    </row>
    <row r="1640" spans="2:34" x14ac:dyDescent="0.2">
      <c r="B1640" s="2">
        <f ca="1"/>
        <v>3.3891087057158709E-2</v>
      </c>
      <c r="O1640" s="2">
        <f ca="1"/>
        <v>-2.0337112647695084</v>
      </c>
      <c r="X1640" s="2">
        <f ca="1"/>
        <v>68.431556235498064</v>
      </c>
      <c r="AG1640" s="2">
        <f ca="1"/>
        <v>0.75316736231383197</v>
      </c>
      <c r="AH1640" s="2" t="str">
        <f ca="1"/>
        <v>Bad</v>
      </c>
    </row>
    <row r="1641" spans="2:34" x14ac:dyDescent="0.2">
      <c r="B1641" s="2">
        <f ca="1"/>
        <v>0.31176239361773161</v>
      </c>
      <c r="O1641" s="2">
        <f ca="1"/>
        <v>-0.53745121541964591</v>
      </c>
      <c r="X1641" s="2">
        <f ca="1"/>
        <v>48.407384691928556</v>
      </c>
      <c r="AG1641" s="2">
        <f ca="1"/>
        <v>0.50857211148578996</v>
      </c>
      <c r="AH1641" s="2" t="str">
        <f ca="1"/>
        <v>Bad</v>
      </c>
    </row>
    <row r="1642" spans="2:34" x14ac:dyDescent="0.2">
      <c r="B1642" s="2">
        <f ca="1"/>
        <v>0.81662070288853528</v>
      </c>
      <c r="O1642" s="2">
        <f ca="1"/>
        <v>-0.1310691018343767</v>
      </c>
      <c r="X1642" s="2">
        <f ca="1"/>
        <v>44.285155067201885</v>
      </c>
      <c r="AG1642" s="2">
        <f ca="1"/>
        <v>0.29028818246361365</v>
      </c>
      <c r="AH1642" s="2" t="str">
        <f ca="1"/>
        <v>OK</v>
      </c>
    </row>
    <row r="1643" spans="2:34" x14ac:dyDescent="0.2">
      <c r="B1643" s="2">
        <f ca="1"/>
        <v>0.69909575464136497</v>
      </c>
      <c r="O1643" s="2">
        <f ca="1"/>
        <v>-1.0603495493223964</v>
      </c>
      <c r="X1643" s="2">
        <f ca="1"/>
        <v>62.143098744273061</v>
      </c>
      <c r="AG1643" s="2">
        <f ca="1"/>
        <v>4.7587618266903275E-2</v>
      </c>
      <c r="AH1643" s="2" t="str">
        <f ca="1"/>
        <v>Good</v>
      </c>
    </row>
    <row r="1644" spans="2:34" x14ac:dyDescent="0.2">
      <c r="B1644" s="2">
        <f ca="1"/>
        <v>0.8816298373703968</v>
      </c>
      <c r="O1644" s="2">
        <f ca="1"/>
        <v>-0.48957203865598481</v>
      </c>
      <c r="X1644" s="2">
        <f ca="1"/>
        <v>52.060983278170163</v>
      </c>
      <c r="AG1644" s="2">
        <f ca="1"/>
        <v>0.96163424001941467</v>
      </c>
      <c r="AH1644" s="2" t="str">
        <f ca="1"/>
        <v>Bad</v>
      </c>
    </row>
    <row r="1645" spans="2:34" x14ac:dyDescent="0.2">
      <c r="B1645" s="2">
        <f ca="1"/>
        <v>2.6419475660351743E-2</v>
      </c>
      <c r="O1645" s="2">
        <f ca="1"/>
        <v>0.22626291560825879</v>
      </c>
      <c r="X1645" s="2">
        <f ca="1"/>
        <v>32.028293398404507</v>
      </c>
      <c r="AG1645" s="2">
        <f ca="1"/>
        <v>0.21660418668566095</v>
      </c>
      <c r="AH1645" s="2" t="str">
        <f ca="1"/>
        <v>OK</v>
      </c>
    </row>
    <row r="1646" spans="2:34" x14ac:dyDescent="0.2">
      <c r="B1646" s="2">
        <f ca="1"/>
        <v>0.72273288912423106</v>
      </c>
      <c r="O1646" s="2">
        <f ca="1"/>
        <v>-0.49428413082305078</v>
      </c>
      <c r="X1646" s="2">
        <f ca="1"/>
        <v>27.355858255824739</v>
      </c>
      <c r="AG1646" s="2">
        <f ca="1"/>
        <v>0.99242759576645123</v>
      </c>
      <c r="AH1646" s="2" t="str">
        <f ca="1"/>
        <v>Bad</v>
      </c>
    </row>
    <row r="1647" spans="2:34" x14ac:dyDescent="0.2">
      <c r="B1647" s="2">
        <f ca="1"/>
        <v>0.87553808645793274</v>
      </c>
      <c r="O1647" s="2">
        <f ca="1"/>
        <v>1.4022309394317922</v>
      </c>
      <c r="X1647" s="2">
        <f ca="1"/>
        <v>44.406830410323117</v>
      </c>
      <c r="AG1647" s="2">
        <f ca="1"/>
        <v>0.16563442890671221</v>
      </c>
      <c r="AH1647" s="2" t="str">
        <f ca="1"/>
        <v>OK</v>
      </c>
    </row>
    <row r="1648" spans="2:34" x14ac:dyDescent="0.2">
      <c r="B1648" s="2">
        <f ca="1"/>
        <v>0.16988646160516363</v>
      </c>
      <c r="O1648" s="2">
        <f ca="1"/>
        <v>0.30870243144342235</v>
      </c>
      <c r="X1648" s="2">
        <f ca="1"/>
        <v>77.903390294659744</v>
      </c>
      <c r="AG1648" s="2">
        <f ca="1"/>
        <v>0.47125641182734634</v>
      </c>
      <c r="AH1648" s="2" t="str">
        <f ca="1"/>
        <v>Bad</v>
      </c>
    </row>
    <row r="1649" spans="2:34" x14ac:dyDescent="0.2">
      <c r="B1649" s="2">
        <f ca="1"/>
        <v>7.1197843980303599E-2</v>
      </c>
      <c r="O1649" s="2">
        <f ca="1"/>
        <v>-0.57284092137604303</v>
      </c>
      <c r="X1649" s="2">
        <f ca="1"/>
        <v>72.772918669621106</v>
      </c>
      <c r="AG1649" s="2">
        <f ca="1"/>
        <v>0.27929930725205154</v>
      </c>
      <c r="AH1649" s="2" t="str">
        <f ca="1"/>
        <v>OK</v>
      </c>
    </row>
    <row r="1650" spans="2:34" x14ac:dyDescent="0.2">
      <c r="B1650" s="2">
        <f ca="1"/>
        <v>0.23360156637882246</v>
      </c>
      <c r="O1650" s="2">
        <f ca="1"/>
        <v>-1.7801471603914891</v>
      </c>
      <c r="X1650" s="2">
        <f ca="1"/>
        <v>20.69868379671545</v>
      </c>
      <c r="AG1650" s="2">
        <f ca="1"/>
        <v>1.5212334535056993E-2</v>
      </c>
      <c r="AH1650" s="2" t="str">
        <f ca="1"/>
        <v>Good</v>
      </c>
    </row>
    <row r="1651" spans="2:34" x14ac:dyDescent="0.2">
      <c r="B1651" s="2">
        <f ca="1"/>
        <v>0.68638544761661158</v>
      </c>
      <c r="O1651" s="2">
        <f ca="1"/>
        <v>-1.5895301820871393</v>
      </c>
      <c r="X1651" s="2">
        <f ca="1"/>
        <v>77.841205155355112</v>
      </c>
      <c r="AG1651" s="2">
        <f ca="1"/>
        <v>0.17612309515899538</v>
      </c>
      <c r="AH1651" s="2" t="str">
        <f ca="1"/>
        <v>OK</v>
      </c>
    </row>
    <row r="1652" spans="2:34" x14ac:dyDescent="0.2">
      <c r="B1652" s="2">
        <f ca="1"/>
        <v>1.7345122042039085E-2</v>
      </c>
      <c r="O1652" s="2">
        <f ca="1"/>
        <v>0.46145724339165378</v>
      </c>
      <c r="X1652" s="2">
        <f ca="1"/>
        <v>61.055852966864691</v>
      </c>
      <c r="AG1652" s="2">
        <f ca="1"/>
        <v>0.99920206891580921</v>
      </c>
      <c r="AH1652" s="2" t="str">
        <f ca="1"/>
        <v>Bad</v>
      </c>
    </row>
    <row r="1653" spans="2:34" x14ac:dyDescent="0.2">
      <c r="B1653" s="2">
        <f ca="1"/>
        <v>0.95372094645798389</v>
      </c>
      <c r="O1653" s="2">
        <f ca="1"/>
        <v>-1.0925261316390988</v>
      </c>
      <c r="X1653" s="2">
        <f ca="1"/>
        <v>129.76643221443641</v>
      </c>
      <c r="AG1653" s="2">
        <f ca="1"/>
        <v>0.22056756840240976</v>
      </c>
      <c r="AH1653" s="2" t="str">
        <f ca="1"/>
        <v>OK</v>
      </c>
    </row>
    <row r="1654" spans="2:34" x14ac:dyDescent="0.2">
      <c r="B1654" s="2">
        <f ca="1"/>
        <v>0.78086087383799918</v>
      </c>
      <c r="O1654" s="2">
        <f ca="1"/>
        <v>-3.7035223615896534E-2</v>
      </c>
      <c r="X1654" s="2">
        <f ca="1"/>
        <v>32.232102821507482</v>
      </c>
      <c r="AG1654" s="2">
        <f ca="1"/>
        <v>0.60424241495882058</v>
      </c>
      <c r="AH1654" s="2" t="str">
        <f ca="1"/>
        <v>Bad</v>
      </c>
    </row>
    <row r="1655" spans="2:34" x14ac:dyDescent="0.2">
      <c r="B1655" s="2">
        <f ca="1"/>
        <v>0.17778239504033921</v>
      </c>
      <c r="O1655" s="2">
        <f ca="1"/>
        <v>-0.22342957103321165</v>
      </c>
      <c r="X1655" s="2">
        <f ca="1"/>
        <v>43.606700065775648</v>
      </c>
      <c r="AG1655" s="2">
        <f ca="1"/>
        <v>0.21848496108142501</v>
      </c>
      <c r="AH1655" s="2" t="str">
        <f ca="1"/>
        <v>OK</v>
      </c>
    </row>
    <row r="1656" spans="2:34" x14ac:dyDescent="0.2">
      <c r="B1656" s="2">
        <f ca="1"/>
        <v>8.4496908356674227E-2</v>
      </c>
      <c r="O1656" s="2">
        <f ca="1"/>
        <v>1.5422069012793009</v>
      </c>
      <c r="X1656" s="2">
        <f ca="1"/>
        <v>30.038635073016806</v>
      </c>
      <c r="AG1656" s="2">
        <f ca="1"/>
        <v>0.32267989137499953</v>
      </c>
      <c r="AH1656" s="2" t="str">
        <f ca="1"/>
        <v>OK</v>
      </c>
    </row>
    <row r="1657" spans="2:34" x14ac:dyDescent="0.2">
      <c r="B1657" s="2">
        <f ca="1"/>
        <v>0.87798148817632105</v>
      </c>
      <c r="O1657" s="2">
        <f ca="1"/>
        <v>-0.51111065649872134</v>
      </c>
      <c r="X1657" s="2">
        <f ca="1"/>
        <v>45.273207362233656</v>
      </c>
      <c r="AG1657" s="2">
        <f ca="1"/>
        <v>0.23018447989361634</v>
      </c>
      <c r="AH1657" s="2" t="str">
        <f ca="1"/>
        <v>OK</v>
      </c>
    </row>
    <row r="1658" spans="2:34" x14ac:dyDescent="0.2">
      <c r="B1658" s="2">
        <f ca="1"/>
        <v>0.84615140991300053</v>
      </c>
      <c r="O1658" s="2">
        <f ca="1"/>
        <v>-0.45254850021566628</v>
      </c>
      <c r="X1658" s="2">
        <f ca="1"/>
        <v>51.323055478918612</v>
      </c>
      <c r="AG1658" s="2">
        <f ca="1"/>
        <v>0.16134550468981335</v>
      </c>
      <c r="AH1658" s="2" t="str">
        <f ca="1"/>
        <v>OK</v>
      </c>
    </row>
    <row r="1659" spans="2:34" x14ac:dyDescent="0.2">
      <c r="B1659" s="2">
        <f ca="1"/>
        <v>0.21291741029617151</v>
      </c>
      <c r="O1659" s="2">
        <f ca="1"/>
        <v>0.61712929307607911</v>
      </c>
      <c r="X1659" s="2">
        <f ca="1"/>
        <v>41.006049099913653</v>
      </c>
      <c r="AG1659" s="2">
        <f ca="1"/>
        <v>0.48308011555048869</v>
      </c>
      <c r="AH1659" s="2" t="str">
        <f ca="1"/>
        <v>Bad</v>
      </c>
    </row>
    <row r="1660" spans="2:34" x14ac:dyDescent="0.2">
      <c r="B1660" s="2">
        <f ca="1"/>
        <v>0.31578494974925397</v>
      </c>
      <c r="O1660" s="2">
        <f ca="1"/>
        <v>1.2676545073011911</v>
      </c>
      <c r="X1660" s="2">
        <f ca="1"/>
        <v>62.947908384640662</v>
      </c>
      <c r="AG1660" s="2">
        <f ca="1"/>
        <v>0.36839258504118577</v>
      </c>
      <c r="AH1660" s="2" t="str">
        <f ca="1"/>
        <v>OK</v>
      </c>
    </row>
    <row r="1661" spans="2:34" x14ac:dyDescent="0.2">
      <c r="B1661" s="2">
        <f ca="1"/>
        <v>0.54202510274129656</v>
      </c>
      <c r="O1661" s="2">
        <f ca="1"/>
        <v>6.4905669149839834E-2</v>
      </c>
      <c r="X1661" s="2">
        <f ca="1"/>
        <v>35.207839257568835</v>
      </c>
      <c r="AG1661" s="2">
        <f ca="1"/>
        <v>0.96772854333347835</v>
      </c>
      <c r="AH1661" s="2" t="str">
        <f ca="1"/>
        <v>Bad</v>
      </c>
    </row>
    <row r="1662" spans="2:34" x14ac:dyDescent="0.2">
      <c r="B1662" s="2">
        <f ca="1"/>
        <v>0.7178752349913069</v>
      </c>
      <c r="O1662" s="2">
        <f ca="1"/>
        <v>-0.91777466756186155</v>
      </c>
      <c r="X1662" s="2">
        <f ca="1"/>
        <v>35.390773169826673</v>
      </c>
      <c r="AG1662" s="2">
        <f ca="1"/>
        <v>0.72646695700260899</v>
      </c>
      <c r="AH1662" s="2" t="str">
        <f ca="1"/>
        <v>Bad</v>
      </c>
    </row>
    <row r="1663" spans="2:34" x14ac:dyDescent="0.2">
      <c r="B1663" s="2">
        <f ca="1"/>
        <v>0.25538980697666291</v>
      </c>
      <c r="O1663" s="2">
        <f ca="1"/>
        <v>0.71272712381700787</v>
      </c>
      <c r="X1663" s="2">
        <f ca="1"/>
        <v>47.69780439101612</v>
      </c>
      <c r="AG1663" s="2">
        <f ca="1"/>
        <v>0.37406588156151011</v>
      </c>
      <c r="AH1663" s="2" t="str">
        <f ca="1"/>
        <v>OK</v>
      </c>
    </row>
    <row r="1664" spans="2:34" x14ac:dyDescent="0.2">
      <c r="B1664" s="2">
        <f ca="1"/>
        <v>2.2248733669590681E-2</v>
      </c>
      <c r="O1664" s="2">
        <f ca="1"/>
        <v>-1.9754908027707776</v>
      </c>
      <c r="X1664" s="2">
        <f ca="1"/>
        <v>66.095475232525175</v>
      </c>
      <c r="AG1664" s="2">
        <f ca="1"/>
        <v>0.56843349323655712</v>
      </c>
      <c r="AH1664" s="2" t="str">
        <f ca="1"/>
        <v>Bad</v>
      </c>
    </row>
    <row r="1665" spans="2:34" x14ac:dyDescent="0.2">
      <c r="B1665" s="2">
        <f ca="1"/>
        <v>0.72710403424079306</v>
      </c>
      <c r="O1665" s="2">
        <f ca="1"/>
        <v>-0.41527854887386273</v>
      </c>
      <c r="X1665" s="2">
        <f ca="1"/>
        <v>76.189887222597875</v>
      </c>
      <c r="AG1665" s="2">
        <f ca="1"/>
        <v>0.84950088786350664</v>
      </c>
      <c r="AH1665" s="2" t="str">
        <f ca="1"/>
        <v>Bad</v>
      </c>
    </row>
    <row r="1666" spans="2:34" x14ac:dyDescent="0.2">
      <c r="B1666" s="2">
        <f ca="1"/>
        <v>0.49845634725928667</v>
      </c>
      <c r="O1666" s="2">
        <f ca="1"/>
        <v>-0.36645780521221316</v>
      </c>
      <c r="X1666" s="2">
        <f ca="1"/>
        <v>67.119285019510713</v>
      </c>
      <c r="AG1666" s="2">
        <f ca="1"/>
        <v>0.4295087291240216</v>
      </c>
      <c r="AH1666" s="2" t="str">
        <f ca="1"/>
        <v>Bad</v>
      </c>
    </row>
    <row r="1667" spans="2:34" x14ac:dyDescent="0.2">
      <c r="B1667" s="2">
        <f ca="1"/>
        <v>0.88520323590458605</v>
      </c>
      <c r="O1667" s="2">
        <f ca="1"/>
        <v>-1.1237281564996562</v>
      </c>
      <c r="X1667" s="2">
        <f ca="1"/>
        <v>41.121488849306303</v>
      </c>
      <c r="AG1667" s="2">
        <f ca="1"/>
        <v>0.51241133453351728</v>
      </c>
      <c r="AH1667" s="2" t="str">
        <f ca="1"/>
        <v>Bad</v>
      </c>
    </row>
    <row r="1668" spans="2:34" x14ac:dyDescent="0.2">
      <c r="B1668" s="2">
        <f ca="1"/>
        <v>0.89201563766115832</v>
      </c>
      <c r="O1668" s="2">
        <f ca="1"/>
        <v>-0.14280712026577344</v>
      </c>
      <c r="X1668" s="2">
        <f ca="1"/>
        <v>65.372720222532791</v>
      </c>
      <c r="AG1668" s="2">
        <f ca="1"/>
        <v>0.26399568833316867</v>
      </c>
      <c r="AH1668" s="2" t="str">
        <f ca="1"/>
        <v>OK</v>
      </c>
    </row>
    <row r="1669" spans="2:34" x14ac:dyDescent="0.2">
      <c r="B1669" s="2">
        <f ca="1"/>
        <v>0.8499315137304384</v>
      </c>
      <c r="O1669" s="2">
        <f ca="1"/>
        <v>0.71462686411102305</v>
      </c>
      <c r="X1669" s="2">
        <f ca="1"/>
        <v>36.417915409709764</v>
      </c>
      <c r="AG1669" s="2">
        <f ca="1"/>
        <v>0.80077371466734326</v>
      </c>
      <c r="AH1669" s="2" t="str">
        <f ca="1"/>
        <v>Bad</v>
      </c>
    </row>
    <row r="1670" spans="2:34" x14ac:dyDescent="0.2">
      <c r="B1670" s="2">
        <f ca="1"/>
        <v>1.6182214516320181E-2</v>
      </c>
      <c r="O1670" s="2">
        <f ca="1"/>
        <v>-0.4729870427641521</v>
      </c>
      <c r="X1670" s="2">
        <f ca="1"/>
        <v>81.601394780170523</v>
      </c>
      <c r="AG1670" s="2">
        <f ca="1"/>
        <v>0.84694412139227659</v>
      </c>
      <c r="AH1670" s="2" t="str">
        <f ca="1"/>
        <v>Bad</v>
      </c>
    </row>
    <row r="1671" spans="2:34" x14ac:dyDescent="0.2">
      <c r="B1671" s="2">
        <f ca="1"/>
        <v>0.84723692625541025</v>
      </c>
      <c r="O1671" s="2">
        <f ca="1"/>
        <v>-0.16998138314863237</v>
      </c>
      <c r="X1671" s="2">
        <f ca="1"/>
        <v>29.641425105478799</v>
      </c>
      <c r="AG1671" s="2">
        <f ca="1"/>
        <v>9.7756583249048568E-2</v>
      </c>
      <c r="AH1671" s="2" t="str">
        <f ca="1"/>
        <v>OK</v>
      </c>
    </row>
    <row r="1672" spans="2:34" x14ac:dyDescent="0.2">
      <c r="B1672" s="2">
        <f ca="1"/>
        <v>8.3783398883237048E-3</v>
      </c>
      <c r="O1672" s="2">
        <f ca="1"/>
        <v>-2.6565446151306599E-2</v>
      </c>
      <c r="X1672" s="2">
        <f ca="1"/>
        <v>57.707014279506915</v>
      </c>
      <c r="AG1672" s="2">
        <f ca="1"/>
        <v>0.41040956307986165</v>
      </c>
      <c r="AH1672" s="2" t="str">
        <f ca="1"/>
        <v>Bad</v>
      </c>
    </row>
    <row r="1673" spans="2:34" x14ac:dyDescent="0.2">
      <c r="B1673" s="2">
        <f ca="1"/>
        <v>0.47022307849618894</v>
      </c>
      <c r="O1673" s="2">
        <f ca="1"/>
        <v>-9.1136007767295343E-2</v>
      </c>
      <c r="X1673" s="2">
        <f ca="1"/>
        <v>39.136182469967054</v>
      </c>
      <c r="AG1673" s="2">
        <f ca="1"/>
        <v>2.8096222409705884E-2</v>
      </c>
      <c r="AH1673" s="2" t="str">
        <f ca="1"/>
        <v>Good</v>
      </c>
    </row>
    <row r="1674" spans="2:34" x14ac:dyDescent="0.2">
      <c r="B1674" s="2">
        <f ca="1"/>
        <v>0.10131890889693129</v>
      </c>
      <c r="O1674" s="2">
        <f ca="1"/>
        <v>-0.82413473488588662</v>
      </c>
      <c r="X1674" s="2">
        <f ca="1"/>
        <v>54.989556568600946</v>
      </c>
      <c r="AG1674" s="2">
        <f ca="1"/>
        <v>0.17755867715084439</v>
      </c>
      <c r="AH1674" s="2" t="str">
        <f ca="1"/>
        <v>OK</v>
      </c>
    </row>
    <row r="1675" spans="2:34" x14ac:dyDescent="0.2">
      <c r="B1675" s="2">
        <f ca="1"/>
        <v>0.67175792034549664</v>
      </c>
      <c r="O1675" s="2">
        <f ca="1"/>
        <v>-0.92370326322068397</v>
      </c>
      <c r="X1675" s="2">
        <f ca="1"/>
        <v>24.945824699869501</v>
      </c>
      <c r="AG1675" s="2">
        <f ca="1"/>
        <v>0.63766313637495364</v>
      </c>
      <c r="AH1675" s="2" t="str">
        <f ca="1"/>
        <v>Bad</v>
      </c>
    </row>
    <row r="1676" spans="2:34" x14ac:dyDescent="0.2">
      <c r="B1676" s="2">
        <f ca="1"/>
        <v>0.87747291116921655</v>
      </c>
      <c r="O1676" s="2">
        <f ca="1"/>
        <v>-0.66861858508213412</v>
      </c>
      <c r="X1676" s="2">
        <f ca="1"/>
        <v>77.987422685506573</v>
      </c>
      <c r="AG1676" s="2">
        <f ca="1"/>
        <v>0.85720677836988179</v>
      </c>
      <c r="AH1676" s="2" t="str">
        <f ca="1"/>
        <v>Bad</v>
      </c>
    </row>
    <row r="1677" spans="2:34" x14ac:dyDescent="0.2">
      <c r="B1677" s="2">
        <f ca="1"/>
        <v>0.94608463167818702</v>
      </c>
      <c r="O1677" s="2">
        <f ca="1"/>
        <v>1.025979005235172</v>
      </c>
      <c r="X1677" s="2">
        <f ca="1"/>
        <v>43.061285263039764</v>
      </c>
      <c r="AG1677" s="2">
        <f ca="1"/>
        <v>0.46935174949237113</v>
      </c>
      <c r="AH1677" s="2" t="str">
        <f ca="1"/>
        <v>Bad</v>
      </c>
    </row>
    <row r="1678" spans="2:34" x14ac:dyDescent="0.2">
      <c r="B1678" s="2">
        <f ca="1"/>
        <v>0.33059804654008951</v>
      </c>
      <c r="O1678" s="2">
        <f ca="1"/>
        <v>-2.1956005167589248</v>
      </c>
      <c r="X1678" s="2">
        <f ca="1"/>
        <v>59.083634615265545</v>
      </c>
      <c r="AG1678" s="2">
        <f ca="1"/>
        <v>0.52611617972760949</v>
      </c>
      <c r="AH1678" s="2" t="str">
        <f ca="1"/>
        <v>Bad</v>
      </c>
    </row>
    <row r="1679" spans="2:34" x14ac:dyDescent="0.2">
      <c r="B1679" s="2">
        <f ca="1"/>
        <v>0.26861849461416698</v>
      </c>
      <c r="O1679" s="2">
        <f ca="1"/>
        <v>-0.12527811586315155</v>
      </c>
      <c r="X1679" s="2">
        <f ca="1"/>
        <v>61.900766047407103</v>
      </c>
      <c r="AG1679" s="2">
        <f ca="1"/>
        <v>0.43908001895515403</v>
      </c>
      <c r="AH1679" s="2" t="str">
        <f ca="1"/>
        <v>Bad</v>
      </c>
    </row>
    <row r="1680" spans="2:34" x14ac:dyDescent="0.2">
      <c r="B1680" s="2">
        <f ca="1"/>
        <v>0.21904352408147898</v>
      </c>
      <c r="O1680" s="2">
        <f ca="1"/>
        <v>0.29293844596931401</v>
      </c>
      <c r="X1680" s="2">
        <f ca="1"/>
        <v>40.597796682524475</v>
      </c>
      <c r="AG1680" s="2">
        <f ca="1"/>
        <v>0.93788133668919027</v>
      </c>
      <c r="AH1680" s="2" t="str">
        <f ca="1"/>
        <v>Bad</v>
      </c>
    </row>
    <row r="1681" spans="2:34" x14ac:dyDescent="0.2">
      <c r="B1681" s="2">
        <f ca="1"/>
        <v>0.90407402318963626</v>
      </c>
      <c r="O1681" s="2">
        <f ca="1"/>
        <v>-0.64776363023044192</v>
      </c>
      <c r="X1681" s="2">
        <f ca="1"/>
        <v>47.109083871063163</v>
      </c>
      <c r="AG1681" s="2">
        <f ca="1"/>
        <v>0.13665619887679736</v>
      </c>
      <c r="AH1681" s="2" t="str">
        <f ca="1"/>
        <v>OK</v>
      </c>
    </row>
    <row r="1682" spans="2:34" x14ac:dyDescent="0.2">
      <c r="B1682" s="2">
        <f ca="1"/>
        <v>0.10443459978572722</v>
      </c>
      <c r="O1682" s="2">
        <f ca="1"/>
        <v>0.84652328986829961</v>
      </c>
      <c r="X1682" s="2">
        <f ca="1"/>
        <v>26.656427113913882</v>
      </c>
      <c r="AG1682" s="2">
        <f ca="1"/>
        <v>0.13163790160047295</v>
      </c>
      <c r="AH1682" s="2" t="str">
        <f ca="1"/>
        <v>OK</v>
      </c>
    </row>
    <row r="1683" spans="2:34" x14ac:dyDescent="0.2">
      <c r="B1683" s="2">
        <f ca="1"/>
        <v>0.88470181699646933</v>
      </c>
      <c r="O1683" s="2">
        <f ca="1"/>
        <v>0.2476138221705585</v>
      </c>
      <c r="X1683" s="2">
        <f ca="1"/>
        <v>63.453956074581654</v>
      </c>
      <c r="AG1683" s="2">
        <f ca="1"/>
        <v>0.72144551661532952</v>
      </c>
      <c r="AH1683" s="2" t="str">
        <f ca="1"/>
        <v>Bad</v>
      </c>
    </row>
    <row r="1684" spans="2:34" x14ac:dyDescent="0.2">
      <c r="B1684" s="2">
        <f ca="1"/>
        <v>0.51768803018540255</v>
      </c>
      <c r="O1684" s="2">
        <f ca="1"/>
        <v>6.241517653140799E-2</v>
      </c>
      <c r="X1684" s="2">
        <f ca="1"/>
        <v>41.211782218236252</v>
      </c>
      <c r="AG1684" s="2">
        <f ca="1"/>
        <v>0.84458396087456999</v>
      </c>
      <c r="AH1684" s="2" t="str">
        <f ca="1"/>
        <v>Bad</v>
      </c>
    </row>
    <row r="1685" spans="2:34" x14ac:dyDescent="0.2">
      <c r="B1685" s="2">
        <f ca="1"/>
        <v>0.27353510074855447</v>
      </c>
      <c r="O1685" s="2">
        <f ca="1"/>
        <v>1.1442582252676967</v>
      </c>
      <c r="X1685" s="2">
        <f ca="1"/>
        <v>40.994700231802639</v>
      </c>
      <c r="AG1685" s="2">
        <f ca="1"/>
        <v>0.33882156796178298</v>
      </c>
      <c r="AH1685" s="2" t="str">
        <f ca="1"/>
        <v>OK</v>
      </c>
    </row>
    <row r="1686" spans="2:34" x14ac:dyDescent="0.2">
      <c r="B1686" s="2">
        <f ca="1"/>
        <v>0.50794551359884155</v>
      </c>
      <c r="O1686" s="2">
        <f ca="1"/>
        <v>-0.99752382712447196</v>
      </c>
      <c r="X1686" s="2">
        <f ca="1"/>
        <v>62.729414792625924</v>
      </c>
      <c r="AG1686" s="2">
        <f ca="1"/>
        <v>0.28299462246671614</v>
      </c>
      <c r="AH1686" s="2" t="str">
        <f ca="1"/>
        <v>OK</v>
      </c>
    </row>
    <row r="1687" spans="2:34" x14ac:dyDescent="0.2">
      <c r="B1687" s="2">
        <f ca="1"/>
        <v>0.8444028554914742</v>
      </c>
      <c r="O1687" s="2">
        <f ca="1"/>
        <v>1.0475056617695202</v>
      </c>
      <c r="X1687" s="2">
        <f ca="1"/>
        <v>41.764028733700975</v>
      </c>
      <c r="AG1687" s="2">
        <f ca="1"/>
        <v>0.65977858815722867</v>
      </c>
      <c r="AH1687" s="2" t="str">
        <f ca="1"/>
        <v>Bad</v>
      </c>
    </row>
    <row r="1688" spans="2:34" x14ac:dyDescent="0.2">
      <c r="B1688" s="2">
        <f ca="1"/>
        <v>0.69179692283075811</v>
      </c>
      <c r="O1688" s="2">
        <f ca="1"/>
        <v>-1.6922855947712758</v>
      </c>
      <c r="X1688" s="2">
        <f ca="1"/>
        <v>55.885074246031358</v>
      </c>
      <c r="AG1688" s="2">
        <f ca="1"/>
        <v>0.81892690319905959</v>
      </c>
      <c r="AH1688" s="2" t="str">
        <f ca="1"/>
        <v>Bad</v>
      </c>
    </row>
    <row r="1689" spans="2:34" x14ac:dyDescent="0.2">
      <c r="B1689" s="2">
        <f ca="1"/>
        <v>0.99249878211463716</v>
      </c>
      <c r="O1689" s="2">
        <f ca="1"/>
        <v>0.18838771668223581</v>
      </c>
      <c r="X1689" s="2">
        <f ca="1"/>
        <v>68.476978591893854</v>
      </c>
      <c r="AG1689" s="2">
        <f ca="1"/>
        <v>0.75446894877317972</v>
      </c>
      <c r="AH1689" s="2" t="str">
        <f ca="1"/>
        <v>Bad</v>
      </c>
    </row>
    <row r="1690" spans="2:34" x14ac:dyDescent="0.2">
      <c r="B1690" s="2">
        <f ca="1"/>
        <v>0.24552705573176747</v>
      </c>
      <c r="O1690" s="2">
        <f ca="1"/>
        <v>0.50862898565778381</v>
      </c>
      <c r="X1690" s="2">
        <f ca="1"/>
        <v>46.244869502883731</v>
      </c>
      <c r="AG1690" s="2">
        <f ca="1"/>
        <v>0.48941699469461342</v>
      </c>
      <c r="AH1690" s="2" t="str">
        <f ca="1"/>
        <v>Bad</v>
      </c>
    </row>
    <row r="1691" spans="2:34" x14ac:dyDescent="0.2">
      <c r="B1691" s="2">
        <f ca="1"/>
        <v>2.3341392514165227E-2</v>
      </c>
      <c r="O1691" s="2">
        <f ca="1"/>
        <v>0.6459935904173244</v>
      </c>
      <c r="X1691" s="2">
        <f ca="1"/>
        <v>49.112970490592488</v>
      </c>
      <c r="AG1691" s="2">
        <f ca="1"/>
        <v>0.36388523974781162</v>
      </c>
      <c r="AH1691" s="2" t="str">
        <f ca="1"/>
        <v>OK</v>
      </c>
    </row>
    <row r="1692" spans="2:34" x14ac:dyDescent="0.2">
      <c r="B1692" s="2">
        <f ca="1"/>
        <v>0.6348862755604332</v>
      </c>
      <c r="O1692" s="2">
        <f ca="1"/>
        <v>0.37566898824946943</v>
      </c>
      <c r="X1692" s="2">
        <f ca="1"/>
        <v>55.593119432602045</v>
      </c>
      <c r="AG1692" s="2">
        <f ca="1"/>
        <v>0.40155948244955497</v>
      </c>
      <c r="AH1692" s="2" t="str">
        <f ca="1"/>
        <v>Bad</v>
      </c>
    </row>
    <row r="1693" spans="2:34" x14ac:dyDescent="0.2">
      <c r="B1693" s="2">
        <f ca="1"/>
        <v>0.86604717614925253</v>
      </c>
      <c r="O1693" s="2">
        <f ca="1"/>
        <v>-1.3377860348724431</v>
      </c>
      <c r="X1693" s="2">
        <f ca="1"/>
        <v>66.277596572788482</v>
      </c>
      <c r="AG1693" s="2">
        <f ca="1"/>
        <v>0.28265479973594609</v>
      </c>
      <c r="AH1693" s="2" t="str">
        <f ca="1"/>
        <v>OK</v>
      </c>
    </row>
    <row r="1694" spans="2:34" x14ac:dyDescent="0.2">
      <c r="B1694" s="2">
        <f ca="1"/>
        <v>0.52982826126319393</v>
      </c>
      <c r="O1694" s="2">
        <f ca="1"/>
        <v>-0.55555750486523514</v>
      </c>
      <c r="X1694" s="2">
        <f ca="1"/>
        <v>52.587849971916071</v>
      </c>
      <c r="AG1694" s="2">
        <f ca="1"/>
        <v>0.33084274966671634</v>
      </c>
      <c r="AH1694" s="2" t="str">
        <f ca="1"/>
        <v>OK</v>
      </c>
    </row>
    <row r="1695" spans="2:34" x14ac:dyDescent="0.2">
      <c r="B1695" s="2">
        <f ca="1"/>
        <v>0.10343905320741786</v>
      </c>
      <c r="O1695" s="2">
        <f ca="1"/>
        <v>-0.3886955926029268</v>
      </c>
      <c r="X1695" s="2">
        <f ca="1"/>
        <v>55.480394369511437</v>
      </c>
      <c r="AG1695" s="2">
        <f ca="1"/>
        <v>0.39727163836746371</v>
      </c>
      <c r="AH1695" s="2" t="str">
        <f ca="1"/>
        <v>OK</v>
      </c>
    </row>
    <row r="1696" spans="2:34" x14ac:dyDescent="0.2">
      <c r="B1696" s="2">
        <f ca="1"/>
        <v>0.56673689956449658</v>
      </c>
      <c r="O1696" s="2">
        <f ca="1"/>
        <v>-0.1653096772643553</v>
      </c>
      <c r="X1696" s="2">
        <f ca="1"/>
        <v>73.479056448720698</v>
      </c>
      <c r="AG1696" s="2">
        <f ca="1"/>
        <v>0.14562428717672082</v>
      </c>
      <c r="AH1696" s="2" t="str">
        <f ca="1"/>
        <v>OK</v>
      </c>
    </row>
    <row r="1697" spans="2:34" x14ac:dyDescent="0.2">
      <c r="B1697" s="2">
        <f ca="1"/>
        <v>0.55251800537599416</v>
      </c>
      <c r="O1697" s="2">
        <f ca="1"/>
        <v>-0.66142440913059009</v>
      </c>
      <c r="X1697" s="2">
        <f ca="1"/>
        <v>51.675042921552709</v>
      </c>
      <c r="AG1697" s="2">
        <f ca="1"/>
        <v>0.57242383875321101</v>
      </c>
      <c r="AH1697" s="2" t="str">
        <f ca="1"/>
        <v>Bad</v>
      </c>
    </row>
    <row r="1698" spans="2:34" x14ac:dyDescent="0.2">
      <c r="B1698" s="2">
        <f ca="1"/>
        <v>0.94506750290942909</v>
      </c>
      <c r="O1698" s="2">
        <f ca="1"/>
        <v>2.7321037343283088</v>
      </c>
      <c r="X1698" s="2">
        <f ca="1"/>
        <v>64.52409372109328</v>
      </c>
      <c r="AG1698" s="2">
        <f ca="1"/>
        <v>0.85099197336365062</v>
      </c>
      <c r="AH1698" s="2" t="str">
        <f ca="1"/>
        <v>Bad</v>
      </c>
    </row>
    <row r="1699" spans="2:34" x14ac:dyDescent="0.2">
      <c r="B1699" s="2">
        <f ca="1"/>
        <v>0.58437976197380381</v>
      </c>
      <c r="O1699" s="2">
        <f ca="1"/>
        <v>1.7278331576394435</v>
      </c>
      <c r="X1699" s="2">
        <f ca="1"/>
        <v>38.569368189994996</v>
      </c>
      <c r="AG1699" s="2">
        <f ca="1"/>
        <v>0.94100516646776766</v>
      </c>
      <c r="AH1699" s="2" t="str">
        <f ca="1"/>
        <v>Bad</v>
      </c>
    </row>
    <row r="1700" spans="2:34" x14ac:dyDescent="0.2">
      <c r="B1700" s="2">
        <f ca="1"/>
        <v>0.73276804632035253</v>
      </c>
      <c r="O1700" s="2">
        <f ca="1"/>
        <v>-0.45378321760369772</v>
      </c>
      <c r="X1700" s="2">
        <f ca="1"/>
        <v>47.008100104990149</v>
      </c>
      <c r="AG1700" s="2">
        <f ca="1"/>
        <v>0.95580486366859985</v>
      </c>
      <c r="AH1700" s="2" t="str">
        <f ca="1"/>
        <v>Bad</v>
      </c>
    </row>
    <row r="1701" spans="2:34" x14ac:dyDescent="0.2">
      <c r="B1701" s="2">
        <f ca="1"/>
        <v>0.54470447860458848</v>
      </c>
      <c r="O1701" s="2">
        <f ca="1"/>
        <v>0.33955716204068448</v>
      </c>
      <c r="X1701" s="2">
        <f ca="1"/>
        <v>37.550562767588126</v>
      </c>
      <c r="AG1701" s="2">
        <f ca="1"/>
        <v>0.72255657279288021</v>
      </c>
      <c r="AH1701" s="2" t="str">
        <f ca="1"/>
        <v>Bad</v>
      </c>
    </row>
    <row r="1702" spans="2:34" x14ac:dyDescent="0.2">
      <c r="B1702" s="2">
        <f ca="1"/>
        <v>0.94546481487163292</v>
      </c>
      <c r="O1702" s="2">
        <f ca="1"/>
        <v>0.27809707035500397</v>
      </c>
      <c r="X1702" s="2">
        <f ca="1"/>
        <v>42.037183687983877</v>
      </c>
      <c r="AG1702" s="2">
        <f ca="1"/>
        <v>0.12486101652266579</v>
      </c>
      <c r="AH1702" s="2" t="str">
        <f ca="1"/>
        <v>OK</v>
      </c>
    </row>
    <row r="1703" spans="2:34" x14ac:dyDescent="0.2">
      <c r="B1703" s="2">
        <f ca="1"/>
        <v>0.34231840334833796</v>
      </c>
      <c r="O1703" s="2">
        <f ca="1"/>
        <v>-3.5182338623282017E-2</v>
      </c>
      <c r="X1703" s="2">
        <f ca="1"/>
        <v>54.504308101203961</v>
      </c>
      <c r="AG1703" s="2">
        <f ca="1"/>
        <v>0.31831448621471248</v>
      </c>
      <c r="AH1703" s="2" t="str">
        <f ca="1"/>
        <v>OK</v>
      </c>
    </row>
    <row r="1704" spans="2:34" x14ac:dyDescent="0.2">
      <c r="B1704" s="2">
        <f ca="1"/>
        <v>0.45684595255997751</v>
      </c>
      <c r="O1704" s="2">
        <f ca="1"/>
        <v>-0.5292341937790408</v>
      </c>
      <c r="X1704" s="2">
        <f ca="1"/>
        <v>37.369451161271371</v>
      </c>
      <c r="AG1704" s="2">
        <f ca="1"/>
        <v>8.9388258425726619E-4</v>
      </c>
      <c r="AH1704" s="2" t="str">
        <f ca="1"/>
        <v>Good</v>
      </c>
    </row>
    <row r="1705" spans="2:34" x14ac:dyDescent="0.2">
      <c r="B1705" s="2">
        <f ca="1"/>
        <v>0.96517689177939747</v>
      </c>
      <c r="O1705" s="2">
        <f ca="1"/>
        <v>0.88668930661267986</v>
      </c>
      <c r="X1705" s="2">
        <f ca="1"/>
        <v>54.716746002312185</v>
      </c>
      <c r="AG1705" s="2">
        <f ca="1"/>
        <v>0.45988921079786071</v>
      </c>
      <c r="AH1705" s="2" t="str">
        <f ca="1"/>
        <v>Bad</v>
      </c>
    </row>
    <row r="1706" spans="2:34" x14ac:dyDescent="0.2">
      <c r="B1706" s="2">
        <f ca="1"/>
        <v>0.28499304946790649</v>
      </c>
      <c r="O1706" s="2">
        <f ca="1"/>
        <v>-0.46111832673000752</v>
      </c>
      <c r="X1706" s="2">
        <f ca="1"/>
        <v>52.422472585765732</v>
      </c>
      <c r="AG1706" s="2">
        <f ca="1"/>
        <v>0.8130130737691621</v>
      </c>
      <c r="AH1706" s="2" t="str">
        <f ca="1"/>
        <v>Bad</v>
      </c>
    </row>
    <row r="1707" spans="2:34" x14ac:dyDescent="0.2">
      <c r="B1707" s="2">
        <f ca="1"/>
        <v>0.58181919179286101</v>
      </c>
      <c r="O1707" s="2">
        <f ca="1"/>
        <v>-0.79349599939007875</v>
      </c>
      <c r="X1707" s="2">
        <f ca="1"/>
        <v>33.160013108367799</v>
      </c>
      <c r="AG1707" s="2">
        <f ca="1"/>
        <v>0.43828216026191136</v>
      </c>
      <c r="AH1707" s="2" t="str">
        <f ca="1"/>
        <v>Bad</v>
      </c>
    </row>
    <row r="1708" spans="2:34" x14ac:dyDescent="0.2">
      <c r="B1708" s="2">
        <f ca="1"/>
        <v>0.34986773156669559</v>
      </c>
      <c r="O1708" s="2">
        <f ca="1"/>
        <v>-0.58703074921287024</v>
      </c>
      <c r="X1708" s="2">
        <f ca="1"/>
        <v>26.265122123550761</v>
      </c>
      <c r="AG1708" s="2">
        <f ca="1"/>
        <v>0.4199173185738474</v>
      </c>
      <c r="AH1708" s="2" t="str">
        <f ca="1"/>
        <v>Bad</v>
      </c>
    </row>
    <row r="1709" spans="2:34" x14ac:dyDescent="0.2">
      <c r="B1709" s="2">
        <f ca="1"/>
        <v>0.63120288837390337</v>
      </c>
      <c r="O1709" s="2">
        <f ca="1"/>
        <v>-0.96228561206606589</v>
      </c>
      <c r="X1709" s="2">
        <f ca="1"/>
        <v>51.047815819374222</v>
      </c>
      <c r="AG1709" s="2">
        <f ca="1"/>
        <v>5.4975509043815762E-2</v>
      </c>
      <c r="AH1709" s="2" t="str">
        <f ca="1"/>
        <v>OK</v>
      </c>
    </row>
    <row r="1710" spans="2:34" x14ac:dyDescent="0.2">
      <c r="B1710" s="2">
        <f ca="1"/>
        <v>0.57826887853237241</v>
      </c>
      <c r="O1710" s="2">
        <f ca="1"/>
        <v>-0.82574588246641356</v>
      </c>
      <c r="X1710" s="2">
        <f ca="1"/>
        <v>62.470148685697247</v>
      </c>
      <c r="AG1710" s="2">
        <f ca="1"/>
        <v>0.82733897827982794</v>
      </c>
      <c r="AH1710" s="2" t="str">
        <f ca="1"/>
        <v>Bad</v>
      </c>
    </row>
    <row r="1711" spans="2:34" x14ac:dyDescent="0.2">
      <c r="B1711" s="2">
        <f ca="1"/>
        <v>0.80297868823280782</v>
      </c>
      <c r="O1711" s="2">
        <f ca="1"/>
        <v>0.64459095941896571</v>
      </c>
      <c r="X1711" s="2">
        <f ca="1"/>
        <v>45.960092107070039</v>
      </c>
      <c r="AG1711" s="2">
        <f ca="1"/>
        <v>0.17933851583554627</v>
      </c>
      <c r="AH1711" s="2" t="str">
        <f ca="1"/>
        <v>OK</v>
      </c>
    </row>
    <row r="1712" spans="2:34" x14ac:dyDescent="0.2">
      <c r="B1712" s="2">
        <f ca="1"/>
        <v>0.72059750658739063</v>
      </c>
      <c r="O1712" s="2">
        <f ca="1"/>
        <v>-0.57344337857130234</v>
      </c>
      <c r="X1712" s="2">
        <f ca="1"/>
        <v>46.547949876156991</v>
      </c>
      <c r="AG1712" s="2">
        <f ca="1"/>
        <v>9.8050499131110858E-2</v>
      </c>
      <c r="AH1712" s="2" t="str">
        <f ca="1"/>
        <v>OK</v>
      </c>
    </row>
    <row r="1713" spans="2:34" x14ac:dyDescent="0.2">
      <c r="B1713" s="2">
        <f ca="1"/>
        <v>0.23681768698090866</v>
      </c>
      <c r="O1713" s="2">
        <f ca="1"/>
        <v>-0.89961435959869018</v>
      </c>
      <c r="X1713" s="2">
        <f ca="1"/>
        <v>40.740866716995967</v>
      </c>
      <c r="AG1713" s="2">
        <f ca="1"/>
        <v>8.8573960315733613E-2</v>
      </c>
      <c r="AH1713" s="2" t="str">
        <f ca="1"/>
        <v>OK</v>
      </c>
    </row>
    <row r="1714" spans="2:34" x14ac:dyDescent="0.2">
      <c r="B1714" s="2">
        <f ca="1"/>
        <v>0.37022800672702827</v>
      </c>
      <c r="O1714" s="2">
        <f ca="1"/>
        <v>0.56096750025014697</v>
      </c>
      <c r="X1714" s="2">
        <f ca="1"/>
        <v>21.511999066470416</v>
      </c>
      <c r="AG1714" s="2">
        <f ca="1"/>
        <v>0.77487620454009121</v>
      </c>
      <c r="AH1714" s="2" t="str">
        <f ca="1"/>
        <v>Bad</v>
      </c>
    </row>
    <row r="1715" spans="2:34" x14ac:dyDescent="0.2">
      <c r="B1715" s="2">
        <f ca="1"/>
        <v>2.2861096443809181E-3</v>
      </c>
      <c r="O1715" s="2">
        <f ca="1"/>
        <v>0.53200321510662307</v>
      </c>
      <c r="X1715" s="2">
        <f ca="1"/>
        <v>38.874974597618802</v>
      </c>
      <c r="AG1715" s="2">
        <f ca="1"/>
        <v>0.55867713744606573</v>
      </c>
      <c r="AH1715" s="2" t="str">
        <f ca="1"/>
        <v>Bad</v>
      </c>
    </row>
    <row r="1716" spans="2:34" x14ac:dyDescent="0.2">
      <c r="B1716" s="2">
        <f ca="1"/>
        <v>0.58099603072059969</v>
      </c>
      <c r="O1716" s="2">
        <f ca="1"/>
        <v>-0.32650867739032668</v>
      </c>
      <c r="X1716" s="2">
        <f ca="1"/>
        <v>53.3539489691791</v>
      </c>
      <c r="AG1716" s="2">
        <f ca="1"/>
        <v>0.68723643253259192</v>
      </c>
      <c r="AH1716" s="2" t="str">
        <f ca="1"/>
        <v>Bad</v>
      </c>
    </row>
    <row r="1717" spans="2:34" x14ac:dyDescent="0.2">
      <c r="B1717" s="2">
        <f ca="1"/>
        <v>0.71763034619906896</v>
      </c>
      <c r="O1717" s="2">
        <f ca="1"/>
        <v>1.763307346300115</v>
      </c>
      <c r="X1717" s="2">
        <f ca="1"/>
        <v>57.378996421560501</v>
      </c>
      <c r="AG1717" s="2">
        <f ca="1"/>
        <v>0.27953930638075275</v>
      </c>
      <c r="AH1717" s="2" t="str">
        <f ca="1"/>
        <v>OK</v>
      </c>
    </row>
    <row r="1718" spans="2:34" x14ac:dyDescent="0.2">
      <c r="B1718" s="2">
        <f ca="1"/>
        <v>0.2176796780258774</v>
      </c>
      <c r="O1718" s="2">
        <f ca="1"/>
        <v>-0.36089426514235445</v>
      </c>
      <c r="X1718" s="2">
        <f ca="1"/>
        <v>27.215365158141719</v>
      </c>
      <c r="AG1718" s="2">
        <f ca="1"/>
        <v>0.2384368549690794</v>
      </c>
      <c r="AH1718" s="2" t="str">
        <f ca="1"/>
        <v>OK</v>
      </c>
    </row>
    <row r="1719" spans="2:34" x14ac:dyDescent="0.2">
      <c r="B1719" s="2">
        <f ca="1"/>
        <v>0.34444696330493541</v>
      </c>
      <c r="O1719" s="2">
        <f ca="1"/>
        <v>-0.69541881718751741</v>
      </c>
      <c r="X1719" s="2">
        <f ca="1"/>
        <v>40.383002490160791</v>
      </c>
      <c r="AG1719" s="2">
        <f ca="1"/>
        <v>0.91042257903250445</v>
      </c>
      <c r="AH1719" s="2" t="str">
        <f ca="1"/>
        <v>Bad</v>
      </c>
    </row>
    <row r="1720" spans="2:34" x14ac:dyDescent="0.2">
      <c r="B1720" s="2">
        <f ca="1"/>
        <v>0.69403222585643709</v>
      </c>
      <c r="O1720" s="2">
        <f ca="1"/>
        <v>1.526942160803598</v>
      </c>
      <c r="X1720" s="2">
        <f ca="1"/>
        <v>38.46086640130742</v>
      </c>
      <c r="AG1720" s="2">
        <f ca="1"/>
        <v>0.69120890312249217</v>
      </c>
      <c r="AH1720" s="2" t="str">
        <f ca="1"/>
        <v>Bad</v>
      </c>
    </row>
    <row r="1721" spans="2:34" x14ac:dyDescent="0.2">
      <c r="B1721" s="2">
        <f ca="1"/>
        <v>0.35951791738633254</v>
      </c>
      <c r="O1721" s="2">
        <f ca="1"/>
        <v>0.82915641410580054</v>
      </c>
      <c r="X1721" s="2">
        <f ca="1"/>
        <v>40.974178881462905</v>
      </c>
      <c r="AG1721" s="2">
        <f ca="1"/>
        <v>0.4065232977670441</v>
      </c>
      <c r="AH1721" s="2" t="str">
        <f ca="1"/>
        <v>Bad</v>
      </c>
    </row>
    <row r="1722" spans="2:34" x14ac:dyDescent="0.2">
      <c r="B1722" s="2">
        <f ca="1"/>
        <v>0.3666166744004915</v>
      </c>
      <c r="O1722" s="2">
        <f ca="1"/>
        <v>-0.87708595490600827</v>
      </c>
      <c r="X1722" s="2">
        <f ca="1"/>
        <v>63.381735780131521</v>
      </c>
      <c r="AG1722" s="2">
        <f ca="1"/>
        <v>0.55592722092907687</v>
      </c>
      <c r="AH1722" s="2" t="str">
        <f ca="1"/>
        <v>Bad</v>
      </c>
    </row>
    <row r="1723" spans="2:34" x14ac:dyDescent="0.2">
      <c r="B1723" s="2">
        <f ca="1"/>
        <v>0.85448591912736149</v>
      </c>
      <c r="O1723" s="2">
        <f ca="1"/>
        <v>-0.78560729277106223</v>
      </c>
      <c r="X1723" s="2">
        <f ca="1"/>
        <v>86.392523117317808</v>
      </c>
      <c r="AG1723" s="2">
        <f ca="1"/>
        <v>0.10241650441665362</v>
      </c>
      <c r="AH1723" s="2" t="str">
        <f ca="1"/>
        <v>OK</v>
      </c>
    </row>
    <row r="1724" spans="2:34" x14ac:dyDescent="0.2">
      <c r="B1724" s="2">
        <f ca="1"/>
        <v>0.85208705602284751</v>
      </c>
      <c r="O1724" s="2">
        <f ca="1"/>
        <v>0.13141694444290236</v>
      </c>
      <c r="X1724" s="2">
        <f ca="1"/>
        <v>33.474866152021818</v>
      </c>
      <c r="AG1724" s="2">
        <f ca="1"/>
        <v>0.43225670185576259</v>
      </c>
      <c r="AH1724" s="2" t="str">
        <f ca="1"/>
        <v>Bad</v>
      </c>
    </row>
    <row r="1725" spans="2:34" x14ac:dyDescent="0.2">
      <c r="B1725" s="2">
        <f ca="1"/>
        <v>0.39697819696797887</v>
      </c>
      <c r="O1725" s="2">
        <f ca="1"/>
        <v>0.1556906720200211</v>
      </c>
      <c r="X1725" s="2">
        <f ca="1"/>
        <v>33.518472540704273</v>
      </c>
      <c r="AG1725" s="2">
        <f ca="1"/>
        <v>0.66074276512071117</v>
      </c>
      <c r="AH1725" s="2" t="str">
        <f ca="1"/>
        <v>Bad</v>
      </c>
    </row>
    <row r="1726" spans="2:34" x14ac:dyDescent="0.2">
      <c r="B1726" s="2">
        <f ca="1"/>
        <v>0.24388104253054599</v>
      </c>
      <c r="O1726" s="2">
        <f ca="1"/>
        <v>0.82374495974777873</v>
      </c>
      <c r="X1726" s="2">
        <f ca="1"/>
        <v>27.806885011580746</v>
      </c>
      <c r="AG1726" s="2">
        <f ca="1"/>
        <v>0.37901397517946367</v>
      </c>
      <c r="AH1726" s="2" t="str">
        <f ca="1"/>
        <v>OK</v>
      </c>
    </row>
    <row r="1727" spans="2:34" x14ac:dyDescent="0.2">
      <c r="B1727" s="2">
        <f ca="1"/>
        <v>0.34207547425467455</v>
      </c>
      <c r="O1727" s="2">
        <f ca="1"/>
        <v>-0.21424687347814328</v>
      </c>
      <c r="X1727" s="2">
        <f ca="1"/>
        <v>54.464555875901524</v>
      </c>
      <c r="AG1727" s="2">
        <f ca="1"/>
        <v>9.9489303530424511E-2</v>
      </c>
      <c r="AH1727" s="2" t="str">
        <f ca="1"/>
        <v>OK</v>
      </c>
    </row>
    <row r="1728" spans="2:34" x14ac:dyDescent="0.2">
      <c r="B1728" s="2">
        <f ca="1"/>
        <v>0.61459425259051703</v>
      </c>
      <c r="O1728" s="2">
        <f ca="1"/>
        <v>-0.62187679134340568</v>
      </c>
      <c r="X1728" s="2">
        <f ca="1"/>
        <v>62.629369364024726</v>
      </c>
      <c r="AG1728" s="2">
        <f ca="1"/>
        <v>0.26311636769923563</v>
      </c>
      <c r="AH1728" s="2" t="str">
        <f ca="1"/>
        <v>OK</v>
      </c>
    </row>
    <row r="1729" spans="2:34" x14ac:dyDescent="0.2">
      <c r="B1729" s="2">
        <f ca="1"/>
        <v>0.79206371250496255</v>
      </c>
      <c r="O1729" s="2">
        <f ca="1"/>
        <v>0.90952975086492538</v>
      </c>
      <c r="X1729" s="2">
        <f ca="1"/>
        <v>42.888280629681532</v>
      </c>
      <c r="AG1729" s="2">
        <f ca="1"/>
        <v>0.23529652375001531</v>
      </c>
      <c r="AH1729" s="2" t="str">
        <f ca="1"/>
        <v>OK</v>
      </c>
    </row>
    <row r="1730" spans="2:34" x14ac:dyDescent="0.2">
      <c r="B1730" s="2">
        <f ca="1"/>
        <v>0.86300356044024684</v>
      </c>
      <c r="O1730" s="2">
        <f ca="1"/>
        <v>0.42405135627067037</v>
      </c>
      <c r="X1730" s="2">
        <f ca="1"/>
        <v>32.566369427205963</v>
      </c>
      <c r="AG1730" s="2">
        <f ca="1"/>
        <v>0.68440195011482152</v>
      </c>
      <c r="AH1730" s="2" t="str">
        <f ca="1"/>
        <v>Bad</v>
      </c>
    </row>
    <row r="1731" spans="2:34" x14ac:dyDescent="0.2">
      <c r="B1731" s="2">
        <f ca="1"/>
        <v>0.52578677748808533</v>
      </c>
      <c r="O1731" s="2">
        <f ca="1"/>
        <v>0.21113917439184723</v>
      </c>
      <c r="X1731" s="2">
        <f ca="1"/>
        <v>55.534405290428893</v>
      </c>
      <c r="AG1731" s="2">
        <f ca="1"/>
        <v>0.38650944597686099</v>
      </c>
      <c r="AH1731" s="2" t="str">
        <f ca="1"/>
        <v>OK</v>
      </c>
    </row>
    <row r="1732" spans="2:34" x14ac:dyDescent="0.2">
      <c r="B1732" s="2">
        <f ca="1"/>
        <v>0.72229156173034115</v>
      </c>
      <c r="O1732" s="2">
        <f ca="1"/>
        <v>0.74526399655570308</v>
      </c>
      <c r="X1732" s="2">
        <f ca="1"/>
        <v>55.603478044962714</v>
      </c>
      <c r="AG1732" s="2">
        <f ca="1"/>
        <v>0.6067949663616361</v>
      </c>
      <c r="AH1732" s="2" t="str">
        <f ca="1"/>
        <v>Bad</v>
      </c>
    </row>
    <row r="1733" spans="2:34" x14ac:dyDescent="0.2">
      <c r="B1733" s="2">
        <f ca="1"/>
        <v>0.25918205062367949</v>
      </c>
      <c r="O1733" s="2">
        <f ca="1"/>
        <v>-0.90230141737304881</v>
      </c>
      <c r="X1733" s="2">
        <f ca="1"/>
        <v>77.195795367568223</v>
      </c>
      <c r="AG1733" s="2">
        <f ca="1"/>
        <v>0.59706084594821229</v>
      </c>
      <c r="AH1733" s="2" t="str">
        <f ca="1"/>
        <v>Bad</v>
      </c>
    </row>
    <row r="1734" spans="2:34" x14ac:dyDescent="0.2">
      <c r="B1734" s="2">
        <f ca="1"/>
        <v>0.97987967965910094</v>
      </c>
      <c r="O1734" s="2">
        <f ca="1"/>
        <v>-1.2090092327541988</v>
      </c>
      <c r="X1734" s="2">
        <f ca="1"/>
        <v>65.847552392055718</v>
      </c>
      <c r="AG1734" s="2">
        <f ca="1"/>
        <v>0.20875822114124465</v>
      </c>
      <c r="AH1734" s="2" t="str">
        <f ca="1"/>
        <v>OK</v>
      </c>
    </row>
    <row r="1735" spans="2:34" x14ac:dyDescent="0.2">
      <c r="B1735" s="2">
        <f ca="1"/>
        <v>0.65983790102958251</v>
      </c>
      <c r="O1735" s="2">
        <f ca="1"/>
        <v>0.96619487805962723</v>
      </c>
      <c r="X1735" s="2">
        <f ca="1"/>
        <v>35.788477839903017</v>
      </c>
      <c r="AG1735" s="2">
        <f ca="1"/>
        <v>0.12355246941062248</v>
      </c>
      <c r="AH1735" s="2" t="str">
        <f ca="1"/>
        <v>OK</v>
      </c>
    </row>
    <row r="1736" spans="2:34" x14ac:dyDescent="0.2">
      <c r="B1736" s="2">
        <f ca="1"/>
        <v>5.1878968543925819E-2</v>
      </c>
      <c r="O1736" s="2">
        <f ca="1"/>
        <v>0.37592974256942252</v>
      </c>
      <c r="X1736" s="2">
        <f ca="1"/>
        <v>79.05222817928086</v>
      </c>
      <c r="AG1736" s="2">
        <f ca="1"/>
        <v>0.61926287231674504</v>
      </c>
      <c r="AH1736" s="2" t="str">
        <f ca="1"/>
        <v>Bad</v>
      </c>
    </row>
    <row r="1737" spans="2:34" x14ac:dyDescent="0.2">
      <c r="B1737" s="2">
        <f ca="1"/>
        <v>0.55134330723005376</v>
      </c>
      <c r="O1737" s="2">
        <f ca="1"/>
        <v>-0.2308919144843809</v>
      </c>
      <c r="X1737" s="2">
        <f ca="1"/>
        <v>32.080709408185463</v>
      </c>
      <c r="AG1737" s="2">
        <f ca="1"/>
        <v>0.48533086365893752</v>
      </c>
      <c r="AH1737" s="2" t="str">
        <f ca="1"/>
        <v>Bad</v>
      </c>
    </row>
    <row r="1738" spans="2:34" x14ac:dyDescent="0.2">
      <c r="B1738" s="2">
        <f ca="1"/>
        <v>0.42272462954287393</v>
      </c>
      <c r="O1738" s="2">
        <f ca="1"/>
        <v>-0.86946236436293411</v>
      </c>
      <c r="X1738" s="2">
        <f ca="1"/>
        <v>65.319197613240576</v>
      </c>
      <c r="AG1738" s="2">
        <f ca="1"/>
        <v>0.72170605393070186</v>
      </c>
      <c r="AH1738" s="2" t="str">
        <f ca="1"/>
        <v>Bad</v>
      </c>
    </row>
    <row r="1739" spans="2:34" x14ac:dyDescent="0.2">
      <c r="B1739" s="2">
        <f ca="1"/>
        <v>0.69925595401061291</v>
      </c>
      <c r="O1739" s="2">
        <f ca="1"/>
        <v>-0.94974773475385543</v>
      </c>
      <c r="X1739" s="2">
        <f ca="1"/>
        <v>61.080890640031129</v>
      </c>
      <c r="AG1739" s="2">
        <f ca="1"/>
        <v>0.69376138373598417</v>
      </c>
      <c r="AH1739" s="2" t="str">
        <f ca="1"/>
        <v>Bad</v>
      </c>
    </row>
    <row r="1740" spans="2:34" x14ac:dyDescent="0.2">
      <c r="B1740" s="2">
        <f ca="1"/>
        <v>0.4063441796169871</v>
      </c>
      <c r="O1740" s="2">
        <f ca="1"/>
        <v>0.14175279086912804</v>
      </c>
      <c r="X1740" s="2">
        <f ca="1"/>
        <v>49.616823048504735</v>
      </c>
      <c r="AG1740" s="2">
        <f ca="1"/>
        <v>4.2078214936088543E-2</v>
      </c>
      <c r="AH1740" s="2" t="str">
        <f ca="1"/>
        <v>Good</v>
      </c>
    </row>
    <row r="1741" spans="2:34" x14ac:dyDescent="0.2">
      <c r="B1741" s="2">
        <f ca="1"/>
        <v>5.5683047093403548E-2</v>
      </c>
      <c r="O1741" s="2">
        <f ca="1"/>
        <v>0.81751429347727578</v>
      </c>
      <c r="X1741" s="2">
        <f ca="1"/>
        <v>66.470363556007953</v>
      </c>
      <c r="AG1741" s="2">
        <f ca="1"/>
        <v>0.7710967714894339</v>
      </c>
      <c r="AH1741" s="2" t="str">
        <f ca="1"/>
        <v>Bad</v>
      </c>
    </row>
    <row r="1742" spans="2:34" x14ac:dyDescent="0.2">
      <c r="B1742" s="2">
        <f ca="1"/>
        <v>0.51749759899213466</v>
      </c>
      <c r="O1742" s="2">
        <f ca="1"/>
        <v>2.4522733493431443E-2</v>
      </c>
      <c r="X1742" s="2">
        <f ca="1"/>
        <v>41.904883235305178</v>
      </c>
      <c r="AG1742" s="2">
        <f ca="1"/>
        <v>0.47327946314524083</v>
      </c>
      <c r="AH1742" s="2" t="str">
        <f ca="1"/>
        <v>Bad</v>
      </c>
    </row>
    <row r="1743" spans="2:34" x14ac:dyDescent="0.2">
      <c r="B1743" s="2">
        <f ca="1"/>
        <v>0.29045783885650578</v>
      </c>
      <c r="O1743" s="2">
        <f ca="1"/>
        <v>-0.44634406309079261</v>
      </c>
      <c r="X1743" s="2">
        <f ca="1"/>
        <v>37.013610659130457</v>
      </c>
      <c r="AG1743" s="2">
        <f ca="1"/>
        <v>0.23615430659863379</v>
      </c>
      <c r="AH1743" s="2" t="str">
        <f ca="1"/>
        <v>OK</v>
      </c>
    </row>
    <row r="1744" spans="2:34" x14ac:dyDescent="0.2">
      <c r="B1744" s="2">
        <f ca="1"/>
        <v>5.8455484695053128E-2</v>
      </c>
      <c r="O1744" s="2">
        <f ca="1"/>
        <v>-0.69376966687443675</v>
      </c>
      <c r="X1744" s="2">
        <f ca="1"/>
        <v>63.192612315494756</v>
      </c>
      <c r="AG1744" s="2">
        <f ca="1"/>
        <v>0.23097721916808389</v>
      </c>
      <c r="AH1744" s="2" t="str">
        <f ca="1"/>
        <v>OK</v>
      </c>
    </row>
    <row r="1745" spans="2:34" x14ac:dyDescent="0.2">
      <c r="B1745" s="2">
        <f ca="1"/>
        <v>0.72389154516003829</v>
      </c>
      <c r="O1745" s="2">
        <f ca="1"/>
        <v>0.36142114519084795</v>
      </c>
      <c r="X1745" s="2">
        <f ca="1"/>
        <v>59.011909169086323</v>
      </c>
      <c r="AG1745" s="2">
        <f ca="1"/>
        <v>0.43727153302266419</v>
      </c>
      <c r="AH1745" s="2" t="str">
        <f ca="1"/>
        <v>Bad</v>
      </c>
    </row>
    <row r="1746" spans="2:34" x14ac:dyDescent="0.2">
      <c r="B1746" s="2">
        <f ca="1"/>
        <v>2.4183609582841825E-3</v>
      </c>
      <c r="O1746" s="2">
        <f ca="1"/>
        <v>0.17182166932617762</v>
      </c>
      <c r="X1746" s="2">
        <f ca="1"/>
        <v>45.062570025725954</v>
      </c>
      <c r="AG1746" s="2">
        <f ca="1"/>
        <v>0.95780052244805658</v>
      </c>
      <c r="AH1746" s="2" t="str">
        <f ca="1"/>
        <v>Bad</v>
      </c>
    </row>
    <row r="1747" spans="2:34" x14ac:dyDescent="0.2">
      <c r="B1747" s="2">
        <f ca="1"/>
        <v>0.83295931110470045</v>
      </c>
      <c r="O1747" s="2">
        <f ca="1"/>
        <v>2.0187488332235288</v>
      </c>
      <c r="X1747" s="2">
        <f ca="1"/>
        <v>35.180699889405517</v>
      </c>
      <c r="AG1747" s="2">
        <f ca="1"/>
        <v>0.93376277013546249</v>
      </c>
      <c r="AH1747" s="2" t="str">
        <f ca="1"/>
        <v>Bad</v>
      </c>
    </row>
    <row r="1748" spans="2:34" x14ac:dyDescent="0.2">
      <c r="B1748" s="2">
        <f ca="1"/>
        <v>0.32585156212621702</v>
      </c>
      <c r="O1748" s="2">
        <f ca="1"/>
        <v>1.2843560414036259</v>
      </c>
      <c r="X1748" s="2">
        <f ca="1"/>
        <v>21.474338683522571</v>
      </c>
      <c r="AG1748" s="2">
        <f ca="1"/>
        <v>0.3113858944170711</v>
      </c>
      <c r="AH1748" s="2" t="str">
        <f ca="1"/>
        <v>OK</v>
      </c>
    </row>
    <row r="1749" spans="2:34" x14ac:dyDescent="0.2">
      <c r="B1749" s="2">
        <f ca="1"/>
        <v>0.8465128045845165</v>
      </c>
      <c r="O1749" s="2">
        <f ca="1"/>
        <v>-0.25710363377992224</v>
      </c>
      <c r="X1749" s="2">
        <f ca="1"/>
        <v>62.920800466418633</v>
      </c>
      <c r="AG1749" s="2">
        <f ca="1"/>
        <v>0.93418285254669509</v>
      </c>
      <c r="AH1749" s="2" t="str">
        <f ca="1"/>
        <v>Bad</v>
      </c>
    </row>
    <row r="1750" spans="2:34" x14ac:dyDescent="0.2">
      <c r="B1750" s="2">
        <f ca="1"/>
        <v>0.57897125016513207</v>
      </c>
      <c r="O1750" s="2">
        <f ca="1"/>
        <v>-1.0929821357294391</v>
      </c>
      <c r="X1750" s="2">
        <f ca="1"/>
        <v>49.189862475972497</v>
      </c>
      <c r="AG1750" s="2">
        <f ca="1"/>
        <v>0.8973225063484962</v>
      </c>
      <c r="AH1750" s="2" t="str">
        <f ca="1"/>
        <v>Bad</v>
      </c>
    </row>
    <row r="1751" spans="2:34" x14ac:dyDescent="0.2">
      <c r="B1751" s="2">
        <f ca="1"/>
        <v>0.25192284240657048</v>
      </c>
      <c r="O1751" s="2">
        <f ca="1"/>
        <v>0.1602282436989996</v>
      </c>
      <c r="X1751" s="2">
        <f ca="1"/>
        <v>51.090565746450679</v>
      </c>
      <c r="AG1751" s="2">
        <f ca="1"/>
        <v>0.21271673592293983</v>
      </c>
      <c r="AH1751" s="2" t="str">
        <f ca="1"/>
        <v>OK</v>
      </c>
    </row>
    <row r="1752" spans="2:34" x14ac:dyDescent="0.2">
      <c r="B1752" s="2">
        <f ca="1"/>
        <v>5.9675725110130307E-2</v>
      </c>
      <c r="O1752" s="2">
        <f ca="1"/>
        <v>-0.24407483680383674</v>
      </c>
      <c r="X1752" s="2">
        <f ca="1"/>
        <v>33.458075770442612</v>
      </c>
      <c r="AG1752" s="2">
        <f ca="1"/>
        <v>0.86922399872171208</v>
      </c>
      <c r="AH1752" s="2" t="str">
        <f ca="1"/>
        <v>Bad</v>
      </c>
    </row>
    <row r="1753" spans="2:34" x14ac:dyDescent="0.2">
      <c r="B1753" s="2">
        <f ca="1"/>
        <v>0.7429901139393571</v>
      </c>
      <c r="O1753" s="2">
        <f ca="1"/>
        <v>-0.62404875793748504</v>
      </c>
      <c r="X1753" s="2">
        <f ca="1"/>
        <v>37.745896164188359</v>
      </c>
      <c r="AG1753" s="2">
        <f ca="1"/>
        <v>0.96037196632381527</v>
      </c>
      <c r="AH1753" s="2" t="str">
        <f ca="1"/>
        <v>Bad</v>
      </c>
    </row>
    <row r="1754" spans="2:34" x14ac:dyDescent="0.2">
      <c r="B1754" s="2">
        <f ca="1"/>
        <v>0.19049739568220692</v>
      </c>
      <c r="O1754" s="2">
        <f ca="1"/>
        <v>0.96517466860258727</v>
      </c>
      <c r="X1754" s="2">
        <f ca="1"/>
        <v>84.70093184283904</v>
      </c>
      <c r="AG1754" s="2">
        <f ca="1"/>
        <v>0.91083486107146716</v>
      </c>
      <c r="AH1754" s="2" t="str">
        <f ca="1"/>
        <v>Bad</v>
      </c>
    </row>
    <row r="1755" spans="2:34" x14ac:dyDescent="0.2">
      <c r="B1755" s="2">
        <f ca="1"/>
        <v>0.15411128433354637</v>
      </c>
      <c r="O1755" s="2">
        <f ca="1"/>
        <v>0.22733389560696768</v>
      </c>
      <c r="X1755" s="2">
        <f ca="1"/>
        <v>53.307270014890172</v>
      </c>
      <c r="AG1755" s="2">
        <f ca="1"/>
        <v>0.70973539343966774</v>
      </c>
      <c r="AH1755" s="2" t="str">
        <f ca="1"/>
        <v>Bad</v>
      </c>
    </row>
    <row r="1756" spans="2:34" x14ac:dyDescent="0.2">
      <c r="B1756" s="2">
        <f ca="1"/>
        <v>0.89256242779882222</v>
      </c>
      <c r="O1756" s="2">
        <f ca="1"/>
        <v>-0.25693219830445185</v>
      </c>
      <c r="X1756" s="2">
        <f ca="1"/>
        <v>45.398024098806495</v>
      </c>
      <c r="AG1756" s="2">
        <f ca="1"/>
        <v>2.5513012726276152E-2</v>
      </c>
      <c r="AH1756" s="2" t="str">
        <f ca="1"/>
        <v>Good</v>
      </c>
    </row>
    <row r="1757" spans="2:34" x14ac:dyDescent="0.2">
      <c r="B1757" s="2">
        <f ca="1"/>
        <v>3.2118137877354958E-2</v>
      </c>
      <c r="O1757" s="2">
        <f ca="1"/>
        <v>-9.360004810152861E-2</v>
      </c>
      <c r="X1757" s="2">
        <f ca="1"/>
        <v>54.101686244672244</v>
      </c>
      <c r="AG1757" s="2">
        <f ca="1"/>
        <v>2.8876452875115977E-2</v>
      </c>
      <c r="AH1757" s="2" t="str">
        <f ca="1"/>
        <v>Good</v>
      </c>
    </row>
    <row r="1758" spans="2:34" x14ac:dyDescent="0.2">
      <c r="B1758" s="2">
        <f ca="1"/>
        <v>0.25108320690413688</v>
      </c>
      <c r="O1758" s="2">
        <f ca="1"/>
        <v>-1.57031426605671</v>
      </c>
      <c r="X1758" s="2">
        <f ca="1"/>
        <v>28.191389400704153</v>
      </c>
      <c r="AG1758" s="2">
        <f ca="1"/>
        <v>0.42103986982053732</v>
      </c>
      <c r="AH1758" s="2" t="str">
        <f ca="1"/>
        <v>Bad</v>
      </c>
    </row>
    <row r="1759" spans="2:34" x14ac:dyDescent="0.2">
      <c r="B1759" s="2">
        <f ca="1"/>
        <v>0.81442798895873625</v>
      </c>
      <c r="O1759" s="2">
        <f ca="1"/>
        <v>0.31082804723345153</v>
      </c>
      <c r="X1759" s="2">
        <f ca="1"/>
        <v>49.029514143116195</v>
      </c>
      <c r="AG1759" s="2">
        <f ca="1"/>
        <v>0.79763619434927491</v>
      </c>
      <c r="AH1759" s="2" t="str">
        <f ca="1"/>
        <v>Bad</v>
      </c>
    </row>
    <row r="1760" spans="2:34" x14ac:dyDescent="0.2">
      <c r="B1760" s="2">
        <f ca="1"/>
        <v>0.95582926952127778</v>
      </c>
      <c r="O1760" s="2">
        <f ca="1"/>
        <v>0.63002771758218556</v>
      </c>
      <c r="X1760" s="2">
        <f ca="1"/>
        <v>47.607535330020895</v>
      </c>
      <c r="AG1760" s="2">
        <f ca="1"/>
        <v>0.67684836241080726</v>
      </c>
      <c r="AH1760" s="2" t="str">
        <f ca="1"/>
        <v>Bad</v>
      </c>
    </row>
    <row r="1761" spans="2:34" x14ac:dyDescent="0.2">
      <c r="B1761" s="2">
        <f ca="1"/>
        <v>0.85436351485675388</v>
      </c>
      <c r="O1761" s="2">
        <f ca="1"/>
        <v>0.45589293805981601</v>
      </c>
      <c r="X1761" s="2">
        <f ca="1"/>
        <v>44.437978265383933</v>
      </c>
      <c r="AG1761" s="2">
        <f ca="1"/>
        <v>0.30235808159544297</v>
      </c>
      <c r="AH1761" s="2" t="str">
        <f ca="1"/>
        <v>OK</v>
      </c>
    </row>
    <row r="1762" spans="2:34" x14ac:dyDescent="0.2">
      <c r="B1762" s="2">
        <f ca="1"/>
        <v>0.31650302752901949</v>
      </c>
      <c r="O1762" s="2">
        <f ca="1"/>
        <v>-7.0840239775683489E-2</v>
      </c>
      <c r="X1762" s="2">
        <f ca="1"/>
        <v>40.222688068473417</v>
      </c>
      <c r="AG1762" s="2">
        <f ca="1"/>
        <v>0.81283224422086642</v>
      </c>
      <c r="AH1762" s="2" t="str">
        <f ca="1"/>
        <v>Bad</v>
      </c>
    </row>
    <row r="1763" spans="2:34" x14ac:dyDescent="0.2">
      <c r="B1763" s="2">
        <f ca="1"/>
        <v>0.31164347444481955</v>
      </c>
      <c r="O1763" s="2">
        <f ca="1"/>
        <v>-0.82139279770009743</v>
      </c>
      <c r="X1763" s="2">
        <f ca="1"/>
        <v>56.357869604290599</v>
      </c>
      <c r="AG1763" s="2">
        <f ca="1"/>
        <v>0.92012139153627071</v>
      </c>
      <c r="AH1763" s="2" t="str">
        <f ca="1"/>
        <v>Bad</v>
      </c>
    </row>
    <row r="1764" spans="2:34" x14ac:dyDescent="0.2">
      <c r="B1764" s="2">
        <f ca="1"/>
        <v>0.31654550198288889</v>
      </c>
      <c r="O1764" s="2">
        <f ca="1"/>
        <v>-1.2160885902568674</v>
      </c>
      <c r="X1764" s="2">
        <f ca="1"/>
        <v>25.234617398178859</v>
      </c>
      <c r="AG1764" s="2">
        <f ca="1"/>
        <v>4.2040923105886918E-2</v>
      </c>
      <c r="AH1764" s="2" t="str">
        <f ca="1"/>
        <v>Good</v>
      </c>
    </row>
    <row r="1765" spans="2:34" x14ac:dyDescent="0.2">
      <c r="B1765" s="2">
        <f ca="1"/>
        <v>0.29915018068758736</v>
      </c>
      <c r="O1765" s="2">
        <f ca="1"/>
        <v>-8.894605260400669E-2</v>
      </c>
      <c r="X1765" s="2">
        <f ca="1"/>
        <v>36.008499480782461</v>
      </c>
      <c r="AG1765" s="2">
        <f ca="1"/>
        <v>0.53782470768690493</v>
      </c>
      <c r="AH1765" s="2" t="str">
        <f ca="1"/>
        <v>Bad</v>
      </c>
    </row>
    <row r="1766" spans="2:34" x14ac:dyDescent="0.2">
      <c r="B1766" s="2">
        <f ca="1"/>
        <v>0.44704174596112645</v>
      </c>
      <c r="O1766" s="2">
        <f ca="1"/>
        <v>0.78248510397350757</v>
      </c>
      <c r="X1766" s="2">
        <f ca="1"/>
        <v>45.326229035844328</v>
      </c>
      <c r="AG1766" s="2">
        <f ca="1"/>
        <v>0.3765861171640259</v>
      </c>
      <c r="AH1766" s="2" t="str">
        <f ca="1"/>
        <v>OK</v>
      </c>
    </row>
    <row r="1767" spans="2:34" x14ac:dyDescent="0.2">
      <c r="B1767" s="2">
        <f ca="1"/>
        <v>0.5302450215940484</v>
      </c>
      <c r="O1767" s="2">
        <f ca="1"/>
        <v>-6.0604266658948309E-2</v>
      </c>
      <c r="X1767" s="2">
        <f ca="1"/>
        <v>42.278955291486625</v>
      </c>
      <c r="AG1767" s="2">
        <f ca="1"/>
        <v>0.51948222869961236</v>
      </c>
      <c r="AH1767" s="2" t="str">
        <f ca="1"/>
        <v>Bad</v>
      </c>
    </row>
    <row r="1768" spans="2:34" x14ac:dyDescent="0.2">
      <c r="B1768" s="2">
        <f ca="1"/>
        <v>0.26023655840942173</v>
      </c>
      <c r="O1768" s="2">
        <f ca="1"/>
        <v>-1.0074348932053232</v>
      </c>
      <c r="X1768" s="2">
        <f ca="1"/>
        <v>80.579721527049657</v>
      </c>
      <c r="AG1768" s="2">
        <f ca="1"/>
        <v>0.8301194905421696</v>
      </c>
      <c r="AH1768" s="2" t="str">
        <f ca="1"/>
        <v>Bad</v>
      </c>
    </row>
    <row r="1769" spans="2:34" x14ac:dyDescent="0.2">
      <c r="B1769" s="2">
        <f ca="1"/>
        <v>0.43301597279984794</v>
      </c>
      <c r="O1769" s="2">
        <f ca="1"/>
        <v>0.73562181639181734</v>
      </c>
      <c r="X1769" s="2">
        <f ca="1"/>
        <v>48.166137314539625</v>
      </c>
      <c r="AG1769" s="2">
        <f ca="1"/>
        <v>0.77395997513642678</v>
      </c>
      <c r="AH1769" s="2" t="str">
        <f ca="1"/>
        <v>Bad</v>
      </c>
    </row>
    <row r="1770" spans="2:34" x14ac:dyDescent="0.2">
      <c r="B1770" s="2">
        <f ca="1"/>
        <v>0.13883216596032333</v>
      </c>
      <c r="O1770" s="2">
        <f ca="1"/>
        <v>-1.0079520138191993</v>
      </c>
      <c r="X1770" s="2">
        <f ca="1"/>
        <v>42.520798625409384</v>
      </c>
      <c r="AG1770" s="2">
        <f ca="1"/>
        <v>0.90693035540406464</v>
      </c>
      <c r="AH1770" s="2" t="str">
        <f ca="1"/>
        <v>Bad</v>
      </c>
    </row>
    <row r="1771" spans="2:34" x14ac:dyDescent="0.2">
      <c r="B1771" s="2">
        <f ca="1"/>
        <v>0.78057988670056422</v>
      </c>
      <c r="O1771" s="2">
        <f ca="1"/>
        <v>-0.7030793222789643</v>
      </c>
      <c r="X1771" s="2">
        <f ca="1"/>
        <v>41.06065004273993</v>
      </c>
      <c r="AG1771" s="2">
        <f ca="1"/>
        <v>0.1263011118184092</v>
      </c>
      <c r="AH1771" s="2" t="str">
        <f ca="1"/>
        <v>OK</v>
      </c>
    </row>
    <row r="1772" spans="2:34" x14ac:dyDescent="0.2">
      <c r="B1772" s="2">
        <f ca="1"/>
        <v>0.5265757235040236</v>
      </c>
      <c r="O1772" s="2">
        <f ca="1"/>
        <v>-0.80760195185106853</v>
      </c>
      <c r="X1772" s="2">
        <f ca="1"/>
        <v>49.166083104201618</v>
      </c>
      <c r="AG1772" s="2">
        <f ca="1"/>
        <v>0.8311154299798944</v>
      </c>
      <c r="AH1772" s="2" t="str">
        <f ca="1"/>
        <v>Bad</v>
      </c>
    </row>
    <row r="1773" spans="2:34" x14ac:dyDescent="0.2">
      <c r="B1773" s="2">
        <f ca="1"/>
        <v>0.81099626807461522</v>
      </c>
      <c r="O1773" s="2">
        <f ca="1"/>
        <v>-6.6707621197183889E-2</v>
      </c>
      <c r="X1773" s="2">
        <f ca="1"/>
        <v>25.609356630035514</v>
      </c>
      <c r="AG1773" s="2">
        <f ca="1"/>
        <v>0.11460003749086045</v>
      </c>
      <c r="AH1773" s="2" t="str">
        <f ca="1"/>
        <v>OK</v>
      </c>
    </row>
    <row r="1774" spans="2:34" x14ac:dyDescent="0.2">
      <c r="B1774" s="2">
        <f ca="1"/>
        <v>0.44992101095049408</v>
      </c>
      <c r="O1774" s="2">
        <f ca="1"/>
        <v>-0.53599849588059567</v>
      </c>
      <c r="X1774" s="2">
        <f ca="1"/>
        <v>40.008341147606018</v>
      </c>
      <c r="AG1774" s="2">
        <f ca="1"/>
        <v>0.705465525370498</v>
      </c>
      <c r="AH1774" s="2" t="str">
        <f ca="1"/>
        <v>Bad</v>
      </c>
    </row>
    <row r="1775" spans="2:34" x14ac:dyDescent="0.2">
      <c r="B1775" s="2">
        <f ca="1"/>
        <v>0.22123179374330282</v>
      </c>
      <c r="O1775" s="2">
        <f ca="1"/>
        <v>-0.74991839752537837</v>
      </c>
      <c r="X1775" s="2">
        <f ca="1"/>
        <v>39.630262551792086</v>
      </c>
      <c r="AG1775" s="2">
        <f ca="1"/>
        <v>0.59867149038121137</v>
      </c>
      <c r="AH1775" s="2" t="str">
        <f ca="1"/>
        <v>Bad</v>
      </c>
    </row>
    <row r="1776" spans="2:34" x14ac:dyDescent="0.2">
      <c r="B1776" s="2">
        <f ca="1"/>
        <v>0.45824864196189297</v>
      </c>
      <c r="O1776" s="2">
        <f ca="1"/>
        <v>-0.95962339176889655</v>
      </c>
      <c r="X1776" s="2">
        <f ca="1"/>
        <v>49.972721783094784</v>
      </c>
      <c r="AG1776" s="2">
        <f ca="1"/>
        <v>6.7658726127366675E-2</v>
      </c>
      <c r="AH1776" s="2" t="str">
        <f ca="1"/>
        <v>OK</v>
      </c>
    </row>
    <row r="1777" spans="2:34" x14ac:dyDescent="0.2">
      <c r="B1777" s="2">
        <f ca="1"/>
        <v>0.90972639448570347</v>
      </c>
      <c r="O1777" s="2">
        <f ca="1"/>
        <v>0.1395681027984621</v>
      </c>
      <c r="X1777" s="2">
        <f ca="1"/>
        <v>51.105280685915737</v>
      </c>
      <c r="AG1777" s="2">
        <f ca="1"/>
        <v>0.21005705152795873</v>
      </c>
      <c r="AH1777" s="2" t="str">
        <f ca="1"/>
        <v>OK</v>
      </c>
    </row>
    <row r="1778" spans="2:34" x14ac:dyDescent="0.2">
      <c r="B1778" s="2">
        <f ca="1"/>
        <v>5.2710951614648893E-2</v>
      </c>
      <c r="O1778" s="2">
        <f ca="1"/>
        <v>1.2551787446857103</v>
      </c>
      <c r="X1778" s="2">
        <f ca="1"/>
        <v>25.376981613462227</v>
      </c>
      <c r="AG1778" s="2">
        <f ca="1"/>
        <v>0.14335612440191015</v>
      </c>
      <c r="AH1778" s="2" t="str">
        <f ca="1"/>
        <v>OK</v>
      </c>
    </row>
    <row r="1779" spans="2:34" x14ac:dyDescent="0.2">
      <c r="B1779" s="2">
        <f ca="1"/>
        <v>0.81507113195395653</v>
      </c>
      <c r="O1779" s="2">
        <f ca="1"/>
        <v>-0.74381352204617823</v>
      </c>
      <c r="X1779" s="2">
        <f ca="1"/>
        <v>53.456829632697747</v>
      </c>
      <c r="AG1779" s="2">
        <f ca="1"/>
        <v>0.75396513732173043</v>
      </c>
      <c r="AH1779" s="2" t="str">
        <f ca="1"/>
        <v>Bad</v>
      </c>
    </row>
    <row r="1780" spans="2:34" x14ac:dyDescent="0.2">
      <c r="B1780" s="2">
        <f ca="1"/>
        <v>0.57269957605588062</v>
      </c>
      <c r="O1780" s="2">
        <f ca="1"/>
        <v>0.90919865958441337</v>
      </c>
      <c r="X1780" s="2">
        <f ca="1"/>
        <v>53.156834800871742</v>
      </c>
      <c r="AG1780" s="2">
        <f ca="1"/>
        <v>0.9701199213579601</v>
      </c>
      <c r="AH1780" s="2" t="str">
        <f ca="1"/>
        <v>Bad</v>
      </c>
    </row>
    <row r="1781" spans="2:34" x14ac:dyDescent="0.2">
      <c r="B1781" s="2">
        <f ca="1"/>
        <v>0.66222166890990741</v>
      </c>
      <c r="O1781" s="2">
        <f ca="1"/>
        <v>3.2788306469808681E-2</v>
      </c>
      <c r="X1781" s="2">
        <f ca="1"/>
        <v>31.489179025823105</v>
      </c>
      <c r="AG1781" s="2">
        <f ca="1"/>
        <v>0.49652033670328288</v>
      </c>
      <c r="AH1781" s="2" t="str">
        <f ca="1"/>
        <v>Bad</v>
      </c>
    </row>
    <row r="1782" spans="2:34" x14ac:dyDescent="0.2">
      <c r="B1782" s="2">
        <f ca="1"/>
        <v>0.53030960989117082</v>
      </c>
      <c r="O1782" s="2">
        <f ca="1"/>
        <v>-1.355234420915262</v>
      </c>
      <c r="X1782" s="2">
        <f ca="1"/>
        <v>34.219031856653658</v>
      </c>
      <c r="AG1782" s="2">
        <f ca="1"/>
        <v>0.3639879351056754</v>
      </c>
      <c r="AH1782" s="2" t="str">
        <f ca="1"/>
        <v>OK</v>
      </c>
    </row>
    <row r="1783" spans="2:34" x14ac:dyDescent="0.2">
      <c r="B1783" s="2">
        <f ca="1"/>
        <v>0.97424297582673103</v>
      </c>
      <c r="O1783" s="2">
        <f ca="1"/>
        <v>-0.92576950720312479</v>
      </c>
      <c r="X1783" s="2">
        <f ca="1"/>
        <v>33.074394113404409</v>
      </c>
      <c r="AG1783" s="2">
        <f ca="1"/>
        <v>9.6515765618026439E-2</v>
      </c>
      <c r="AH1783" s="2" t="str">
        <f ca="1"/>
        <v>OK</v>
      </c>
    </row>
    <row r="1784" spans="2:34" x14ac:dyDescent="0.2">
      <c r="B1784" s="2">
        <f ca="1"/>
        <v>0.35616942660130668</v>
      </c>
      <c r="O1784" s="2">
        <f ca="1"/>
        <v>1.4791450055387148</v>
      </c>
      <c r="X1784" s="2">
        <f ca="1"/>
        <v>48.26557473469127</v>
      </c>
      <c r="AG1784" s="2">
        <f ca="1"/>
        <v>0.16742574066802862</v>
      </c>
      <c r="AH1784" s="2" t="str">
        <f ca="1"/>
        <v>OK</v>
      </c>
    </row>
    <row r="1785" spans="2:34" x14ac:dyDescent="0.2">
      <c r="B1785" s="2">
        <f ca="1"/>
        <v>0.49751313263510744</v>
      </c>
      <c r="O1785" s="2">
        <f ca="1"/>
        <v>-1.1547364164163729</v>
      </c>
      <c r="X1785" s="2">
        <f ca="1"/>
        <v>41.788691117080745</v>
      </c>
      <c r="AG1785" s="2">
        <f ca="1"/>
        <v>0.7602843098962373</v>
      </c>
      <c r="AH1785" s="2" t="str">
        <f ca="1"/>
        <v>Bad</v>
      </c>
    </row>
    <row r="1786" spans="2:34" x14ac:dyDescent="0.2">
      <c r="B1786" s="2">
        <f ca="1"/>
        <v>0.79208671333043723</v>
      </c>
      <c r="O1786" s="2">
        <f ca="1"/>
        <v>1.8574577136595838</v>
      </c>
      <c r="X1786" s="2">
        <f ca="1"/>
        <v>45.898478695337353</v>
      </c>
      <c r="AG1786" s="2">
        <f ca="1"/>
        <v>0.60170889050394361</v>
      </c>
      <c r="AH1786" s="2" t="str">
        <f ca="1"/>
        <v>Bad</v>
      </c>
    </row>
    <row r="1787" spans="2:34" x14ac:dyDescent="0.2">
      <c r="B1787" s="2">
        <f ca="1"/>
        <v>0.24782716149554429</v>
      </c>
      <c r="O1787" s="2">
        <f ca="1"/>
        <v>-0.20387148405869054</v>
      </c>
      <c r="X1787" s="2">
        <f ca="1"/>
        <v>68.826755778372686</v>
      </c>
      <c r="AG1787" s="2">
        <f ca="1"/>
        <v>0.74219026831066715</v>
      </c>
      <c r="AH1787" s="2" t="str">
        <f ca="1"/>
        <v>Bad</v>
      </c>
    </row>
    <row r="1788" spans="2:34" x14ac:dyDescent="0.2">
      <c r="B1788" s="2">
        <f ca="1"/>
        <v>0.45892689092047645</v>
      </c>
      <c r="O1788" s="2">
        <f ca="1"/>
        <v>-0.26809099062969505</v>
      </c>
      <c r="X1788" s="2">
        <f ca="1"/>
        <v>34.089694023338375</v>
      </c>
      <c r="AG1788" s="2">
        <f ca="1"/>
        <v>0.28272758317878321</v>
      </c>
      <c r="AH1788" s="2" t="str">
        <f ca="1"/>
        <v>OK</v>
      </c>
    </row>
    <row r="1789" spans="2:34" x14ac:dyDescent="0.2">
      <c r="B1789" s="2">
        <f ca="1"/>
        <v>0.22899572536560653</v>
      </c>
      <c r="O1789" s="2">
        <f ca="1"/>
        <v>1.4769694477427497</v>
      </c>
      <c r="X1789" s="2">
        <f ca="1"/>
        <v>55.250519317274978</v>
      </c>
      <c r="AG1789" s="2">
        <f ca="1"/>
        <v>0.14054593143853733</v>
      </c>
      <c r="AH1789" s="2" t="str">
        <f ca="1"/>
        <v>OK</v>
      </c>
    </row>
    <row r="1790" spans="2:34" x14ac:dyDescent="0.2">
      <c r="B1790" s="2">
        <f ca="1"/>
        <v>0.1050148886957496</v>
      </c>
      <c r="O1790" s="2">
        <f ca="1"/>
        <v>-1.488406999303288</v>
      </c>
      <c r="X1790" s="2">
        <f ca="1"/>
        <v>32.076286843126496</v>
      </c>
      <c r="AG1790" s="2">
        <f ca="1"/>
        <v>0.97398390359248732</v>
      </c>
      <c r="AH1790" s="2" t="str">
        <f ca="1"/>
        <v>Bad</v>
      </c>
    </row>
    <row r="1791" spans="2:34" x14ac:dyDescent="0.2">
      <c r="B1791" s="2">
        <f ca="1"/>
        <v>0.95233241769018195</v>
      </c>
      <c r="O1791" s="2">
        <f ca="1"/>
        <v>0.42933063108455266</v>
      </c>
      <c r="X1791" s="2">
        <f ca="1"/>
        <v>40.32036804316833</v>
      </c>
      <c r="AG1791" s="2">
        <f ca="1"/>
        <v>4.6832155394607389E-2</v>
      </c>
      <c r="AH1791" s="2" t="str">
        <f ca="1"/>
        <v>Good</v>
      </c>
    </row>
    <row r="1792" spans="2:34" x14ac:dyDescent="0.2">
      <c r="B1792" s="2">
        <f ca="1"/>
        <v>0.23963778378317446</v>
      </c>
      <c r="O1792" s="2">
        <f ca="1"/>
        <v>0.86027367757634221</v>
      </c>
      <c r="X1792" s="2">
        <f ca="1"/>
        <v>76.151838268971517</v>
      </c>
      <c r="AG1792" s="2">
        <f ca="1"/>
        <v>0.9327465553102583</v>
      </c>
      <c r="AH1792" s="2" t="str">
        <f ca="1"/>
        <v>Bad</v>
      </c>
    </row>
    <row r="1793" spans="2:34" x14ac:dyDescent="0.2">
      <c r="B1793" s="2">
        <f ca="1"/>
        <v>0.55702636237633918</v>
      </c>
      <c r="O1793" s="2">
        <f ca="1"/>
        <v>0.61992682340059369</v>
      </c>
      <c r="X1793" s="2">
        <f ca="1"/>
        <v>90.335540400297504</v>
      </c>
      <c r="AG1793" s="2">
        <f ca="1"/>
        <v>0.98048377351978422</v>
      </c>
      <c r="AH1793" s="2" t="str">
        <f ca="1"/>
        <v>Bad</v>
      </c>
    </row>
    <row r="1794" spans="2:34" x14ac:dyDescent="0.2">
      <c r="B1794" s="2">
        <f ca="1"/>
        <v>0.64241903229571751</v>
      </c>
      <c r="O1794" s="2">
        <f ca="1"/>
        <v>-0.21835621301854771</v>
      </c>
      <c r="X1794" s="2">
        <f ca="1"/>
        <v>55.245936289199314</v>
      </c>
      <c r="AG1794" s="2">
        <f ca="1"/>
        <v>0.98041335951889041</v>
      </c>
      <c r="AH1794" s="2" t="str">
        <f ca="1"/>
        <v>Bad</v>
      </c>
    </row>
    <row r="1795" spans="2:34" x14ac:dyDescent="0.2">
      <c r="B1795" s="2">
        <f ca="1"/>
        <v>0.9676960438419957</v>
      </c>
      <c r="O1795" s="2">
        <f ca="1"/>
        <v>0.64704408031389005</v>
      </c>
      <c r="X1795" s="2">
        <f ca="1"/>
        <v>47.389462021146386</v>
      </c>
      <c r="AG1795" s="2">
        <f ca="1"/>
        <v>0.44577053705025627</v>
      </c>
      <c r="AH1795" s="2" t="str">
        <f ca="1"/>
        <v>Bad</v>
      </c>
    </row>
    <row r="1796" spans="2:34" x14ac:dyDescent="0.2">
      <c r="B1796" s="2">
        <f ca="1"/>
        <v>0.21413515314288722</v>
      </c>
      <c r="O1796" s="2">
        <f ca="1"/>
        <v>-0.53712718981607921</v>
      </c>
      <c r="X1796" s="2">
        <f ca="1"/>
        <v>36.221631267964774</v>
      </c>
      <c r="AG1796" s="2">
        <f ca="1"/>
        <v>4.9908550435262544E-3</v>
      </c>
      <c r="AH1796" s="2" t="str">
        <f ca="1"/>
        <v>Good</v>
      </c>
    </row>
    <row r="1797" spans="2:34" x14ac:dyDescent="0.2">
      <c r="B1797" s="2">
        <f ca="1"/>
        <v>0.38486723721118432</v>
      </c>
      <c r="O1797" s="2">
        <f ca="1"/>
        <v>-3.210731485342299E-2</v>
      </c>
      <c r="X1797" s="2">
        <f ca="1"/>
        <v>46.100476120277676</v>
      </c>
      <c r="AG1797" s="2">
        <f ca="1"/>
        <v>0.72737315027537042</v>
      </c>
      <c r="AH1797" s="2" t="str">
        <f ca="1"/>
        <v>Bad</v>
      </c>
    </row>
    <row r="1798" spans="2:34" x14ac:dyDescent="0.2">
      <c r="B1798" s="2">
        <f ca="1"/>
        <v>0.1950435757086062</v>
      </c>
      <c r="O1798" s="2">
        <f ca="1"/>
        <v>0.75490001106928684</v>
      </c>
      <c r="X1798" s="2">
        <f ca="1"/>
        <v>62.790130338050972</v>
      </c>
      <c r="AG1798" s="2">
        <f ca="1"/>
        <v>0.29229253226673557</v>
      </c>
      <c r="AH1798" s="2" t="str">
        <f ca="1"/>
        <v>OK</v>
      </c>
    </row>
    <row r="1799" spans="2:34" x14ac:dyDescent="0.2">
      <c r="B1799" s="2">
        <f ca="1"/>
        <v>0.15665645337123246</v>
      </c>
      <c r="O1799" s="2">
        <f ca="1"/>
        <v>2.5395988808298871</v>
      </c>
      <c r="X1799" s="2">
        <f ca="1"/>
        <v>75.814030554946456</v>
      </c>
      <c r="AG1799" s="2">
        <f ca="1"/>
        <v>0.30897727508640149</v>
      </c>
      <c r="AH1799" s="2" t="str">
        <f ca="1"/>
        <v>OK</v>
      </c>
    </row>
    <row r="1800" spans="2:34" x14ac:dyDescent="0.2">
      <c r="B1800" s="2">
        <f ca="1"/>
        <v>0.42731022159632004</v>
      </c>
      <c r="O1800" s="2">
        <f ca="1"/>
        <v>-0.52592512372703504</v>
      </c>
      <c r="X1800" s="2">
        <f ca="1"/>
        <v>68.010131793210988</v>
      </c>
      <c r="AG1800" s="2">
        <f ca="1"/>
        <v>0.8626959087731576</v>
      </c>
      <c r="AH1800" s="2" t="str">
        <f ca="1"/>
        <v>Bad</v>
      </c>
    </row>
    <row r="1801" spans="2:34" x14ac:dyDescent="0.2">
      <c r="B1801" s="2">
        <f ca="1"/>
        <v>0.82458868143974762</v>
      </c>
      <c r="O1801" s="2">
        <f ca="1"/>
        <v>0.99634019685136666</v>
      </c>
      <c r="X1801" s="2">
        <f ca="1"/>
        <v>83.938389890344936</v>
      </c>
      <c r="AG1801" s="2">
        <f ca="1"/>
        <v>0.97845494946545397</v>
      </c>
      <c r="AH1801" s="2" t="str">
        <f ca="1"/>
        <v>Bad</v>
      </c>
    </row>
    <row r="1802" spans="2:34" x14ac:dyDescent="0.2">
      <c r="B1802" s="2">
        <f ca="1"/>
        <v>0.87294048319240325</v>
      </c>
      <c r="O1802" s="2">
        <f ca="1"/>
        <v>-1.5295986560769383</v>
      </c>
      <c r="X1802" s="2">
        <f ca="1"/>
        <v>52.347765548899091</v>
      </c>
      <c r="AG1802" s="2">
        <f ca="1"/>
        <v>0.65043188651217898</v>
      </c>
      <c r="AH1802" s="2" t="str">
        <f ca="1"/>
        <v>Bad</v>
      </c>
    </row>
    <row r="1803" spans="2:34" x14ac:dyDescent="0.2">
      <c r="B1803" s="2">
        <f ca="1"/>
        <v>0.30786721692381858</v>
      </c>
      <c r="O1803" s="2">
        <f ca="1"/>
        <v>-1.393209542380593</v>
      </c>
      <c r="X1803" s="2">
        <f ca="1"/>
        <v>74.080770265480297</v>
      </c>
      <c r="AG1803" s="2">
        <f ca="1"/>
        <v>0.4761294956819111</v>
      </c>
      <c r="AH1803" s="2" t="str">
        <f ca="1"/>
        <v>Bad</v>
      </c>
    </row>
    <row r="1804" spans="2:34" x14ac:dyDescent="0.2">
      <c r="B1804" s="2">
        <f ca="1"/>
        <v>0.13823231779112088</v>
      </c>
      <c r="O1804" s="2">
        <f ca="1"/>
        <v>0.52727634027511538</v>
      </c>
      <c r="X1804" s="2">
        <f ca="1"/>
        <v>40.190205285686879</v>
      </c>
      <c r="AG1804" s="2">
        <f ca="1"/>
        <v>0.8194536270589361</v>
      </c>
      <c r="AH1804" s="2" t="str">
        <f ca="1"/>
        <v>Bad</v>
      </c>
    </row>
    <row r="1805" spans="2:34" x14ac:dyDescent="0.2">
      <c r="B1805" s="2">
        <f ca="1"/>
        <v>0.99602837194777294</v>
      </c>
      <c r="O1805" s="2">
        <f ca="1"/>
        <v>-6.4795031729566258E-2</v>
      </c>
      <c r="X1805" s="2">
        <f ca="1"/>
        <v>40.215540412955079</v>
      </c>
      <c r="AG1805" s="2">
        <f ca="1"/>
        <v>0.12992963401788171</v>
      </c>
      <c r="AH1805" s="2" t="str">
        <f ca="1"/>
        <v>OK</v>
      </c>
    </row>
    <row r="1806" spans="2:34" x14ac:dyDescent="0.2">
      <c r="B1806" s="2">
        <f ca="1"/>
        <v>3.6152754883540306E-2</v>
      </c>
      <c r="O1806" s="2">
        <f ca="1"/>
        <v>-0.19721687246224856</v>
      </c>
      <c r="X1806" s="2">
        <f ca="1"/>
        <v>54.206335350092999</v>
      </c>
      <c r="AG1806" s="2">
        <f ca="1"/>
        <v>0.71569754501015947</v>
      </c>
      <c r="AH1806" s="2" t="str">
        <f ca="1"/>
        <v>Bad</v>
      </c>
    </row>
    <row r="1807" spans="2:34" x14ac:dyDescent="0.2">
      <c r="B1807" s="2">
        <f ca="1"/>
        <v>0.86258855041905869</v>
      </c>
      <c r="O1807" s="2">
        <f ca="1"/>
        <v>-0.52561503307376334</v>
      </c>
      <c r="X1807" s="2">
        <f ca="1"/>
        <v>49.318402373606048</v>
      </c>
      <c r="AG1807" s="2">
        <f ca="1"/>
        <v>0.28484544792283617</v>
      </c>
      <c r="AH1807" s="2" t="str">
        <f ca="1"/>
        <v>OK</v>
      </c>
    </row>
    <row r="1808" spans="2:34" x14ac:dyDescent="0.2">
      <c r="B1808" s="2">
        <f ca="1"/>
        <v>0.65758622892926311</v>
      </c>
      <c r="O1808" s="2">
        <f ca="1"/>
        <v>0.63377310816708032</v>
      </c>
      <c r="X1808" s="2">
        <f ca="1"/>
        <v>42.384989079636952</v>
      </c>
      <c r="AG1808" s="2">
        <f ca="1"/>
        <v>3.7113602898445563E-2</v>
      </c>
      <c r="AH1808" s="2" t="str">
        <f ca="1"/>
        <v>Good</v>
      </c>
    </row>
    <row r="1809" spans="2:34" x14ac:dyDescent="0.2">
      <c r="B1809" s="2">
        <f ca="1"/>
        <v>0.70096182271283403</v>
      </c>
      <c r="O1809" s="2">
        <f ca="1"/>
        <v>1.1319766902297532</v>
      </c>
      <c r="X1809" s="2">
        <f ca="1"/>
        <v>47.928427815164774</v>
      </c>
      <c r="AG1809" s="2">
        <f ca="1"/>
        <v>0.73401448667584535</v>
      </c>
      <c r="AH1809" s="2" t="str">
        <f ca="1"/>
        <v>Bad</v>
      </c>
    </row>
    <row r="1810" spans="2:34" x14ac:dyDescent="0.2">
      <c r="B1810" s="2">
        <f ca="1"/>
        <v>0.82438748551099872</v>
      </c>
      <c r="O1810" s="2">
        <f ca="1"/>
        <v>-0.70264228830109654</v>
      </c>
      <c r="X1810" s="2">
        <f ca="1"/>
        <v>37.856454366044375</v>
      </c>
      <c r="AG1810" s="2">
        <f ca="1"/>
        <v>5.0739293975483157E-2</v>
      </c>
      <c r="AH1810" s="2" t="str">
        <f ca="1"/>
        <v>OK</v>
      </c>
    </row>
    <row r="1811" spans="2:34" x14ac:dyDescent="0.2">
      <c r="B1811" s="2">
        <f ca="1"/>
        <v>0.42429175819250453</v>
      </c>
      <c r="O1811" s="2">
        <f ca="1"/>
        <v>-1.2572757490509705</v>
      </c>
      <c r="X1811" s="2">
        <f ca="1"/>
        <v>40.644576500241605</v>
      </c>
      <c r="AG1811" s="2">
        <f ca="1"/>
        <v>0.25470337383977748</v>
      </c>
      <c r="AH1811" s="2" t="str">
        <f ca="1"/>
        <v>OK</v>
      </c>
    </row>
    <row r="1812" spans="2:34" x14ac:dyDescent="0.2">
      <c r="B1812" s="2">
        <f ca="1"/>
        <v>0.93555015544577169</v>
      </c>
      <c r="O1812" s="2">
        <f ca="1"/>
        <v>0.59323300256136569</v>
      </c>
      <c r="X1812" s="2">
        <f ca="1"/>
        <v>40.508436903705416</v>
      </c>
      <c r="AG1812" s="2">
        <f ca="1"/>
        <v>8.0403826193134131E-2</v>
      </c>
      <c r="AH1812" s="2" t="str">
        <f ca="1"/>
        <v>OK</v>
      </c>
    </row>
    <row r="1813" spans="2:34" x14ac:dyDescent="0.2">
      <c r="B1813" s="2">
        <f ca="1"/>
        <v>0.12320280434095232</v>
      </c>
      <c r="O1813" s="2">
        <f ca="1"/>
        <v>-7.5828919363957858E-2</v>
      </c>
      <c r="X1813" s="2">
        <f ca="1"/>
        <v>47.273031272227456</v>
      </c>
      <c r="AG1813" s="2">
        <f ca="1"/>
        <v>0.65127606451318965</v>
      </c>
      <c r="AH1813" s="2" t="str">
        <f ca="1"/>
        <v>Bad</v>
      </c>
    </row>
    <row r="1814" spans="2:34" x14ac:dyDescent="0.2">
      <c r="B1814" s="2">
        <f ca="1"/>
        <v>0.67505508611134535</v>
      </c>
      <c r="O1814" s="2">
        <f ca="1"/>
        <v>2.1272632891215433</v>
      </c>
      <c r="X1814" s="2">
        <f ca="1"/>
        <v>63.047096914189297</v>
      </c>
      <c r="AG1814" s="2">
        <f ca="1"/>
        <v>0.19018515034417205</v>
      </c>
      <c r="AH1814" s="2" t="str">
        <f ca="1"/>
        <v>OK</v>
      </c>
    </row>
    <row r="1815" spans="2:34" x14ac:dyDescent="0.2">
      <c r="B1815" s="2">
        <f ca="1"/>
        <v>5.1703397600345591E-2</v>
      </c>
      <c r="O1815" s="2">
        <f ca="1"/>
        <v>0.26901709631556003</v>
      </c>
      <c r="X1815" s="2">
        <f ca="1"/>
        <v>49.450377708077554</v>
      </c>
      <c r="AG1815" s="2">
        <f ca="1"/>
        <v>0.8432934808855288</v>
      </c>
      <c r="AH1815" s="2" t="str">
        <f ca="1"/>
        <v>Bad</v>
      </c>
    </row>
    <row r="1816" spans="2:34" x14ac:dyDescent="0.2">
      <c r="B1816" s="2">
        <f ca="1"/>
        <v>5.7965207028126464E-2</v>
      </c>
      <c r="O1816" s="2">
        <f ca="1"/>
        <v>0.20492647039305098</v>
      </c>
      <c r="X1816" s="2">
        <f ca="1"/>
        <v>65.727748789811102</v>
      </c>
      <c r="AG1816" s="2">
        <f ca="1"/>
        <v>0.4341015624489728</v>
      </c>
      <c r="AH1816" s="2" t="str">
        <f ca="1"/>
        <v>Bad</v>
      </c>
    </row>
    <row r="1817" spans="2:34" x14ac:dyDescent="0.2">
      <c r="B1817" s="2">
        <f ca="1"/>
        <v>0.25449496843851027</v>
      </c>
      <c r="O1817" s="2">
        <f ca="1"/>
        <v>0.21738406791778284</v>
      </c>
      <c r="X1817" s="2">
        <f ca="1"/>
        <v>63.948181147162231</v>
      </c>
      <c r="AG1817" s="2">
        <f ca="1"/>
        <v>0.29158290044693103</v>
      </c>
      <c r="AH1817" s="2" t="str">
        <f ca="1"/>
        <v>OK</v>
      </c>
    </row>
    <row r="1818" spans="2:34" x14ac:dyDescent="0.2">
      <c r="B1818" s="2">
        <f ca="1"/>
        <v>0.51697616680089498</v>
      </c>
      <c r="O1818" s="2">
        <f ca="1"/>
        <v>-1.1868769451249532</v>
      </c>
      <c r="X1818" s="2">
        <f ca="1"/>
        <v>32.335597466768611</v>
      </c>
      <c r="AG1818" s="2">
        <f ca="1"/>
        <v>0.53002726787039034</v>
      </c>
      <c r="AH1818" s="2" t="str">
        <f ca="1"/>
        <v>Bad</v>
      </c>
    </row>
    <row r="1819" spans="2:34" x14ac:dyDescent="0.2">
      <c r="B1819" s="2">
        <f ca="1"/>
        <v>8.3426668046208352E-2</v>
      </c>
      <c r="O1819" s="2">
        <f ca="1"/>
        <v>3.3963011316517307E-2</v>
      </c>
      <c r="X1819" s="2">
        <f ca="1"/>
        <v>66.265466183821886</v>
      </c>
      <c r="AG1819" s="2">
        <f ca="1"/>
        <v>0.40505806058061622</v>
      </c>
      <c r="AH1819" s="2" t="str">
        <f ca="1"/>
        <v>Bad</v>
      </c>
    </row>
    <row r="1820" spans="2:34" x14ac:dyDescent="0.2">
      <c r="B1820" s="2">
        <f ca="1"/>
        <v>0.98603422226719473</v>
      </c>
      <c r="O1820" s="2">
        <f ca="1"/>
        <v>1.0390920309914888</v>
      </c>
      <c r="X1820" s="2">
        <f ca="1"/>
        <v>73.568076547568452</v>
      </c>
      <c r="AG1820" s="2">
        <f ca="1"/>
        <v>0.32792250193016348</v>
      </c>
      <c r="AH1820" s="2" t="str">
        <f ca="1"/>
        <v>OK</v>
      </c>
    </row>
    <row r="1821" spans="2:34" x14ac:dyDescent="0.2">
      <c r="B1821" s="2">
        <f ca="1"/>
        <v>0.78049009129162861</v>
      </c>
      <c r="O1821" s="2">
        <f ca="1"/>
        <v>0.90564942912420587</v>
      </c>
      <c r="X1821" s="2">
        <f ca="1"/>
        <v>65.934673467905455</v>
      </c>
      <c r="AG1821" s="2">
        <f ca="1"/>
        <v>0.67767095091795304</v>
      </c>
      <c r="AH1821" s="2" t="str">
        <f ca="1"/>
        <v>Bad</v>
      </c>
    </row>
    <row r="1822" spans="2:34" x14ac:dyDescent="0.2">
      <c r="B1822" s="2">
        <f ca="1"/>
        <v>0.43281861271329158</v>
      </c>
      <c r="O1822" s="2">
        <f ca="1"/>
        <v>1.5892311119114444</v>
      </c>
      <c r="X1822" s="2">
        <f ca="1"/>
        <v>48.236983525394059</v>
      </c>
      <c r="AG1822" s="2">
        <f ca="1"/>
        <v>0.76068130134705325</v>
      </c>
      <c r="AH1822" s="2" t="str">
        <f ca="1"/>
        <v>Bad</v>
      </c>
    </row>
    <row r="1823" spans="2:34" x14ac:dyDescent="0.2">
      <c r="B1823" s="2">
        <f ca="1"/>
        <v>0.75944160084315926</v>
      </c>
      <c r="O1823" s="2">
        <f ca="1"/>
        <v>0.44679949798070945</v>
      </c>
      <c r="X1823" s="2">
        <f ca="1"/>
        <v>39.682616969543801</v>
      </c>
      <c r="AG1823" s="2">
        <f ca="1"/>
        <v>0.86141001352925906</v>
      </c>
      <c r="AH1823" s="2" t="str">
        <f ca="1"/>
        <v>Bad</v>
      </c>
    </row>
    <row r="1824" spans="2:34" x14ac:dyDescent="0.2">
      <c r="B1824" s="2">
        <f ca="1"/>
        <v>0.74181844489193938</v>
      </c>
      <c r="O1824" s="2">
        <f ca="1"/>
        <v>-4.5378575323652283E-2</v>
      </c>
      <c r="X1824" s="2">
        <f ca="1"/>
        <v>46.794254447196167</v>
      </c>
      <c r="AG1824" s="2">
        <f ca="1"/>
        <v>0.3551505573282423</v>
      </c>
      <c r="AH1824" s="2" t="str">
        <f ca="1"/>
        <v>OK</v>
      </c>
    </row>
    <row r="1825" spans="2:34" x14ac:dyDescent="0.2">
      <c r="B1825" s="2">
        <f ca="1"/>
        <v>0.8198665451052054</v>
      </c>
      <c r="O1825" s="2">
        <f ca="1"/>
        <v>-0.45965468477355848</v>
      </c>
      <c r="X1825" s="2">
        <f ca="1"/>
        <v>33.204672952552663</v>
      </c>
      <c r="AG1825" s="2">
        <f ca="1"/>
        <v>0.77943988460998281</v>
      </c>
      <c r="AH1825" s="2" t="str">
        <f ca="1"/>
        <v>Bad</v>
      </c>
    </row>
    <row r="1826" spans="2:34" x14ac:dyDescent="0.2">
      <c r="B1826" s="2">
        <f ca="1"/>
        <v>0.73412727396560773</v>
      </c>
      <c r="O1826" s="2">
        <f ca="1"/>
        <v>-1.084354377024187</v>
      </c>
      <c r="X1826" s="2">
        <f ca="1"/>
        <v>45.356044755466833</v>
      </c>
      <c r="AG1826" s="2">
        <f ca="1"/>
        <v>0.43965189026590812</v>
      </c>
      <c r="AH1826" s="2" t="str">
        <f ca="1"/>
        <v>Bad</v>
      </c>
    </row>
    <row r="1827" spans="2:34" x14ac:dyDescent="0.2">
      <c r="B1827" s="2">
        <f ca="1"/>
        <v>0.43168583205840605</v>
      </c>
      <c r="O1827" s="2">
        <f ca="1"/>
        <v>-8.8514662308962516E-2</v>
      </c>
      <c r="X1827" s="2">
        <f ca="1"/>
        <v>51.089659623160095</v>
      </c>
      <c r="AG1827" s="2">
        <f ca="1"/>
        <v>0.18150642761535307</v>
      </c>
      <c r="AH1827" s="2" t="str">
        <f ca="1"/>
        <v>OK</v>
      </c>
    </row>
    <row r="1828" spans="2:34" x14ac:dyDescent="0.2">
      <c r="B1828" s="2">
        <f ca="1"/>
        <v>0.95265702959658771</v>
      </c>
      <c r="O1828" s="2">
        <f ca="1"/>
        <v>-1.7991601700856883</v>
      </c>
      <c r="X1828" s="2">
        <f ca="1"/>
        <v>53.732984052589913</v>
      </c>
      <c r="AG1828" s="2">
        <f ca="1"/>
        <v>0.18316706344792011</v>
      </c>
      <c r="AH1828" s="2" t="str">
        <f ca="1"/>
        <v>OK</v>
      </c>
    </row>
    <row r="1829" spans="2:34" x14ac:dyDescent="0.2">
      <c r="B1829" s="2">
        <f ca="1"/>
        <v>0.95109187284774133</v>
      </c>
      <c r="O1829" s="2">
        <f ca="1"/>
        <v>-1.1001738114999342</v>
      </c>
      <c r="X1829" s="2">
        <f ca="1"/>
        <v>21.645634150517587</v>
      </c>
      <c r="AG1829" s="2">
        <f ca="1"/>
        <v>0.5477088940380288</v>
      </c>
      <c r="AH1829" s="2" t="str">
        <f ca="1"/>
        <v>Bad</v>
      </c>
    </row>
    <row r="1830" spans="2:34" x14ac:dyDescent="0.2">
      <c r="B1830" s="2">
        <f ca="1"/>
        <v>8.2697695797868231E-2</v>
      </c>
      <c r="O1830" s="2">
        <f ca="1"/>
        <v>-0.52252578510449876</v>
      </c>
      <c r="X1830" s="2">
        <f ca="1"/>
        <v>40.245557408564764</v>
      </c>
      <c r="AG1830" s="2">
        <f ca="1"/>
        <v>0.39177470274338755</v>
      </c>
      <c r="AH1830" s="2" t="str">
        <f ca="1"/>
        <v>OK</v>
      </c>
    </row>
    <row r="1831" spans="2:34" x14ac:dyDescent="0.2">
      <c r="B1831" s="2">
        <f ca="1"/>
        <v>0.50237260054140753</v>
      </c>
      <c r="O1831" s="2">
        <f ca="1"/>
        <v>-1.0111734062736994</v>
      </c>
      <c r="X1831" s="2">
        <f ca="1"/>
        <v>34.29995127825822</v>
      </c>
      <c r="AG1831" s="2">
        <f ca="1"/>
        <v>0.6826990122036265</v>
      </c>
      <c r="AH1831" s="2" t="str">
        <f ca="1"/>
        <v>Bad</v>
      </c>
    </row>
    <row r="1832" spans="2:34" x14ac:dyDescent="0.2">
      <c r="B1832" s="2">
        <f ca="1"/>
        <v>0.12388238024341414</v>
      </c>
      <c r="O1832" s="2">
        <f ca="1"/>
        <v>-0.97614196943113551</v>
      </c>
      <c r="X1832" s="2">
        <f ca="1"/>
        <v>47.731088342733202</v>
      </c>
      <c r="AG1832" s="2">
        <f ca="1"/>
        <v>5.1467464038635891E-2</v>
      </c>
      <c r="AH1832" s="2" t="str">
        <f ca="1"/>
        <v>OK</v>
      </c>
    </row>
    <row r="1833" spans="2:34" x14ac:dyDescent="0.2">
      <c r="B1833" s="2">
        <f ca="1"/>
        <v>0.48846238157451838</v>
      </c>
      <c r="O1833" s="2">
        <f ca="1"/>
        <v>-0.69864222847843371</v>
      </c>
      <c r="X1833" s="2">
        <f ca="1"/>
        <v>55.313104388725776</v>
      </c>
      <c r="AG1833" s="2">
        <f ca="1"/>
        <v>0.97137272032979949</v>
      </c>
      <c r="AH1833" s="2" t="str">
        <f ca="1"/>
        <v>Bad</v>
      </c>
    </row>
    <row r="1834" spans="2:34" x14ac:dyDescent="0.2">
      <c r="B1834" s="2">
        <f ca="1"/>
        <v>2.095226736969158E-3</v>
      </c>
      <c r="O1834" s="2">
        <f ca="1"/>
        <v>-0.59786723770558259</v>
      </c>
      <c r="X1834" s="2">
        <f ca="1"/>
        <v>56.005811455751278</v>
      </c>
      <c r="AG1834" s="2">
        <f ca="1"/>
        <v>0.15969879269669662</v>
      </c>
      <c r="AH1834" s="2" t="str">
        <f ca="1"/>
        <v>OK</v>
      </c>
    </row>
    <row r="1835" spans="2:34" x14ac:dyDescent="0.2">
      <c r="B1835" s="2">
        <f ca="1"/>
        <v>7.6373259944769956E-2</v>
      </c>
      <c r="O1835" s="2">
        <f ca="1"/>
        <v>0.4613818241557413</v>
      </c>
      <c r="X1835" s="2">
        <f ca="1"/>
        <v>23.02509841027371</v>
      </c>
      <c r="AG1835" s="2">
        <f ca="1"/>
        <v>0.72006334697058638</v>
      </c>
      <c r="AH1835" s="2" t="str">
        <f ca="1"/>
        <v>Bad</v>
      </c>
    </row>
    <row r="1836" spans="2:34" x14ac:dyDescent="0.2">
      <c r="B1836" s="2">
        <f ca="1"/>
        <v>0.5038476983359399</v>
      </c>
      <c r="O1836" s="2">
        <f ca="1"/>
        <v>-0.85856809965057079</v>
      </c>
      <c r="X1836" s="2">
        <f ca="1"/>
        <v>39.682296139370521</v>
      </c>
      <c r="AG1836" s="2">
        <f ca="1"/>
        <v>0.74963567123099573</v>
      </c>
      <c r="AH1836" s="2" t="str">
        <f ca="1"/>
        <v>Bad</v>
      </c>
    </row>
    <row r="1837" spans="2:34" x14ac:dyDescent="0.2">
      <c r="B1837" s="2">
        <f ca="1"/>
        <v>0.11890347756860398</v>
      </c>
      <c r="O1837" s="2">
        <f ca="1"/>
        <v>-0.19756968147687098</v>
      </c>
      <c r="X1837" s="2">
        <f ca="1"/>
        <v>62.447806854671285</v>
      </c>
      <c r="AG1837" s="2">
        <f ca="1"/>
        <v>0.10910964137193324</v>
      </c>
      <c r="AH1837" s="2" t="str">
        <f ca="1"/>
        <v>OK</v>
      </c>
    </row>
    <row r="1838" spans="2:34" x14ac:dyDescent="0.2">
      <c r="B1838" s="2">
        <f ca="1"/>
        <v>0.12958818954973061</v>
      </c>
      <c r="O1838" s="2">
        <f ca="1"/>
        <v>0.79740754201890673</v>
      </c>
      <c r="X1838" s="2">
        <f ca="1"/>
        <v>74.816666176015659</v>
      </c>
      <c r="AG1838" s="2">
        <f ca="1"/>
        <v>0.92774807655985714</v>
      </c>
      <c r="AH1838" s="2" t="str">
        <f ca="1"/>
        <v>Bad</v>
      </c>
    </row>
    <row r="1839" spans="2:34" x14ac:dyDescent="0.2">
      <c r="B1839" s="2">
        <f ca="1"/>
        <v>0.4489607326313283</v>
      </c>
      <c r="O1839" s="2">
        <f ca="1"/>
        <v>0.65162909297936755</v>
      </c>
      <c r="X1839" s="2">
        <f ca="1"/>
        <v>85.403409530355034</v>
      </c>
      <c r="AG1839" s="2">
        <f ca="1"/>
        <v>0.15312413541752679</v>
      </c>
      <c r="AH1839" s="2" t="str">
        <f ca="1"/>
        <v>OK</v>
      </c>
    </row>
    <row r="1840" spans="2:34" x14ac:dyDescent="0.2">
      <c r="B1840" s="2">
        <f ca="1"/>
        <v>0.55242655133969776</v>
      </c>
      <c r="O1840" s="2">
        <f ca="1"/>
        <v>-1.6950576869267211</v>
      </c>
      <c r="X1840" s="2">
        <f ca="1"/>
        <v>29.956851867293789</v>
      </c>
      <c r="AG1840" s="2">
        <f ca="1"/>
        <v>0.54762025120324664</v>
      </c>
      <c r="AH1840" s="2" t="str">
        <f ca="1"/>
        <v>Bad</v>
      </c>
    </row>
    <row r="1841" spans="2:34" x14ac:dyDescent="0.2">
      <c r="B1841" s="2">
        <f ca="1"/>
        <v>0.24990659676544058</v>
      </c>
      <c r="O1841" s="2">
        <f ca="1"/>
        <v>0.24695537727996211</v>
      </c>
      <c r="X1841" s="2">
        <f ca="1"/>
        <v>32.892860305563019</v>
      </c>
      <c r="AG1841" s="2">
        <f ca="1"/>
        <v>0.12935251573917128</v>
      </c>
      <c r="AH1841" s="2" t="str">
        <f ca="1"/>
        <v>OK</v>
      </c>
    </row>
    <row r="1842" spans="2:34" x14ac:dyDescent="0.2">
      <c r="B1842" s="2">
        <f ca="1"/>
        <v>0.73785013413267753</v>
      </c>
      <c r="O1842" s="2">
        <f ca="1"/>
        <v>-0.40771387407277537</v>
      </c>
      <c r="X1842" s="2">
        <f ca="1"/>
        <v>50.097497869878964</v>
      </c>
      <c r="AG1842" s="2">
        <f ca="1"/>
        <v>0.60915638177050391</v>
      </c>
      <c r="AH1842" s="2" t="str">
        <f ca="1"/>
        <v>Bad</v>
      </c>
    </row>
    <row r="1843" spans="2:34" x14ac:dyDescent="0.2">
      <c r="B1843" s="2">
        <f ca="1"/>
        <v>0.11536296907636978</v>
      </c>
      <c r="O1843" s="2">
        <f ca="1"/>
        <v>-2.6847818977850015E-2</v>
      </c>
      <c r="X1843" s="2">
        <f ca="1"/>
        <v>46.313731503033502</v>
      </c>
      <c r="AG1843" s="2">
        <f ca="1"/>
        <v>0.25797921359786202</v>
      </c>
      <c r="AH1843" s="2" t="str">
        <f ca="1"/>
        <v>OK</v>
      </c>
    </row>
    <row r="1844" spans="2:34" x14ac:dyDescent="0.2">
      <c r="B1844" s="2">
        <f ca="1"/>
        <v>0.40067389580504043</v>
      </c>
      <c r="O1844" s="2">
        <f ca="1"/>
        <v>-0.2748540812584761</v>
      </c>
      <c r="X1844" s="2">
        <f ca="1"/>
        <v>66.594254332358517</v>
      </c>
      <c r="AG1844" s="2">
        <f ca="1"/>
        <v>0.35880137131606693</v>
      </c>
      <c r="AH1844" s="2" t="str">
        <f ca="1"/>
        <v>OK</v>
      </c>
    </row>
    <row r="1845" spans="2:34" x14ac:dyDescent="0.2">
      <c r="B1845" s="2">
        <f ca="1"/>
        <v>0.23692429274495685</v>
      </c>
      <c r="O1845" s="2">
        <f ca="1"/>
        <v>0.87848741894832372</v>
      </c>
      <c r="X1845" s="2">
        <f ca="1"/>
        <v>40.41168502769959</v>
      </c>
      <c r="AG1845" s="2">
        <f ca="1"/>
        <v>0.46754590747755298</v>
      </c>
      <c r="AH1845" s="2" t="str">
        <f ca="1"/>
        <v>Bad</v>
      </c>
    </row>
    <row r="1846" spans="2:34" x14ac:dyDescent="0.2">
      <c r="B1846" s="2">
        <f ca="1"/>
        <v>0.76274249690789464</v>
      </c>
      <c r="O1846" s="2">
        <f ca="1"/>
        <v>-1.0315342261398275</v>
      </c>
      <c r="X1846" s="2">
        <f ca="1"/>
        <v>33.443793456800961</v>
      </c>
      <c r="AG1846" s="2">
        <f ca="1"/>
        <v>1.9695575426605716E-2</v>
      </c>
      <c r="AH1846" s="2" t="str">
        <f ca="1"/>
        <v>Good</v>
      </c>
    </row>
    <row r="1847" spans="2:34" x14ac:dyDescent="0.2">
      <c r="B1847" s="2">
        <f ca="1"/>
        <v>0.9800513828342452</v>
      </c>
      <c r="O1847" s="2">
        <f ca="1"/>
        <v>1.2611141492099962</v>
      </c>
      <c r="X1847" s="2">
        <f ca="1"/>
        <v>67.047403121508353</v>
      </c>
      <c r="AG1847" s="2">
        <f ca="1"/>
        <v>0.47618505592285976</v>
      </c>
      <c r="AH1847" s="2" t="str">
        <f ca="1"/>
        <v>Bad</v>
      </c>
    </row>
    <row r="1848" spans="2:34" x14ac:dyDescent="0.2">
      <c r="B1848" s="2">
        <f ca="1"/>
        <v>0.54373345885622104</v>
      </c>
      <c r="O1848" s="2">
        <f ca="1"/>
        <v>0.92802529659268118</v>
      </c>
      <c r="X1848" s="2">
        <f ca="1"/>
        <v>43.065996828245815</v>
      </c>
      <c r="AG1848" s="2">
        <f ca="1"/>
        <v>0.81603824621095833</v>
      </c>
      <c r="AH1848" s="2" t="str">
        <f ca="1"/>
        <v>Bad</v>
      </c>
    </row>
    <row r="1849" spans="2:34" x14ac:dyDescent="0.2">
      <c r="B1849" s="2">
        <f ca="1"/>
        <v>0.24455874412245482</v>
      </c>
      <c r="O1849" s="2">
        <f ca="1"/>
        <v>0.54604177183295322</v>
      </c>
      <c r="X1849" s="2">
        <f ca="1"/>
        <v>81.686621999157353</v>
      </c>
      <c r="AG1849" s="2">
        <f ca="1"/>
        <v>0.25960857165231954</v>
      </c>
      <c r="AH1849" s="2" t="str">
        <f ca="1"/>
        <v>OK</v>
      </c>
    </row>
    <row r="1850" spans="2:34" x14ac:dyDescent="0.2">
      <c r="B1850" s="2">
        <f ca="1"/>
        <v>0.73202661250715884</v>
      </c>
      <c r="O1850" s="2">
        <f ca="1"/>
        <v>-1.8884872027086554</v>
      </c>
      <c r="X1850" s="2">
        <f ca="1"/>
        <v>38.515319640649281</v>
      </c>
      <c r="AG1850" s="2">
        <f ca="1"/>
        <v>8.0317043893795681E-2</v>
      </c>
      <c r="AH1850" s="2" t="str">
        <f ca="1"/>
        <v>OK</v>
      </c>
    </row>
    <row r="1851" spans="2:34" x14ac:dyDescent="0.2">
      <c r="B1851" s="2">
        <f ca="1"/>
        <v>0.95580600065166976</v>
      </c>
      <c r="O1851" s="2">
        <f ca="1"/>
        <v>-1.3691128477841739</v>
      </c>
      <c r="X1851" s="2">
        <f ca="1"/>
        <v>37.497229429649735</v>
      </c>
      <c r="AG1851" s="2">
        <f ca="1"/>
        <v>0.14441885621955208</v>
      </c>
      <c r="AH1851" s="2" t="str">
        <f ca="1"/>
        <v>OK</v>
      </c>
    </row>
    <row r="1852" spans="2:34" x14ac:dyDescent="0.2">
      <c r="B1852" s="2">
        <f ca="1"/>
        <v>0.48908006554254357</v>
      </c>
      <c r="O1852" s="2">
        <f ca="1"/>
        <v>-0.33327722960728745</v>
      </c>
      <c r="X1852" s="2">
        <f ca="1"/>
        <v>26.441775280627123</v>
      </c>
      <c r="AG1852" s="2">
        <f ca="1"/>
        <v>0.38062738711368316</v>
      </c>
      <c r="AH1852" s="2" t="str">
        <f ca="1"/>
        <v>OK</v>
      </c>
    </row>
    <row r="1853" spans="2:34" x14ac:dyDescent="0.2">
      <c r="B1853" s="2">
        <f ca="1"/>
        <v>0.1774018939922084</v>
      </c>
      <c r="O1853" s="2">
        <f ca="1"/>
        <v>-3.243905040037776</v>
      </c>
      <c r="X1853" s="2">
        <f ca="1"/>
        <v>41.868134036971355</v>
      </c>
      <c r="AG1853" s="2">
        <f ca="1"/>
        <v>0.91382740124682882</v>
      </c>
      <c r="AH1853" s="2" t="str">
        <f ca="1"/>
        <v>Bad</v>
      </c>
    </row>
    <row r="1854" spans="2:34" x14ac:dyDescent="0.2">
      <c r="B1854" s="2">
        <f ca="1"/>
        <v>0.23654539768449667</v>
      </c>
      <c r="O1854" s="2">
        <f ca="1"/>
        <v>-1.6860738296184183</v>
      </c>
      <c r="X1854" s="2">
        <f ca="1"/>
        <v>33.900720855764348</v>
      </c>
      <c r="AG1854" s="2">
        <f ca="1"/>
        <v>9.6866591319353379E-2</v>
      </c>
      <c r="AH1854" s="2" t="str">
        <f ca="1"/>
        <v>OK</v>
      </c>
    </row>
    <row r="1855" spans="2:34" x14ac:dyDescent="0.2">
      <c r="B1855" s="2">
        <f ca="1"/>
        <v>0.93459936731626136</v>
      </c>
      <c r="O1855" s="2">
        <f ca="1"/>
        <v>-0.78215238221389438</v>
      </c>
      <c r="X1855" s="2">
        <f ca="1"/>
        <v>46.602535677781553</v>
      </c>
      <c r="AG1855" s="2">
        <f ca="1"/>
        <v>0.48567265332116927</v>
      </c>
      <c r="AH1855" s="2" t="str">
        <f ca="1"/>
        <v>Bad</v>
      </c>
    </row>
    <row r="1856" spans="2:34" x14ac:dyDescent="0.2">
      <c r="B1856" s="2">
        <f ca="1"/>
        <v>0.66653544265225917</v>
      </c>
      <c r="O1856" s="2">
        <f ca="1"/>
        <v>1.119981683887227</v>
      </c>
      <c r="X1856" s="2">
        <f ca="1"/>
        <v>62.947917657274253</v>
      </c>
      <c r="AG1856" s="2">
        <f ca="1"/>
        <v>0.31712228102889495</v>
      </c>
      <c r="AH1856" s="2" t="str">
        <f ca="1"/>
        <v>OK</v>
      </c>
    </row>
    <row r="1857" spans="2:34" x14ac:dyDescent="0.2">
      <c r="B1857" s="2">
        <f ca="1"/>
        <v>0.90846008488349317</v>
      </c>
      <c r="O1857" s="2">
        <f ca="1"/>
        <v>-0.62485342727203386</v>
      </c>
      <c r="X1857" s="2">
        <f ca="1"/>
        <v>29.79963574682818</v>
      </c>
      <c r="AG1857" s="2">
        <f ca="1"/>
        <v>0.64292998459500228</v>
      </c>
      <c r="AH1857" s="2" t="str">
        <f ca="1"/>
        <v>Bad</v>
      </c>
    </row>
    <row r="1858" spans="2:34" x14ac:dyDescent="0.2">
      <c r="B1858" s="2">
        <f ca="1"/>
        <v>0.36292372028906961</v>
      </c>
      <c r="O1858" s="2">
        <f ca="1"/>
        <v>-0.79764050179481383</v>
      </c>
      <c r="X1858" s="2">
        <f ca="1"/>
        <v>51.66427873773722</v>
      </c>
      <c r="AG1858" s="2">
        <f ca="1"/>
        <v>0.31542810790040576</v>
      </c>
      <c r="AH1858" s="2" t="str">
        <f ca="1"/>
        <v>OK</v>
      </c>
    </row>
    <row r="1859" spans="2:34" x14ac:dyDescent="0.2">
      <c r="B1859" s="2">
        <f ca="1"/>
        <v>0.98582571810715214</v>
      </c>
      <c r="O1859" s="2">
        <f ca="1"/>
        <v>-0.19464432596210945</v>
      </c>
      <c r="X1859" s="2">
        <f ca="1"/>
        <v>35.873968036618194</v>
      </c>
      <c r="AG1859" s="2">
        <f ca="1"/>
        <v>0.61715318442427192</v>
      </c>
      <c r="AH1859" s="2" t="str">
        <f ca="1"/>
        <v>Bad</v>
      </c>
    </row>
    <row r="1860" spans="2:34" x14ac:dyDescent="0.2">
      <c r="B1860" s="2">
        <f ca="1"/>
        <v>0.28864132910026141</v>
      </c>
      <c r="O1860" s="2">
        <f ca="1"/>
        <v>0.19353360219446245</v>
      </c>
      <c r="X1860" s="2">
        <f ca="1"/>
        <v>54.476298155077004</v>
      </c>
      <c r="AG1860" s="2">
        <f ca="1"/>
        <v>0.88473487041202725</v>
      </c>
      <c r="AH1860" s="2" t="str">
        <f ca="1"/>
        <v>Bad</v>
      </c>
    </row>
    <row r="1861" spans="2:34" x14ac:dyDescent="0.2">
      <c r="B1861" s="2">
        <f ca="1"/>
        <v>0.98668511108739176</v>
      </c>
      <c r="O1861" s="2">
        <f ca="1"/>
        <v>-1.7925231508170629</v>
      </c>
      <c r="X1861" s="2">
        <f ca="1"/>
        <v>59.956977020430017</v>
      </c>
      <c r="AG1861" s="2">
        <f ca="1"/>
        <v>0.64985281225362979</v>
      </c>
      <c r="AH1861" s="2" t="str">
        <f ca="1"/>
        <v>Bad</v>
      </c>
    </row>
    <row r="1862" spans="2:34" x14ac:dyDescent="0.2">
      <c r="B1862" s="2">
        <f ca="1"/>
        <v>0.45668489819893976</v>
      </c>
      <c r="O1862" s="2">
        <f ca="1"/>
        <v>0.59592691303222056</v>
      </c>
      <c r="X1862" s="2">
        <f ca="1"/>
        <v>58.725015647345991</v>
      </c>
      <c r="AG1862" s="2">
        <f ca="1"/>
        <v>0.13985698497443244</v>
      </c>
      <c r="AH1862" s="2" t="str">
        <f ca="1"/>
        <v>OK</v>
      </c>
    </row>
    <row r="1863" spans="2:34" x14ac:dyDescent="0.2">
      <c r="B1863" s="2">
        <f ca="1"/>
        <v>0.72802236965389233</v>
      </c>
      <c r="O1863" s="2">
        <f ca="1"/>
        <v>-1.0424270312174737</v>
      </c>
      <c r="X1863" s="2">
        <f ca="1"/>
        <v>62.943103346485216</v>
      </c>
      <c r="AG1863" s="2">
        <f ca="1"/>
        <v>8.6765691085889163E-2</v>
      </c>
      <c r="AH1863" s="2" t="str">
        <f ca="1"/>
        <v>OK</v>
      </c>
    </row>
    <row r="1864" spans="2:34" x14ac:dyDescent="0.2">
      <c r="B1864" s="2">
        <f ca="1"/>
        <v>0.96531195232410738</v>
      </c>
      <c r="O1864" s="2">
        <f ca="1"/>
        <v>-0.5624980824557263</v>
      </c>
      <c r="X1864" s="2">
        <f ca="1"/>
        <v>33.059857174985993</v>
      </c>
      <c r="AG1864" s="2">
        <f ca="1"/>
        <v>0.30659346436702339</v>
      </c>
      <c r="AH1864" s="2" t="str">
        <f ca="1"/>
        <v>OK</v>
      </c>
    </row>
    <row r="1865" spans="2:34" x14ac:dyDescent="0.2">
      <c r="B1865" s="2">
        <f ca="1"/>
        <v>0.17211752782686296</v>
      </c>
      <c r="O1865" s="2">
        <f ca="1"/>
        <v>0.5524509283903738</v>
      </c>
      <c r="X1865" s="2">
        <f ca="1"/>
        <v>36.118980267538412</v>
      </c>
      <c r="AG1865" s="2">
        <f ca="1"/>
        <v>0.27397690266821995</v>
      </c>
      <c r="AH1865" s="2" t="str">
        <f ca="1"/>
        <v>OK</v>
      </c>
    </row>
    <row r="1866" spans="2:34" x14ac:dyDescent="0.2">
      <c r="B1866" s="2">
        <f ca="1"/>
        <v>0.36964676577095767</v>
      </c>
      <c r="O1866" s="2">
        <f ca="1"/>
        <v>1.7676712053002694</v>
      </c>
      <c r="X1866" s="2">
        <f ca="1"/>
        <v>49.077641150822366</v>
      </c>
      <c r="AG1866" s="2">
        <f ca="1"/>
        <v>0.20535612888557186</v>
      </c>
      <c r="AH1866" s="2" t="str">
        <f ca="1"/>
        <v>OK</v>
      </c>
    </row>
    <row r="1867" spans="2:34" x14ac:dyDescent="0.2">
      <c r="B1867" s="2">
        <f ca="1"/>
        <v>0.17290452385954969</v>
      </c>
      <c r="O1867" s="2">
        <f ca="1"/>
        <v>0.66034185623198427</v>
      </c>
      <c r="X1867" s="2">
        <f ca="1"/>
        <v>36.218774932041228</v>
      </c>
      <c r="AG1867" s="2">
        <f ca="1"/>
        <v>0.93491922383765691</v>
      </c>
      <c r="AH1867" s="2" t="str">
        <f ca="1"/>
        <v>Bad</v>
      </c>
    </row>
    <row r="1868" spans="2:34" x14ac:dyDescent="0.2">
      <c r="B1868" s="2">
        <f ca="1"/>
        <v>0.72406583803524716</v>
      </c>
      <c r="O1868" s="2">
        <f ca="1"/>
        <v>-1.8363443415002834</v>
      </c>
      <c r="X1868" s="2">
        <f ca="1"/>
        <v>45.730772469059929</v>
      </c>
      <c r="AG1868" s="2">
        <f ca="1"/>
        <v>0.62983608726178542</v>
      </c>
      <c r="AH1868" s="2" t="str">
        <f ca="1"/>
        <v>Bad</v>
      </c>
    </row>
    <row r="1869" spans="2:34" x14ac:dyDescent="0.2">
      <c r="B1869" s="2">
        <f ca="1"/>
        <v>0.38130708030341065</v>
      </c>
      <c r="O1869" s="2">
        <f ca="1"/>
        <v>-1.1518756571242847</v>
      </c>
      <c r="X1869" s="2">
        <f ca="1"/>
        <v>48.475345217487117</v>
      </c>
      <c r="AG1869" s="2">
        <f ca="1"/>
        <v>0.48358794011186013</v>
      </c>
      <c r="AH1869" s="2" t="str">
        <f ca="1"/>
        <v>Bad</v>
      </c>
    </row>
    <row r="1870" spans="2:34" x14ac:dyDescent="0.2">
      <c r="B1870" s="2">
        <f ca="1"/>
        <v>0.66497377588098883</v>
      </c>
      <c r="O1870" s="2">
        <f ca="1"/>
        <v>-0.28551756750996898</v>
      </c>
      <c r="X1870" s="2">
        <f ca="1"/>
        <v>52.345321123032662</v>
      </c>
      <c r="AG1870" s="2">
        <f ca="1"/>
        <v>0.9380297079010036</v>
      </c>
      <c r="AH1870" s="2" t="str">
        <f ca="1"/>
        <v>Bad</v>
      </c>
    </row>
    <row r="1871" spans="2:34" x14ac:dyDescent="0.2">
      <c r="B1871" s="2">
        <f ca="1"/>
        <v>2.5119218068900162E-2</v>
      </c>
      <c r="O1871" s="2">
        <f ca="1"/>
        <v>0.37890010089138076</v>
      </c>
      <c r="X1871" s="2">
        <f ca="1"/>
        <v>69.905709297832161</v>
      </c>
      <c r="AG1871" s="2">
        <f ca="1"/>
        <v>0.70653027512902877</v>
      </c>
      <c r="AH1871" s="2" t="str">
        <f ca="1"/>
        <v>Bad</v>
      </c>
    </row>
    <row r="1872" spans="2:34" x14ac:dyDescent="0.2">
      <c r="B1872" s="2">
        <f ca="1"/>
        <v>0.12639142079283339</v>
      </c>
      <c r="O1872" s="2">
        <f ca="1"/>
        <v>0.83603606782611095</v>
      </c>
      <c r="X1872" s="2">
        <f ca="1"/>
        <v>38.329803408713914</v>
      </c>
      <c r="AG1872" s="2">
        <f ca="1"/>
        <v>0.87708730720828476</v>
      </c>
      <c r="AH1872" s="2" t="str">
        <f ca="1"/>
        <v>Bad</v>
      </c>
    </row>
    <row r="1873" spans="2:34" x14ac:dyDescent="0.2">
      <c r="B1873" s="2">
        <f ca="1"/>
        <v>0.40447246212682519</v>
      </c>
      <c r="O1873" s="2">
        <f ca="1"/>
        <v>-1.0724376004419431</v>
      </c>
      <c r="X1873" s="2">
        <f ca="1"/>
        <v>64.300394674810263</v>
      </c>
      <c r="AG1873" s="2">
        <f ca="1"/>
        <v>3.1769332724234545E-2</v>
      </c>
      <c r="AH1873" s="2" t="str">
        <f ca="1"/>
        <v>Good</v>
      </c>
    </row>
    <row r="1874" spans="2:34" x14ac:dyDescent="0.2">
      <c r="B1874" s="2">
        <f ca="1"/>
        <v>0.48795997432907545</v>
      </c>
      <c r="O1874" s="2">
        <f ca="1"/>
        <v>2.460365633732708</v>
      </c>
      <c r="X1874" s="2">
        <f ca="1"/>
        <v>37.527655695830248</v>
      </c>
      <c r="AG1874" s="2">
        <f ca="1"/>
        <v>1.4393172186139225E-2</v>
      </c>
      <c r="AH1874" s="2" t="str">
        <f ca="1"/>
        <v>Good</v>
      </c>
    </row>
    <row r="1875" spans="2:34" x14ac:dyDescent="0.2">
      <c r="B1875" s="2">
        <f ca="1"/>
        <v>5.2488111048978103E-2</v>
      </c>
      <c r="O1875" s="2">
        <f ca="1"/>
        <v>-7.7062045413469518E-2</v>
      </c>
      <c r="X1875" s="2">
        <f ca="1"/>
        <v>86.926321234301369</v>
      </c>
      <c r="AG1875" s="2">
        <f ca="1"/>
        <v>0.79330996090286177</v>
      </c>
      <c r="AH1875" s="2" t="str">
        <f ca="1"/>
        <v>Bad</v>
      </c>
    </row>
    <row r="1876" spans="2:34" x14ac:dyDescent="0.2">
      <c r="B1876" s="2">
        <f ca="1"/>
        <v>0.23899878875190228</v>
      </c>
      <c r="O1876" s="2">
        <f ca="1"/>
        <v>-3.0998614951148699E-2</v>
      </c>
      <c r="X1876" s="2">
        <f ca="1"/>
        <v>14.724066313365325</v>
      </c>
      <c r="AG1876" s="2">
        <f ca="1"/>
        <v>0.79712177592722555</v>
      </c>
      <c r="AH1876" s="2" t="str">
        <f ca="1"/>
        <v>Bad</v>
      </c>
    </row>
    <row r="1877" spans="2:34" x14ac:dyDescent="0.2">
      <c r="B1877" s="2">
        <f ca="1"/>
        <v>0.95296645587995377</v>
      </c>
      <c r="O1877" s="2">
        <f ca="1"/>
        <v>-0.20546817324473959</v>
      </c>
      <c r="X1877" s="2">
        <f ca="1"/>
        <v>39.643566252889634</v>
      </c>
      <c r="AG1877" s="2">
        <f ca="1"/>
        <v>0.25787646700983147</v>
      </c>
      <c r="AH1877" s="2" t="str">
        <f ca="1"/>
        <v>OK</v>
      </c>
    </row>
    <row r="1878" spans="2:34" x14ac:dyDescent="0.2">
      <c r="B1878" s="2">
        <f ca="1"/>
        <v>0.38857553535714606</v>
      </c>
      <c r="O1878" s="2">
        <f ca="1"/>
        <v>-0.53073379950451927</v>
      </c>
      <c r="X1878" s="2">
        <f ca="1"/>
        <v>27.924405910780308</v>
      </c>
      <c r="AG1878" s="2">
        <f ca="1"/>
        <v>0.34940008730616423</v>
      </c>
      <c r="AH1878" s="2" t="str">
        <f ca="1"/>
        <v>OK</v>
      </c>
    </row>
    <row r="1879" spans="2:34" x14ac:dyDescent="0.2">
      <c r="B1879" s="2">
        <f ca="1"/>
        <v>0.16014530385486925</v>
      </c>
      <c r="O1879" s="2">
        <f ca="1"/>
        <v>1.2176354196228103</v>
      </c>
      <c r="X1879" s="2">
        <f ca="1"/>
        <v>32.205907706651367</v>
      </c>
      <c r="AG1879" s="2">
        <f ca="1"/>
        <v>0.2761699904279753</v>
      </c>
      <c r="AH1879" s="2" t="str">
        <f ca="1"/>
        <v>OK</v>
      </c>
    </row>
    <row r="1880" spans="2:34" x14ac:dyDescent="0.2">
      <c r="B1880" s="2">
        <f ca="1"/>
        <v>0.25982001724911585</v>
      </c>
      <c r="O1880" s="2">
        <f ca="1"/>
        <v>0.41279185686111686</v>
      </c>
      <c r="X1880" s="2">
        <f ca="1"/>
        <v>36.360876689942344</v>
      </c>
      <c r="AG1880" s="2">
        <f ca="1"/>
        <v>0.32864918404520727</v>
      </c>
      <c r="AH1880" s="2" t="str">
        <f ca="1"/>
        <v>OK</v>
      </c>
    </row>
    <row r="1881" spans="2:34" x14ac:dyDescent="0.2">
      <c r="B1881" s="2">
        <f ca="1"/>
        <v>0.79764798245785973</v>
      </c>
      <c r="O1881" s="2">
        <f ca="1"/>
        <v>-1.3474987711071862</v>
      </c>
      <c r="X1881" s="2">
        <f ca="1"/>
        <v>56.805237195717709</v>
      </c>
      <c r="AG1881" s="2">
        <f ca="1"/>
        <v>0.88510605962367506</v>
      </c>
      <c r="AH1881" s="2" t="str">
        <f ca="1"/>
        <v>Bad</v>
      </c>
    </row>
    <row r="1882" spans="2:34" x14ac:dyDescent="0.2">
      <c r="B1882" s="2">
        <f ca="1"/>
        <v>0.78340669293612319</v>
      </c>
      <c r="O1882" s="2">
        <f ca="1"/>
        <v>-0.60400078653411993</v>
      </c>
      <c r="X1882" s="2">
        <f ca="1"/>
        <v>29.824235447953427</v>
      </c>
      <c r="AG1882" s="2">
        <f ca="1"/>
        <v>0.4229742447649445</v>
      </c>
      <c r="AH1882" s="2" t="str">
        <f ca="1"/>
        <v>Bad</v>
      </c>
    </row>
    <row r="1883" spans="2:34" x14ac:dyDescent="0.2">
      <c r="B1883" s="2">
        <f ca="1"/>
        <v>0.73780957975686334</v>
      </c>
      <c r="O1883" s="2">
        <f ca="1"/>
        <v>0.1824809863569796</v>
      </c>
      <c r="X1883" s="2">
        <f ca="1"/>
        <v>49.468070506494811</v>
      </c>
      <c r="AG1883" s="2">
        <f ca="1"/>
        <v>0.80984689725970305</v>
      </c>
      <c r="AH1883" s="2" t="str">
        <f ca="1"/>
        <v>Bad</v>
      </c>
    </row>
    <row r="1884" spans="2:34" x14ac:dyDescent="0.2">
      <c r="B1884" s="2">
        <f ca="1"/>
        <v>0.47594043401602604</v>
      </c>
      <c r="O1884" s="2">
        <f ca="1"/>
        <v>-0.57781778802510431</v>
      </c>
      <c r="X1884" s="2">
        <f ca="1"/>
        <v>42.107913626425315</v>
      </c>
      <c r="AG1884" s="2">
        <f ca="1"/>
        <v>0.66502411245331605</v>
      </c>
      <c r="AH1884" s="2" t="str">
        <f ca="1"/>
        <v>Bad</v>
      </c>
    </row>
    <row r="1885" spans="2:34" x14ac:dyDescent="0.2">
      <c r="B1885" s="2">
        <f ca="1"/>
        <v>0.43070712220460705</v>
      </c>
      <c r="O1885" s="2">
        <f ca="1"/>
        <v>0.65057701707040183</v>
      </c>
      <c r="X1885" s="2">
        <f ca="1"/>
        <v>33.901854849244486</v>
      </c>
      <c r="AG1885" s="2">
        <f ca="1"/>
        <v>0.94447064952526238</v>
      </c>
      <c r="AH1885" s="2" t="str">
        <f ca="1"/>
        <v>Bad</v>
      </c>
    </row>
    <row r="1886" spans="2:34" x14ac:dyDescent="0.2">
      <c r="B1886" s="2">
        <f ca="1"/>
        <v>0.28979794488202515</v>
      </c>
      <c r="O1886" s="2">
        <f ca="1"/>
        <v>-0.41401799561996905</v>
      </c>
      <c r="X1886" s="2">
        <f ca="1"/>
        <v>44.863568035546265</v>
      </c>
      <c r="AG1886" s="2">
        <f ca="1"/>
        <v>0.20078451935368657</v>
      </c>
      <c r="AH1886" s="2" t="str">
        <f ca="1"/>
        <v>OK</v>
      </c>
    </row>
    <row r="1887" spans="2:34" x14ac:dyDescent="0.2">
      <c r="B1887" s="2">
        <f ca="1"/>
        <v>0.18263609753115162</v>
      </c>
      <c r="O1887" s="2">
        <f ca="1"/>
        <v>1.4824792290832154</v>
      </c>
      <c r="X1887" s="2">
        <f ca="1"/>
        <v>30.275454436578638</v>
      </c>
      <c r="AG1887" s="2">
        <f ca="1"/>
        <v>0.37608886209379766</v>
      </c>
      <c r="AH1887" s="2" t="str">
        <f ca="1"/>
        <v>OK</v>
      </c>
    </row>
    <row r="1888" spans="2:34" x14ac:dyDescent="0.2">
      <c r="B1888" s="2">
        <f ca="1"/>
        <v>0.68604830778723347</v>
      </c>
      <c r="O1888" s="2">
        <f ca="1"/>
        <v>-0.53441185101566702</v>
      </c>
      <c r="X1888" s="2">
        <f ca="1"/>
        <v>67.35433999442462</v>
      </c>
      <c r="AG1888" s="2">
        <f ca="1"/>
        <v>0.37001763531834753</v>
      </c>
      <c r="AH1888" s="2" t="str">
        <f ca="1"/>
        <v>OK</v>
      </c>
    </row>
    <row r="1889" spans="2:34" x14ac:dyDescent="0.2">
      <c r="B1889" s="2">
        <f ca="1"/>
        <v>6.5970495949820851E-2</v>
      </c>
      <c r="O1889" s="2">
        <f ca="1"/>
        <v>-1.0354829682350488</v>
      </c>
      <c r="X1889" s="2">
        <f ca="1"/>
        <v>30.506472514145994</v>
      </c>
      <c r="AG1889" s="2">
        <f ca="1"/>
        <v>0.90072244122391831</v>
      </c>
      <c r="AH1889" s="2" t="str">
        <f ca="1"/>
        <v>Bad</v>
      </c>
    </row>
    <row r="1890" spans="2:34" x14ac:dyDescent="0.2">
      <c r="B1890" s="2">
        <f ca="1"/>
        <v>0.64374916686032257</v>
      </c>
      <c r="O1890" s="2">
        <f ca="1"/>
        <v>-0.22080591148765555</v>
      </c>
      <c r="X1890" s="2">
        <f ca="1"/>
        <v>34.204602485499123</v>
      </c>
      <c r="AG1890" s="2">
        <f ca="1"/>
        <v>0.29256216236377997</v>
      </c>
      <c r="AH1890" s="2" t="str">
        <f ca="1"/>
        <v>OK</v>
      </c>
    </row>
    <row r="1891" spans="2:34" x14ac:dyDescent="0.2">
      <c r="B1891" s="2">
        <f ca="1"/>
        <v>0.77750074259958968</v>
      </c>
      <c r="O1891" s="2">
        <f ca="1"/>
        <v>0.66597865359854314</v>
      </c>
      <c r="X1891" s="2">
        <f ca="1"/>
        <v>52.983501320855673</v>
      </c>
      <c r="AG1891" s="2">
        <f ca="1"/>
        <v>0.89932211381569238</v>
      </c>
      <c r="AH1891" s="2" t="str">
        <f ca="1"/>
        <v>Bad</v>
      </c>
    </row>
    <row r="1892" spans="2:34" x14ac:dyDescent="0.2">
      <c r="B1892" s="2">
        <f ca="1"/>
        <v>0.31965556610650125</v>
      </c>
      <c r="O1892" s="2">
        <f ca="1"/>
        <v>1.6888260216922486</v>
      </c>
      <c r="X1892" s="2">
        <f ca="1"/>
        <v>61.995069626475114</v>
      </c>
      <c r="AG1892" s="2">
        <f ca="1"/>
        <v>0.32047413348500076</v>
      </c>
      <c r="AH1892" s="2" t="str">
        <f ca="1"/>
        <v>OK</v>
      </c>
    </row>
    <row r="1893" spans="2:34" x14ac:dyDescent="0.2">
      <c r="B1893" s="2">
        <f ca="1"/>
        <v>0.13989321449588354</v>
      </c>
      <c r="O1893" s="2">
        <f ca="1"/>
        <v>1.8328630576287925</v>
      </c>
      <c r="X1893" s="2">
        <f ca="1"/>
        <v>41.799559375854685</v>
      </c>
      <c r="AG1893" s="2">
        <f ca="1"/>
        <v>0.89001468923247251</v>
      </c>
      <c r="AH1893" s="2" t="str">
        <f ca="1"/>
        <v>Bad</v>
      </c>
    </row>
    <row r="1894" spans="2:34" x14ac:dyDescent="0.2">
      <c r="B1894" s="2">
        <f ca="1"/>
        <v>0.88700945388154384</v>
      </c>
      <c r="O1894" s="2">
        <f ca="1"/>
        <v>-1.4143644200757064</v>
      </c>
      <c r="X1894" s="2">
        <f ca="1"/>
        <v>58.58245212879477</v>
      </c>
      <c r="AG1894" s="2">
        <f ca="1"/>
        <v>0.84133118180466382</v>
      </c>
      <c r="AH1894" s="2" t="str">
        <f ca="1"/>
        <v>Bad</v>
      </c>
    </row>
    <row r="1895" spans="2:34" x14ac:dyDescent="0.2">
      <c r="B1895" s="2">
        <f ca="1"/>
        <v>0.53983957648017911</v>
      </c>
      <c r="O1895" s="2">
        <f ca="1"/>
        <v>-1.5561990167865887</v>
      </c>
      <c r="X1895" s="2">
        <f ca="1"/>
        <v>39.639180782199837</v>
      </c>
      <c r="AG1895" s="2">
        <f ca="1"/>
        <v>0.36357288036162139</v>
      </c>
      <c r="AH1895" s="2" t="str">
        <f ca="1"/>
        <v>OK</v>
      </c>
    </row>
    <row r="1896" spans="2:34" x14ac:dyDescent="0.2">
      <c r="B1896" s="2">
        <f ca="1"/>
        <v>0.7904710996945612</v>
      </c>
      <c r="O1896" s="2">
        <f ca="1"/>
        <v>-0.34934299872846508</v>
      </c>
      <c r="X1896" s="2">
        <f ca="1"/>
        <v>39.454639747061279</v>
      </c>
      <c r="AG1896" s="2">
        <f ca="1"/>
        <v>0.19869874603139492</v>
      </c>
      <c r="AH1896" s="2" t="str">
        <f ca="1"/>
        <v>OK</v>
      </c>
    </row>
    <row r="1897" spans="2:34" x14ac:dyDescent="0.2">
      <c r="B1897" s="2">
        <f ca="1"/>
        <v>0.41874950361356356</v>
      </c>
      <c r="O1897" s="2">
        <f ca="1"/>
        <v>-0.93906948820739278</v>
      </c>
      <c r="X1897" s="2">
        <f ca="1"/>
        <v>58.041497424511128</v>
      </c>
      <c r="AG1897" s="2">
        <f ca="1"/>
        <v>0.80782358663502563</v>
      </c>
      <c r="AH1897" s="2" t="str">
        <f ca="1"/>
        <v>Bad</v>
      </c>
    </row>
    <row r="1898" spans="2:34" x14ac:dyDescent="0.2">
      <c r="B1898" s="2">
        <f ca="1"/>
        <v>0.51815549394847293</v>
      </c>
      <c r="O1898" s="2">
        <f ca="1"/>
        <v>1.653872677600418</v>
      </c>
      <c r="X1898" s="2">
        <f ca="1"/>
        <v>35.628483529271811</v>
      </c>
      <c r="AG1898" s="2">
        <f ca="1"/>
        <v>0.96521873910680744</v>
      </c>
      <c r="AH1898" s="2" t="str">
        <f ca="1"/>
        <v>Bad</v>
      </c>
    </row>
    <row r="1899" spans="2:34" x14ac:dyDescent="0.2">
      <c r="B1899" s="2">
        <f ca="1"/>
        <v>0.25799808610507369</v>
      </c>
      <c r="O1899" s="2">
        <f ca="1"/>
        <v>-0.54545836801534486</v>
      </c>
      <c r="X1899" s="2">
        <f ca="1"/>
        <v>66.097003595916405</v>
      </c>
      <c r="AG1899" s="2">
        <f ca="1"/>
        <v>0.47146520230461975</v>
      </c>
      <c r="AH1899" s="2" t="str">
        <f ca="1"/>
        <v>Bad</v>
      </c>
    </row>
    <row r="1900" spans="2:34" x14ac:dyDescent="0.2">
      <c r="B1900" s="2">
        <f ca="1"/>
        <v>0.53861979207899258</v>
      </c>
      <c r="O1900" s="2">
        <f ca="1"/>
        <v>1.5563996989743669</v>
      </c>
      <c r="X1900" s="2">
        <f ca="1"/>
        <v>62.684256537564721</v>
      </c>
      <c r="AG1900" s="2">
        <f ca="1"/>
        <v>0.90722180428394061</v>
      </c>
      <c r="AH1900" s="2" t="str">
        <f ca="1"/>
        <v>Bad</v>
      </c>
    </row>
    <row r="1901" spans="2:34" x14ac:dyDescent="0.2">
      <c r="B1901" s="2">
        <f ca="1"/>
        <v>0.98890304712683341</v>
      </c>
      <c r="O1901" s="2">
        <f ca="1"/>
        <v>0.92523288704208595</v>
      </c>
      <c r="X1901" s="2">
        <f ca="1"/>
        <v>38.623989444991061</v>
      </c>
      <c r="AG1901" s="2">
        <f ca="1"/>
        <v>0.66846726480216079</v>
      </c>
      <c r="AH1901" s="2" t="str">
        <f ca="1"/>
        <v>Bad</v>
      </c>
    </row>
    <row r="1902" spans="2:34" x14ac:dyDescent="0.2">
      <c r="B1902" s="2">
        <f ca="1"/>
        <v>5.1776086879165018E-2</v>
      </c>
      <c r="O1902" s="2">
        <f ca="1"/>
        <v>-6.3758059770989306E-2</v>
      </c>
      <c r="X1902" s="2">
        <f ca="1"/>
        <v>59.92658812073438</v>
      </c>
      <c r="AG1902" s="2">
        <f ca="1"/>
        <v>0.26652293479292144</v>
      </c>
      <c r="AH1902" s="2" t="str">
        <f ca="1"/>
        <v>OK</v>
      </c>
    </row>
    <row r="1903" spans="2:34" x14ac:dyDescent="0.2">
      <c r="B1903" s="2">
        <f ca="1"/>
        <v>0.64028329796793648</v>
      </c>
      <c r="O1903" s="2">
        <f ca="1"/>
        <v>-9.9846920085458646E-2</v>
      </c>
      <c r="X1903" s="2">
        <f ca="1"/>
        <v>87.993293898891551</v>
      </c>
      <c r="AG1903" s="2">
        <f ca="1"/>
        <v>6.9355504985547656E-2</v>
      </c>
      <c r="AH1903" s="2" t="str">
        <f ca="1"/>
        <v>OK</v>
      </c>
    </row>
    <row r="1904" spans="2:34" x14ac:dyDescent="0.2">
      <c r="B1904" s="2">
        <f ca="1"/>
        <v>0.4372349541444156</v>
      </c>
      <c r="O1904" s="2">
        <f ca="1"/>
        <v>1.2991419946595313</v>
      </c>
      <c r="X1904" s="2">
        <f ca="1"/>
        <v>33.712589874405545</v>
      </c>
      <c r="AG1904" s="2">
        <f ca="1"/>
        <v>0.66503091182556862</v>
      </c>
      <c r="AH1904" s="2" t="str">
        <f ca="1"/>
        <v>Bad</v>
      </c>
    </row>
    <row r="1905" spans="2:34" x14ac:dyDescent="0.2">
      <c r="B1905" s="2">
        <f ca="1"/>
        <v>0.89471706173613685</v>
      </c>
      <c r="O1905" s="2">
        <f ca="1"/>
        <v>0.11306384977184079</v>
      </c>
      <c r="X1905" s="2">
        <f ca="1"/>
        <v>27.143930559936607</v>
      </c>
      <c r="AG1905" s="2">
        <f ca="1"/>
        <v>0.62261078722925078</v>
      </c>
      <c r="AH1905" s="2" t="str">
        <f ca="1"/>
        <v>Bad</v>
      </c>
    </row>
    <row r="1906" spans="2:34" x14ac:dyDescent="0.2">
      <c r="B1906" s="2">
        <f ca="1"/>
        <v>0.26635197901486518</v>
      </c>
      <c r="O1906" s="2">
        <f ca="1"/>
        <v>9.3510186788062968E-3</v>
      </c>
      <c r="X1906" s="2">
        <f ca="1"/>
        <v>81.367208874315864</v>
      </c>
      <c r="AG1906" s="2">
        <f ca="1"/>
        <v>0.25484079734852827</v>
      </c>
      <c r="AH1906" s="2" t="str">
        <f ca="1"/>
        <v>OK</v>
      </c>
    </row>
    <row r="1907" spans="2:34" x14ac:dyDescent="0.2">
      <c r="B1907" s="2">
        <f ca="1"/>
        <v>0.68528486687949353</v>
      </c>
      <c r="O1907" s="2">
        <f ca="1"/>
        <v>-0.68344290039605338</v>
      </c>
      <c r="X1907" s="2">
        <f ca="1"/>
        <v>42.794843620802688</v>
      </c>
      <c r="AG1907" s="2">
        <f ca="1"/>
        <v>2.439257952340923E-2</v>
      </c>
      <c r="AH1907" s="2" t="str">
        <f ca="1"/>
        <v>Good</v>
      </c>
    </row>
    <row r="1908" spans="2:34" x14ac:dyDescent="0.2">
      <c r="B1908" s="2">
        <f ca="1"/>
        <v>6.6356191579924673E-2</v>
      </c>
      <c r="O1908" s="2">
        <f ca="1"/>
        <v>0.44735196057068277</v>
      </c>
      <c r="X1908" s="2">
        <f ca="1"/>
        <v>59.571511940912146</v>
      </c>
      <c r="AG1908" s="2">
        <f ca="1"/>
        <v>0.1814942212927837</v>
      </c>
      <c r="AH1908" s="2" t="str">
        <f ca="1"/>
        <v>OK</v>
      </c>
    </row>
    <row r="1909" spans="2:34" x14ac:dyDescent="0.2">
      <c r="B1909" s="2">
        <f ca="1"/>
        <v>0.94867743532759463</v>
      </c>
      <c r="O1909" s="2">
        <f ca="1"/>
        <v>-0.32736644487269234</v>
      </c>
      <c r="X1909" s="2">
        <f ca="1"/>
        <v>51.448941702885413</v>
      </c>
      <c r="AG1909" s="2">
        <f ca="1"/>
        <v>3.0537628404184503E-2</v>
      </c>
      <c r="AH1909" s="2" t="str">
        <f ca="1"/>
        <v>Good</v>
      </c>
    </row>
    <row r="1910" spans="2:34" x14ac:dyDescent="0.2">
      <c r="B1910" s="2">
        <f ca="1"/>
        <v>0.72442736275396591</v>
      </c>
      <c r="O1910" s="2">
        <f ca="1"/>
        <v>-0.59435396782978511</v>
      </c>
      <c r="X1910" s="2">
        <f ca="1"/>
        <v>67.42077705319457</v>
      </c>
      <c r="AG1910" s="2">
        <f ca="1"/>
        <v>0.90378273242004692</v>
      </c>
      <c r="AH1910" s="2" t="str">
        <f ca="1"/>
        <v>Bad</v>
      </c>
    </row>
    <row r="1911" spans="2:34" x14ac:dyDescent="0.2">
      <c r="B1911" s="2">
        <f ca="1"/>
        <v>0.3249231419108225</v>
      </c>
      <c r="O1911" s="2">
        <f ca="1"/>
        <v>-1.28767226341963</v>
      </c>
      <c r="X1911" s="2">
        <f ca="1"/>
        <v>51.668564571198615</v>
      </c>
      <c r="AG1911" s="2">
        <f ca="1"/>
        <v>0.95428896982681666</v>
      </c>
      <c r="AH1911" s="2" t="str">
        <f ca="1"/>
        <v>Bad</v>
      </c>
    </row>
    <row r="1912" spans="2:34" x14ac:dyDescent="0.2">
      <c r="B1912" s="2">
        <f ca="1"/>
        <v>0.23474451485435588</v>
      </c>
      <c r="O1912" s="2">
        <f ca="1"/>
        <v>-1.0374250015460844</v>
      </c>
      <c r="X1912" s="2">
        <f ca="1"/>
        <v>37.44053185815379</v>
      </c>
      <c r="AG1912" s="2">
        <f ca="1"/>
        <v>0.20186699532721764</v>
      </c>
      <c r="AH1912" s="2" t="str">
        <f ca="1"/>
        <v>OK</v>
      </c>
    </row>
    <row r="1913" spans="2:34" x14ac:dyDescent="0.2">
      <c r="B1913" s="2">
        <f ca="1"/>
        <v>0.70179274893289101</v>
      </c>
      <c r="O1913" s="2">
        <f ca="1"/>
        <v>4.7840794266341045E-2</v>
      </c>
      <c r="X1913" s="2">
        <f ca="1"/>
        <v>34.143040249022924</v>
      </c>
      <c r="AG1913" s="2">
        <f ca="1"/>
        <v>0.69996026820677049</v>
      </c>
      <c r="AH1913" s="2" t="str">
        <f ca="1"/>
        <v>Bad</v>
      </c>
    </row>
    <row r="1914" spans="2:34" x14ac:dyDescent="0.2">
      <c r="B1914" s="2">
        <f ca="1"/>
        <v>0.63798260286961428</v>
      </c>
      <c r="O1914" s="2">
        <f ca="1"/>
        <v>-1.4739118941386473</v>
      </c>
      <c r="X1914" s="2">
        <f ca="1"/>
        <v>29.008145441267832</v>
      </c>
      <c r="AG1914" s="2">
        <f ca="1"/>
        <v>0.61783403271031601</v>
      </c>
      <c r="AH1914" s="2" t="str">
        <f ca="1"/>
        <v>Bad</v>
      </c>
    </row>
    <row r="1915" spans="2:34" x14ac:dyDescent="0.2">
      <c r="B1915" s="2">
        <f ca="1"/>
        <v>0.13609344890681085</v>
      </c>
      <c r="O1915" s="2">
        <f ca="1"/>
        <v>1.3007638108038408</v>
      </c>
      <c r="X1915" s="2">
        <f ca="1"/>
        <v>54.367450050848362</v>
      </c>
      <c r="AG1915" s="2">
        <f ca="1"/>
        <v>0.11545103387770661</v>
      </c>
      <c r="AH1915" s="2" t="str">
        <f ca="1"/>
        <v>OK</v>
      </c>
    </row>
    <row r="1916" spans="2:34" x14ac:dyDescent="0.2">
      <c r="B1916" s="2">
        <f ca="1"/>
        <v>0.12470191246805795</v>
      </c>
      <c r="O1916" s="2">
        <f ca="1"/>
        <v>0.48517972193632108</v>
      </c>
      <c r="X1916" s="2">
        <f ca="1"/>
        <v>44.123541995224251</v>
      </c>
      <c r="AG1916" s="2">
        <f ca="1"/>
        <v>0.53747955144387549</v>
      </c>
      <c r="AH1916" s="2" t="str">
        <f ca="1"/>
        <v>Bad</v>
      </c>
    </row>
    <row r="1917" spans="2:34" x14ac:dyDescent="0.2">
      <c r="B1917" s="2">
        <f ca="1"/>
        <v>0.3347260396566083</v>
      </c>
      <c r="O1917" s="2">
        <f ca="1"/>
        <v>0.301562867632577</v>
      </c>
      <c r="X1917" s="2">
        <f ca="1"/>
        <v>51.145021449744902</v>
      </c>
      <c r="AG1917" s="2">
        <f ca="1"/>
        <v>0.24840081590645791</v>
      </c>
      <c r="AH1917" s="2" t="str">
        <f ca="1"/>
        <v>OK</v>
      </c>
    </row>
    <row r="1918" spans="2:34" x14ac:dyDescent="0.2">
      <c r="B1918" s="2">
        <f ca="1"/>
        <v>1.2074750831965186E-2</v>
      </c>
      <c r="O1918" s="2">
        <f ca="1"/>
        <v>-2.0427618211428018</v>
      </c>
      <c r="X1918" s="2">
        <f ca="1"/>
        <v>69.150766630475047</v>
      </c>
      <c r="AG1918" s="2">
        <f ca="1"/>
        <v>0.5228023299318616</v>
      </c>
      <c r="AH1918" s="2" t="str">
        <f ca="1"/>
        <v>Bad</v>
      </c>
    </row>
    <row r="1919" spans="2:34" x14ac:dyDescent="0.2">
      <c r="B1919" s="2">
        <f ca="1"/>
        <v>0.42066168888353461</v>
      </c>
      <c r="O1919" s="2">
        <f ca="1"/>
        <v>0.65525719993763021</v>
      </c>
      <c r="X1919" s="2">
        <f ca="1"/>
        <v>51.995508601711862</v>
      </c>
      <c r="AG1919" s="2">
        <f ca="1"/>
        <v>0.89025046480410386</v>
      </c>
      <c r="AH1919" s="2" t="str">
        <f ca="1"/>
        <v>Bad</v>
      </c>
    </row>
    <row r="1920" spans="2:34" x14ac:dyDescent="0.2">
      <c r="B1920" s="2">
        <f ca="1"/>
        <v>0.54533178391100701</v>
      </c>
      <c r="O1920" s="2">
        <f ca="1"/>
        <v>1.1381203657071917</v>
      </c>
      <c r="X1920" s="2">
        <f ca="1"/>
        <v>53.235237246539441</v>
      </c>
      <c r="AG1920" s="2">
        <f ca="1"/>
        <v>0.69685988002706045</v>
      </c>
      <c r="AH1920" s="2" t="str">
        <f ca="1"/>
        <v>Bad</v>
      </c>
    </row>
    <row r="1921" spans="2:34" x14ac:dyDescent="0.2">
      <c r="B1921" s="2">
        <f ca="1"/>
        <v>0.38707031097854472</v>
      </c>
      <c r="O1921" s="2">
        <f ca="1"/>
        <v>-1.5829215630132402E-2</v>
      </c>
      <c r="X1921" s="2">
        <f ca="1"/>
        <v>29.593499376898414</v>
      </c>
      <c r="AG1921" s="2">
        <f ca="1"/>
        <v>0.99653645333515395</v>
      </c>
      <c r="AH1921" s="2" t="str">
        <f ca="1"/>
        <v>Bad</v>
      </c>
    </row>
    <row r="1922" spans="2:34" x14ac:dyDescent="0.2">
      <c r="B1922" s="2">
        <f ca="1"/>
        <v>0.65399223433310882</v>
      </c>
      <c r="O1922" s="2">
        <f ca="1"/>
        <v>1.2477048464812375</v>
      </c>
      <c r="X1922" s="2">
        <f ca="1"/>
        <v>29.439299365615579</v>
      </c>
      <c r="AG1922" s="2">
        <f ca="1"/>
        <v>0.86842606025917202</v>
      </c>
      <c r="AH1922" s="2" t="str">
        <f ca="1"/>
        <v>Bad</v>
      </c>
    </row>
    <row r="1923" spans="2:34" x14ac:dyDescent="0.2">
      <c r="B1923" s="2">
        <f ca="1"/>
        <v>0.46617503544287175</v>
      </c>
      <c r="O1923" s="2">
        <f ca="1"/>
        <v>0.50091652698652078</v>
      </c>
      <c r="X1923" s="2">
        <f ca="1"/>
        <v>54.283624880012766</v>
      </c>
      <c r="AG1923" s="2">
        <f ca="1"/>
        <v>0.22249133466885307</v>
      </c>
      <c r="AH1923" s="2" t="str">
        <f ca="1"/>
        <v>OK</v>
      </c>
    </row>
    <row r="1924" spans="2:34" x14ac:dyDescent="0.2">
      <c r="B1924" s="2">
        <f ca="1"/>
        <v>0.51127396341266107</v>
      </c>
      <c r="O1924" s="2">
        <f ca="1"/>
        <v>0.61771278767416105</v>
      </c>
      <c r="X1924" s="2">
        <f ca="1"/>
        <v>34.988564548839122</v>
      </c>
      <c r="AG1924" s="2">
        <f ca="1"/>
        <v>0.14590386659222654</v>
      </c>
      <c r="AH1924" s="2" t="str">
        <f ca="1"/>
        <v>OK</v>
      </c>
    </row>
    <row r="1925" spans="2:34" x14ac:dyDescent="0.2">
      <c r="B1925" s="2">
        <f ca="1"/>
        <v>0.37721234380874069</v>
      </c>
      <c r="O1925" s="2">
        <f ca="1"/>
        <v>0.8396166441822821</v>
      </c>
      <c r="X1925" s="2">
        <f ca="1"/>
        <v>56.239159514425367</v>
      </c>
      <c r="AG1925" s="2">
        <f ca="1"/>
        <v>0.20298863563011937</v>
      </c>
      <c r="AH1925" s="2" t="str">
        <f ca="1"/>
        <v>OK</v>
      </c>
    </row>
    <row r="1926" spans="2:34" x14ac:dyDescent="0.2">
      <c r="B1926" s="2">
        <f ca="1"/>
        <v>7.4960977663185879E-2</v>
      </c>
      <c r="O1926" s="2">
        <f ca="1"/>
        <v>1.0493955834523394</v>
      </c>
      <c r="X1926" s="2">
        <f ca="1"/>
        <v>46.653371386367809</v>
      </c>
      <c r="AG1926" s="2">
        <f ca="1"/>
        <v>0.33188228032590605</v>
      </c>
      <c r="AH1926" s="2" t="str">
        <f ca="1"/>
        <v>OK</v>
      </c>
    </row>
    <row r="1927" spans="2:34" x14ac:dyDescent="0.2">
      <c r="B1927" s="2">
        <f ca="1"/>
        <v>0.614287524837837</v>
      </c>
      <c r="O1927" s="2">
        <f ca="1"/>
        <v>-0.38556191712498156</v>
      </c>
      <c r="X1927" s="2">
        <f ca="1"/>
        <v>49.946607025411637</v>
      </c>
      <c r="AG1927" s="2">
        <f ca="1"/>
        <v>6.3944070684659904E-2</v>
      </c>
      <c r="AH1927" s="2" t="str">
        <f ca="1"/>
        <v>OK</v>
      </c>
    </row>
    <row r="1928" spans="2:34" x14ac:dyDescent="0.2">
      <c r="B1928" s="2">
        <f ca="1"/>
        <v>0.60870616369209984</v>
      </c>
      <c r="O1928" s="2">
        <f ca="1"/>
        <v>-0.95436026580988942</v>
      </c>
      <c r="X1928" s="2">
        <f ca="1"/>
        <v>44.704041889385273</v>
      </c>
      <c r="AG1928" s="2">
        <f ca="1"/>
        <v>0.88872093154998733</v>
      </c>
      <c r="AH1928" s="2" t="str">
        <f ca="1"/>
        <v>Bad</v>
      </c>
    </row>
    <row r="1929" spans="2:34" x14ac:dyDescent="0.2">
      <c r="B1929" s="2">
        <f ca="1"/>
        <v>0.8141091224834538</v>
      </c>
      <c r="O1929" s="2">
        <f ca="1"/>
        <v>0.66265849308086167</v>
      </c>
      <c r="X1929" s="2">
        <f ca="1"/>
        <v>42.682361523113634</v>
      </c>
      <c r="AG1929" s="2">
        <f ca="1"/>
        <v>0.48183434521087198</v>
      </c>
      <c r="AH1929" s="2" t="str">
        <f ca="1"/>
        <v>Bad</v>
      </c>
    </row>
    <row r="1930" spans="2:34" x14ac:dyDescent="0.2">
      <c r="B1930" s="2">
        <f ca="1"/>
        <v>0.92306257896336952</v>
      </c>
      <c r="O1930" s="2">
        <f ca="1"/>
        <v>1.3173379018551803</v>
      </c>
      <c r="X1930" s="2">
        <f ca="1"/>
        <v>61.489825729632877</v>
      </c>
      <c r="AG1930" s="2">
        <f ca="1"/>
        <v>0.99798792087405563</v>
      </c>
      <c r="AH1930" s="2" t="str">
        <f ca="1"/>
        <v>Bad</v>
      </c>
    </row>
    <row r="1931" spans="2:34" x14ac:dyDescent="0.2">
      <c r="B1931" s="2">
        <f ca="1"/>
        <v>1.0565108444203775E-2</v>
      </c>
      <c r="O1931" s="2">
        <f ca="1"/>
        <v>0.76091856309572192</v>
      </c>
      <c r="X1931" s="2">
        <f ca="1"/>
        <v>39.143512314823823</v>
      </c>
      <c r="AG1931" s="2">
        <f ca="1"/>
        <v>5.2281020541976586E-2</v>
      </c>
      <c r="AH1931" s="2" t="str">
        <f ca="1"/>
        <v>OK</v>
      </c>
    </row>
    <row r="1932" spans="2:34" x14ac:dyDescent="0.2">
      <c r="B1932" s="2">
        <f ca="1"/>
        <v>2.6665836226417383E-2</v>
      </c>
      <c r="O1932" s="2">
        <f ca="1"/>
        <v>-0.20260579581182048</v>
      </c>
      <c r="X1932" s="2">
        <f ca="1"/>
        <v>62.544911982382644</v>
      </c>
      <c r="AG1932" s="2">
        <f ca="1"/>
        <v>0.6950117301368568</v>
      </c>
      <c r="AH1932" s="2" t="str">
        <f ca="1"/>
        <v>Bad</v>
      </c>
    </row>
    <row r="1933" spans="2:34" x14ac:dyDescent="0.2">
      <c r="B1933" s="2">
        <f ca="1"/>
        <v>0.19512558212205877</v>
      </c>
      <c r="O1933" s="2">
        <f ca="1"/>
        <v>2.0246067825247782</v>
      </c>
      <c r="X1933" s="2">
        <f ca="1"/>
        <v>60.222188917101533</v>
      </c>
      <c r="AG1933" s="2">
        <f ca="1"/>
        <v>0.39436543482708108</v>
      </c>
      <c r="AH1933" s="2" t="str">
        <f ca="1"/>
        <v>OK</v>
      </c>
    </row>
    <row r="1934" spans="2:34" x14ac:dyDescent="0.2">
      <c r="B1934" s="2">
        <f ca="1"/>
        <v>4.5661323941172727E-2</v>
      </c>
      <c r="O1934" s="2">
        <f ca="1"/>
        <v>-1.0527395146052887</v>
      </c>
      <c r="X1934" s="2">
        <f ca="1"/>
        <v>73.062732277288433</v>
      </c>
      <c r="AG1934" s="2">
        <f ca="1"/>
        <v>0.73306530350516352</v>
      </c>
      <c r="AH1934" s="2" t="str">
        <f ca="1"/>
        <v>Bad</v>
      </c>
    </row>
    <row r="1935" spans="2:34" x14ac:dyDescent="0.2">
      <c r="B1935" s="2">
        <f ca="1"/>
        <v>8.7436049413143868E-2</v>
      </c>
      <c r="O1935" s="2">
        <f ca="1"/>
        <v>1.0731265682956557</v>
      </c>
      <c r="X1935" s="2">
        <f ca="1"/>
        <v>62.425468051162213</v>
      </c>
      <c r="AG1935" s="2">
        <f ca="1"/>
        <v>0.10645106835317275</v>
      </c>
      <c r="AH1935" s="2" t="str">
        <f ca="1"/>
        <v>OK</v>
      </c>
    </row>
    <row r="1936" spans="2:34" x14ac:dyDescent="0.2">
      <c r="B1936" s="2">
        <f ca="1"/>
        <v>0.77643545454574436</v>
      </c>
      <c r="O1936" s="2">
        <f ca="1"/>
        <v>-1.2555156303598145</v>
      </c>
      <c r="X1936" s="2">
        <f ca="1"/>
        <v>39.598761773368608</v>
      </c>
      <c r="AG1936" s="2">
        <f ca="1"/>
        <v>3.1661452351207764E-2</v>
      </c>
      <c r="AH1936" s="2" t="str">
        <f ca="1"/>
        <v>Good</v>
      </c>
    </row>
    <row r="1937" spans="2:34" x14ac:dyDescent="0.2">
      <c r="B1937" s="2">
        <f ca="1"/>
        <v>0.44477187630138304</v>
      </c>
      <c r="O1937" s="2">
        <f ca="1"/>
        <v>-0.64391888498957484</v>
      </c>
      <c r="X1937" s="2">
        <f ca="1"/>
        <v>60.894905752785704</v>
      </c>
      <c r="AG1937" s="2">
        <f ca="1"/>
        <v>0.65495611597432912</v>
      </c>
      <c r="AH1937" s="2" t="str">
        <f ca="1"/>
        <v>Bad</v>
      </c>
    </row>
    <row r="1938" spans="2:34" x14ac:dyDescent="0.2">
      <c r="B1938" s="2">
        <f ca="1"/>
        <v>0.46935403849489177</v>
      </c>
      <c r="O1938" s="2">
        <f ca="1"/>
        <v>-2.1694137867234202</v>
      </c>
      <c r="X1938" s="2">
        <f ca="1"/>
        <v>56.261083868991136</v>
      </c>
      <c r="AG1938" s="2">
        <f ca="1"/>
        <v>0.64647902691346659</v>
      </c>
      <c r="AH1938" s="2" t="str">
        <f ca="1"/>
        <v>Bad</v>
      </c>
    </row>
    <row r="1939" spans="2:34" x14ac:dyDescent="0.2">
      <c r="B1939" s="2">
        <f ca="1"/>
        <v>0.71581092216978548</v>
      </c>
      <c r="O1939" s="2">
        <f ca="1"/>
        <v>-1.8874155606547216E-3</v>
      </c>
      <c r="X1939" s="2">
        <f ca="1"/>
        <v>67.627878199652599</v>
      </c>
      <c r="AG1939" s="2">
        <f ca="1"/>
        <v>0.82704012819329598</v>
      </c>
      <c r="AH1939" s="2" t="str">
        <f ca="1"/>
        <v>Bad</v>
      </c>
    </row>
    <row r="1940" spans="2:34" x14ac:dyDescent="0.2">
      <c r="B1940" s="2">
        <f ca="1"/>
        <v>1.1817128006187616E-2</v>
      </c>
      <c r="O1940" s="2">
        <f ca="1"/>
        <v>0.15511035265311707</v>
      </c>
      <c r="X1940" s="2">
        <f ca="1"/>
        <v>39.121235957198756</v>
      </c>
      <c r="AG1940" s="2">
        <f ca="1"/>
        <v>0.79612929685390799</v>
      </c>
      <c r="AH1940" s="2" t="str">
        <f ca="1"/>
        <v>Bad</v>
      </c>
    </row>
    <row r="1941" spans="2:34" x14ac:dyDescent="0.2">
      <c r="B1941" s="2">
        <f ca="1"/>
        <v>0.88148807363829573</v>
      </c>
      <c r="O1941" s="2">
        <f ca="1"/>
        <v>-0.65995364756808794</v>
      </c>
      <c r="X1941" s="2">
        <f ca="1"/>
        <v>57.564438046396525</v>
      </c>
      <c r="AG1941" s="2">
        <f ca="1"/>
        <v>0.82754477909422541</v>
      </c>
      <c r="AH1941" s="2" t="str">
        <f ca="1"/>
        <v>Bad</v>
      </c>
    </row>
    <row r="1942" spans="2:34" x14ac:dyDescent="0.2">
      <c r="B1942" s="2">
        <f ca="1"/>
        <v>0.21122589737089847</v>
      </c>
      <c r="O1942" s="2">
        <f ca="1"/>
        <v>0.45420542395029356</v>
      </c>
      <c r="X1942" s="2">
        <f ca="1"/>
        <v>48.964089164733366</v>
      </c>
      <c r="AG1942" s="2">
        <f ca="1"/>
        <v>0.22004730591920207</v>
      </c>
      <c r="AH1942" s="2" t="str">
        <f ca="1"/>
        <v>OK</v>
      </c>
    </row>
    <row r="1943" spans="2:34" x14ac:dyDescent="0.2">
      <c r="B1943" s="2">
        <f ca="1"/>
        <v>0.82222675303294235</v>
      </c>
      <c r="O1943" s="2">
        <f ca="1"/>
        <v>-1.2454890390554616</v>
      </c>
      <c r="X1943" s="2">
        <f ca="1"/>
        <v>31.890919470804533</v>
      </c>
      <c r="AG1943" s="2">
        <f ca="1"/>
        <v>6.7165183373680604E-2</v>
      </c>
      <c r="AH1943" s="2" t="str">
        <f ca="1"/>
        <v>OK</v>
      </c>
    </row>
    <row r="1944" spans="2:34" x14ac:dyDescent="0.2">
      <c r="B1944" s="2">
        <f ca="1"/>
        <v>0.41079973754473476</v>
      </c>
      <c r="O1944" s="2">
        <f ca="1"/>
        <v>1.7515760353289107</v>
      </c>
      <c r="X1944" s="2">
        <f ca="1"/>
        <v>42.99862288242516</v>
      </c>
      <c r="AG1944" s="2">
        <f ca="1"/>
        <v>0.22542131398068155</v>
      </c>
      <c r="AH1944" s="2" t="str">
        <f ca="1"/>
        <v>OK</v>
      </c>
    </row>
    <row r="1945" spans="2:34" x14ac:dyDescent="0.2">
      <c r="B1945" s="2">
        <f ca="1"/>
        <v>0.75733601391517125</v>
      </c>
      <c r="O1945" s="2">
        <f ca="1"/>
        <v>-1.1408942223570999</v>
      </c>
      <c r="X1945" s="2">
        <f ca="1"/>
        <v>77.06037355717433</v>
      </c>
      <c r="AG1945" s="2">
        <f ca="1"/>
        <v>0.13030796501452824</v>
      </c>
      <c r="AH1945" s="2" t="str">
        <f ca="1"/>
        <v>OK</v>
      </c>
    </row>
    <row r="1946" spans="2:34" x14ac:dyDescent="0.2">
      <c r="B1946" s="2">
        <f ca="1"/>
        <v>0.91194409547091859</v>
      </c>
      <c r="O1946" s="2">
        <f ca="1"/>
        <v>0.45985605556992903</v>
      </c>
      <c r="X1946" s="2">
        <f ca="1"/>
        <v>40.330554875938979</v>
      </c>
      <c r="AG1946" s="2">
        <f ca="1"/>
        <v>0.40622167875194171</v>
      </c>
      <c r="AH1946" s="2" t="str">
        <f ca="1"/>
        <v>Bad</v>
      </c>
    </row>
    <row r="1947" spans="2:34" x14ac:dyDescent="0.2">
      <c r="B1947" s="2">
        <f ca="1"/>
        <v>9.7697179770043885E-2</v>
      </c>
      <c r="O1947" s="2">
        <f ca="1"/>
        <v>-0.70104810502302495</v>
      </c>
      <c r="X1947" s="2">
        <f ca="1"/>
        <v>46.512867314757059</v>
      </c>
      <c r="AG1947" s="2">
        <f ca="1"/>
        <v>0.10229681954260794</v>
      </c>
      <c r="AH1947" s="2" t="str">
        <f ca="1"/>
        <v>OK</v>
      </c>
    </row>
    <row r="1948" spans="2:34" x14ac:dyDescent="0.2">
      <c r="B1948" s="2">
        <f ca="1"/>
        <v>0.20528173979879094</v>
      </c>
      <c r="O1948" s="2">
        <f ca="1"/>
        <v>2.4110256395064718</v>
      </c>
      <c r="X1948" s="2">
        <f ca="1"/>
        <v>78.390564344193862</v>
      </c>
      <c r="AG1948" s="2">
        <f ca="1"/>
        <v>0.97502111621026222</v>
      </c>
      <c r="AH1948" s="2" t="str">
        <f ca="1"/>
        <v>Bad</v>
      </c>
    </row>
    <row r="1949" spans="2:34" x14ac:dyDescent="0.2">
      <c r="B1949" s="2">
        <f ca="1"/>
        <v>0.76919858421935094</v>
      </c>
      <c r="O1949" s="2">
        <f ca="1"/>
        <v>-0.93757165393366104</v>
      </c>
      <c r="X1949" s="2">
        <f ca="1"/>
        <v>53.558514039637608</v>
      </c>
      <c r="AG1949" s="2">
        <f ca="1"/>
        <v>0.9314208316746635</v>
      </c>
      <c r="AH1949" s="2" t="str">
        <f ca="1"/>
        <v>Bad</v>
      </c>
    </row>
    <row r="1950" spans="2:34" x14ac:dyDescent="0.2">
      <c r="B1950" s="2">
        <f ca="1"/>
        <v>0.41426134977019591</v>
      </c>
      <c r="O1950" s="2">
        <f ca="1"/>
        <v>1.4325221214784909</v>
      </c>
      <c r="X1950" s="2">
        <f ca="1"/>
        <v>61.867119967416748</v>
      </c>
      <c r="AG1950" s="2">
        <f ca="1"/>
        <v>0.1990593851778093</v>
      </c>
      <c r="AH1950" s="2" t="str">
        <f ca="1"/>
        <v>OK</v>
      </c>
    </row>
    <row r="1951" spans="2:34" x14ac:dyDescent="0.2">
      <c r="B1951" s="2">
        <f ca="1"/>
        <v>0.81204214353643867</v>
      </c>
      <c r="O1951" s="2">
        <f ca="1"/>
        <v>1.0693386151089901</v>
      </c>
      <c r="X1951" s="2">
        <f ca="1"/>
        <v>62.013303701988292</v>
      </c>
      <c r="AG1951" s="2">
        <f ca="1"/>
        <v>5.3327758396910507E-2</v>
      </c>
      <c r="AH1951" s="2" t="str">
        <f ca="1"/>
        <v>OK</v>
      </c>
    </row>
    <row r="1952" spans="2:34" x14ac:dyDescent="0.2">
      <c r="B1952" s="2">
        <f ca="1"/>
        <v>0.7668275463441776</v>
      </c>
      <c r="O1952" s="2">
        <f ca="1"/>
        <v>2.3334589940993284</v>
      </c>
      <c r="X1952" s="2">
        <f ca="1"/>
        <v>44.847444429608871</v>
      </c>
      <c r="AG1952" s="2">
        <f ca="1"/>
        <v>0.69493220830992208</v>
      </c>
      <c r="AH1952" s="2" t="str">
        <f ca="1"/>
        <v>Bad</v>
      </c>
    </row>
    <row r="1953" spans="2:34" x14ac:dyDescent="0.2">
      <c r="B1953" s="2">
        <f ca="1"/>
        <v>0.53003006092911309</v>
      </c>
      <c r="O1953" s="2">
        <f ca="1"/>
        <v>0.92384240353444635</v>
      </c>
      <c r="X1953" s="2">
        <f ca="1"/>
        <v>66.504796565649144</v>
      </c>
      <c r="AG1953" s="2">
        <f ca="1"/>
        <v>0.43105255671451248</v>
      </c>
      <c r="AH1953" s="2" t="str">
        <f ca="1"/>
        <v>Bad</v>
      </c>
    </row>
    <row r="1954" spans="2:34" x14ac:dyDescent="0.2">
      <c r="B1954" s="2">
        <f ca="1"/>
        <v>0.17074027950420634</v>
      </c>
      <c r="O1954" s="2">
        <f ca="1"/>
        <v>1.0263432073308127</v>
      </c>
      <c r="X1954" s="2">
        <f ca="1"/>
        <v>70.791895295149644</v>
      </c>
      <c r="AG1954" s="2">
        <f ca="1"/>
        <v>0.66525032106476933</v>
      </c>
      <c r="AH1954" s="2" t="str">
        <f ca="1"/>
        <v>Bad</v>
      </c>
    </row>
    <row r="1955" spans="2:34" x14ac:dyDescent="0.2">
      <c r="B1955" s="2">
        <f ca="1"/>
        <v>0.91474597569782845</v>
      </c>
      <c r="O1955" s="2">
        <f ca="1"/>
        <v>1.0491832573975031</v>
      </c>
      <c r="X1955" s="2">
        <f ca="1"/>
        <v>35.889652817927001</v>
      </c>
      <c r="AG1955" s="2">
        <f ca="1"/>
        <v>0.87071817706986798</v>
      </c>
      <c r="AH1955" s="2" t="str">
        <f ca="1"/>
        <v>Bad</v>
      </c>
    </row>
    <row r="1956" spans="2:34" x14ac:dyDescent="0.2">
      <c r="B1956" s="2">
        <f ca="1"/>
        <v>0.12857971361081266</v>
      </c>
      <c r="O1956" s="2">
        <f ca="1"/>
        <v>1.6176867448474643</v>
      </c>
      <c r="X1956" s="2">
        <f ca="1"/>
        <v>54.025158719412701</v>
      </c>
      <c r="AG1956" s="2">
        <f ca="1"/>
        <v>0.15274709527082453</v>
      </c>
      <c r="AH1956" s="2" t="str">
        <f ca="1"/>
        <v>OK</v>
      </c>
    </row>
    <row r="1957" spans="2:34" x14ac:dyDescent="0.2">
      <c r="B1957" s="2">
        <f ca="1"/>
        <v>0.56293670598694368</v>
      </c>
      <c r="O1957" s="2">
        <f ca="1"/>
        <v>-2.2743150082044377</v>
      </c>
      <c r="X1957" s="2">
        <f ca="1"/>
        <v>30.034891728630065</v>
      </c>
      <c r="AG1957" s="2">
        <f ca="1"/>
        <v>0.4932242059770553</v>
      </c>
      <c r="AH1957" s="2" t="str">
        <f ca="1"/>
        <v>Bad</v>
      </c>
    </row>
    <row r="1958" spans="2:34" x14ac:dyDescent="0.2">
      <c r="B1958" s="2">
        <f ca="1"/>
        <v>0.30130440842359518</v>
      </c>
      <c r="O1958" s="2">
        <f ca="1"/>
        <v>6.5151682259756025E-2</v>
      </c>
      <c r="X1958" s="2">
        <f ca="1"/>
        <v>28.295818376358099</v>
      </c>
      <c r="AG1958" s="2">
        <f ca="1"/>
        <v>0.83964520556833655</v>
      </c>
      <c r="AH1958" s="2" t="str">
        <f ca="1"/>
        <v>Bad</v>
      </c>
    </row>
    <row r="1959" spans="2:34" x14ac:dyDescent="0.2">
      <c r="B1959" s="2">
        <f ca="1"/>
        <v>0.5545570906358428</v>
      </c>
      <c r="O1959" s="2">
        <f ca="1"/>
        <v>-2.1370700859281708</v>
      </c>
      <c r="X1959" s="2">
        <f ca="1"/>
        <v>22.043868963371494</v>
      </c>
      <c r="AG1959" s="2">
        <f ca="1"/>
        <v>0.62010041783004533</v>
      </c>
      <c r="AH1959" s="2" t="str">
        <f ca="1"/>
        <v>Bad</v>
      </c>
    </row>
    <row r="1960" spans="2:34" x14ac:dyDescent="0.2">
      <c r="B1960" s="2">
        <f ca="1"/>
        <v>0.78571262877293679</v>
      </c>
      <c r="O1960" s="2">
        <f ca="1"/>
        <v>-0.22129681860459166</v>
      </c>
      <c r="X1960" s="2">
        <f ca="1"/>
        <v>59.172780392513374</v>
      </c>
      <c r="AG1960" s="2">
        <f ca="1"/>
        <v>0.71818995422011089</v>
      </c>
      <c r="AH1960" s="2" t="str">
        <f ca="1"/>
        <v>Bad</v>
      </c>
    </row>
    <row r="1961" spans="2:34" x14ac:dyDescent="0.2">
      <c r="B1961" s="2">
        <f ca="1"/>
        <v>0.66643980493285548</v>
      </c>
      <c r="O1961" s="2">
        <f ca="1"/>
        <v>1.7956456942822396</v>
      </c>
      <c r="X1961" s="2">
        <f ca="1"/>
        <v>49.731473582675264</v>
      </c>
      <c r="AG1961" s="2">
        <f ca="1"/>
        <v>0.28166794593691891</v>
      </c>
      <c r="AH1961" s="2" t="str">
        <f ca="1"/>
        <v>OK</v>
      </c>
    </row>
    <row r="1962" spans="2:34" x14ac:dyDescent="0.2">
      <c r="B1962" s="2">
        <f ca="1"/>
        <v>0.6740810943949711</v>
      </c>
      <c r="O1962" s="2">
        <f ca="1"/>
        <v>0.16807807145983955</v>
      </c>
      <c r="X1962" s="2">
        <f ca="1"/>
        <v>49.223235441899632</v>
      </c>
      <c r="AG1962" s="2">
        <f ca="1"/>
        <v>2.2107922860507001E-2</v>
      </c>
      <c r="AH1962" s="2" t="str">
        <f ca="1"/>
        <v>Good</v>
      </c>
    </row>
    <row r="1963" spans="2:34" x14ac:dyDescent="0.2">
      <c r="B1963" s="2">
        <f ca="1"/>
        <v>0.83916684269510888</v>
      </c>
      <c r="O1963" s="2">
        <f ca="1"/>
        <v>0.19162925627285288</v>
      </c>
      <c r="X1963" s="2">
        <f ca="1"/>
        <v>47.369669716246719</v>
      </c>
      <c r="AG1963" s="2">
        <f ca="1"/>
        <v>0.52215190710679438</v>
      </c>
      <c r="AH1963" s="2" t="str">
        <f ca="1"/>
        <v>Bad</v>
      </c>
    </row>
    <row r="1964" spans="2:34" x14ac:dyDescent="0.2">
      <c r="B1964" s="2">
        <f ca="1"/>
        <v>0.16304749332678403</v>
      </c>
      <c r="O1964" s="2">
        <f ca="1"/>
        <v>0.45065899017612648</v>
      </c>
      <c r="X1964" s="2">
        <f ca="1"/>
        <v>52.224215794910464</v>
      </c>
      <c r="AG1964" s="2">
        <f ca="1"/>
        <v>0.47410139893931258</v>
      </c>
      <c r="AH1964" s="2" t="str">
        <f ca="1"/>
        <v>Bad</v>
      </c>
    </row>
    <row r="1965" spans="2:34" x14ac:dyDescent="0.2">
      <c r="B1965" s="2">
        <f ca="1"/>
        <v>0.34277616525884635</v>
      </c>
      <c r="O1965" s="2">
        <f ca="1"/>
        <v>-0.39713170922429708</v>
      </c>
      <c r="X1965" s="2">
        <f ca="1"/>
        <v>51.992431442887785</v>
      </c>
      <c r="AG1965" s="2">
        <f ca="1"/>
        <v>0.87044493207824969</v>
      </c>
      <c r="AH1965" s="2" t="str">
        <f ca="1"/>
        <v>Bad</v>
      </c>
    </row>
    <row r="1966" spans="2:34" x14ac:dyDescent="0.2">
      <c r="B1966" s="2">
        <f ca="1"/>
        <v>0.32878161187490629</v>
      </c>
      <c r="O1966" s="2">
        <f ca="1"/>
        <v>-2.3995370010154518</v>
      </c>
      <c r="X1966" s="2">
        <f ca="1"/>
        <v>70.51747433799207</v>
      </c>
      <c r="AG1966" s="2">
        <f ca="1"/>
        <v>0.29079480539890157</v>
      </c>
      <c r="AH1966" s="2" t="str">
        <f ca="1"/>
        <v>OK</v>
      </c>
    </row>
    <row r="1967" spans="2:34" x14ac:dyDescent="0.2">
      <c r="B1967" s="2">
        <f ca="1"/>
        <v>0.40418141985098699</v>
      </c>
      <c r="O1967" s="2">
        <f ca="1"/>
        <v>0.4430808071368656</v>
      </c>
      <c r="X1967" s="2">
        <f ca="1"/>
        <v>45.643762706344859</v>
      </c>
      <c r="AG1967" s="2">
        <f ca="1"/>
        <v>0.68673228638186323</v>
      </c>
      <c r="AH1967" s="2" t="str">
        <f ca="1"/>
        <v>Bad</v>
      </c>
    </row>
    <row r="1968" spans="2:34" x14ac:dyDescent="0.2">
      <c r="B1968" s="2">
        <f ca="1"/>
        <v>0.51202703396472771</v>
      </c>
      <c r="O1968" s="2">
        <f ca="1"/>
        <v>-2.1120564532166601</v>
      </c>
      <c r="X1968" s="2">
        <f ca="1"/>
        <v>67.178043250498135</v>
      </c>
      <c r="AG1968" s="2">
        <f ca="1"/>
        <v>0.63296933013465262</v>
      </c>
      <c r="AH1968" s="2" t="str">
        <f ca="1"/>
        <v>Bad</v>
      </c>
    </row>
    <row r="1969" spans="2:34" x14ac:dyDescent="0.2">
      <c r="B1969" s="2">
        <f ca="1"/>
        <v>0.76257458138436629</v>
      </c>
      <c r="O1969" s="2">
        <f ca="1"/>
        <v>-0.77850692679859479</v>
      </c>
      <c r="X1969" s="2">
        <f ca="1"/>
        <v>69.004774396529271</v>
      </c>
      <c r="AG1969" s="2">
        <f ca="1"/>
        <v>0.97578188663702847</v>
      </c>
      <c r="AH1969" s="2" t="str">
        <f ca="1"/>
        <v>Bad</v>
      </c>
    </row>
    <row r="1970" spans="2:34" x14ac:dyDescent="0.2">
      <c r="B1970" s="2">
        <f ca="1"/>
        <v>0.97345862241282211</v>
      </c>
      <c r="O1970" s="2">
        <f ca="1"/>
        <v>1.2521637190837058</v>
      </c>
      <c r="X1970" s="2">
        <f ca="1"/>
        <v>54.628216078544902</v>
      </c>
      <c r="AG1970" s="2">
        <f ca="1"/>
        <v>0.98615393489889325</v>
      </c>
      <c r="AH1970" s="2" t="str">
        <f ca="1"/>
        <v>Bad</v>
      </c>
    </row>
    <row r="1971" spans="2:34" x14ac:dyDescent="0.2">
      <c r="B1971" s="2">
        <f ca="1"/>
        <v>0.34182237448113528</v>
      </c>
      <c r="O1971" s="2">
        <f ca="1"/>
        <v>0.23001407433133647</v>
      </c>
      <c r="X1971" s="2">
        <f ca="1"/>
        <v>72.598687186181593</v>
      </c>
      <c r="AG1971" s="2">
        <f ca="1"/>
        <v>0.74049165746532553</v>
      </c>
      <c r="AH1971" s="2" t="str">
        <f ca="1"/>
        <v>Bad</v>
      </c>
    </row>
    <row r="1972" spans="2:34" x14ac:dyDescent="0.2">
      <c r="B1972" s="2">
        <f ca="1"/>
        <v>0.25699702390763512</v>
      </c>
      <c r="O1972" s="2">
        <f ca="1"/>
        <v>-0.22703891804126455</v>
      </c>
      <c r="X1972" s="2">
        <f ca="1"/>
        <v>45.595143180622763</v>
      </c>
      <c r="AG1972" s="2">
        <f ca="1"/>
        <v>0.76384670189701498</v>
      </c>
      <c r="AH1972" s="2" t="str">
        <f ca="1"/>
        <v>Bad</v>
      </c>
    </row>
    <row r="1973" spans="2:34" x14ac:dyDescent="0.2">
      <c r="B1973" s="2">
        <f ca="1"/>
        <v>0.99075334644673907</v>
      </c>
      <c r="O1973" s="2">
        <f ca="1"/>
        <v>1.4560712259083215</v>
      </c>
      <c r="X1973" s="2">
        <f ca="1"/>
        <v>38.082718566775505</v>
      </c>
      <c r="AG1973" s="2">
        <f ca="1"/>
        <v>0.35837700602942268</v>
      </c>
      <c r="AH1973" s="2" t="str">
        <f ca="1"/>
        <v>OK</v>
      </c>
    </row>
    <row r="1974" spans="2:34" x14ac:dyDescent="0.2">
      <c r="B1974" s="2">
        <f ca="1"/>
        <v>0.19436412312392415</v>
      </c>
      <c r="O1974" s="2">
        <f ca="1"/>
        <v>0.27712897325323865</v>
      </c>
      <c r="X1974" s="2">
        <f ca="1"/>
        <v>47.205906216764191</v>
      </c>
      <c r="AG1974" s="2">
        <f ca="1"/>
        <v>0.16554346493636629</v>
      </c>
      <c r="AH1974" s="2" t="str">
        <f ca="1"/>
        <v>OK</v>
      </c>
    </row>
    <row r="1975" spans="2:34" x14ac:dyDescent="0.2">
      <c r="B1975" s="2">
        <f ca="1"/>
        <v>0.63390265262538814</v>
      </c>
      <c r="O1975" s="2">
        <f ca="1"/>
        <v>0.75317930289329238</v>
      </c>
      <c r="X1975" s="2">
        <f ca="1"/>
        <v>34.124108302844206</v>
      </c>
      <c r="AG1975" s="2">
        <f ca="1"/>
        <v>0.37964654931060382</v>
      </c>
      <c r="AH1975" s="2" t="str">
        <f ca="1"/>
        <v>OK</v>
      </c>
    </row>
    <row r="1976" spans="2:34" x14ac:dyDescent="0.2">
      <c r="B1976" s="2">
        <f ca="1"/>
        <v>0.65282233009801272</v>
      </c>
      <c r="O1976" s="2">
        <f ca="1"/>
        <v>1.174972087085892</v>
      </c>
      <c r="X1976" s="2">
        <f ca="1"/>
        <v>67.480750685680576</v>
      </c>
      <c r="AG1976" s="2">
        <f ca="1"/>
        <v>0.5850005827939333</v>
      </c>
      <c r="AH1976" s="2" t="str">
        <f ca="1"/>
        <v>Bad</v>
      </c>
    </row>
    <row r="1977" spans="2:34" x14ac:dyDescent="0.2">
      <c r="B1977" s="2">
        <f ca="1"/>
        <v>6.6210650796108661E-2</v>
      </c>
      <c r="O1977" s="2">
        <f ca="1"/>
        <v>0.8412417704661237</v>
      </c>
      <c r="X1977" s="2">
        <f ca="1"/>
        <v>34.091776663912349</v>
      </c>
      <c r="AG1977" s="2">
        <f ca="1"/>
        <v>0.27673359995562019</v>
      </c>
      <c r="AH1977" s="2" t="str">
        <f ca="1"/>
        <v>OK</v>
      </c>
    </row>
    <row r="1978" spans="2:34" x14ac:dyDescent="0.2">
      <c r="B1978" s="2">
        <f ca="1"/>
        <v>0.56417222707069881</v>
      </c>
      <c r="O1978" s="2">
        <f ca="1"/>
        <v>-0.49318479084172262</v>
      </c>
      <c r="X1978" s="2">
        <f ca="1"/>
        <v>59.371985001062654</v>
      </c>
      <c r="AG1978" s="2">
        <f ca="1"/>
        <v>0.61002615424466566</v>
      </c>
      <c r="AH1978" s="2" t="str">
        <f ca="1"/>
        <v>Bad</v>
      </c>
    </row>
    <row r="1979" spans="2:34" x14ac:dyDescent="0.2">
      <c r="B1979" s="2">
        <f ca="1"/>
        <v>0.40009353618534194</v>
      </c>
      <c r="O1979" s="2">
        <f ca="1"/>
        <v>0.5677102307061932</v>
      </c>
      <c r="X1979" s="2">
        <f ca="1"/>
        <v>46.823820760875428</v>
      </c>
      <c r="AG1979" s="2">
        <f ca="1"/>
        <v>0.43810878743159898</v>
      </c>
      <c r="AH1979" s="2" t="str">
        <f ca="1"/>
        <v>Bad</v>
      </c>
    </row>
    <row r="1980" spans="2:34" x14ac:dyDescent="0.2">
      <c r="B1980" s="2">
        <f ca="1"/>
        <v>0.80893697424348132</v>
      </c>
      <c r="O1980" s="2">
        <f ca="1"/>
        <v>0.72544574925589811</v>
      </c>
      <c r="X1980" s="2">
        <f ca="1"/>
        <v>93.612113076012918</v>
      </c>
      <c r="AG1980" s="2">
        <f ca="1"/>
        <v>0.55490241707255272</v>
      </c>
      <c r="AH1980" s="2" t="str">
        <f ca="1"/>
        <v>Bad</v>
      </c>
    </row>
    <row r="1981" spans="2:34" x14ac:dyDescent="0.2">
      <c r="B1981" s="2">
        <f ca="1"/>
        <v>0.3316110559693628</v>
      </c>
      <c r="O1981" s="2">
        <f ca="1"/>
        <v>0.62909557153471873</v>
      </c>
      <c r="X1981" s="2">
        <f ca="1"/>
        <v>49.398148965662294</v>
      </c>
      <c r="AG1981" s="2">
        <f ca="1"/>
        <v>7.857820743451982E-2</v>
      </c>
      <c r="AH1981" s="2" t="str">
        <f ca="1"/>
        <v>OK</v>
      </c>
    </row>
    <row r="1982" spans="2:34" x14ac:dyDescent="0.2">
      <c r="B1982" s="2">
        <f ca="1"/>
        <v>8.5110442485986093E-2</v>
      </c>
      <c r="O1982" s="2">
        <f ca="1"/>
        <v>-1.7670607637901625</v>
      </c>
      <c r="X1982" s="2">
        <f ca="1"/>
        <v>23.262804994048047</v>
      </c>
      <c r="AG1982" s="2">
        <f ca="1"/>
        <v>0.15844993872903412</v>
      </c>
      <c r="AH1982" s="2" t="str">
        <f ca="1"/>
        <v>OK</v>
      </c>
    </row>
    <row r="1983" spans="2:34" x14ac:dyDescent="0.2">
      <c r="B1983" s="2">
        <f ca="1"/>
        <v>0.6807430960219143</v>
      </c>
      <c r="O1983" s="2">
        <f ca="1"/>
        <v>0.57705933929287434</v>
      </c>
      <c r="X1983" s="2">
        <f ca="1"/>
        <v>44.911461277015363</v>
      </c>
      <c r="AG1983" s="2">
        <f ca="1"/>
        <v>0.60552585580768103</v>
      </c>
      <c r="AH1983" s="2" t="str">
        <f ca="1"/>
        <v>Bad</v>
      </c>
    </row>
    <row r="1984" spans="2:34" x14ac:dyDescent="0.2">
      <c r="B1984" s="2">
        <f ca="1"/>
        <v>0.74187850951421375</v>
      </c>
      <c r="O1984" s="2">
        <f ca="1"/>
        <v>0.28428555277534551</v>
      </c>
      <c r="X1984" s="2">
        <f ca="1"/>
        <v>31.616596701012433</v>
      </c>
      <c r="AG1984" s="2">
        <f ca="1"/>
        <v>0.96303330365508955</v>
      </c>
      <c r="AH1984" s="2" t="str">
        <f ca="1"/>
        <v>Bad</v>
      </c>
    </row>
    <row r="1985" spans="2:34" x14ac:dyDescent="0.2">
      <c r="B1985" s="2">
        <f ca="1"/>
        <v>0.58986506667253202</v>
      </c>
      <c r="O1985" s="2">
        <f ca="1"/>
        <v>-0.19914614147069673</v>
      </c>
      <c r="X1985" s="2">
        <f ca="1"/>
        <v>45.558759664685638</v>
      </c>
      <c r="AG1985" s="2">
        <f ca="1"/>
        <v>0.41536215825138956</v>
      </c>
      <c r="AH1985" s="2" t="str">
        <f ca="1"/>
        <v>Bad</v>
      </c>
    </row>
    <row r="1986" spans="2:34" x14ac:dyDescent="0.2">
      <c r="B1986" s="2">
        <f ca="1"/>
        <v>0.64286725209809736</v>
      </c>
      <c r="O1986" s="2">
        <f ca="1"/>
        <v>-0.7658899289599379</v>
      </c>
      <c r="X1986" s="2">
        <f ca="1"/>
        <v>73.927470903165727</v>
      </c>
      <c r="AG1986" s="2">
        <f ca="1"/>
        <v>0.78595159056141473</v>
      </c>
      <c r="AH1986" s="2" t="str">
        <f ca="1"/>
        <v>Bad</v>
      </c>
    </row>
    <row r="1987" spans="2:34" x14ac:dyDescent="0.2">
      <c r="B1987" s="2">
        <f ca="1"/>
        <v>0.86810636182200929</v>
      </c>
      <c r="O1987" s="2">
        <f ca="1"/>
        <v>0.38712226570777519</v>
      </c>
      <c r="X1987" s="2">
        <f ca="1"/>
        <v>55.182341169919582</v>
      </c>
      <c r="AG1987" s="2">
        <f ca="1"/>
        <v>0.29728529391839498</v>
      </c>
      <c r="AH1987" s="2" t="str">
        <f ca="1"/>
        <v>OK</v>
      </c>
    </row>
    <row r="1988" spans="2:34" x14ac:dyDescent="0.2">
      <c r="B1988" s="2">
        <f ca="1"/>
        <v>0.79712546156309849</v>
      </c>
      <c r="O1988" s="2">
        <f ca="1"/>
        <v>0.4971605860194091</v>
      </c>
      <c r="X1988" s="2">
        <f ca="1"/>
        <v>59.973570435695798</v>
      </c>
      <c r="AG1988" s="2">
        <f ca="1"/>
        <v>0.20251368615604992</v>
      </c>
      <c r="AH1988" s="2" t="str">
        <f ca="1"/>
        <v>OK</v>
      </c>
    </row>
    <row r="1989" spans="2:34" x14ac:dyDescent="0.2">
      <c r="B1989" s="2">
        <f ca="1"/>
        <v>0.27198642312318611</v>
      </c>
      <c r="O1989" s="2">
        <f ca="1"/>
        <v>1.7798874168973247</v>
      </c>
      <c r="X1989" s="2">
        <f ca="1"/>
        <v>56.643891685942052</v>
      </c>
      <c r="AG1989" s="2">
        <f ca="1"/>
        <v>0.31439667088263046</v>
      </c>
      <c r="AH1989" s="2" t="str">
        <f ca="1"/>
        <v>OK</v>
      </c>
    </row>
    <row r="1990" spans="2:34" x14ac:dyDescent="0.2">
      <c r="B1990" s="2">
        <f ca="1"/>
        <v>0.87610930833414491</v>
      </c>
      <c r="O1990" s="2">
        <f ca="1"/>
        <v>-1.0460084689440472</v>
      </c>
      <c r="X1990" s="2">
        <f ca="1"/>
        <v>40.32478947289821</v>
      </c>
      <c r="AG1990" s="2">
        <f ca="1"/>
        <v>6.9217730043450221E-2</v>
      </c>
      <c r="AH1990" s="2" t="str">
        <f ca="1"/>
        <v>OK</v>
      </c>
    </row>
    <row r="1991" spans="2:34" x14ac:dyDescent="0.2">
      <c r="B1991" s="2">
        <f ca="1"/>
        <v>0.25998113760332786</v>
      </c>
      <c r="O1991" s="2">
        <f ca="1"/>
        <v>2.9875716447025256</v>
      </c>
      <c r="X1991" s="2">
        <f ca="1"/>
        <v>49.330237219095999</v>
      </c>
      <c r="AG1991" s="2">
        <f ca="1"/>
        <v>0.44205028184560802</v>
      </c>
      <c r="AH1991" s="2" t="str">
        <f ca="1"/>
        <v>Bad</v>
      </c>
    </row>
    <row r="1992" spans="2:34" x14ac:dyDescent="0.2">
      <c r="B1992" s="2">
        <f ca="1"/>
        <v>0.61083432563677942</v>
      </c>
      <c r="O1992" s="2">
        <f ca="1"/>
        <v>0.35925164753125549</v>
      </c>
      <c r="X1992" s="2">
        <f ca="1"/>
        <v>30.757938777139103</v>
      </c>
      <c r="AG1992" s="2">
        <f ca="1"/>
        <v>0.68269945375752483</v>
      </c>
      <c r="AH1992" s="2" t="str">
        <f ca="1"/>
        <v>Bad</v>
      </c>
    </row>
    <row r="1993" spans="2:34" x14ac:dyDescent="0.2">
      <c r="B1993" s="2">
        <f ca="1"/>
        <v>0.2168805759352348</v>
      </c>
      <c r="O1993" s="2">
        <f ca="1"/>
        <v>0.39303635028165129</v>
      </c>
      <c r="X1993" s="2">
        <f ca="1"/>
        <v>59.907663505016593</v>
      </c>
      <c r="AG1993" s="2">
        <f ca="1"/>
        <v>0.25086152449204424</v>
      </c>
      <c r="AH1993" s="2" t="str">
        <f ca="1"/>
        <v>OK</v>
      </c>
    </row>
    <row r="1994" spans="2:34" x14ac:dyDescent="0.2">
      <c r="B1994" s="2">
        <f ca="1"/>
        <v>0.6836335446132169</v>
      </c>
      <c r="O1994" s="2">
        <f ca="1"/>
        <v>-0.67418718819733547</v>
      </c>
      <c r="X1994" s="2">
        <f ca="1"/>
        <v>50.403065905794207</v>
      </c>
      <c r="AG1994" s="2">
        <f ca="1"/>
        <v>0.7635310822461292</v>
      </c>
      <c r="AH1994" s="2" t="str">
        <f ca="1"/>
        <v>Bad</v>
      </c>
    </row>
    <row r="1995" spans="2:34" x14ac:dyDescent="0.2">
      <c r="B1995" s="2">
        <f ca="1"/>
        <v>0.98995909596601539</v>
      </c>
      <c r="O1995" s="2">
        <f ca="1"/>
        <v>-0.95023840386671665</v>
      </c>
      <c r="X1995" s="2">
        <f ca="1"/>
        <v>51.954438206391117</v>
      </c>
      <c r="AG1995" s="2">
        <f ca="1"/>
        <v>0.24844078590236873</v>
      </c>
      <c r="AH1995" s="2" t="str">
        <f ca="1"/>
        <v>OK</v>
      </c>
    </row>
    <row r="1996" spans="2:34" x14ac:dyDescent="0.2">
      <c r="B1996" s="2">
        <f ca="1"/>
        <v>5.5282931455409523E-2</v>
      </c>
      <c r="O1996" s="2">
        <f ca="1"/>
        <v>1.5812687918501451</v>
      </c>
      <c r="X1996" s="2">
        <f ca="1"/>
        <v>53.083457901807293</v>
      </c>
      <c r="AG1996" s="2">
        <f ca="1"/>
        <v>0.91241197183911793</v>
      </c>
      <c r="AH1996" s="2" t="str">
        <f ca="1"/>
        <v>Bad</v>
      </c>
    </row>
    <row r="1997" spans="2:34" x14ac:dyDescent="0.2">
      <c r="B1997" s="2">
        <f ca="1"/>
        <v>0.88774941757542725</v>
      </c>
      <c r="O1997" s="2">
        <f ca="1"/>
        <v>1.4920717385017441</v>
      </c>
      <c r="X1997" s="2">
        <f ca="1"/>
        <v>54.345436236402669</v>
      </c>
      <c r="AG1997" s="2">
        <f ca="1"/>
        <v>0.8771066526979916</v>
      </c>
      <c r="AH1997" s="2" t="str">
        <f ca="1"/>
        <v>Bad</v>
      </c>
    </row>
    <row r="1998" spans="2:34" x14ac:dyDescent="0.2">
      <c r="B1998" s="2">
        <f ca="1"/>
        <v>0.52761903585141479</v>
      </c>
      <c r="O1998" s="2">
        <f ca="1"/>
        <v>-2.7525134427780769E-2</v>
      </c>
      <c r="X1998" s="2">
        <f ca="1"/>
        <v>77.414818481224785</v>
      </c>
      <c r="AG1998" s="2">
        <f ca="1"/>
        <v>0.20934500469494699</v>
      </c>
      <c r="AH1998" s="2" t="str">
        <f ca="1"/>
        <v>OK</v>
      </c>
    </row>
    <row r="1999" spans="2:34" x14ac:dyDescent="0.2">
      <c r="B1999" s="2">
        <f ca="1"/>
        <v>0.99374718424663744</v>
      </c>
      <c r="O1999" s="2">
        <f ca="1"/>
        <v>0.14891565484807526</v>
      </c>
      <c r="X1999" s="2">
        <f ca="1"/>
        <v>46.575550727458712</v>
      </c>
      <c r="AG1999" s="2">
        <f ca="1"/>
        <v>4.0418973318038232E-2</v>
      </c>
      <c r="AH1999" s="2" t="str">
        <f ca="1"/>
        <v>Good</v>
      </c>
    </row>
    <row r="2000" spans="2:34" x14ac:dyDescent="0.2">
      <c r="B2000" s="2">
        <f ca="1"/>
        <v>0.62328192956972583</v>
      </c>
      <c r="O2000" s="2">
        <f ca="1"/>
        <v>-2.1560433201980089</v>
      </c>
      <c r="X2000" s="2">
        <f ca="1"/>
        <v>44.296328933997351</v>
      </c>
      <c r="AG2000" s="2">
        <f ca="1"/>
        <v>7.5243898205890503E-2</v>
      </c>
      <c r="AH2000" s="2" t="str">
        <f ca="1"/>
        <v>OK</v>
      </c>
    </row>
    <row r="2001" spans="2:34" x14ac:dyDescent="0.2">
      <c r="B2001" s="2">
        <f ca="1"/>
        <v>0.34516917024852245</v>
      </c>
      <c r="O2001" s="2">
        <f ca="1"/>
        <v>0.94758784663011475</v>
      </c>
      <c r="X2001" s="2">
        <f ca="1"/>
        <v>46.415025788194185</v>
      </c>
      <c r="AG2001" s="2">
        <f ca="1"/>
        <v>0.79387212564979626</v>
      </c>
      <c r="AH2001" s="2" t="str">
        <f ca="1"/>
        <v>Bad</v>
      </c>
    </row>
    <row r="2002" spans="2:34" x14ac:dyDescent="0.2">
      <c r="B2002" s="2">
        <f ca="1"/>
        <v>0.89303638213943226</v>
      </c>
      <c r="O2002" s="2">
        <f ca="1"/>
        <v>-1.1215148695681212</v>
      </c>
      <c r="X2002" s="2">
        <f ca="1"/>
        <v>66.542829517035614</v>
      </c>
      <c r="AG2002" s="2">
        <f ca="1"/>
        <v>0.73148497438416338</v>
      </c>
      <c r="AH2002" s="2" t="str">
        <f ca="1"/>
        <v>Bad</v>
      </c>
    </row>
    <row r="2003" spans="2:34" x14ac:dyDescent="0.2">
      <c r="B2003" s="2">
        <f ca="1"/>
        <v>0.63781268689808135</v>
      </c>
      <c r="O2003" s="2">
        <f ca="1"/>
        <v>-9.453404058787665E-2</v>
      </c>
      <c r="X2003" s="2">
        <f ca="1"/>
        <v>31.119176504224328</v>
      </c>
      <c r="AG2003" s="2">
        <f ca="1"/>
        <v>0.63566272517537459</v>
      </c>
      <c r="AH2003" s="2" t="str">
        <f ca="1"/>
        <v>Bad</v>
      </c>
    </row>
    <row r="2004" spans="2:34" x14ac:dyDescent="0.2">
      <c r="B2004" s="2">
        <f ca="1"/>
        <v>0.45534724337474408</v>
      </c>
      <c r="O2004" s="2">
        <f ca="1"/>
        <v>-0.80185990289044529</v>
      </c>
      <c r="X2004" s="2">
        <f ca="1"/>
        <v>36.409245645812746</v>
      </c>
      <c r="AG2004" s="2">
        <f ca="1"/>
        <v>0.59456355137947736</v>
      </c>
      <c r="AH2004" s="2" t="str">
        <f ca="1"/>
        <v>Bad</v>
      </c>
    </row>
    <row r="2005" spans="2:34" x14ac:dyDescent="0.2">
      <c r="B2005" s="2">
        <f ca="1"/>
        <v>0.81475093584429903</v>
      </c>
      <c r="O2005" s="2">
        <f ca="1"/>
        <v>-0.5062987737596869</v>
      </c>
      <c r="X2005" s="2">
        <f ca="1"/>
        <v>54.479954022483092</v>
      </c>
      <c r="AG2005" s="2">
        <f ca="1"/>
        <v>0.38724019680269195</v>
      </c>
      <c r="AH2005" s="2" t="str">
        <f ca="1"/>
        <v>OK</v>
      </c>
    </row>
    <row r="2006" spans="2:34" x14ac:dyDescent="0.2">
      <c r="B2006" s="2">
        <f ca="1"/>
        <v>0.31138785276177727</v>
      </c>
      <c r="O2006" s="2">
        <f ca="1"/>
        <v>-0.43986494538001264</v>
      </c>
      <c r="X2006" s="2">
        <f ca="1"/>
        <v>50.949098519484636</v>
      </c>
      <c r="AG2006" s="2">
        <f ca="1"/>
        <v>0.1128676599823768</v>
      </c>
      <c r="AH2006" s="2" t="str">
        <f ca="1"/>
        <v>OK</v>
      </c>
    </row>
    <row r="2007" spans="2:34" x14ac:dyDescent="0.2">
      <c r="B2007" s="2">
        <f ca="1"/>
        <v>0.20682909634278079</v>
      </c>
      <c r="O2007" s="2">
        <f ca="1"/>
        <v>-0.74365147138514354</v>
      </c>
      <c r="X2007" s="2">
        <f ca="1"/>
        <v>82.278069706480778</v>
      </c>
      <c r="AG2007" s="2">
        <f ca="1"/>
        <v>0.79819543129211268</v>
      </c>
      <c r="AH2007" s="2" t="str">
        <f ca="1"/>
        <v>Bad</v>
      </c>
    </row>
    <row r="2008" spans="2:34" x14ac:dyDescent="0.2">
      <c r="B2008" s="2">
        <f ca="1"/>
        <v>0.61587671100725672</v>
      </c>
      <c r="O2008" s="2">
        <f ca="1"/>
        <v>0.10857663386805297</v>
      </c>
      <c r="X2008" s="2">
        <f ca="1"/>
        <v>31.507173557276889</v>
      </c>
      <c r="AG2008" s="2">
        <f ca="1"/>
        <v>0.3770081856927987</v>
      </c>
      <c r="AH2008" s="2" t="str">
        <f ca="1"/>
        <v>OK</v>
      </c>
    </row>
    <row r="2009" spans="2:34" x14ac:dyDescent="0.2">
      <c r="B2009" s="2">
        <f ca="1"/>
        <v>0.88943100684462206</v>
      </c>
      <c r="O2009" s="2">
        <f ca="1"/>
        <v>0.24348329121683784</v>
      </c>
      <c r="X2009" s="2">
        <f ca="1"/>
        <v>58.515362505920969</v>
      </c>
      <c r="AG2009" s="2">
        <f ca="1"/>
        <v>0.22803396808527521</v>
      </c>
      <c r="AH2009" s="2" t="str">
        <f ca="1"/>
        <v>OK</v>
      </c>
    </row>
    <row r="2010" spans="2:34" x14ac:dyDescent="0.2">
      <c r="B2010" s="2">
        <f ca="1"/>
        <v>0.78521953000923439</v>
      </c>
      <c r="O2010" s="2">
        <f ca="1"/>
        <v>0.30287607587422727</v>
      </c>
      <c r="X2010" s="2">
        <f ca="1"/>
        <v>37.141178550477107</v>
      </c>
      <c r="AG2010" s="2">
        <f ca="1"/>
        <v>0.64223322934601801</v>
      </c>
      <c r="AH2010" s="2" t="str">
        <f ca="1"/>
        <v>Bad</v>
      </c>
    </row>
    <row r="2011" spans="2:34" x14ac:dyDescent="0.2">
      <c r="B2011" s="2">
        <f ca="1"/>
        <v>0.46906439059260396</v>
      </c>
      <c r="O2011" s="2">
        <f ca="1"/>
        <v>-1.4384068564312436</v>
      </c>
      <c r="X2011" s="2">
        <f ca="1"/>
        <v>53.502503684167131</v>
      </c>
      <c r="AG2011" s="2">
        <f ca="1"/>
        <v>0.804874487710177</v>
      </c>
      <c r="AH2011" s="2" t="str">
        <f ca="1"/>
        <v>Bad</v>
      </c>
    </row>
    <row r="2012" spans="2:34" x14ac:dyDescent="0.2">
      <c r="B2012" s="2">
        <f ca="1"/>
        <v>0.89515684487455882</v>
      </c>
      <c r="O2012" s="2">
        <f ca="1"/>
        <v>-0.21106129515144459</v>
      </c>
      <c r="X2012" s="2">
        <f ca="1"/>
        <v>42.593486644569722</v>
      </c>
      <c r="AG2012" s="2">
        <f ca="1"/>
        <v>4.8161639201231621E-2</v>
      </c>
      <c r="AH2012" s="2" t="str">
        <f ca="1"/>
        <v>Good</v>
      </c>
    </row>
    <row r="2013" spans="2:34" x14ac:dyDescent="0.2">
      <c r="B2013" s="2">
        <f ca="1"/>
        <v>0.71482302974792322</v>
      </c>
      <c r="O2013" s="2">
        <f ca="1"/>
        <v>-0.65258102024787645</v>
      </c>
      <c r="X2013" s="2">
        <f ca="1"/>
        <v>22.54718339566066</v>
      </c>
      <c r="AG2013" s="2">
        <f ca="1"/>
        <v>0.76712094739955305</v>
      </c>
      <c r="AH2013" s="2" t="str">
        <f ca="1"/>
        <v>Bad</v>
      </c>
    </row>
    <row r="2014" spans="2:34" x14ac:dyDescent="0.2">
      <c r="B2014" s="2">
        <f ca="1"/>
        <v>0.29574798361950916</v>
      </c>
      <c r="O2014" s="2">
        <f ca="1"/>
        <v>0.30866111446602712</v>
      </c>
      <c r="X2014" s="2">
        <f ca="1"/>
        <v>44.744240127028121</v>
      </c>
      <c r="AG2014" s="2">
        <f ca="1"/>
        <v>0.92112252130736438</v>
      </c>
      <c r="AH2014" s="2" t="str">
        <f ca="1"/>
        <v>Bad</v>
      </c>
    </row>
    <row r="2015" spans="2:34" x14ac:dyDescent="0.2">
      <c r="B2015" s="2">
        <f ca="1"/>
        <v>0.57811371699084946</v>
      </c>
      <c r="O2015" s="2">
        <f ca="1"/>
        <v>-0.11047861842107168</v>
      </c>
      <c r="X2015" s="2">
        <f ca="1"/>
        <v>42.592068388656699</v>
      </c>
      <c r="AG2015" s="2">
        <f ca="1"/>
        <v>0.24772037275114078</v>
      </c>
      <c r="AH2015" s="2" t="str">
        <f ca="1"/>
        <v>OK</v>
      </c>
    </row>
    <row r="2016" spans="2:34" x14ac:dyDescent="0.2">
      <c r="B2016" s="2">
        <f ca="1"/>
        <v>0.28318080293802184</v>
      </c>
      <c r="O2016" s="2">
        <f ca="1"/>
        <v>-0.4202412688987518</v>
      </c>
      <c r="X2016" s="2">
        <f ca="1"/>
        <v>53.988700361864808</v>
      </c>
      <c r="AG2016" s="2">
        <f ca="1"/>
        <v>0.83778243162777155</v>
      </c>
      <c r="AH2016" s="2" t="str">
        <f ca="1"/>
        <v>Bad</v>
      </c>
    </row>
    <row r="2017" spans="2:34" x14ac:dyDescent="0.2">
      <c r="B2017" s="2">
        <f ca="1"/>
        <v>0.543956045231897</v>
      </c>
      <c r="O2017" s="2">
        <f ca="1"/>
        <v>-0.16280155482565317</v>
      </c>
      <c r="X2017" s="2">
        <f ca="1"/>
        <v>55.530937484346275</v>
      </c>
      <c r="AG2017" s="2">
        <f ca="1"/>
        <v>0.52634718184402707</v>
      </c>
      <c r="AH2017" s="2" t="str">
        <f ca="1"/>
        <v>Bad</v>
      </c>
    </row>
    <row r="2018" spans="2:34" x14ac:dyDescent="0.2">
      <c r="B2018" s="2">
        <f ca="1"/>
        <v>0.43496842725967921</v>
      </c>
      <c r="O2018" s="2">
        <f ca="1"/>
        <v>-1.7101662282087107</v>
      </c>
      <c r="X2018" s="2">
        <f ca="1"/>
        <v>47.431723173679721</v>
      </c>
      <c r="AG2018" s="2">
        <f ca="1"/>
        <v>0.67891918822320707</v>
      </c>
      <c r="AH2018" s="2" t="str">
        <f ca="1"/>
        <v>Bad</v>
      </c>
    </row>
    <row r="2019" spans="2:34" x14ac:dyDescent="0.2">
      <c r="B2019" s="2">
        <f ca="1"/>
        <v>0.38507059235275043</v>
      </c>
      <c r="O2019" s="2">
        <f ca="1"/>
        <v>-1.6238350271410336</v>
      </c>
      <c r="X2019" s="2">
        <f ca="1"/>
        <v>36.110861321413232</v>
      </c>
      <c r="AG2019" s="2">
        <f ca="1"/>
        <v>0.11196440257278972</v>
      </c>
      <c r="AH2019" s="2" t="str">
        <f ca="1"/>
        <v>OK</v>
      </c>
    </row>
    <row r="2020" spans="2:34" x14ac:dyDescent="0.2">
      <c r="B2020" s="2">
        <f ca="1"/>
        <v>0.76935653872379128</v>
      </c>
      <c r="O2020" s="2">
        <f ca="1"/>
        <v>0.48978785025987126</v>
      </c>
      <c r="X2020" s="2">
        <f ca="1"/>
        <v>73.639679589604228</v>
      </c>
      <c r="AG2020" s="2">
        <f ca="1"/>
        <v>0.78190046936752555</v>
      </c>
      <c r="AH2020" s="2" t="str">
        <f ca="1"/>
        <v>Bad</v>
      </c>
    </row>
    <row r="2021" spans="2:34" x14ac:dyDescent="0.2">
      <c r="B2021" s="2">
        <f ca="1"/>
        <v>0.38912570619506126</v>
      </c>
      <c r="O2021" s="2">
        <f ca="1"/>
        <v>0.30314079114621018</v>
      </c>
      <c r="X2021" s="2">
        <f ca="1"/>
        <v>51.43775999506196</v>
      </c>
      <c r="AG2021" s="2">
        <f ca="1"/>
        <v>0.94675704350166789</v>
      </c>
      <c r="AH2021" s="2" t="str">
        <f ca="1"/>
        <v>Bad</v>
      </c>
    </row>
    <row r="2022" spans="2:34" x14ac:dyDescent="0.2">
      <c r="B2022" s="2">
        <f ca="1"/>
        <v>0.9582418239115662</v>
      </c>
      <c r="O2022" s="2">
        <f ca="1"/>
        <v>0.40127211248013339</v>
      </c>
      <c r="X2022" s="2">
        <f ca="1"/>
        <v>49.324541063855918</v>
      </c>
      <c r="AG2022" s="2">
        <f ca="1"/>
        <v>0.23930458860959281</v>
      </c>
      <c r="AH2022" s="2" t="str">
        <f ca="1"/>
        <v>OK</v>
      </c>
    </row>
    <row r="2023" spans="2:34" x14ac:dyDescent="0.2">
      <c r="B2023" s="2">
        <f ca="1"/>
        <v>0.19793452027787306</v>
      </c>
      <c r="O2023" s="2">
        <f ca="1"/>
        <v>1.7557590381325761</v>
      </c>
      <c r="X2023" s="2">
        <f ca="1"/>
        <v>32.507509214306246</v>
      </c>
      <c r="AG2023" s="2">
        <f ca="1"/>
        <v>0.45767585680697964</v>
      </c>
      <c r="AH2023" s="2" t="str">
        <f ca="1"/>
        <v>Bad</v>
      </c>
    </row>
    <row r="2024" spans="2:34" x14ac:dyDescent="0.2">
      <c r="B2024" s="2">
        <f ca="1"/>
        <v>2.6492637654078166E-2</v>
      </c>
      <c r="O2024" s="2">
        <f ca="1"/>
        <v>0.78562625677146769</v>
      </c>
      <c r="X2024" s="2">
        <f ca="1"/>
        <v>35.766480183927463</v>
      </c>
      <c r="AG2024" s="2">
        <f ca="1"/>
        <v>0.74260478043088973</v>
      </c>
      <c r="AH2024" s="2" t="str">
        <f ca="1"/>
        <v>Bad</v>
      </c>
    </row>
    <row r="2025" spans="2:34" x14ac:dyDescent="0.2">
      <c r="B2025" s="2">
        <f ca="1"/>
        <v>0.39943608865327707</v>
      </c>
      <c r="O2025" s="2">
        <f ca="1"/>
        <v>-1.8424481158037789</v>
      </c>
      <c r="X2025" s="2">
        <f ca="1"/>
        <v>31.894835426768601</v>
      </c>
      <c r="AG2025" s="2">
        <f ca="1"/>
        <v>0.19731731271988995</v>
      </c>
      <c r="AH2025" s="2" t="str">
        <f ca="1"/>
        <v>OK</v>
      </c>
    </row>
    <row r="2026" spans="2:34" x14ac:dyDescent="0.2">
      <c r="B2026" s="2">
        <f ca="1"/>
        <v>0.19522494801439616</v>
      </c>
      <c r="O2026" s="2">
        <f ca="1"/>
        <v>-1.152357280895858</v>
      </c>
      <c r="X2026" s="2">
        <f ca="1"/>
        <v>86.077816180463245</v>
      </c>
      <c r="AG2026" s="2">
        <f ca="1"/>
        <v>0.95282481217149106</v>
      </c>
      <c r="AH2026" s="2" t="str">
        <f ca="1"/>
        <v>Bad</v>
      </c>
    </row>
    <row r="2027" spans="2:34" x14ac:dyDescent="0.2">
      <c r="B2027" s="2">
        <f ca="1"/>
        <v>0.13427037362957916</v>
      </c>
      <c r="O2027" s="2">
        <f ca="1"/>
        <v>-0.73887676199392938</v>
      </c>
      <c r="X2027" s="2">
        <f ca="1"/>
        <v>69.813644062757319</v>
      </c>
      <c r="AG2027" s="2">
        <f ca="1"/>
        <v>0.78987382214049484</v>
      </c>
      <c r="AH2027" s="2" t="str">
        <f ca="1"/>
        <v>Bad</v>
      </c>
    </row>
    <row r="2028" spans="2:34" x14ac:dyDescent="0.2">
      <c r="B2028" s="2">
        <f ca="1"/>
        <v>4.4577841704278587E-3</v>
      </c>
      <c r="O2028" s="2">
        <f ca="1"/>
        <v>-0.91456976261873868</v>
      </c>
      <c r="X2028" s="2">
        <f ca="1"/>
        <v>66.286328873021674</v>
      </c>
      <c r="AG2028" s="2">
        <f ca="1"/>
        <v>0.16086563883135807</v>
      </c>
      <c r="AH2028" s="2" t="str">
        <f ca="1"/>
        <v>OK</v>
      </c>
    </row>
    <row r="2029" spans="2:34" x14ac:dyDescent="0.2">
      <c r="B2029" s="2">
        <f ca="1"/>
        <v>0.67611426916630402</v>
      </c>
      <c r="O2029" s="2">
        <f ca="1"/>
        <v>-0.28434527932725878</v>
      </c>
      <c r="X2029" s="2">
        <f ca="1"/>
        <v>62.472203379232667</v>
      </c>
      <c r="AG2029" s="2">
        <f ca="1"/>
        <v>0.8763226519180618</v>
      </c>
      <c r="AH2029" s="2" t="str">
        <f ca="1"/>
        <v>Bad</v>
      </c>
    </row>
    <row r="2030" spans="2:34" x14ac:dyDescent="0.2">
      <c r="B2030" s="2">
        <f ca="1"/>
        <v>5.0686695366176426E-2</v>
      </c>
      <c r="O2030" s="2">
        <f ca="1"/>
        <v>-0.44425544122074784</v>
      </c>
      <c r="X2030" s="2">
        <f ca="1"/>
        <v>42.143391427311208</v>
      </c>
      <c r="AG2030" s="2">
        <f ca="1"/>
        <v>0.60345738748111044</v>
      </c>
      <c r="AH2030" s="2" t="str">
        <f ca="1"/>
        <v>Bad</v>
      </c>
    </row>
    <row r="2031" spans="2:34" x14ac:dyDescent="0.2">
      <c r="B2031" s="2">
        <f ca="1"/>
        <v>4.043009365478234E-2</v>
      </c>
      <c r="O2031" s="2">
        <f ca="1"/>
        <v>0.50873408793046981</v>
      </c>
      <c r="X2031" s="2">
        <f ca="1"/>
        <v>65.473172990101702</v>
      </c>
      <c r="AG2031" s="2">
        <f ca="1"/>
        <v>0.79777420709236391</v>
      </c>
      <c r="AH2031" s="2" t="str">
        <f ca="1"/>
        <v>Bad</v>
      </c>
    </row>
    <row r="2032" spans="2:34" x14ac:dyDescent="0.2">
      <c r="B2032" s="2">
        <f ca="1"/>
        <v>0.49233812231502605</v>
      </c>
      <c r="O2032" s="2">
        <f ca="1"/>
        <v>-0.67027521193366835</v>
      </c>
      <c r="X2032" s="2">
        <f ca="1"/>
        <v>41.389740713898192</v>
      </c>
      <c r="AG2032" s="2">
        <f ca="1"/>
        <v>0.62870376578201448</v>
      </c>
      <c r="AH2032" s="2" t="str">
        <f ca="1"/>
        <v>Bad</v>
      </c>
    </row>
    <row r="2033" spans="2:34" x14ac:dyDescent="0.2">
      <c r="B2033" s="2">
        <f ca="1"/>
        <v>2.9238788626039014E-2</v>
      </c>
      <c r="O2033" s="2">
        <f ca="1"/>
        <v>-0.60130093770966442</v>
      </c>
      <c r="X2033" s="2">
        <f ca="1"/>
        <v>49.202397949525185</v>
      </c>
      <c r="AG2033" s="2">
        <f ca="1"/>
        <v>0.7959995476786712</v>
      </c>
      <c r="AH2033" s="2" t="str">
        <f ca="1"/>
        <v>Bad</v>
      </c>
    </row>
    <row r="2034" spans="2:34" x14ac:dyDescent="0.2">
      <c r="B2034" s="2">
        <f ca="1"/>
        <v>0.41872442215326533</v>
      </c>
      <c r="O2034" s="2">
        <f ca="1"/>
        <v>1.4158012816518941</v>
      </c>
      <c r="X2034" s="2">
        <f ca="1"/>
        <v>29.533869338645076</v>
      </c>
      <c r="AG2034" s="2">
        <f ca="1"/>
        <v>0.4776823541425137</v>
      </c>
      <c r="AH2034" s="2" t="str">
        <f ca="1"/>
        <v>Bad</v>
      </c>
    </row>
    <row r="2035" spans="2:34" x14ac:dyDescent="0.2">
      <c r="B2035" s="2">
        <f ca="1"/>
        <v>0.23048189402885999</v>
      </c>
      <c r="O2035" s="2">
        <f ca="1"/>
        <v>-0.1879903021445285</v>
      </c>
      <c r="X2035" s="2">
        <f ca="1"/>
        <v>72.39497370763732</v>
      </c>
      <c r="AG2035" s="2">
        <f ca="1"/>
        <v>0.4109698812586795</v>
      </c>
      <c r="AH2035" s="2" t="str">
        <f ca="1"/>
        <v>Bad</v>
      </c>
    </row>
    <row r="2036" spans="2:34" x14ac:dyDescent="0.2">
      <c r="B2036" s="2">
        <f ca="1"/>
        <v>0.39543390832795189</v>
      </c>
      <c r="O2036" s="2">
        <f ca="1"/>
        <v>-1.4888988840391517</v>
      </c>
      <c r="X2036" s="2">
        <f ca="1"/>
        <v>79.669632526896208</v>
      </c>
      <c r="AG2036" s="2">
        <f ca="1"/>
        <v>0.49371477084562976</v>
      </c>
      <c r="AH2036" s="2" t="str">
        <f ca="1"/>
        <v>Bad</v>
      </c>
    </row>
    <row r="2037" spans="2:34" x14ac:dyDescent="0.2">
      <c r="B2037" s="2">
        <f ca="1"/>
        <v>0.25164840916872189</v>
      </c>
      <c r="O2037" s="2">
        <f ca="1"/>
        <v>-0.78985988560287645</v>
      </c>
      <c r="X2037" s="2">
        <f ca="1"/>
        <v>23.782781019861474</v>
      </c>
      <c r="AG2037" s="2">
        <f ca="1"/>
        <v>0.20536320823792997</v>
      </c>
      <c r="AH2037" s="2" t="str">
        <f ca="1"/>
        <v>OK</v>
      </c>
    </row>
    <row r="2038" spans="2:34" x14ac:dyDescent="0.2">
      <c r="B2038" s="2">
        <f ca="1"/>
        <v>0.70599284731028011</v>
      </c>
      <c r="O2038" s="2">
        <f ca="1"/>
        <v>-1.0744019290021634</v>
      </c>
      <c r="X2038" s="2">
        <f ca="1"/>
        <v>44.162793014686216</v>
      </c>
      <c r="AG2038" s="2">
        <f ca="1"/>
        <v>0.77639193913594839</v>
      </c>
      <c r="AH2038" s="2" t="str">
        <f ca="1"/>
        <v>Bad</v>
      </c>
    </row>
    <row r="2039" spans="2:34" x14ac:dyDescent="0.2">
      <c r="B2039" s="2">
        <f ca="1"/>
        <v>2.7656275967150146E-2</v>
      </c>
      <c r="O2039" s="2">
        <f ca="1"/>
        <v>-0.82100062820844899</v>
      </c>
      <c r="X2039" s="2">
        <f ca="1"/>
        <v>56.148285726241284</v>
      </c>
      <c r="AG2039" s="2">
        <f ca="1"/>
        <v>0.32551563012029505</v>
      </c>
      <c r="AH2039" s="2" t="str">
        <f ca="1"/>
        <v>OK</v>
      </c>
    </row>
    <row r="2040" spans="2:34" x14ac:dyDescent="0.2">
      <c r="B2040" s="2">
        <f ca="1"/>
        <v>0.92056360917541102</v>
      </c>
      <c r="O2040" s="2">
        <f ca="1"/>
        <v>-0.86679097159656648</v>
      </c>
      <c r="X2040" s="2">
        <f ca="1"/>
        <v>50.75539475499604</v>
      </c>
      <c r="AG2040" s="2">
        <f ca="1"/>
        <v>0.64026931690952416</v>
      </c>
      <c r="AH2040" s="2" t="str">
        <f ca="1"/>
        <v>Bad</v>
      </c>
    </row>
    <row r="2041" spans="2:34" x14ac:dyDescent="0.2">
      <c r="B2041" s="2">
        <f ca="1"/>
        <v>0.34583183552098085</v>
      </c>
      <c r="O2041" s="2">
        <f ca="1"/>
        <v>0.68027355545321566</v>
      </c>
      <c r="X2041" s="2">
        <f ca="1"/>
        <v>58.424596138588605</v>
      </c>
      <c r="AG2041" s="2">
        <f ca="1"/>
        <v>0.23715464277863973</v>
      </c>
      <c r="AH2041" s="2" t="str">
        <f ca="1"/>
        <v>OK</v>
      </c>
    </row>
    <row r="2042" spans="2:34" x14ac:dyDescent="0.2">
      <c r="B2042" s="2">
        <f ca="1"/>
        <v>0.22434528029594691</v>
      </c>
      <c r="O2042" s="2">
        <f ca="1"/>
        <v>0.93960781042470465</v>
      </c>
      <c r="X2042" s="2">
        <f ca="1"/>
        <v>82.144987841062971</v>
      </c>
      <c r="AG2042" s="2">
        <f ca="1"/>
        <v>0.56595822477545377</v>
      </c>
      <c r="AH2042" s="2" t="str">
        <f ca="1"/>
        <v>Bad</v>
      </c>
    </row>
    <row r="2043" spans="2:34" x14ac:dyDescent="0.2">
      <c r="B2043" s="2">
        <f ca="1"/>
        <v>0.12502314896378963</v>
      </c>
      <c r="O2043" s="2">
        <f ca="1"/>
        <v>1.6214047300592525</v>
      </c>
      <c r="X2043" s="2">
        <f ca="1"/>
        <v>48.63041254153277</v>
      </c>
      <c r="AG2043" s="2">
        <f ca="1"/>
        <v>0.25737263680699907</v>
      </c>
      <c r="AH2043" s="2" t="str">
        <f ca="1"/>
        <v>OK</v>
      </c>
    </row>
    <row r="2044" spans="2:34" x14ac:dyDescent="0.2">
      <c r="B2044" s="2">
        <f ca="1"/>
        <v>0.20754624290397583</v>
      </c>
      <c r="O2044" s="2">
        <f ca="1"/>
        <v>6.2456322680761296E-2</v>
      </c>
      <c r="X2044" s="2">
        <f ca="1"/>
        <v>72.849072121372373</v>
      </c>
      <c r="AG2044" s="2">
        <f ca="1"/>
        <v>0.54643514416742955</v>
      </c>
      <c r="AH2044" s="2" t="str">
        <f ca="1"/>
        <v>Bad</v>
      </c>
    </row>
    <row r="2045" spans="2:34" x14ac:dyDescent="0.2">
      <c r="B2045" s="2">
        <f ca="1"/>
        <v>0.21757366293231262</v>
      </c>
      <c r="O2045" s="2">
        <f ca="1"/>
        <v>-8.8805757261040411E-2</v>
      </c>
      <c r="X2045" s="2">
        <f ca="1"/>
        <v>46.633065091049389</v>
      </c>
      <c r="AG2045" s="2">
        <f ca="1"/>
        <v>0.27374156542880312</v>
      </c>
      <c r="AH2045" s="2" t="str">
        <f ca="1"/>
        <v>OK</v>
      </c>
    </row>
    <row r="2046" spans="2:34" x14ac:dyDescent="0.2">
      <c r="B2046" s="2">
        <f ca="1"/>
        <v>0.7658563011523396</v>
      </c>
      <c r="O2046" s="2">
        <f ca="1"/>
        <v>0.18308498514966712</v>
      </c>
      <c r="X2046" s="2">
        <f ca="1"/>
        <v>47.722612014229114</v>
      </c>
      <c r="AG2046" s="2">
        <f ca="1"/>
        <v>0.69691681375786474</v>
      </c>
      <c r="AH2046" s="2" t="str">
        <f ca="1"/>
        <v>Bad</v>
      </c>
    </row>
    <row r="2047" spans="2:34" x14ac:dyDescent="0.2">
      <c r="B2047" s="2">
        <f ca="1"/>
        <v>0.88433270907143968</v>
      </c>
      <c r="O2047" s="2">
        <f ca="1"/>
        <v>-1.5245042964808628</v>
      </c>
      <c r="X2047" s="2">
        <f ca="1"/>
        <v>41.290683649576216</v>
      </c>
      <c r="AG2047" s="2">
        <f ca="1"/>
        <v>0.94679962534812168</v>
      </c>
      <c r="AH2047" s="2" t="str">
        <f ca="1"/>
        <v>Bad</v>
      </c>
    </row>
    <row r="2048" spans="2:34" x14ac:dyDescent="0.2">
      <c r="B2048" s="2">
        <f ca="1"/>
        <v>0.90726766311626794</v>
      </c>
      <c r="O2048" s="2">
        <f ca="1"/>
        <v>-1.2103115108021489</v>
      </c>
      <c r="X2048" s="2">
        <f ca="1"/>
        <v>31.718630267237614</v>
      </c>
      <c r="AG2048" s="2">
        <f ca="1"/>
        <v>0.57895340163330622</v>
      </c>
      <c r="AH2048" s="2" t="str">
        <f ca="1"/>
        <v>Bad</v>
      </c>
    </row>
    <row r="2049" spans="2:34" x14ac:dyDescent="0.2">
      <c r="B2049" s="2">
        <f ca="1"/>
        <v>0.10687286312579336</v>
      </c>
      <c r="O2049" s="2">
        <f ca="1"/>
        <v>-0.516699999127611</v>
      </c>
      <c r="X2049" s="2">
        <f ca="1"/>
        <v>74.49637624640576</v>
      </c>
      <c r="AG2049" s="2">
        <f ca="1"/>
        <v>0.91179006397080076</v>
      </c>
      <c r="AH2049" s="2" t="str">
        <f ca="1"/>
        <v>Bad</v>
      </c>
    </row>
    <row r="2050" spans="2:34" x14ac:dyDescent="0.2">
      <c r="B2050" s="2">
        <f ca="1"/>
        <v>0.28257032074871113</v>
      </c>
      <c r="O2050" s="2">
        <f ca="1"/>
        <v>0.97139136484861988</v>
      </c>
      <c r="X2050" s="2">
        <f ca="1"/>
        <v>62.991403364113481</v>
      </c>
      <c r="AG2050" s="2">
        <f ca="1"/>
        <v>0.1349185390968235</v>
      </c>
      <c r="AH2050" s="2" t="str">
        <f ca="1"/>
        <v>OK</v>
      </c>
    </row>
    <row r="2051" spans="2:34" x14ac:dyDescent="0.2">
      <c r="B2051" s="2">
        <f ca="1"/>
        <v>0.61723383688681044</v>
      </c>
      <c r="O2051" s="2">
        <f ca="1"/>
        <v>9.3214407523801585E-2</v>
      </c>
      <c r="X2051" s="2">
        <f ca="1"/>
        <v>39.363213625809422</v>
      </c>
      <c r="AG2051" s="2">
        <f ca="1"/>
        <v>0.92714111983131753</v>
      </c>
      <c r="AH2051" s="2" t="str">
        <f ca="1"/>
        <v>Bad</v>
      </c>
    </row>
    <row r="2052" spans="2:34" x14ac:dyDescent="0.2">
      <c r="B2052" s="2">
        <f ca="1"/>
        <v>8.5833365389183625E-2</v>
      </c>
      <c r="O2052" s="2">
        <f ca="1"/>
        <v>-1.8734701972775565</v>
      </c>
      <c r="X2052" s="2">
        <f ca="1"/>
        <v>36.943160187126871</v>
      </c>
      <c r="AG2052" s="2">
        <f ca="1"/>
        <v>0.87930455587815759</v>
      </c>
      <c r="AH2052" s="2" t="str">
        <f ca="1"/>
        <v>Bad</v>
      </c>
    </row>
    <row r="2053" spans="2:34" x14ac:dyDescent="0.2">
      <c r="B2053" s="2">
        <f ca="1"/>
        <v>0.56210018006449936</v>
      </c>
      <c r="O2053" s="2">
        <f ca="1"/>
        <v>0.70489329044100701</v>
      </c>
      <c r="X2053" s="2">
        <f ca="1"/>
        <v>54.512426989511269</v>
      </c>
      <c r="AG2053" s="2">
        <f ca="1"/>
        <v>1.4649359628556624E-2</v>
      </c>
      <c r="AH2053" s="2" t="str">
        <f ca="1"/>
        <v>Good</v>
      </c>
    </row>
    <row r="2054" spans="2:34" x14ac:dyDescent="0.2">
      <c r="B2054" s="2">
        <f ca="1"/>
        <v>0.36022487463628661</v>
      </c>
      <c r="O2054" s="2">
        <f ca="1"/>
        <v>1.4367124291211837</v>
      </c>
      <c r="X2054" s="2">
        <f ca="1"/>
        <v>27.66179270274101</v>
      </c>
      <c r="AG2054" s="2">
        <f ca="1"/>
        <v>0.92655718011572197</v>
      </c>
      <c r="AH2054" s="2" t="str">
        <f ca="1"/>
        <v>Bad</v>
      </c>
    </row>
    <row r="2055" spans="2:34" x14ac:dyDescent="0.2">
      <c r="B2055" s="2">
        <f ca="1"/>
        <v>0.82603469755603887</v>
      </c>
      <c r="O2055" s="2">
        <f ca="1"/>
        <v>0.29867944692446685</v>
      </c>
      <c r="X2055" s="2">
        <f ca="1"/>
        <v>73.081604857265191</v>
      </c>
      <c r="AG2055" s="2">
        <f ca="1"/>
        <v>0.73109295474765568</v>
      </c>
      <c r="AH2055" s="2" t="str">
        <f ca="1"/>
        <v>Bad</v>
      </c>
    </row>
    <row r="2056" spans="2:34" x14ac:dyDescent="0.2">
      <c r="B2056" s="2">
        <f ca="1"/>
        <v>0.5214939908376437</v>
      </c>
      <c r="O2056" s="2">
        <f ca="1"/>
        <v>6.2727250189181627E-2</v>
      </c>
      <c r="X2056" s="2">
        <f ca="1"/>
        <v>34.256718082903049</v>
      </c>
      <c r="AG2056" s="2">
        <f ca="1"/>
        <v>0.38021422354864032</v>
      </c>
      <c r="AH2056" s="2" t="str">
        <f ca="1"/>
        <v>OK</v>
      </c>
    </row>
    <row r="2057" spans="2:34" x14ac:dyDescent="0.2">
      <c r="B2057" s="2">
        <f ca="1"/>
        <v>0.62937832665463112</v>
      </c>
      <c r="O2057" s="2">
        <f ca="1"/>
        <v>-8.3234088628946962E-2</v>
      </c>
      <c r="X2057" s="2">
        <f ca="1"/>
        <v>54.777738960331874</v>
      </c>
      <c r="AG2057" s="2">
        <f ca="1"/>
        <v>0.8034746894246525</v>
      </c>
      <c r="AH2057" s="2" t="str">
        <f ca="1"/>
        <v>Bad</v>
      </c>
    </row>
    <row r="2058" spans="2:34" x14ac:dyDescent="0.2">
      <c r="B2058" s="2">
        <f ca="1"/>
        <v>0.58275437337015124</v>
      </c>
      <c r="O2058" s="2">
        <f ca="1"/>
        <v>-0.83228040160802674</v>
      </c>
      <c r="X2058" s="2">
        <f ca="1"/>
        <v>63.890800643308339</v>
      </c>
      <c r="AG2058" s="2">
        <f ca="1"/>
        <v>0.75969634765699134</v>
      </c>
      <c r="AH2058" s="2" t="str">
        <f ca="1"/>
        <v>Bad</v>
      </c>
    </row>
    <row r="2059" spans="2:34" x14ac:dyDescent="0.2">
      <c r="B2059" s="2">
        <f ca="1"/>
        <v>0.31423259323639718</v>
      </c>
      <c r="O2059" s="2">
        <f ca="1"/>
        <v>0.79217157549139572</v>
      </c>
      <c r="X2059" s="2">
        <f ca="1"/>
        <v>35.703873430984999</v>
      </c>
      <c r="AG2059" s="2">
        <f ca="1"/>
        <v>0.1368340310430769</v>
      </c>
      <c r="AH2059" s="2" t="str">
        <f ca="1"/>
        <v>OK</v>
      </c>
    </row>
    <row r="2060" spans="2:34" x14ac:dyDescent="0.2">
      <c r="B2060" s="2">
        <f ca="1"/>
        <v>0.9678897055542921</v>
      </c>
      <c r="O2060" s="2">
        <f ca="1"/>
        <v>-0.24129344639400643</v>
      </c>
      <c r="X2060" s="2">
        <f ca="1"/>
        <v>45.925935263690604</v>
      </c>
      <c r="AG2060" s="2">
        <f ca="1"/>
        <v>0.38613587035461538</v>
      </c>
      <c r="AH2060" s="2" t="str">
        <f ca="1"/>
        <v>OK</v>
      </c>
    </row>
    <row r="2061" spans="2:34" x14ac:dyDescent="0.2">
      <c r="B2061" s="2">
        <f ca="1"/>
        <v>0.96372996026363977</v>
      </c>
      <c r="O2061" s="2">
        <f ca="1"/>
        <v>0.85235636560621275</v>
      </c>
      <c r="X2061" s="2">
        <f ca="1"/>
        <v>72.018955188123414</v>
      </c>
      <c r="AG2061" s="2">
        <f ca="1"/>
        <v>0.72238899700550419</v>
      </c>
      <c r="AH2061" s="2" t="str">
        <f ca="1"/>
        <v>Bad</v>
      </c>
    </row>
    <row r="2062" spans="2:34" x14ac:dyDescent="0.2">
      <c r="B2062" s="2">
        <f ca="1"/>
        <v>0.5478120638922952</v>
      </c>
      <c r="O2062" s="2">
        <f ca="1"/>
        <v>-0.26106970343876756</v>
      </c>
      <c r="X2062" s="2">
        <f ca="1"/>
        <v>75.881313859450216</v>
      </c>
      <c r="AG2062" s="2">
        <f ca="1"/>
        <v>0.74062225527837944</v>
      </c>
      <c r="AH2062" s="2" t="str">
        <f ca="1"/>
        <v>Bad</v>
      </c>
    </row>
    <row r="2063" spans="2:34" x14ac:dyDescent="0.2">
      <c r="B2063" s="2">
        <f ca="1"/>
        <v>0.72916619617261169</v>
      </c>
      <c r="O2063" s="2">
        <f ca="1"/>
        <v>-1.2368438784793125</v>
      </c>
      <c r="X2063" s="2">
        <f ca="1"/>
        <v>60.300676982019382</v>
      </c>
      <c r="AG2063" s="2">
        <f ca="1"/>
        <v>0.7127151089838335</v>
      </c>
      <c r="AH2063" s="2" t="str">
        <f ca="1"/>
        <v>Bad</v>
      </c>
    </row>
    <row r="2064" spans="2:34" x14ac:dyDescent="0.2">
      <c r="B2064" s="2">
        <f ca="1"/>
        <v>0.87586947269007442</v>
      </c>
      <c r="O2064" s="2">
        <f ca="1"/>
        <v>8.2625998295967132E-2</v>
      </c>
      <c r="X2064" s="2">
        <f ca="1"/>
        <v>42.800455407225925</v>
      </c>
      <c r="AG2064" s="2">
        <f ca="1"/>
        <v>0.76539317324882106</v>
      </c>
      <c r="AH2064" s="2" t="str">
        <f ca="1"/>
        <v>Bad</v>
      </c>
    </row>
    <row r="2065" spans="2:34" x14ac:dyDescent="0.2">
      <c r="B2065" s="2">
        <f ca="1"/>
        <v>9.8847286479987417E-2</v>
      </c>
      <c r="O2065" s="2">
        <f ca="1"/>
        <v>-2.0577192734923689E-3</v>
      </c>
      <c r="X2065" s="2">
        <f ca="1"/>
        <v>81.924819166120244</v>
      </c>
      <c r="AG2065" s="2">
        <f ca="1"/>
        <v>2.1282326086568215E-2</v>
      </c>
      <c r="AH2065" s="2" t="str">
        <f ca="1"/>
        <v>Good</v>
      </c>
    </row>
    <row r="2066" spans="2:34" x14ac:dyDescent="0.2">
      <c r="B2066" s="2">
        <f ca="1"/>
        <v>0.56054689676265634</v>
      </c>
      <c r="O2066" s="2">
        <f ca="1"/>
        <v>1.1899926750338994</v>
      </c>
      <c r="X2066" s="2">
        <f ca="1"/>
        <v>58.771822710036673</v>
      </c>
      <c r="AG2066" s="2">
        <f ca="1"/>
        <v>0.7359081803752312</v>
      </c>
      <c r="AH2066" s="2" t="str">
        <f ca="1"/>
        <v>Bad</v>
      </c>
    </row>
    <row r="2067" spans="2:34" x14ac:dyDescent="0.2">
      <c r="B2067" s="2">
        <f ca="1"/>
        <v>0.12297792952683984</v>
      </c>
      <c r="O2067" s="2">
        <f ca="1"/>
        <v>-0.50581406684666641</v>
      </c>
      <c r="X2067" s="2">
        <f ca="1"/>
        <v>23.702956426561492</v>
      </c>
      <c r="AG2067" s="2">
        <f ca="1"/>
        <v>0.74508598945313453</v>
      </c>
      <c r="AH2067" s="2" t="str">
        <f ca="1"/>
        <v>Bad</v>
      </c>
    </row>
    <row r="2068" spans="2:34" x14ac:dyDescent="0.2">
      <c r="B2068" s="2">
        <f ca="1"/>
        <v>0.66143373341688672</v>
      </c>
      <c r="O2068" s="2">
        <f ca="1"/>
        <v>0.28856110758802583</v>
      </c>
      <c r="X2068" s="2">
        <f ca="1"/>
        <v>53.389150322860715</v>
      </c>
      <c r="AG2068" s="2">
        <f ca="1"/>
        <v>0.93911207079473402</v>
      </c>
      <c r="AH2068" s="2" t="str">
        <f ca="1"/>
        <v>Bad</v>
      </c>
    </row>
    <row r="2069" spans="2:34" x14ac:dyDescent="0.2">
      <c r="B2069" s="2">
        <f ca="1"/>
        <v>0.5676228038301796</v>
      </c>
      <c r="O2069" s="2">
        <f ca="1"/>
        <v>1.5094417541013732</v>
      </c>
      <c r="X2069" s="2">
        <f ca="1"/>
        <v>35.707449751395693</v>
      </c>
      <c r="AG2069" s="2">
        <f ca="1"/>
        <v>0.47933981109347679</v>
      </c>
      <c r="AH2069" s="2" t="str">
        <f ca="1"/>
        <v>Bad</v>
      </c>
    </row>
    <row r="2070" spans="2:34" x14ac:dyDescent="0.2">
      <c r="B2070" s="2">
        <f ca="1"/>
        <v>0.38304453044697406</v>
      </c>
      <c r="O2070" s="2">
        <f ca="1"/>
        <v>0.94480520076370322</v>
      </c>
      <c r="X2070" s="2">
        <f ca="1"/>
        <v>41.66861154997175</v>
      </c>
      <c r="AG2070" s="2">
        <f ca="1"/>
        <v>0.11500226509664224</v>
      </c>
      <c r="AH2070" s="2" t="str">
        <f ca="1"/>
        <v>OK</v>
      </c>
    </row>
    <row r="2071" spans="2:34" x14ac:dyDescent="0.2">
      <c r="B2071" s="2">
        <f ca="1"/>
        <v>0.54696237150410898</v>
      </c>
      <c r="O2071" s="2">
        <f ca="1"/>
        <v>-0.65686133068405217</v>
      </c>
      <c r="X2071" s="2">
        <f ca="1"/>
        <v>45.858427509337723</v>
      </c>
      <c r="AG2071" s="2">
        <f ca="1"/>
        <v>0.63025646438179983</v>
      </c>
      <c r="AH2071" s="2" t="str">
        <f ca="1"/>
        <v>Bad</v>
      </c>
    </row>
    <row r="2072" spans="2:34" x14ac:dyDescent="0.2">
      <c r="B2072" s="2">
        <f ca="1"/>
        <v>0.90255919291181064</v>
      </c>
      <c r="O2072" s="2">
        <f ca="1"/>
        <v>-0.50131797534082667</v>
      </c>
      <c r="X2072" s="2">
        <f ca="1"/>
        <v>66.496577634348</v>
      </c>
      <c r="AG2072" s="2">
        <f ca="1"/>
        <v>0.80604146473478555</v>
      </c>
      <c r="AH2072" s="2" t="str">
        <f ca="1"/>
        <v>Bad</v>
      </c>
    </row>
    <row r="2073" spans="2:34" x14ac:dyDescent="0.2">
      <c r="B2073" s="2">
        <f ca="1"/>
        <v>0.25412982270925877</v>
      </c>
      <c r="O2073" s="2">
        <f ca="1"/>
        <v>0.13765679054670102</v>
      </c>
      <c r="X2073" s="2">
        <f ca="1"/>
        <v>42.956615678600429</v>
      </c>
      <c r="AG2073" s="2">
        <f ca="1"/>
        <v>0.379919996298822</v>
      </c>
      <c r="AH2073" s="2" t="str">
        <f ca="1"/>
        <v>OK</v>
      </c>
    </row>
    <row r="2074" spans="2:34" x14ac:dyDescent="0.2">
      <c r="B2074" s="2">
        <f ca="1"/>
        <v>5.4826104268206777E-2</v>
      </c>
      <c r="O2074" s="2">
        <f ca="1"/>
        <v>1.8664816675867686</v>
      </c>
      <c r="X2074" s="2">
        <f ca="1"/>
        <v>48.092539228823192</v>
      </c>
      <c r="AG2074" s="2">
        <f ca="1"/>
        <v>0.87995485645456029</v>
      </c>
      <c r="AH2074" s="2" t="str">
        <f ca="1"/>
        <v>Bad</v>
      </c>
    </row>
    <row r="2075" spans="2:34" x14ac:dyDescent="0.2">
      <c r="B2075" s="2">
        <f ca="1"/>
        <v>0.89171855704015313</v>
      </c>
      <c r="O2075" s="2">
        <f ca="1"/>
        <v>0.67005156557925316</v>
      </c>
      <c r="X2075" s="2">
        <f ca="1"/>
        <v>41.280378319051998</v>
      </c>
      <c r="AG2075" s="2">
        <f ca="1"/>
        <v>0.59114088610218363</v>
      </c>
      <c r="AH2075" s="2" t="str">
        <f ca="1"/>
        <v>Bad</v>
      </c>
    </row>
    <row r="2076" spans="2:34" x14ac:dyDescent="0.2">
      <c r="B2076" s="2">
        <f ca="1"/>
        <v>0.94694800044648053</v>
      </c>
      <c r="O2076" s="2">
        <f ca="1"/>
        <v>0.32700197565080574</v>
      </c>
      <c r="X2076" s="2">
        <f ca="1"/>
        <v>43.534060259737018</v>
      </c>
      <c r="AG2076" s="2">
        <f ca="1"/>
        <v>0.60943470169458291</v>
      </c>
      <c r="AH2076" s="2" t="str">
        <f ca="1"/>
        <v>Bad</v>
      </c>
    </row>
    <row r="2077" spans="2:34" x14ac:dyDescent="0.2">
      <c r="B2077" s="2">
        <f ca="1"/>
        <v>0.11800413465444826</v>
      </c>
      <c r="O2077" s="2">
        <f ca="1"/>
        <v>0.26815608365686527</v>
      </c>
      <c r="X2077" s="2">
        <f ca="1"/>
        <v>51.653854044803765</v>
      </c>
      <c r="AG2077" s="2">
        <f ca="1"/>
        <v>0.32975117842394863</v>
      </c>
      <c r="AH2077" s="2" t="str">
        <f ca="1"/>
        <v>OK</v>
      </c>
    </row>
    <row r="2078" spans="2:34" x14ac:dyDescent="0.2">
      <c r="B2078" s="2">
        <f ca="1"/>
        <v>0.92321093744428118</v>
      </c>
      <c r="O2078" s="2">
        <f ca="1"/>
        <v>0.55926399578060981</v>
      </c>
      <c r="X2078" s="2">
        <f ca="1"/>
        <v>58.353866015338347</v>
      </c>
      <c r="AG2078" s="2">
        <f ca="1"/>
        <v>0.14848011998613386</v>
      </c>
      <c r="AH2078" s="2" t="str">
        <f ca="1"/>
        <v>OK</v>
      </c>
    </row>
    <row r="2079" spans="2:34" x14ac:dyDescent="0.2">
      <c r="B2079" s="2">
        <f ca="1"/>
        <v>0.17877223181402058</v>
      </c>
      <c r="O2079" s="2">
        <f ca="1"/>
        <v>0.29975697123683814</v>
      </c>
      <c r="X2079" s="2">
        <f ca="1"/>
        <v>81.361339115967695</v>
      </c>
      <c r="AG2079" s="2">
        <f ca="1"/>
        <v>0.27079781222143384</v>
      </c>
      <c r="AH2079" s="2" t="str">
        <f ca="1"/>
        <v>OK</v>
      </c>
    </row>
    <row r="2080" spans="2:34" x14ac:dyDescent="0.2">
      <c r="B2080" s="2">
        <f ca="1"/>
        <v>0.61771628795588041</v>
      </c>
      <c r="O2080" s="2">
        <f ca="1"/>
        <v>-1.1121033339131887</v>
      </c>
      <c r="X2080" s="2">
        <f ca="1"/>
        <v>68.840326389514175</v>
      </c>
      <c r="AG2080" s="2">
        <f ca="1"/>
        <v>0.901650476494539</v>
      </c>
      <c r="AH2080" s="2" t="str">
        <f ca="1"/>
        <v>Bad</v>
      </c>
    </row>
    <row r="2081" spans="2:34" x14ac:dyDescent="0.2">
      <c r="B2081" s="2">
        <f ca="1"/>
        <v>0.46008461970447012</v>
      </c>
      <c r="O2081" s="2">
        <f ca="1"/>
        <v>0.57497855834474232</v>
      </c>
      <c r="X2081" s="2">
        <f ca="1"/>
        <v>52.327266396529872</v>
      </c>
      <c r="AG2081" s="2">
        <f ca="1"/>
        <v>0.17601290761122645</v>
      </c>
      <c r="AH2081" s="2" t="str">
        <f ca="1"/>
        <v>OK</v>
      </c>
    </row>
    <row r="2082" spans="2:34" x14ac:dyDescent="0.2">
      <c r="B2082" s="2">
        <f ca="1"/>
        <v>0.58159348485768958</v>
      </c>
      <c r="O2082" s="2">
        <f ca="1"/>
        <v>0.73612182303114371</v>
      </c>
      <c r="X2082" s="2">
        <f ca="1"/>
        <v>56.237954273080462</v>
      </c>
      <c r="AG2082" s="2">
        <f ca="1"/>
        <v>2.4673491117246149E-2</v>
      </c>
      <c r="AH2082" s="2" t="str">
        <f ca="1"/>
        <v>Good</v>
      </c>
    </row>
    <row r="2083" spans="2:34" x14ac:dyDescent="0.2">
      <c r="B2083" s="2">
        <f ca="1"/>
        <v>0.21866136292412852</v>
      </c>
      <c r="O2083" s="2">
        <f ca="1"/>
        <v>-0.23576558834850159</v>
      </c>
      <c r="X2083" s="2">
        <f ca="1"/>
        <v>28.876536384927117</v>
      </c>
      <c r="AG2083" s="2">
        <f ca="1"/>
        <v>0.78371041972675304</v>
      </c>
      <c r="AH2083" s="2" t="str">
        <f ca="1"/>
        <v>Bad</v>
      </c>
    </row>
    <row r="2084" spans="2:34" x14ac:dyDescent="0.2">
      <c r="B2084" s="2">
        <f ca="1"/>
        <v>0.61158600656749229</v>
      </c>
      <c r="O2084" s="2">
        <f ca="1"/>
        <v>-2.3287804644215937</v>
      </c>
      <c r="X2084" s="2">
        <f ca="1"/>
        <v>62.323044204901159</v>
      </c>
      <c r="AG2084" s="2">
        <f ca="1"/>
        <v>0.71575630982866278</v>
      </c>
      <c r="AH2084" s="2" t="str">
        <f ca="1"/>
        <v>Bad</v>
      </c>
    </row>
    <row r="2085" spans="2:34" x14ac:dyDescent="0.2">
      <c r="B2085" s="2">
        <f ca="1"/>
        <v>0.76738623281397311</v>
      </c>
      <c r="O2085" s="2">
        <f ca="1"/>
        <v>-1.7266158115694235</v>
      </c>
      <c r="X2085" s="2">
        <f ca="1"/>
        <v>61.002548572364702</v>
      </c>
      <c r="AG2085" s="2">
        <f ca="1"/>
        <v>0.33756498105713018</v>
      </c>
      <c r="AH2085" s="2" t="str">
        <f ca="1"/>
        <v>OK</v>
      </c>
    </row>
    <row r="2086" spans="2:34" x14ac:dyDescent="0.2">
      <c r="B2086" s="2">
        <f ca="1"/>
        <v>0.92284383757453892</v>
      </c>
      <c r="O2086" s="2">
        <f ca="1"/>
        <v>0.31182208724804572</v>
      </c>
      <c r="X2086" s="2">
        <f ca="1"/>
        <v>46.306510024708373</v>
      </c>
      <c r="AG2086" s="2">
        <f ca="1"/>
        <v>0.32631710581522588</v>
      </c>
      <c r="AH2086" s="2" t="str">
        <f ca="1"/>
        <v>OK</v>
      </c>
    </row>
    <row r="2087" spans="2:34" x14ac:dyDescent="0.2">
      <c r="B2087" s="2">
        <f ca="1"/>
        <v>0.90299378026592358</v>
      </c>
      <c r="O2087" s="2">
        <f ca="1"/>
        <v>-0.75227696455316895</v>
      </c>
      <c r="X2087" s="2">
        <f ca="1"/>
        <v>48.38736054132022</v>
      </c>
      <c r="AG2087" s="2">
        <f ca="1"/>
        <v>0.9168208492983696</v>
      </c>
      <c r="AH2087" s="2" t="str">
        <f ca="1"/>
        <v>Bad</v>
      </c>
    </row>
    <row r="2088" spans="2:34" x14ac:dyDescent="0.2">
      <c r="B2088" s="2">
        <f ca="1"/>
        <v>0.86460156249864228</v>
      </c>
      <c r="O2088" s="2">
        <f ca="1"/>
        <v>-0.68330910927896626</v>
      </c>
      <c r="X2088" s="2">
        <f ca="1"/>
        <v>61.410654908971942</v>
      </c>
      <c r="AG2088" s="2">
        <f ca="1"/>
        <v>0.9528027259241878</v>
      </c>
      <c r="AH2088" s="2" t="str">
        <f ca="1"/>
        <v>Bad</v>
      </c>
    </row>
    <row r="2089" spans="2:34" x14ac:dyDescent="0.2">
      <c r="B2089" s="2">
        <f ca="1"/>
        <v>0.32755604995853038</v>
      </c>
      <c r="O2089" s="2">
        <f ca="1"/>
        <v>-8.6904251759698056E-2</v>
      </c>
      <c r="X2089" s="2">
        <f ca="1"/>
        <v>83.495722495576658</v>
      </c>
      <c r="AG2089" s="2">
        <f ca="1"/>
        <v>0.80073983713096153</v>
      </c>
      <c r="AH2089" s="2" t="str">
        <f ca="1"/>
        <v>Bad</v>
      </c>
    </row>
    <row r="2090" spans="2:34" x14ac:dyDescent="0.2">
      <c r="B2090" s="2">
        <f ca="1"/>
        <v>0.34413350273797905</v>
      </c>
      <c r="O2090" s="2">
        <f ca="1"/>
        <v>0.13451397310066265</v>
      </c>
      <c r="X2090" s="2">
        <f ca="1"/>
        <v>47.576108545729667</v>
      </c>
      <c r="AG2090" s="2">
        <f ca="1"/>
        <v>0.13732119317638625</v>
      </c>
      <c r="AH2090" s="2" t="str">
        <f ca="1"/>
        <v>OK</v>
      </c>
    </row>
    <row r="2091" spans="2:34" x14ac:dyDescent="0.2">
      <c r="B2091" s="2">
        <f ca="1"/>
        <v>0.92272576636411019</v>
      </c>
      <c r="O2091" s="2">
        <f ca="1"/>
        <v>0.36146313805658298</v>
      </c>
      <c r="X2091" s="2">
        <f ca="1"/>
        <v>57.783837876557712</v>
      </c>
      <c r="AG2091" s="2">
        <f ca="1"/>
        <v>0.23275144677799897</v>
      </c>
      <c r="AH2091" s="2" t="str">
        <f ca="1"/>
        <v>OK</v>
      </c>
    </row>
    <row r="2092" spans="2:34" x14ac:dyDescent="0.2">
      <c r="B2092" s="2">
        <f ca="1"/>
        <v>0.73963813972918713</v>
      </c>
      <c r="O2092" s="2">
        <f ca="1"/>
        <v>0.33962807478128831</v>
      </c>
      <c r="X2092" s="2">
        <f ca="1"/>
        <v>41.732336612718001</v>
      </c>
      <c r="AG2092" s="2">
        <f ca="1"/>
        <v>0.82892318115582064</v>
      </c>
      <c r="AH2092" s="2" t="str">
        <f ca="1"/>
        <v>Bad</v>
      </c>
    </row>
    <row r="2093" spans="2:34" x14ac:dyDescent="0.2">
      <c r="B2093" s="2">
        <f ca="1"/>
        <v>0.76996600616530486</v>
      </c>
      <c r="O2093" s="2">
        <f ca="1"/>
        <v>0.51367082855539292</v>
      </c>
      <c r="X2093" s="2">
        <f ca="1"/>
        <v>35.557472991604236</v>
      </c>
      <c r="AG2093" s="2">
        <f ca="1"/>
        <v>0.13460437789750213</v>
      </c>
      <c r="AH2093" s="2" t="str">
        <f ca="1"/>
        <v>OK</v>
      </c>
    </row>
    <row r="2094" spans="2:34" x14ac:dyDescent="0.2">
      <c r="B2094" s="2">
        <f ca="1"/>
        <v>0.9726235883089156</v>
      </c>
      <c r="O2094" s="2">
        <f ca="1"/>
        <v>0.59808755330624619</v>
      </c>
      <c r="X2094" s="2">
        <f ca="1"/>
        <v>22.423969973274019</v>
      </c>
      <c r="AG2094" s="2">
        <f ca="1"/>
        <v>0.94654081039956517</v>
      </c>
      <c r="AH2094" s="2" t="str">
        <f ca="1"/>
        <v>Bad</v>
      </c>
    </row>
    <row r="2095" spans="2:34" x14ac:dyDescent="0.2">
      <c r="B2095" s="2">
        <f ca="1"/>
        <v>2.0086496334423831E-3</v>
      </c>
      <c r="O2095" s="2">
        <f ca="1"/>
        <v>-1.3344613447737599</v>
      </c>
      <c r="X2095" s="2">
        <f ca="1"/>
        <v>34.487073379457463</v>
      </c>
      <c r="AG2095" s="2">
        <f ca="1"/>
        <v>0.33095800100122652</v>
      </c>
      <c r="AH2095" s="2" t="str">
        <f ca="1"/>
        <v>OK</v>
      </c>
    </row>
    <row r="2096" spans="2:34" x14ac:dyDescent="0.2">
      <c r="B2096" s="2">
        <f ca="1"/>
        <v>0.72452594342239984</v>
      </c>
      <c r="O2096" s="2">
        <f ca="1"/>
        <v>0.87913676675183783</v>
      </c>
      <c r="X2096" s="2">
        <f ca="1"/>
        <v>72.028864529616399</v>
      </c>
      <c r="AG2096" s="2">
        <f ca="1"/>
        <v>9.5316452214406766E-3</v>
      </c>
      <c r="AH2096" s="2" t="str">
        <f ca="1"/>
        <v>Good</v>
      </c>
    </row>
    <row r="2097" spans="2:34" x14ac:dyDescent="0.2">
      <c r="B2097" s="2">
        <f ca="1"/>
        <v>0.54355003097200627</v>
      </c>
      <c r="O2097" s="2">
        <f ca="1"/>
        <v>-0.54837743724136057</v>
      </c>
      <c r="X2097" s="2">
        <f ca="1"/>
        <v>57.726020753577821</v>
      </c>
      <c r="AG2097" s="2">
        <f ca="1"/>
        <v>0.36257089635399153</v>
      </c>
      <c r="AH2097" s="2" t="str">
        <f ca="1"/>
        <v>OK</v>
      </c>
    </row>
    <row r="2098" spans="2:34" x14ac:dyDescent="0.2">
      <c r="B2098" s="2">
        <f ca="1"/>
        <v>0.26392812300140633</v>
      </c>
      <c r="O2098" s="2">
        <f ca="1"/>
        <v>0.92346959818361607</v>
      </c>
      <c r="X2098" s="2">
        <f ca="1"/>
        <v>46.781367828140972</v>
      </c>
      <c r="AG2098" s="2">
        <f ca="1"/>
        <v>0.13434148802557866</v>
      </c>
      <c r="AH2098" s="2" t="str">
        <f ca="1"/>
        <v>OK</v>
      </c>
    </row>
    <row r="2099" spans="2:34" x14ac:dyDescent="0.2">
      <c r="B2099" s="2">
        <f ca="1"/>
        <v>0.18683621408064166</v>
      </c>
      <c r="O2099" s="2">
        <f ca="1"/>
        <v>-0.5714408430608573</v>
      </c>
      <c r="X2099" s="2">
        <f ca="1"/>
        <v>51.237208705923791</v>
      </c>
      <c r="AG2099" s="2">
        <f ca="1"/>
        <v>0.4288258412056285</v>
      </c>
      <c r="AH2099" s="2" t="str">
        <f ca="1"/>
        <v>Bad</v>
      </c>
    </row>
    <row r="2100" spans="2:34" x14ac:dyDescent="0.2">
      <c r="B2100" s="2">
        <f ca="1"/>
        <v>0.56092582069752517</v>
      </c>
      <c r="O2100" s="2">
        <f ca="1"/>
        <v>0.91345481865420108</v>
      </c>
      <c r="X2100" s="2">
        <f ca="1"/>
        <v>44.91932721597901</v>
      </c>
      <c r="AG2100" s="2">
        <f ca="1"/>
        <v>0.75906118440989467</v>
      </c>
      <c r="AH2100" s="2" t="str">
        <f ca="1"/>
        <v>Bad</v>
      </c>
    </row>
    <row r="2101" spans="2:34" x14ac:dyDescent="0.2">
      <c r="B2101" s="2">
        <f ca="1"/>
        <v>0.29796538180131327</v>
      </c>
      <c r="O2101" s="2">
        <f ca="1"/>
        <v>-0.14810973879218717</v>
      </c>
      <c r="X2101" s="2">
        <f ca="1"/>
        <v>49.148703060384982</v>
      </c>
      <c r="AG2101" s="2">
        <f ca="1"/>
        <v>0.41423167149967033</v>
      </c>
      <c r="AH2101" s="2" t="str">
        <f ca="1"/>
        <v>Bad</v>
      </c>
    </row>
    <row r="2102" spans="2:34" x14ac:dyDescent="0.2">
      <c r="B2102" s="2">
        <f ca="1"/>
        <v>0.65875787901923322</v>
      </c>
      <c r="O2102" s="2">
        <f ca="1"/>
        <v>-0.6850138045743811</v>
      </c>
      <c r="X2102" s="2">
        <f ca="1"/>
        <v>56.352962366467509</v>
      </c>
      <c r="AG2102" s="2">
        <f ca="1"/>
        <v>0.74672830139054458</v>
      </c>
      <c r="AH2102" s="2" t="str">
        <f ca="1"/>
        <v>Bad</v>
      </c>
    </row>
    <row r="2103" spans="2:34" x14ac:dyDescent="0.2">
      <c r="B2103" s="2">
        <f ca="1"/>
        <v>0.41921381616830078</v>
      </c>
      <c r="O2103" s="2">
        <f ca="1"/>
        <v>0.40618318759523547</v>
      </c>
      <c r="X2103" s="2">
        <f ca="1"/>
        <v>36.110252600693315</v>
      </c>
      <c r="AG2103" s="2">
        <f ca="1"/>
        <v>0.43325836176500543</v>
      </c>
      <c r="AH2103" s="2" t="str">
        <f ca="1"/>
        <v>Bad</v>
      </c>
    </row>
    <row r="2104" spans="2:34" x14ac:dyDescent="0.2">
      <c r="B2104" s="2">
        <f ca="1"/>
        <v>0.45193878315685221</v>
      </c>
      <c r="O2104" s="2">
        <f ca="1"/>
        <v>-1.7282090313256877</v>
      </c>
      <c r="X2104" s="2">
        <f ca="1"/>
        <v>64.441154756076585</v>
      </c>
      <c r="AG2104" s="2">
        <f ca="1"/>
        <v>0.8191476017830237</v>
      </c>
      <c r="AH2104" s="2" t="str">
        <f ca="1"/>
        <v>Bad</v>
      </c>
    </row>
    <row r="2105" spans="2:34" x14ac:dyDescent="0.2">
      <c r="B2105" s="2">
        <f ca="1"/>
        <v>0.96329017197331757</v>
      </c>
      <c r="O2105" s="2">
        <f ca="1"/>
        <v>-0.28595265648552803</v>
      </c>
      <c r="X2105" s="2">
        <f ca="1"/>
        <v>50.519862479359183</v>
      </c>
      <c r="AG2105" s="2">
        <f ca="1"/>
        <v>0.43505380967346508</v>
      </c>
      <c r="AH2105" s="2" t="str">
        <f ca="1"/>
        <v>Bad</v>
      </c>
    </row>
    <row r="2106" spans="2:34" x14ac:dyDescent="0.2">
      <c r="B2106" s="2">
        <f ca="1"/>
        <v>0.12864106801233732</v>
      </c>
      <c r="O2106" s="2">
        <f ca="1"/>
        <v>1.829944091105729</v>
      </c>
      <c r="X2106" s="2">
        <f ca="1"/>
        <v>35.256929868275066</v>
      </c>
      <c r="AG2106" s="2">
        <f ca="1"/>
        <v>0.68935115686521731</v>
      </c>
      <c r="AH2106" s="2" t="str">
        <f ca="1"/>
        <v>Bad</v>
      </c>
    </row>
    <row r="2107" spans="2:34" x14ac:dyDescent="0.2">
      <c r="B2107" s="2">
        <f ca="1"/>
        <v>0.24974618692576467</v>
      </c>
      <c r="O2107" s="2">
        <f ca="1"/>
        <v>0.25979340680014834</v>
      </c>
      <c r="X2107" s="2">
        <f ca="1"/>
        <v>41.252290120442254</v>
      </c>
      <c r="AG2107" s="2">
        <f ca="1"/>
        <v>0.25211733830409955</v>
      </c>
      <c r="AH2107" s="2" t="str">
        <f ca="1"/>
        <v>OK</v>
      </c>
    </row>
    <row r="2108" spans="2:34" x14ac:dyDescent="0.2">
      <c r="B2108" s="2">
        <f ca="1"/>
        <v>5.1449632649259502E-2</v>
      </c>
      <c r="O2108" s="2">
        <f ca="1"/>
        <v>-0.99596128466836931</v>
      </c>
      <c r="X2108" s="2">
        <f ca="1"/>
        <v>24.565083307104171</v>
      </c>
      <c r="AG2108" s="2">
        <f ca="1"/>
        <v>0.20683960389591904</v>
      </c>
      <c r="AH2108" s="2" t="str">
        <f ca="1"/>
        <v>OK</v>
      </c>
    </row>
    <row r="2109" spans="2:34" x14ac:dyDescent="0.2">
      <c r="B2109" s="2">
        <f ca="1"/>
        <v>0.2410966114733093</v>
      </c>
      <c r="O2109" s="2">
        <f ca="1"/>
        <v>-0.21542330306171437</v>
      </c>
      <c r="X2109" s="2">
        <f ca="1"/>
        <v>58.680079149089522</v>
      </c>
      <c r="AG2109" s="2">
        <f ca="1"/>
        <v>0.6396132497404774</v>
      </c>
      <c r="AH2109" s="2" t="str">
        <f ca="1"/>
        <v>Bad</v>
      </c>
    </row>
    <row r="2110" spans="2:34" x14ac:dyDescent="0.2">
      <c r="B2110" s="2">
        <f ca="1"/>
        <v>9.829013076566806E-2</v>
      </c>
      <c r="O2110" s="2">
        <f ca="1"/>
        <v>-2.0924251445220388</v>
      </c>
      <c r="X2110" s="2">
        <f ca="1"/>
        <v>29.082955218505312</v>
      </c>
      <c r="AG2110" s="2">
        <f ca="1"/>
        <v>5.4060433673647434E-2</v>
      </c>
      <c r="AH2110" s="2" t="str">
        <f ca="1"/>
        <v>OK</v>
      </c>
    </row>
    <row r="2111" spans="2:34" x14ac:dyDescent="0.2">
      <c r="B2111" s="2">
        <f ca="1"/>
        <v>0.98386834027556147</v>
      </c>
      <c r="O2111" s="2">
        <f ca="1"/>
        <v>-2.0677460547760873E-2</v>
      </c>
      <c r="X2111" s="2">
        <f ca="1"/>
        <v>69.529298828769697</v>
      </c>
      <c r="AG2111" s="2">
        <f ca="1"/>
        <v>0.61636445879528856</v>
      </c>
      <c r="AH2111" s="2" t="str">
        <f ca="1"/>
        <v>Bad</v>
      </c>
    </row>
    <row r="2112" spans="2:34" x14ac:dyDescent="0.2">
      <c r="B2112" s="2">
        <f ca="1"/>
        <v>6.4286654411218613E-2</v>
      </c>
      <c r="O2112" s="2">
        <f ca="1"/>
        <v>0.91878016137891538</v>
      </c>
      <c r="X2112" s="2">
        <f ca="1"/>
        <v>80.473559292287405</v>
      </c>
      <c r="AG2112" s="2">
        <f ca="1"/>
        <v>0.95345868701563274</v>
      </c>
      <c r="AH2112" s="2" t="str">
        <f ca="1"/>
        <v>Bad</v>
      </c>
    </row>
    <row r="2113" spans="2:34" x14ac:dyDescent="0.2">
      <c r="B2113" s="2">
        <f ca="1"/>
        <v>0.73723402496618751</v>
      </c>
      <c r="O2113" s="2">
        <f ca="1"/>
        <v>-0.21224569696493842</v>
      </c>
      <c r="X2113" s="2">
        <f ca="1"/>
        <v>44.802948010206705</v>
      </c>
      <c r="AG2113" s="2">
        <f ca="1"/>
        <v>0.18633658395926411</v>
      </c>
      <c r="AH2113" s="2" t="str">
        <f ca="1"/>
        <v>OK</v>
      </c>
    </row>
    <row r="2114" spans="2:34" x14ac:dyDescent="0.2">
      <c r="B2114" s="2">
        <f ca="1"/>
        <v>0.51132460581246253</v>
      </c>
      <c r="O2114" s="2">
        <f ca="1"/>
        <v>-1.3507541468491304</v>
      </c>
      <c r="X2114" s="2">
        <f ca="1"/>
        <v>60.480146450268286</v>
      </c>
      <c r="AG2114" s="2">
        <f ca="1"/>
        <v>0.39702150447311713</v>
      </c>
      <c r="AH2114" s="2" t="str">
        <f ca="1"/>
        <v>OK</v>
      </c>
    </row>
    <row r="2115" spans="2:34" x14ac:dyDescent="0.2">
      <c r="B2115" s="2">
        <f ca="1"/>
        <v>0.6959905808397846</v>
      </c>
      <c r="O2115" s="2">
        <f ca="1"/>
        <v>-0.35876886972645139</v>
      </c>
      <c r="X2115" s="2">
        <f ca="1"/>
        <v>56.801279690726844</v>
      </c>
      <c r="AG2115" s="2">
        <f ca="1"/>
        <v>0.39222937875092767</v>
      </c>
      <c r="AH2115" s="2" t="str">
        <f ca="1"/>
        <v>OK</v>
      </c>
    </row>
    <row r="2116" spans="2:34" x14ac:dyDescent="0.2">
      <c r="B2116" s="2">
        <f ca="1"/>
        <v>0.79788820463188936</v>
      </c>
      <c r="O2116" s="2">
        <f ca="1"/>
        <v>0.85535439093300281</v>
      </c>
      <c r="X2116" s="2">
        <f ca="1"/>
        <v>37.033207165845155</v>
      </c>
      <c r="AG2116" s="2">
        <f ca="1"/>
        <v>0.31015226500024529</v>
      </c>
      <c r="AH2116" s="2" t="str">
        <f ca="1"/>
        <v>OK</v>
      </c>
    </row>
    <row r="2117" spans="2:34" x14ac:dyDescent="0.2">
      <c r="B2117" s="2">
        <f ca="1"/>
        <v>0.97698823805051838</v>
      </c>
      <c r="O2117" s="2">
        <f ca="1"/>
        <v>1.4621642298793165</v>
      </c>
      <c r="X2117" s="2">
        <f ca="1"/>
        <v>24.70791642533154</v>
      </c>
      <c r="AG2117" s="2">
        <f ca="1"/>
        <v>0.4747683116581356</v>
      </c>
      <c r="AH2117" s="2" t="str">
        <f ca="1"/>
        <v>Bad</v>
      </c>
    </row>
    <row r="2118" spans="2:34" x14ac:dyDescent="0.2">
      <c r="B2118" s="2">
        <f ca="1"/>
        <v>0.38665088070575626</v>
      </c>
      <c r="O2118" s="2">
        <f ca="1"/>
        <v>0.78744601453597651</v>
      </c>
      <c r="X2118" s="2">
        <f ca="1"/>
        <v>48.98106993958676</v>
      </c>
      <c r="AG2118" s="2">
        <f ca="1"/>
        <v>0.99915504947530809</v>
      </c>
      <c r="AH2118" s="2" t="str">
        <f ca="1"/>
        <v>Bad</v>
      </c>
    </row>
    <row r="2119" spans="2:34" x14ac:dyDescent="0.2">
      <c r="B2119" s="2">
        <f ca="1"/>
        <v>0.10032365245593056</v>
      </c>
      <c r="O2119" s="2">
        <f ca="1"/>
        <v>-1.5544820131712704</v>
      </c>
      <c r="X2119" s="2">
        <f ca="1"/>
        <v>41.262252212839705</v>
      </c>
      <c r="AG2119" s="2">
        <f ca="1"/>
        <v>0.46335786204647245</v>
      </c>
      <c r="AH2119" s="2" t="str">
        <f ca="1"/>
        <v>Bad</v>
      </c>
    </row>
    <row r="2120" spans="2:34" x14ac:dyDescent="0.2">
      <c r="B2120" s="2">
        <f ca="1"/>
        <v>0.18598973613806558</v>
      </c>
      <c r="O2120" s="2">
        <f ca="1"/>
        <v>1.0319198476082392</v>
      </c>
      <c r="X2120" s="2">
        <f ca="1"/>
        <v>52.261510474310782</v>
      </c>
      <c r="AG2120" s="2">
        <f ca="1"/>
        <v>0.54463429383295847</v>
      </c>
      <c r="AH2120" s="2" t="str">
        <f ca="1"/>
        <v>Bad</v>
      </c>
    </row>
    <row r="2121" spans="2:34" x14ac:dyDescent="0.2">
      <c r="B2121" s="2">
        <f ca="1"/>
        <v>0.1636312064459331</v>
      </c>
      <c r="O2121" s="2">
        <f ca="1"/>
        <v>-1.166952894027675</v>
      </c>
      <c r="X2121" s="2">
        <f ca="1"/>
        <v>17.673918904191485</v>
      </c>
      <c r="AG2121" s="2">
        <f ca="1"/>
        <v>0.33273283962183875</v>
      </c>
      <c r="AH2121" s="2" t="str">
        <f ca="1"/>
        <v>OK</v>
      </c>
    </row>
    <row r="2122" spans="2:34" x14ac:dyDescent="0.2">
      <c r="B2122" s="2">
        <f ca="1"/>
        <v>0.46008622841462032</v>
      </c>
      <c r="O2122" s="2">
        <f ca="1"/>
        <v>0.58646678853316558</v>
      </c>
      <c r="X2122" s="2">
        <f ca="1"/>
        <v>35.164679967232885</v>
      </c>
      <c r="AG2122" s="2">
        <f ca="1"/>
        <v>0.31688980361341046</v>
      </c>
      <c r="AH2122" s="2" t="str">
        <f ca="1"/>
        <v>OK</v>
      </c>
    </row>
    <row r="2123" spans="2:34" x14ac:dyDescent="0.2">
      <c r="B2123" s="2">
        <f ca="1"/>
        <v>0.67008073618972985</v>
      </c>
      <c r="O2123" s="2">
        <f ca="1"/>
        <v>-0.20381447612452297</v>
      </c>
      <c r="X2123" s="2">
        <f ca="1"/>
        <v>74.32824017195135</v>
      </c>
      <c r="AG2123" s="2">
        <f ca="1"/>
        <v>0.40030646877801801</v>
      </c>
      <c r="AH2123" s="2" t="str">
        <f ca="1"/>
        <v>Bad</v>
      </c>
    </row>
    <row r="2124" spans="2:34" x14ac:dyDescent="0.2">
      <c r="B2124" s="2">
        <f ca="1"/>
        <v>0.94396266176818266</v>
      </c>
      <c r="O2124" s="2">
        <f ca="1"/>
        <v>0.85116817432721525</v>
      </c>
      <c r="X2124" s="2">
        <f ca="1"/>
        <v>43.660221441738614</v>
      </c>
      <c r="AG2124" s="2">
        <f ca="1"/>
        <v>0.86728165821169867</v>
      </c>
      <c r="AH2124" s="2" t="str">
        <f ca="1"/>
        <v>Bad</v>
      </c>
    </row>
    <row r="2125" spans="2:34" x14ac:dyDescent="0.2">
      <c r="B2125" s="2">
        <f ca="1"/>
        <v>0.95021180195055899</v>
      </c>
      <c r="O2125" s="2">
        <f ca="1"/>
        <v>0.92649610572891583</v>
      </c>
      <c r="X2125" s="2">
        <f ca="1"/>
        <v>102.87229284252749</v>
      </c>
      <c r="AG2125" s="2">
        <f ca="1"/>
        <v>5.9521354448480501E-2</v>
      </c>
      <c r="AH2125" s="2" t="str">
        <f ca="1"/>
        <v>OK</v>
      </c>
    </row>
    <row r="2126" spans="2:34" x14ac:dyDescent="0.2">
      <c r="B2126" s="2">
        <f ca="1"/>
        <v>0.13436471921436799</v>
      </c>
      <c r="O2126" s="2">
        <f ca="1"/>
        <v>1.51769442326278</v>
      </c>
      <c r="X2126" s="2">
        <f ca="1"/>
        <v>37.781431977381729</v>
      </c>
      <c r="AG2126" s="2">
        <f ca="1"/>
        <v>0.50894854349436969</v>
      </c>
      <c r="AH2126" s="2" t="str">
        <f ca="1"/>
        <v>Bad</v>
      </c>
    </row>
    <row r="2127" spans="2:34" x14ac:dyDescent="0.2">
      <c r="B2127" s="2">
        <f ca="1"/>
        <v>7.2986629928712743E-2</v>
      </c>
      <c r="O2127" s="2">
        <f ca="1"/>
        <v>-1.4794191303887811</v>
      </c>
      <c r="X2127" s="2">
        <f ca="1"/>
        <v>50.035903183075959</v>
      </c>
      <c r="AG2127" s="2">
        <f ca="1"/>
        <v>1.8075875471783576E-3</v>
      </c>
      <c r="AH2127" s="2" t="str">
        <f ca="1"/>
        <v>Good</v>
      </c>
    </row>
    <row r="2128" spans="2:34" x14ac:dyDescent="0.2">
      <c r="B2128" s="2">
        <f ca="1"/>
        <v>7.4042562693448E-2</v>
      </c>
      <c r="O2128" s="2">
        <f ca="1"/>
        <v>-0.44839015686142364</v>
      </c>
      <c r="X2128" s="2">
        <f ca="1"/>
        <v>56.346404036277313</v>
      </c>
      <c r="AG2128" s="2">
        <f ca="1"/>
        <v>0.73651028928989803</v>
      </c>
      <c r="AH2128" s="2" t="str">
        <f ca="1"/>
        <v>Bad</v>
      </c>
    </row>
    <row r="2129" spans="2:34" x14ac:dyDescent="0.2">
      <c r="B2129" s="2">
        <f ca="1"/>
        <v>0.68577214849633394</v>
      </c>
      <c r="O2129" s="2">
        <f ca="1"/>
        <v>1.4423406479269211E-2</v>
      </c>
      <c r="X2129" s="2">
        <f ca="1"/>
        <v>42.81263180443608</v>
      </c>
      <c r="AG2129" s="2">
        <f ca="1"/>
        <v>0.36900120487169996</v>
      </c>
      <c r="AH2129" s="2" t="str">
        <f ca="1"/>
        <v>OK</v>
      </c>
    </row>
    <row r="2130" spans="2:34" x14ac:dyDescent="0.2">
      <c r="B2130" s="2">
        <f ca="1"/>
        <v>0.45876284545644563</v>
      </c>
      <c r="O2130" s="2">
        <f ca="1"/>
        <v>-0.12605709369244161</v>
      </c>
      <c r="X2130" s="2">
        <f ca="1"/>
        <v>45.647740249577289</v>
      </c>
      <c r="AG2130" s="2">
        <f ca="1"/>
        <v>0.79268689081595101</v>
      </c>
      <c r="AH2130" s="2" t="str">
        <f ca="1"/>
        <v>Bad</v>
      </c>
    </row>
    <row r="2131" spans="2:34" x14ac:dyDescent="0.2">
      <c r="B2131" s="2">
        <f ca="1"/>
        <v>0.66381782498074937</v>
      </c>
      <c r="O2131" s="2">
        <f ca="1"/>
        <v>-0.10119820124685264</v>
      </c>
      <c r="X2131" s="2">
        <f ca="1"/>
        <v>72.571918372143571</v>
      </c>
      <c r="AG2131" s="2">
        <f ca="1"/>
        <v>0.52091249341860379</v>
      </c>
      <c r="AH2131" s="2" t="str">
        <f ca="1"/>
        <v>Bad</v>
      </c>
    </row>
    <row r="2132" spans="2:34" x14ac:dyDescent="0.2">
      <c r="B2132" s="2">
        <f ca="1"/>
        <v>0.5200542631847842</v>
      </c>
      <c r="O2132" s="2">
        <f ca="1"/>
        <v>0.25132072457041033</v>
      </c>
      <c r="X2132" s="2">
        <f ca="1"/>
        <v>78.498796564147781</v>
      </c>
      <c r="AG2132" s="2">
        <f ca="1"/>
        <v>0.6563105998778973</v>
      </c>
      <c r="AH2132" s="2" t="str">
        <f ca="1"/>
        <v>Bad</v>
      </c>
    </row>
    <row r="2133" spans="2:34" x14ac:dyDescent="0.2">
      <c r="B2133" s="2">
        <f ca="1"/>
        <v>0.70718443059689751</v>
      </c>
      <c r="O2133" s="2">
        <f ca="1"/>
        <v>0.83889853885186261</v>
      </c>
      <c r="X2133" s="2">
        <f ca="1"/>
        <v>64.626107878544374</v>
      </c>
      <c r="AG2133" s="2">
        <f ca="1"/>
        <v>0.68115651963294166</v>
      </c>
      <c r="AH2133" s="2" t="str">
        <f ca="1"/>
        <v>Bad</v>
      </c>
    </row>
    <row r="2134" spans="2:34" x14ac:dyDescent="0.2">
      <c r="B2134" s="2">
        <f ca="1"/>
        <v>0.29757977647195299</v>
      </c>
      <c r="O2134" s="2">
        <f ca="1"/>
        <v>-1.0139189612678139</v>
      </c>
      <c r="X2134" s="2">
        <f ca="1"/>
        <v>41.967967921506002</v>
      </c>
      <c r="AG2134" s="2">
        <f ca="1"/>
        <v>0.38450735713520556</v>
      </c>
      <c r="AH2134" s="2" t="str">
        <f ca="1"/>
        <v>OK</v>
      </c>
    </row>
    <row r="2135" spans="2:34" x14ac:dyDescent="0.2">
      <c r="B2135" s="2">
        <f ca="1"/>
        <v>0.16329012972590617</v>
      </c>
      <c r="O2135" s="2">
        <f ca="1"/>
        <v>1.4990195234723913</v>
      </c>
      <c r="X2135" s="2">
        <f ca="1"/>
        <v>41.086337869451114</v>
      </c>
      <c r="AG2135" s="2">
        <f ca="1"/>
        <v>0.43884523953718624</v>
      </c>
      <c r="AH2135" s="2" t="str">
        <f ca="1"/>
        <v>Bad</v>
      </c>
    </row>
    <row r="2136" spans="2:34" x14ac:dyDescent="0.2">
      <c r="B2136" s="2">
        <f ca="1"/>
        <v>0.54114992431123099</v>
      </c>
      <c r="O2136" s="2">
        <f ca="1"/>
        <v>0.14120646396143524</v>
      </c>
      <c r="X2136" s="2">
        <f ca="1"/>
        <v>70.135991343627524</v>
      </c>
      <c r="AG2136" s="2">
        <f ca="1"/>
        <v>0.80286437226857066</v>
      </c>
      <c r="AH2136" s="2" t="str">
        <f ca="1"/>
        <v>Bad</v>
      </c>
    </row>
    <row r="2137" spans="2:34" x14ac:dyDescent="0.2">
      <c r="B2137" s="2">
        <f ca="1"/>
        <v>0.26253377820837165</v>
      </c>
      <c r="O2137" s="2">
        <f ca="1"/>
        <v>-1.9086371737076138</v>
      </c>
      <c r="X2137" s="2">
        <f ca="1"/>
        <v>55.838937198811074</v>
      </c>
      <c r="AG2137" s="2">
        <f ca="1"/>
        <v>0.68569923046814507</v>
      </c>
      <c r="AH2137" s="2" t="str">
        <f ca="1"/>
        <v>Bad</v>
      </c>
    </row>
    <row r="2138" spans="2:34" x14ac:dyDescent="0.2">
      <c r="B2138" s="2">
        <f ca="1"/>
        <v>0.66656053620949729</v>
      </c>
      <c r="O2138" s="2">
        <f ca="1"/>
        <v>0.77299906136356866</v>
      </c>
      <c r="X2138" s="2">
        <f ca="1"/>
        <v>42.807678125127914</v>
      </c>
      <c r="AG2138" s="2">
        <f ca="1"/>
        <v>0.44058869411681689</v>
      </c>
      <c r="AH2138" s="2" t="str">
        <f ca="1"/>
        <v>Bad</v>
      </c>
    </row>
    <row r="2139" spans="2:34" x14ac:dyDescent="0.2">
      <c r="B2139" s="2">
        <f ca="1"/>
        <v>0.92701627277553622</v>
      </c>
      <c r="O2139" s="2">
        <f ca="1"/>
        <v>-0.40483912781120829</v>
      </c>
      <c r="X2139" s="2">
        <f ca="1"/>
        <v>77.277124007961021</v>
      </c>
      <c r="AG2139" s="2">
        <f ca="1"/>
        <v>0.80232080150825746</v>
      </c>
      <c r="AH2139" s="2" t="str">
        <f ca="1"/>
        <v>Bad</v>
      </c>
    </row>
    <row r="2140" spans="2:34" x14ac:dyDescent="0.2">
      <c r="B2140" s="2">
        <f ca="1"/>
        <v>0.80522333036256488</v>
      </c>
      <c r="O2140" s="2">
        <f ca="1"/>
        <v>-0.64664331584677692</v>
      </c>
      <c r="X2140" s="2">
        <f ca="1"/>
        <v>54.019243694271061</v>
      </c>
      <c r="AG2140" s="2">
        <f ca="1"/>
        <v>0.34450838899684544</v>
      </c>
      <c r="AH2140" s="2" t="str">
        <f ca="1"/>
        <v>OK</v>
      </c>
    </row>
    <row r="2141" spans="2:34" x14ac:dyDescent="0.2">
      <c r="B2141" s="2">
        <f ca="1"/>
        <v>0.62119420156737482</v>
      </c>
      <c r="O2141" s="2">
        <f ca="1"/>
        <v>-0.6232724780791784</v>
      </c>
      <c r="X2141" s="2">
        <f ca="1"/>
        <v>45.974710703330061</v>
      </c>
      <c r="AG2141" s="2">
        <f ca="1"/>
        <v>0.30191828706303392</v>
      </c>
      <c r="AH2141" s="2" t="str">
        <f ca="1"/>
        <v>OK</v>
      </c>
    </row>
    <row r="2142" spans="2:34" x14ac:dyDescent="0.2">
      <c r="B2142" s="2">
        <f ca="1"/>
        <v>0.20961333511771763</v>
      </c>
      <c r="O2142" s="2">
        <f ca="1"/>
        <v>0.41127753627353414</v>
      </c>
      <c r="X2142" s="2">
        <f ca="1"/>
        <v>57.723920005173213</v>
      </c>
      <c r="AG2142" s="2">
        <f ca="1"/>
        <v>0.20087299514930979</v>
      </c>
      <c r="AH2142" s="2" t="str">
        <f ca="1"/>
        <v>OK</v>
      </c>
    </row>
    <row r="2143" spans="2:34" x14ac:dyDescent="0.2">
      <c r="B2143" s="2">
        <f ca="1"/>
        <v>0.51799460634408567</v>
      </c>
      <c r="O2143" s="2">
        <f ca="1"/>
        <v>-0.35228388034464486</v>
      </c>
      <c r="X2143" s="2">
        <f ca="1"/>
        <v>41.780558362871744</v>
      </c>
      <c r="AG2143" s="2">
        <f ca="1"/>
        <v>0.8015212045696305</v>
      </c>
      <c r="AH2143" s="2" t="str">
        <f ca="1"/>
        <v>Bad</v>
      </c>
    </row>
    <row r="2144" spans="2:34" x14ac:dyDescent="0.2">
      <c r="B2144" s="2">
        <f ca="1"/>
        <v>0.98525885590708606</v>
      </c>
      <c r="O2144" s="2">
        <f ca="1"/>
        <v>0.7786867607430572</v>
      </c>
      <c r="X2144" s="2">
        <f ca="1"/>
        <v>51.312912535274499</v>
      </c>
      <c r="AG2144" s="2">
        <f ca="1"/>
        <v>0.88685449791820714</v>
      </c>
      <c r="AH2144" s="2" t="str">
        <f ca="1"/>
        <v>Bad</v>
      </c>
    </row>
    <row r="2145" spans="2:34" x14ac:dyDescent="0.2">
      <c r="B2145" s="2">
        <f ca="1"/>
        <v>0.41203057197759807</v>
      </c>
      <c r="O2145" s="2">
        <f ca="1"/>
        <v>-0.81053747769889528</v>
      </c>
      <c r="X2145" s="2">
        <f ca="1"/>
        <v>63.753482519082539</v>
      </c>
      <c r="AG2145" s="2">
        <f ca="1"/>
        <v>0.26346682928851783</v>
      </c>
      <c r="AH2145" s="2" t="str">
        <f ca="1"/>
        <v>OK</v>
      </c>
    </row>
    <row r="2146" spans="2:34" x14ac:dyDescent="0.2">
      <c r="B2146" s="2">
        <f ca="1"/>
        <v>0.25985935825998019</v>
      </c>
      <c r="O2146" s="2">
        <f ca="1"/>
        <v>-0.38699932923900415</v>
      </c>
      <c r="X2146" s="2">
        <f ca="1"/>
        <v>65.888723690270027</v>
      </c>
      <c r="AG2146" s="2">
        <f ca="1"/>
        <v>0.24111021551781375</v>
      </c>
      <c r="AH2146" s="2" t="str">
        <f ca="1"/>
        <v>OK</v>
      </c>
    </row>
    <row r="2147" spans="2:34" x14ac:dyDescent="0.2">
      <c r="B2147" s="2">
        <f ca="1"/>
        <v>0.36104448813087164</v>
      </c>
      <c r="O2147" s="2">
        <f ca="1"/>
        <v>-0.92359659325563992</v>
      </c>
      <c r="X2147" s="2">
        <f ca="1"/>
        <v>49.991258990481072</v>
      </c>
      <c r="AG2147" s="2">
        <f ca="1"/>
        <v>0.95819634720347824</v>
      </c>
      <c r="AH2147" s="2" t="str">
        <f ca="1"/>
        <v>Bad</v>
      </c>
    </row>
    <row r="2148" spans="2:34" x14ac:dyDescent="0.2">
      <c r="B2148" s="2">
        <f ca="1"/>
        <v>0.19387487142257132</v>
      </c>
      <c r="O2148" s="2">
        <f ca="1"/>
        <v>1.4814411157551917</v>
      </c>
      <c r="X2148" s="2">
        <f ca="1"/>
        <v>64.267050214780724</v>
      </c>
      <c r="AG2148" s="2">
        <f ca="1"/>
        <v>0.57965732228098954</v>
      </c>
      <c r="AH2148" s="2" t="str">
        <f ca="1"/>
        <v>Bad</v>
      </c>
    </row>
    <row r="2149" spans="2:34" x14ac:dyDescent="0.2">
      <c r="B2149" s="2">
        <f ca="1"/>
        <v>0.19406535077989884</v>
      </c>
      <c r="O2149" s="2">
        <f ca="1"/>
        <v>1.0503705246234407</v>
      </c>
      <c r="X2149" s="2">
        <f ca="1"/>
        <v>51.294142374091493</v>
      </c>
      <c r="AG2149" s="2">
        <f ca="1"/>
        <v>0.86124573998527931</v>
      </c>
      <c r="AH2149" s="2" t="str">
        <f ca="1"/>
        <v>Bad</v>
      </c>
    </row>
    <row r="2150" spans="2:34" x14ac:dyDescent="0.2">
      <c r="B2150" s="2">
        <f ca="1"/>
        <v>0.72040002500186828</v>
      </c>
      <c r="O2150" s="2">
        <f ca="1"/>
        <v>0.6922893395097871</v>
      </c>
      <c r="X2150" s="2">
        <f ca="1"/>
        <v>56.681298423251015</v>
      </c>
      <c r="AG2150" s="2">
        <f ca="1"/>
        <v>0.20976766995513008</v>
      </c>
      <c r="AH2150" s="2" t="str">
        <f ca="1"/>
        <v>OK</v>
      </c>
    </row>
    <row r="2151" spans="2:34" x14ac:dyDescent="0.2">
      <c r="B2151" s="2">
        <f ca="1"/>
        <v>0.79381918920131977</v>
      </c>
      <c r="O2151" s="2">
        <f ca="1"/>
        <v>-0.78603634342919393</v>
      </c>
      <c r="X2151" s="2">
        <f ca="1"/>
        <v>65.578420934349026</v>
      </c>
      <c r="AG2151" s="2">
        <f ca="1"/>
        <v>0.78430664530312644</v>
      </c>
      <c r="AH2151" s="2" t="str">
        <f ca="1"/>
        <v>Bad</v>
      </c>
    </row>
    <row r="2152" spans="2:34" x14ac:dyDescent="0.2">
      <c r="B2152" s="2">
        <f ca="1"/>
        <v>0.99612093035434168</v>
      </c>
      <c r="O2152" s="2">
        <f ca="1"/>
        <v>0.77756944223689595</v>
      </c>
      <c r="X2152" s="2">
        <f ca="1"/>
        <v>65.870972076276658</v>
      </c>
      <c r="AG2152" s="2">
        <f ca="1"/>
        <v>4.6600111139484035E-2</v>
      </c>
      <c r="AH2152" s="2" t="str">
        <f ca="1"/>
        <v>Good</v>
      </c>
    </row>
    <row r="2153" spans="2:34" x14ac:dyDescent="0.2">
      <c r="B2153" s="2">
        <f ca="1"/>
        <v>0.20462926949894933</v>
      </c>
      <c r="O2153" s="2">
        <f ca="1"/>
        <v>-0.39704934355877708</v>
      </c>
      <c r="X2153" s="2">
        <f ca="1"/>
        <v>28.942755345130497</v>
      </c>
      <c r="AG2153" s="2">
        <f ca="1"/>
        <v>0.60959810339103981</v>
      </c>
      <c r="AH2153" s="2" t="str">
        <f ca="1"/>
        <v>Bad</v>
      </c>
    </row>
    <row r="2154" spans="2:34" x14ac:dyDescent="0.2">
      <c r="B2154" s="2">
        <f ca="1"/>
        <v>0.58805407488099215</v>
      </c>
      <c r="O2154" s="2">
        <f ca="1"/>
        <v>-0.27391320193469804</v>
      </c>
      <c r="X2154" s="2">
        <f ca="1"/>
        <v>47.614184079775612</v>
      </c>
      <c r="AG2154" s="2">
        <f ca="1"/>
        <v>9.2257567306364141E-3</v>
      </c>
      <c r="AH2154" s="2" t="str">
        <f ca="1"/>
        <v>Good</v>
      </c>
    </row>
    <row r="2155" spans="2:34" x14ac:dyDescent="0.2">
      <c r="B2155" s="2">
        <f ca="1"/>
        <v>0.83205804301871034</v>
      </c>
      <c r="O2155" s="2">
        <f ca="1"/>
        <v>1.1630913980258215</v>
      </c>
      <c r="X2155" s="2">
        <f ca="1"/>
        <v>53.008430918112985</v>
      </c>
      <c r="AG2155" s="2">
        <f ca="1"/>
        <v>0.44796118314696853</v>
      </c>
      <c r="AH2155" s="2" t="str">
        <f ca="1"/>
        <v>Bad</v>
      </c>
    </row>
    <row r="2156" spans="2:34" x14ac:dyDescent="0.2">
      <c r="B2156" s="2">
        <f ca="1"/>
        <v>0.12608283756609318</v>
      </c>
      <c r="O2156" s="2">
        <f ca="1"/>
        <v>0.28076631427610638</v>
      </c>
      <c r="X2156" s="2">
        <f ca="1"/>
        <v>47.395790079543772</v>
      </c>
      <c r="AG2156" s="2">
        <f ca="1"/>
        <v>0.21973856780677292</v>
      </c>
      <c r="AH2156" s="2" t="str">
        <f ca="1"/>
        <v>OK</v>
      </c>
    </row>
    <row r="2157" spans="2:34" x14ac:dyDescent="0.2">
      <c r="B2157" s="2">
        <f ca="1"/>
        <v>0.79956130953785154</v>
      </c>
      <c r="O2157" s="2">
        <f ca="1"/>
        <v>-0.48686508619685726</v>
      </c>
      <c r="X2157" s="2">
        <f ca="1"/>
        <v>63.902298915760625</v>
      </c>
      <c r="AG2157" s="2">
        <f ca="1"/>
        <v>0.59119882964608839</v>
      </c>
      <c r="AH2157" s="2" t="str">
        <f ca="1"/>
        <v>Bad</v>
      </c>
    </row>
    <row r="2158" spans="2:34" x14ac:dyDescent="0.2">
      <c r="B2158" s="2">
        <f ca="1"/>
        <v>6.2978912098485607E-2</v>
      </c>
      <c r="O2158" s="2">
        <f ca="1"/>
        <v>0.66087486130396123</v>
      </c>
      <c r="X2158" s="2">
        <f ca="1"/>
        <v>72.373794859502581</v>
      </c>
      <c r="AG2158" s="2">
        <f ca="1"/>
        <v>0.88926966043463551</v>
      </c>
      <c r="AH2158" s="2" t="str">
        <f ca="1"/>
        <v>Bad</v>
      </c>
    </row>
    <row r="2159" spans="2:34" x14ac:dyDescent="0.2">
      <c r="B2159" s="2">
        <f ca="1"/>
        <v>0.62631202683025089</v>
      </c>
      <c r="O2159" s="2">
        <f ca="1"/>
        <v>1.222172840100924</v>
      </c>
      <c r="X2159" s="2">
        <f ca="1"/>
        <v>34.157749796268071</v>
      </c>
      <c r="AG2159" s="2">
        <f ca="1"/>
        <v>0.28850517816241927</v>
      </c>
      <c r="AH2159" s="2" t="str">
        <f ca="1"/>
        <v>OK</v>
      </c>
    </row>
    <row r="2160" spans="2:34" x14ac:dyDescent="0.2">
      <c r="B2160" s="2">
        <f ca="1"/>
        <v>0.74469676895021708</v>
      </c>
      <c r="O2160" s="2">
        <f ca="1"/>
        <v>0.93865406555266884</v>
      </c>
      <c r="X2160" s="2">
        <f ca="1"/>
        <v>54.845736483268375</v>
      </c>
      <c r="AG2160" s="2">
        <f ca="1"/>
        <v>0.2503594249082628</v>
      </c>
      <c r="AH2160" s="2" t="str">
        <f ca="1"/>
        <v>OK</v>
      </c>
    </row>
    <row r="2161" spans="2:34" x14ac:dyDescent="0.2">
      <c r="B2161" s="2">
        <f ca="1"/>
        <v>0.10147491707719758</v>
      </c>
      <c r="O2161" s="2">
        <f ca="1"/>
        <v>-1.1054146569721088</v>
      </c>
      <c r="X2161" s="2">
        <f ca="1"/>
        <v>37.89669314851001</v>
      </c>
      <c r="AG2161" s="2">
        <f ca="1"/>
        <v>0.45703855649813452</v>
      </c>
      <c r="AH2161" s="2" t="str">
        <f ca="1"/>
        <v>Bad</v>
      </c>
    </row>
    <row r="2162" spans="2:34" x14ac:dyDescent="0.2">
      <c r="B2162" s="2">
        <f ca="1"/>
        <v>1.4713232569287582E-2</v>
      </c>
      <c r="O2162" s="2">
        <f ca="1"/>
        <v>-0.71066316486020586</v>
      </c>
      <c r="X2162" s="2">
        <f ca="1"/>
        <v>34.302102020844927</v>
      </c>
      <c r="AG2162" s="2">
        <f ca="1"/>
        <v>0.34523156652044951</v>
      </c>
      <c r="AH2162" s="2" t="str">
        <f ca="1"/>
        <v>OK</v>
      </c>
    </row>
    <row r="2163" spans="2:34" x14ac:dyDescent="0.2">
      <c r="B2163" s="2">
        <f ca="1"/>
        <v>0.73549977990415072</v>
      </c>
      <c r="O2163" s="2">
        <f ca="1"/>
        <v>0.12563942118504165</v>
      </c>
      <c r="X2163" s="2">
        <f ca="1"/>
        <v>52.784880065691596</v>
      </c>
      <c r="AG2163" s="2">
        <f ca="1"/>
        <v>0.1415628824339954</v>
      </c>
      <c r="AH2163" s="2" t="str">
        <f ca="1"/>
        <v>OK</v>
      </c>
    </row>
    <row r="2164" spans="2:34" x14ac:dyDescent="0.2">
      <c r="B2164" s="2">
        <f ca="1"/>
        <v>0.28458808373533073</v>
      </c>
      <c r="O2164" s="2">
        <f ca="1"/>
        <v>0.71521478652422776</v>
      </c>
      <c r="X2164" s="2">
        <f ca="1"/>
        <v>24.988527894858677</v>
      </c>
      <c r="AG2164" s="2">
        <f ca="1"/>
        <v>0.99454429312244819</v>
      </c>
      <c r="AH2164" s="2" t="str">
        <f ca="1"/>
        <v>Bad</v>
      </c>
    </row>
    <row r="2165" spans="2:34" x14ac:dyDescent="0.2">
      <c r="B2165" s="2">
        <f ca="1"/>
        <v>0.35915094334102582</v>
      </c>
      <c r="O2165" s="2">
        <f ca="1"/>
        <v>0.1370818863038446</v>
      </c>
      <c r="X2165" s="2">
        <f ca="1"/>
        <v>42.884623716658041</v>
      </c>
      <c r="AG2165" s="2">
        <f ca="1"/>
        <v>5.9538615726029809E-2</v>
      </c>
      <c r="AH2165" s="2" t="str">
        <f ca="1"/>
        <v>OK</v>
      </c>
    </row>
    <row r="2166" spans="2:34" x14ac:dyDescent="0.2">
      <c r="B2166" s="2">
        <f ca="1"/>
        <v>0.24398416168850057</v>
      </c>
      <c r="O2166" s="2">
        <f ca="1"/>
        <v>-0.30547781214214909</v>
      </c>
      <c r="X2166" s="2">
        <f ca="1"/>
        <v>42.83841344074488</v>
      </c>
      <c r="AG2166" s="2">
        <f ca="1"/>
        <v>0.56679660631098372</v>
      </c>
      <c r="AH2166" s="2" t="str">
        <f ca="1"/>
        <v>Bad</v>
      </c>
    </row>
    <row r="2167" spans="2:34" x14ac:dyDescent="0.2">
      <c r="B2167" s="2">
        <f ca="1"/>
        <v>0.45838147391807271</v>
      </c>
      <c r="O2167" s="2">
        <f ca="1"/>
        <v>-0.53670941366589509</v>
      </c>
      <c r="X2167" s="2">
        <f ca="1"/>
        <v>35.721329711400578</v>
      </c>
      <c r="AG2167" s="2">
        <f ca="1"/>
        <v>0.43492800001219267</v>
      </c>
      <c r="AH2167" s="2" t="str">
        <f ca="1"/>
        <v>Bad</v>
      </c>
    </row>
    <row r="2168" spans="2:34" x14ac:dyDescent="0.2">
      <c r="B2168" s="2">
        <f ca="1"/>
        <v>0.17098518010968644</v>
      </c>
      <c r="O2168" s="2">
        <f ca="1"/>
        <v>0.76148665169026009</v>
      </c>
      <c r="X2168" s="2">
        <f ca="1"/>
        <v>56.027333807481298</v>
      </c>
      <c r="AG2168" s="2">
        <f ca="1"/>
        <v>0.56028627478992643</v>
      </c>
      <c r="AH2168" s="2" t="str">
        <f ca="1"/>
        <v>Bad</v>
      </c>
    </row>
    <row r="2169" spans="2:34" x14ac:dyDescent="0.2">
      <c r="B2169" s="2">
        <f ca="1"/>
        <v>4.8381946732725556E-2</v>
      </c>
      <c r="O2169" s="2">
        <f ca="1"/>
        <v>-0.32502179793703767</v>
      </c>
      <c r="X2169" s="2">
        <f ca="1"/>
        <v>51.380035576581534</v>
      </c>
      <c r="AG2169" s="2">
        <f ca="1"/>
        <v>1.0874949207554607E-2</v>
      </c>
      <c r="AH2169" s="2" t="str">
        <f ca="1"/>
        <v>Good</v>
      </c>
    </row>
    <row r="2170" spans="2:34" x14ac:dyDescent="0.2">
      <c r="B2170" s="2">
        <f ca="1"/>
        <v>9.3745183301673585E-2</v>
      </c>
      <c r="O2170" s="2">
        <f ca="1"/>
        <v>-1.9795436730007494</v>
      </c>
      <c r="X2170" s="2">
        <f ca="1"/>
        <v>74.422862521193721</v>
      </c>
      <c r="AG2170" s="2">
        <f ca="1"/>
        <v>0.9520183645821656</v>
      </c>
      <c r="AH2170" s="2" t="str">
        <f ca="1"/>
        <v>Bad</v>
      </c>
    </row>
    <row r="2171" spans="2:34" x14ac:dyDescent="0.2">
      <c r="B2171" s="2">
        <f ca="1"/>
        <v>0.46698612428340369</v>
      </c>
      <c r="O2171" s="2">
        <f ca="1"/>
        <v>0.11172347104362149</v>
      </c>
      <c r="X2171" s="2">
        <f ca="1"/>
        <v>69.283938792324889</v>
      </c>
      <c r="AG2171" s="2">
        <f ca="1"/>
        <v>4.5602145467701583E-2</v>
      </c>
      <c r="AH2171" s="2" t="str">
        <f ca="1"/>
        <v>Good</v>
      </c>
    </row>
    <row r="2172" spans="2:34" x14ac:dyDescent="0.2">
      <c r="B2172" s="2">
        <f ca="1"/>
        <v>0.57267222633080395</v>
      </c>
      <c r="O2172" s="2">
        <f ca="1"/>
        <v>-1.3347546985741501</v>
      </c>
      <c r="X2172" s="2">
        <f ca="1"/>
        <v>29.322451384917599</v>
      </c>
      <c r="AG2172" s="2">
        <f ca="1"/>
        <v>0.74009653867080383</v>
      </c>
      <c r="AH2172" s="2" t="str">
        <f ca="1"/>
        <v>Bad</v>
      </c>
    </row>
    <row r="2173" spans="2:34" x14ac:dyDescent="0.2">
      <c r="B2173" s="2">
        <f ca="1"/>
        <v>0.51739986267086602</v>
      </c>
      <c r="O2173" s="2">
        <f ca="1"/>
        <v>-0.86792870774948205</v>
      </c>
      <c r="X2173" s="2">
        <f ca="1"/>
        <v>62.482255788322405</v>
      </c>
      <c r="AG2173" s="2">
        <f ca="1"/>
        <v>2.7955319285391633E-2</v>
      </c>
      <c r="AH2173" s="2" t="str">
        <f ca="1"/>
        <v>Good</v>
      </c>
    </row>
    <row r="2174" spans="2:34" x14ac:dyDescent="0.2">
      <c r="B2174" s="2">
        <f ca="1"/>
        <v>0.12678411975507164</v>
      </c>
      <c r="O2174" s="2">
        <f ca="1"/>
        <v>0.67209883335902376</v>
      </c>
      <c r="X2174" s="2">
        <f ca="1"/>
        <v>34.363152305413955</v>
      </c>
      <c r="AG2174" s="2">
        <f ca="1"/>
        <v>0.65531831272388819</v>
      </c>
      <c r="AH2174" s="2" t="str">
        <f ca="1"/>
        <v>Bad</v>
      </c>
    </row>
    <row r="2175" spans="2:34" x14ac:dyDescent="0.2">
      <c r="B2175" s="2">
        <f ca="1"/>
        <v>0.98914501509517749</v>
      </c>
      <c r="O2175" s="2">
        <f ca="1"/>
        <v>-1.7904870526035608</v>
      </c>
      <c r="X2175" s="2">
        <f ca="1"/>
        <v>66.469257277488509</v>
      </c>
      <c r="AG2175" s="2">
        <f ca="1"/>
        <v>0.59926062949959635</v>
      </c>
      <c r="AH2175" s="2" t="str">
        <f ca="1"/>
        <v>Bad</v>
      </c>
    </row>
    <row r="2176" spans="2:34" x14ac:dyDescent="0.2">
      <c r="B2176" s="2">
        <f ca="1"/>
        <v>0.49573386223697535</v>
      </c>
      <c r="O2176" s="2">
        <f ca="1"/>
        <v>-1.274809122994977</v>
      </c>
      <c r="X2176" s="2">
        <f ca="1"/>
        <v>51.179916389179574</v>
      </c>
      <c r="AG2176" s="2">
        <f ca="1"/>
        <v>0.41731043527487977</v>
      </c>
      <c r="AH2176" s="2" t="str">
        <f ca="1"/>
        <v>Bad</v>
      </c>
    </row>
    <row r="2177" spans="2:34" x14ac:dyDescent="0.2">
      <c r="B2177" s="2">
        <f ca="1"/>
        <v>0.97241596047078471</v>
      </c>
      <c r="O2177" s="2">
        <f ca="1"/>
        <v>0.18920231053489037</v>
      </c>
      <c r="X2177" s="2">
        <f ca="1"/>
        <v>55.487287614648572</v>
      </c>
      <c r="AG2177" s="2">
        <f ca="1"/>
        <v>0.74158523080292382</v>
      </c>
      <c r="AH2177" s="2" t="str">
        <f ca="1"/>
        <v>Bad</v>
      </c>
    </row>
    <row r="2178" spans="2:34" x14ac:dyDescent="0.2">
      <c r="B2178" s="2">
        <f ca="1"/>
        <v>0.51377645134755667</v>
      </c>
      <c r="O2178" s="2">
        <f ca="1"/>
        <v>0.37331213734209145</v>
      </c>
      <c r="X2178" s="2">
        <f ca="1"/>
        <v>77.672581997157337</v>
      </c>
      <c r="AG2178" s="2">
        <f ca="1"/>
        <v>0.4919218282640434</v>
      </c>
      <c r="AH2178" s="2" t="str">
        <f ca="1"/>
        <v>Bad</v>
      </c>
    </row>
    <row r="2179" spans="2:34" x14ac:dyDescent="0.2">
      <c r="B2179" s="2">
        <f ca="1"/>
        <v>0.5727566057595963</v>
      </c>
      <c r="O2179" s="2">
        <f ca="1"/>
        <v>0.27741729455025638</v>
      </c>
      <c r="X2179" s="2">
        <f ca="1"/>
        <v>45.175312848365309</v>
      </c>
      <c r="AG2179" s="2">
        <f ca="1"/>
        <v>0.68494171284306482</v>
      </c>
      <c r="AH2179" s="2" t="str">
        <f ca="1"/>
        <v>Bad</v>
      </c>
    </row>
    <row r="2180" spans="2:34" x14ac:dyDescent="0.2">
      <c r="B2180" s="2">
        <f ca="1"/>
        <v>0.11443176306651415</v>
      </c>
      <c r="O2180" s="2">
        <f ca="1"/>
        <v>-9.6469492749182637E-2</v>
      </c>
      <c r="X2180" s="2">
        <f ca="1"/>
        <v>68.356977417903536</v>
      </c>
      <c r="AG2180" s="2">
        <f ca="1"/>
        <v>0.2161695067478755</v>
      </c>
      <c r="AH2180" s="2" t="str">
        <f ca="1"/>
        <v>OK</v>
      </c>
    </row>
    <row r="2181" spans="2:34" x14ac:dyDescent="0.2">
      <c r="B2181" s="2">
        <f ca="1"/>
        <v>0.87261458980959739</v>
      </c>
      <c r="O2181" s="2">
        <f ca="1"/>
        <v>-0.34594686284409465</v>
      </c>
      <c r="X2181" s="2">
        <f ca="1"/>
        <v>47.170866253238714</v>
      </c>
      <c r="AG2181" s="2">
        <f ca="1"/>
        <v>0.68243395048962063</v>
      </c>
      <c r="AH2181" s="2" t="str">
        <f ca="1"/>
        <v>Bad</v>
      </c>
    </row>
    <row r="2182" spans="2:34" x14ac:dyDescent="0.2">
      <c r="B2182" s="2">
        <f ca="1"/>
        <v>0.72573624420260874</v>
      </c>
      <c r="O2182" s="2">
        <f ca="1"/>
        <v>0.50197698728718232</v>
      </c>
      <c r="X2182" s="2">
        <f ca="1"/>
        <v>68.262173684582763</v>
      </c>
      <c r="AG2182" s="2">
        <f ca="1"/>
        <v>0.35035186951528696</v>
      </c>
      <c r="AH2182" s="2" t="str">
        <f ca="1"/>
        <v>OK</v>
      </c>
    </row>
    <row r="2183" spans="2:34" x14ac:dyDescent="0.2">
      <c r="B2183" s="2">
        <f ca="1"/>
        <v>0.17986186105048807</v>
      </c>
      <c r="O2183" s="2">
        <f ca="1"/>
        <v>-0.30013985712276126</v>
      </c>
      <c r="X2183" s="2">
        <f ca="1"/>
        <v>35.122248356960306</v>
      </c>
      <c r="AG2183" s="2">
        <f ca="1"/>
        <v>0.36987715145981026</v>
      </c>
      <c r="AH2183" s="2" t="str">
        <f ca="1"/>
        <v>OK</v>
      </c>
    </row>
    <row r="2184" spans="2:34" x14ac:dyDescent="0.2">
      <c r="B2184" s="2">
        <f ca="1"/>
        <v>0.54864368254924423</v>
      </c>
      <c r="O2184" s="2">
        <f ca="1"/>
        <v>-0.66148686680425761</v>
      </c>
      <c r="X2184" s="2">
        <f ca="1"/>
        <v>42.366428204459098</v>
      </c>
      <c r="AG2184" s="2">
        <f ca="1"/>
        <v>0.14999390250500166</v>
      </c>
      <c r="AH2184" s="2" t="str">
        <f ca="1"/>
        <v>OK</v>
      </c>
    </row>
    <row r="2185" spans="2:34" x14ac:dyDescent="0.2">
      <c r="B2185" s="2">
        <f ca="1"/>
        <v>0.99633047743492575</v>
      </c>
      <c r="O2185" s="2">
        <f ca="1"/>
        <v>1.7248947056230142</v>
      </c>
      <c r="X2185" s="2">
        <f ca="1"/>
        <v>40.116550559455703</v>
      </c>
      <c r="AG2185" s="2">
        <f ca="1"/>
        <v>0.22492201504729037</v>
      </c>
      <c r="AH2185" s="2" t="str">
        <f ca="1"/>
        <v>OK</v>
      </c>
    </row>
    <row r="2186" spans="2:34" x14ac:dyDescent="0.2">
      <c r="B2186" s="2">
        <f ca="1"/>
        <v>0.59802702547192954</v>
      </c>
      <c r="O2186" s="2">
        <f ca="1"/>
        <v>1.5642864045469647</v>
      </c>
      <c r="X2186" s="2">
        <f ca="1"/>
        <v>39.51732818422655</v>
      </c>
      <c r="AG2186" s="2">
        <f ca="1"/>
        <v>0.88026898231235129</v>
      </c>
      <c r="AH2186" s="2" t="str">
        <f ca="1"/>
        <v>Bad</v>
      </c>
    </row>
    <row r="2187" spans="2:34" x14ac:dyDescent="0.2">
      <c r="B2187" s="2">
        <f ca="1"/>
        <v>0.98999604214822701</v>
      </c>
      <c r="O2187" s="2">
        <f ca="1"/>
        <v>-2.01539030264829</v>
      </c>
      <c r="X2187" s="2">
        <f ca="1"/>
        <v>51.220714740901144</v>
      </c>
      <c r="AG2187" s="2">
        <f ca="1"/>
        <v>7.4395740501269181E-2</v>
      </c>
      <c r="AH2187" s="2" t="str">
        <f ca="1"/>
        <v>OK</v>
      </c>
    </row>
    <row r="2188" spans="2:34" x14ac:dyDescent="0.2">
      <c r="B2188" s="2">
        <f ca="1"/>
        <v>0.2957605856602552</v>
      </c>
      <c r="O2188" s="2">
        <f ca="1"/>
        <v>0.72351314524440991</v>
      </c>
      <c r="X2188" s="2">
        <f ca="1"/>
        <v>34.614870819016396</v>
      </c>
      <c r="AG2188" s="2">
        <f ca="1"/>
        <v>0.76307818937981886</v>
      </c>
      <c r="AH2188" s="2" t="str">
        <f ca="1"/>
        <v>Bad</v>
      </c>
    </row>
    <row r="2189" spans="2:34" x14ac:dyDescent="0.2">
      <c r="B2189" s="2">
        <f ca="1"/>
        <v>0.34231001624937329</v>
      </c>
      <c r="O2189" s="2">
        <f ca="1"/>
        <v>-0.56455644491951018</v>
      </c>
      <c r="X2189" s="2">
        <f ca="1"/>
        <v>40.202559870949514</v>
      </c>
      <c r="AG2189" s="2">
        <f ca="1"/>
        <v>0.87236784100557752</v>
      </c>
      <c r="AH2189" s="2" t="str">
        <f ca="1"/>
        <v>Bad</v>
      </c>
    </row>
    <row r="2190" spans="2:34" x14ac:dyDescent="0.2">
      <c r="B2190" s="2">
        <f ca="1"/>
        <v>0.8852767241045012</v>
      </c>
      <c r="O2190" s="2">
        <f ca="1"/>
        <v>-1.1960003448191561</v>
      </c>
      <c r="X2190" s="2">
        <f ca="1"/>
        <v>37.203329081095767</v>
      </c>
      <c r="AG2190" s="2">
        <f ca="1"/>
        <v>0.26302461436499702</v>
      </c>
      <c r="AH2190" s="2" t="str">
        <f ca="1"/>
        <v>OK</v>
      </c>
    </row>
    <row r="2191" spans="2:34" x14ac:dyDescent="0.2">
      <c r="B2191" s="2">
        <f ca="1"/>
        <v>0.67269800517842704</v>
      </c>
      <c r="O2191" s="2">
        <f ca="1"/>
        <v>-1.146361786784788</v>
      </c>
      <c r="X2191" s="2">
        <f ca="1"/>
        <v>71.488851002094748</v>
      </c>
      <c r="AG2191" s="2">
        <f ca="1"/>
        <v>0.63556385927082992</v>
      </c>
      <c r="AH2191" s="2" t="str">
        <f ca="1"/>
        <v>Bad</v>
      </c>
    </row>
    <row r="2192" spans="2:34" x14ac:dyDescent="0.2">
      <c r="B2192" s="2">
        <f ca="1"/>
        <v>0.29758259149260158</v>
      </c>
      <c r="O2192" s="2">
        <f ca="1"/>
        <v>-0.21337495125111569</v>
      </c>
      <c r="X2192" s="2">
        <f ca="1"/>
        <v>52.859582768762003</v>
      </c>
      <c r="AG2192" s="2">
        <f ca="1"/>
        <v>0.25457607053661246</v>
      </c>
      <c r="AH2192" s="2" t="str">
        <f ca="1"/>
        <v>OK</v>
      </c>
    </row>
    <row r="2193" spans="2:34" x14ac:dyDescent="0.2">
      <c r="B2193" s="2">
        <f ca="1"/>
        <v>0.82581488676931203</v>
      </c>
      <c r="O2193" s="2">
        <f ca="1"/>
        <v>-0.2682773661671104</v>
      </c>
      <c r="X2193" s="2">
        <f ca="1"/>
        <v>43.859149386371293</v>
      </c>
      <c r="AG2193" s="2">
        <f ca="1"/>
        <v>0.88813166948495326</v>
      </c>
      <c r="AH2193" s="2" t="str">
        <f ca="1"/>
        <v>Bad</v>
      </c>
    </row>
    <row r="2194" spans="2:34" x14ac:dyDescent="0.2">
      <c r="B2194" s="2">
        <f ca="1"/>
        <v>0.32120434064034709</v>
      </c>
      <c r="O2194" s="2">
        <f ca="1"/>
        <v>0.35029649322227319</v>
      </c>
      <c r="X2194" s="2">
        <f ca="1"/>
        <v>66.23750957118466</v>
      </c>
      <c r="AG2194" s="2">
        <f ca="1"/>
        <v>0.80421385586912231</v>
      </c>
      <c r="AH2194" s="2" t="str">
        <f ca="1"/>
        <v>Bad</v>
      </c>
    </row>
    <row r="2195" spans="2:34" x14ac:dyDescent="0.2">
      <c r="B2195" s="2">
        <f ca="1"/>
        <v>0.95329996408609174</v>
      </c>
      <c r="O2195" s="2">
        <f ca="1"/>
        <v>-1.9570902582862144</v>
      </c>
      <c r="X2195" s="2">
        <f ca="1"/>
        <v>37.549619510878706</v>
      </c>
      <c r="AG2195" s="2">
        <f ca="1"/>
        <v>0.36718142262336939</v>
      </c>
      <c r="AH2195" s="2" t="str">
        <f ca="1"/>
        <v>OK</v>
      </c>
    </row>
    <row r="2196" spans="2:34" x14ac:dyDescent="0.2">
      <c r="B2196" s="2">
        <f ca="1"/>
        <v>0.76473735146181565</v>
      </c>
      <c r="O2196" s="2">
        <f ca="1"/>
        <v>-1.5692695284997229</v>
      </c>
      <c r="X2196" s="2">
        <f ca="1"/>
        <v>46.738114874369778</v>
      </c>
      <c r="AG2196" s="2">
        <f ca="1"/>
        <v>0.61582860724044153</v>
      </c>
      <c r="AH2196" s="2" t="str">
        <f ca="1"/>
        <v>Bad</v>
      </c>
    </row>
    <row r="2197" spans="2:34" x14ac:dyDescent="0.2">
      <c r="B2197" s="2">
        <f ca="1"/>
        <v>0.69142861680565715</v>
      </c>
      <c r="O2197" s="2">
        <f ca="1"/>
        <v>-0.39771317633685499</v>
      </c>
      <c r="X2197" s="2">
        <f ca="1"/>
        <v>58.193006912379452</v>
      </c>
      <c r="AG2197" s="2">
        <f ca="1"/>
        <v>7.59216465461654E-2</v>
      </c>
      <c r="AH2197" s="2" t="str">
        <f ca="1"/>
        <v>OK</v>
      </c>
    </row>
    <row r="2198" spans="2:34" x14ac:dyDescent="0.2">
      <c r="B2198" s="2">
        <f ca="1"/>
        <v>0.77484035085469416</v>
      </c>
      <c r="O2198" s="2">
        <f ca="1"/>
        <v>0.62198989575223185</v>
      </c>
      <c r="X2198" s="2">
        <f ca="1"/>
        <v>42.346156256385243</v>
      </c>
      <c r="AG2198" s="2">
        <f ca="1"/>
        <v>0.87887987973855108</v>
      </c>
      <c r="AH2198" s="2" t="str">
        <f ca="1"/>
        <v>Bad</v>
      </c>
    </row>
    <row r="2199" spans="2:34" x14ac:dyDescent="0.2">
      <c r="B2199" s="2">
        <f ca="1"/>
        <v>0.31800960986905213</v>
      </c>
      <c r="O2199" s="2">
        <f ca="1"/>
        <v>-0.93737892117226029</v>
      </c>
      <c r="X2199" s="2">
        <f ca="1"/>
        <v>61.489541281926527</v>
      </c>
      <c r="AG2199" s="2">
        <f ca="1"/>
        <v>0.27631256132234649</v>
      </c>
      <c r="AH2199" s="2" t="str">
        <f ca="1"/>
        <v>OK</v>
      </c>
    </row>
    <row r="2200" spans="2:34" x14ac:dyDescent="0.2">
      <c r="B2200" s="2">
        <f ca="1"/>
        <v>0.77854154581040658</v>
      </c>
      <c r="O2200" s="2">
        <f ca="1"/>
        <v>1.0558746352446629</v>
      </c>
      <c r="X2200" s="2">
        <f ca="1"/>
        <v>31.433320106176584</v>
      </c>
      <c r="AG2200" s="2">
        <f ca="1"/>
        <v>0.11229875752351148</v>
      </c>
      <c r="AH2200" s="2" t="str">
        <f ca="1"/>
        <v>OK</v>
      </c>
    </row>
    <row r="2201" spans="2:34" x14ac:dyDescent="0.2">
      <c r="B2201" s="2">
        <f ca="1"/>
        <v>0.65164688158427109</v>
      </c>
      <c r="O2201" s="2">
        <f ca="1"/>
        <v>-0.59423688720662149</v>
      </c>
      <c r="X2201" s="2">
        <f ca="1"/>
        <v>51.969366085428433</v>
      </c>
      <c r="AG2201" s="2">
        <f ca="1"/>
        <v>0.87328482480918357</v>
      </c>
      <c r="AH2201" s="2" t="str">
        <f ca="1"/>
        <v>Bad</v>
      </c>
    </row>
    <row r="2202" spans="2:34" x14ac:dyDescent="0.2">
      <c r="B2202" s="2">
        <f ca="1"/>
        <v>8.4887713458686953E-2</v>
      </c>
      <c r="O2202" s="2">
        <f ca="1"/>
        <v>-1.2179442452196989</v>
      </c>
      <c r="X2202" s="2">
        <f ca="1"/>
        <v>84.50461324967938</v>
      </c>
      <c r="AG2202" s="2">
        <f ca="1"/>
        <v>0.88678820852453843</v>
      </c>
      <c r="AH2202" s="2" t="str">
        <f ca="1"/>
        <v>Bad</v>
      </c>
    </row>
    <row r="2203" spans="2:34" x14ac:dyDescent="0.2">
      <c r="B2203" s="2">
        <f ca="1"/>
        <v>0.90586006564887467</v>
      </c>
      <c r="O2203" s="2">
        <f ca="1"/>
        <v>-1.6699376862296416</v>
      </c>
      <c r="X2203" s="2">
        <f ca="1"/>
        <v>80.063751872417001</v>
      </c>
      <c r="AG2203" s="2">
        <f ca="1"/>
        <v>0.71369520634189576</v>
      </c>
      <c r="AH2203" s="2" t="str">
        <f ca="1"/>
        <v>Bad</v>
      </c>
    </row>
    <row r="2204" spans="2:34" x14ac:dyDescent="0.2">
      <c r="B2204" s="2">
        <f ca="1"/>
        <v>0.61756660772647587</v>
      </c>
      <c r="O2204" s="2">
        <f ca="1"/>
        <v>2.5595687274812327</v>
      </c>
      <c r="X2204" s="2">
        <f ca="1"/>
        <v>60.578901511527398</v>
      </c>
      <c r="AG2204" s="2">
        <f ca="1"/>
        <v>0.27283986844344099</v>
      </c>
      <c r="AH2204" s="2" t="str">
        <f ca="1"/>
        <v>OK</v>
      </c>
    </row>
    <row r="2205" spans="2:34" x14ac:dyDescent="0.2">
      <c r="B2205" s="2">
        <f ca="1"/>
        <v>0.80046184284441013</v>
      </c>
      <c r="O2205" s="2">
        <f ca="1"/>
        <v>0.3112156584603849</v>
      </c>
      <c r="X2205" s="2">
        <f ca="1"/>
        <v>35.898968019287949</v>
      </c>
      <c r="AG2205" s="2">
        <f ca="1"/>
        <v>0.84776584414935763</v>
      </c>
      <c r="AH2205" s="2" t="str">
        <f ca="1"/>
        <v>Bad</v>
      </c>
    </row>
    <row r="2206" spans="2:34" x14ac:dyDescent="0.2">
      <c r="B2206" s="2">
        <f ca="1"/>
        <v>0.47340196279075575</v>
      </c>
      <c r="O2206" s="2">
        <f ca="1"/>
        <v>1.2255631765344013</v>
      </c>
      <c r="X2206" s="2">
        <f ca="1"/>
        <v>33.162236543593629</v>
      </c>
      <c r="AG2206" s="2">
        <f ca="1"/>
        <v>0.26376967286528785</v>
      </c>
      <c r="AH2206" s="2" t="str">
        <f ca="1"/>
        <v>OK</v>
      </c>
    </row>
    <row r="2207" spans="2:34" x14ac:dyDescent="0.2">
      <c r="B2207" s="2">
        <f ca="1"/>
        <v>0.57729807205416828</v>
      </c>
      <c r="O2207" s="2">
        <f ca="1"/>
        <v>0.1027570306841348</v>
      </c>
      <c r="X2207" s="2">
        <f ca="1"/>
        <v>39.041652927873258</v>
      </c>
      <c r="AG2207" s="2">
        <f ca="1"/>
        <v>0.63261072650660877</v>
      </c>
      <c r="AH2207" s="2" t="str">
        <f ca="1"/>
        <v>Bad</v>
      </c>
    </row>
    <row r="2208" spans="2:34" x14ac:dyDescent="0.2">
      <c r="B2208" s="2">
        <f ca="1"/>
        <v>0.2868181500872149</v>
      </c>
      <c r="O2208" s="2">
        <f ca="1"/>
        <v>1.3763789575181216</v>
      </c>
      <c r="X2208" s="2">
        <f ca="1"/>
        <v>24.49894619771792</v>
      </c>
      <c r="AG2208" s="2">
        <f ca="1"/>
        <v>0.35921348497890793</v>
      </c>
      <c r="AH2208" s="2" t="str">
        <f ca="1"/>
        <v>OK</v>
      </c>
    </row>
    <row r="2209" spans="2:34" x14ac:dyDescent="0.2">
      <c r="B2209" s="2">
        <f ca="1"/>
        <v>0.93906883245393113</v>
      </c>
      <c r="O2209" s="2">
        <f ca="1"/>
        <v>0.91005178167975576</v>
      </c>
      <c r="X2209" s="2">
        <f ca="1"/>
        <v>47.76378187395872</v>
      </c>
      <c r="AG2209" s="2">
        <f ca="1"/>
        <v>0.84944702161603702</v>
      </c>
      <c r="AH2209" s="2" t="str">
        <f ca="1"/>
        <v>Bad</v>
      </c>
    </row>
    <row r="2210" spans="2:34" x14ac:dyDescent="0.2">
      <c r="B2210" s="2">
        <f ca="1"/>
        <v>0.96505219322445046</v>
      </c>
      <c r="O2210" s="2">
        <f ca="1"/>
        <v>1.0249882440512519</v>
      </c>
      <c r="X2210" s="2">
        <f ca="1"/>
        <v>87.770658990421424</v>
      </c>
      <c r="AG2210" s="2">
        <f ca="1"/>
        <v>0.66390130706625272</v>
      </c>
      <c r="AH2210" s="2" t="str">
        <f ca="1"/>
        <v>Bad</v>
      </c>
    </row>
    <row r="2211" spans="2:34" x14ac:dyDescent="0.2">
      <c r="B2211" s="2">
        <f ca="1"/>
        <v>0.5604228298379732</v>
      </c>
      <c r="O2211" s="2">
        <f ca="1"/>
        <v>0.79167982584802743</v>
      </c>
      <c r="X2211" s="2">
        <f ca="1"/>
        <v>33.683243573836322</v>
      </c>
      <c r="AG2211" s="2">
        <f ca="1"/>
        <v>0.54622792770942441</v>
      </c>
      <c r="AH2211" s="2" t="str">
        <f ca="1"/>
        <v>Bad</v>
      </c>
    </row>
    <row r="2212" spans="2:34" x14ac:dyDescent="0.2">
      <c r="B2212" s="2">
        <f ca="1"/>
        <v>0.23939605365773264</v>
      </c>
      <c r="O2212" s="2">
        <f ca="1"/>
        <v>0.26265115822373231</v>
      </c>
      <c r="X2212" s="2">
        <f ca="1"/>
        <v>58.648224034838066</v>
      </c>
      <c r="AG2212" s="2">
        <f ca="1"/>
        <v>0.69865572480639204</v>
      </c>
      <c r="AH2212" s="2" t="str">
        <f ca="1"/>
        <v>Bad</v>
      </c>
    </row>
    <row r="2213" spans="2:34" x14ac:dyDescent="0.2">
      <c r="B2213" s="2">
        <f ca="1"/>
        <v>0.8126716600580417</v>
      </c>
      <c r="O2213" s="2">
        <f ca="1"/>
        <v>-0.80117297788320763</v>
      </c>
      <c r="X2213" s="2">
        <f ca="1"/>
        <v>76.382007392577663</v>
      </c>
      <c r="AG2213" s="2">
        <f ca="1"/>
        <v>4.6162176362760654E-2</v>
      </c>
      <c r="AH2213" s="2" t="str">
        <f ca="1"/>
        <v>Good</v>
      </c>
    </row>
    <row r="2214" spans="2:34" x14ac:dyDescent="0.2">
      <c r="B2214" s="2">
        <f ca="1"/>
        <v>0.72410951875523866</v>
      </c>
      <c r="O2214" s="2">
        <f ca="1"/>
        <v>-0.71093501933855796</v>
      </c>
      <c r="X2214" s="2">
        <f ca="1"/>
        <v>47.366879272374618</v>
      </c>
      <c r="AG2214" s="2">
        <f ca="1"/>
        <v>0.4488465661330594</v>
      </c>
      <c r="AH2214" s="2" t="str">
        <f ca="1"/>
        <v>Bad</v>
      </c>
    </row>
    <row r="2215" spans="2:34" x14ac:dyDescent="0.2">
      <c r="B2215" s="2">
        <f ca="1"/>
        <v>0.38915418981854133</v>
      </c>
      <c r="O2215" s="2">
        <f ca="1"/>
        <v>-0.89128802594477463</v>
      </c>
      <c r="X2215" s="2">
        <f ca="1"/>
        <v>33.702673629735422</v>
      </c>
      <c r="AG2215" s="2">
        <f ca="1"/>
        <v>0.45464380203875754</v>
      </c>
      <c r="AH2215" s="2" t="str">
        <f ca="1"/>
        <v>Bad</v>
      </c>
    </row>
    <row r="2216" spans="2:34" x14ac:dyDescent="0.2">
      <c r="B2216" s="2">
        <f ca="1"/>
        <v>0.2501642855963504</v>
      </c>
      <c r="O2216" s="2">
        <f ca="1"/>
        <v>-0.8701013175794996</v>
      </c>
      <c r="X2216" s="2">
        <f ca="1"/>
        <v>17.202044349700742</v>
      </c>
      <c r="AG2216" s="2">
        <f ca="1"/>
        <v>0.9265737168172552</v>
      </c>
      <c r="AH2216" s="2" t="str">
        <f ca="1"/>
        <v>Bad</v>
      </c>
    </row>
    <row r="2217" spans="2:34" x14ac:dyDescent="0.2">
      <c r="B2217" s="2">
        <f ca="1"/>
        <v>0.87659920863222718</v>
      </c>
      <c r="O2217" s="2">
        <f ca="1"/>
        <v>0.46291678287427884</v>
      </c>
      <c r="X2217" s="2">
        <f ca="1"/>
        <v>44.111248624460309</v>
      </c>
      <c r="AG2217" s="2">
        <f ca="1"/>
        <v>0.72195385566175818</v>
      </c>
      <c r="AH2217" s="2" t="str">
        <f ca="1"/>
        <v>Bad</v>
      </c>
    </row>
    <row r="2218" spans="2:34" x14ac:dyDescent="0.2">
      <c r="B2218" s="2">
        <f ca="1"/>
        <v>0.34131177905057286</v>
      </c>
      <c r="O2218" s="2">
        <f ca="1"/>
        <v>-1.7049670822437604</v>
      </c>
      <c r="X2218" s="2">
        <f ca="1"/>
        <v>39.751889384864739</v>
      </c>
      <c r="AG2218" s="2">
        <f ca="1"/>
        <v>0.49418993036567427</v>
      </c>
      <c r="AH2218" s="2" t="str">
        <f ca="1"/>
        <v>Bad</v>
      </c>
    </row>
    <row r="2219" spans="2:34" x14ac:dyDescent="0.2">
      <c r="B2219" s="2">
        <f ca="1"/>
        <v>8.1231880768840359E-2</v>
      </c>
      <c r="O2219" s="2">
        <f ca="1"/>
        <v>3.4326949643572675</v>
      </c>
      <c r="X2219" s="2">
        <f ca="1"/>
        <v>57.30123214073943</v>
      </c>
      <c r="AG2219" s="2">
        <f ca="1"/>
        <v>0.29962805347789923</v>
      </c>
      <c r="AH2219" s="2" t="str">
        <f ca="1"/>
        <v>OK</v>
      </c>
    </row>
    <row r="2220" spans="2:34" x14ac:dyDescent="0.2">
      <c r="B2220" s="2">
        <f ca="1"/>
        <v>9.1771853440352213E-3</v>
      </c>
      <c r="O2220" s="2">
        <f ca="1"/>
        <v>-1.6885823940283686</v>
      </c>
      <c r="X2220" s="2">
        <f ca="1"/>
        <v>45.718836557888039</v>
      </c>
      <c r="AG2220" s="2">
        <f ca="1"/>
        <v>5.0175600923286989E-2</v>
      </c>
      <c r="AH2220" s="2" t="str">
        <f ca="1"/>
        <v>OK</v>
      </c>
    </row>
    <row r="2221" spans="2:34" x14ac:dyDescent="0.2">
      <c r="B2221" s="2">
        <f ca="1"/>
        <v>0.73882087815028741</v>
      </c>
      <c r="O2221" s="2">
        <f ca="1"/>
        <v>0.21835084580404338</v>
      </c>
      <c r="X2221" s="2">
        <f ca="1"/>
        <v>62.612957451391999</v>
      </c>
      <c r="AG2221" s="2">
        <f ca="1"/>
        <v>0.72933436359420711</v>
      </c>
      <c r="AH2221" s="2" t="str">
        <f ca="1"/>
        <v>Bad</v>
      </c>
    </row>
    <row r="2222" spans="2:34" x14ac:dyDescent="0.2">
      <c r="B2222" s="2">
        <f ca="1"/>
        <v>3.6153052279130904E-3</v>
      </c>
      <c r="O2222" s="2">
        <f ca="1"/>
        <v>1.3787596346621389</v>
      </c>
      <c r="X2222" s="2">
        <f ca="1"/>
        <v>41.857512838038573</v>
      </c>
      <c r="AG2222" s="2">
        <f ca="1"/>
        <v>0.71352744678616475</v>
      </c>
      <c r="AH2222" s="2" t="str">
        <f ca="1"/>
        <v>Bad</v>
      </c>
    </row>
    <row r="2223" spans="2:34" x14ac:dyDescent="0.2">
      <c r="B2223" s="2">
        <f ca="1"/>
        <v>0.83128710377689008</v>
      </c>
      <c r="O2223" s="2">
        <f ca="1"/>
        <v>-1.1261101673149729</v>
      </c>
      <c r="X2223" s="2">
        <f ca="1"/>
        <v>57.771656875661328</v>
      </c>
      <c r="AG2223" s="2">
        <f ca="1"/>
        <v>0.1318840038038418</v>
      </c>
      <c r="AH2223" s="2" t="str">
        <f ca="1"/>
        <v>OK</v>
      </c>
    </row>
    <row r="2224" spans="2:34" x14ac:dyDescent="0.2">
      <c r="B2224" s="2">
        <f ca="1"/>
        <v>0.71852260697810144</v>
      </c>
      <c r="O2224" s="2">
        <f ca="1"/>
        <v>0.24485549623404257</v>
      </c>
      <c r="X2224" s="2">
        <f ca="1"/>
        <v>52.069639548539712</v>
      </c>
      <c r="AG2224" s="2">
        <f ca="1"/>
        <v>0.97094442418434146</v>
      </c>
      <c r="AH2224" s="2" t="str">
        <f ca="1"/>
        <v>Bad</v>
      </c>
    </row>
    <row r="2225" spans="2:34" x14ac:dyDescent="0.2">
      <c r="B2225" s="2">
        <f ca="1"/>
        <v>0.79928255789487967</v>
      </c>
      <c r="O2225" s="2">
        <f ca="1"/>
        <v>-0.32607785590695793</v>
      </c>
      <c r="X2225" s="2">
        <f ca="1"/>
        <v>61.622291873227937</v>
      </c>
      <c r="AG2225" s="2">
        <f ca="1"/>
        <v>9.0551628379299087E-2</v>
      </c>
      <c r="AH2225" s="2" t="str">
        <f ca="1"/>
        <v>OK</v>
      </c>
    </row>
    <row r="2226" spans="2:34" x14ac:dyDescent="0.2">
      <c r="B2226" s="2">
        <f ca="1"/>
        <v>0.78783372727690426</v>
      </c>
      <c r="O2226" s="2">
        <f ca="1"/>
        <v>-1.7482055587660772</v>
      </c>
      <c r="X2226" s="2">
        <f ca="1"/>
        <v>64.64798208121519</v>
      </c>
      <c r="AG2226" s="2">
        <f ca="1"/>
        <v>0.35658748951013775</v>
      </c>
      <c r="AH2226" s="2" t="str">
        <f ca="1"/>
        <v>OK</v>
      </c>
    </row>
    <row r="2227" spans="2:34" x14ac:dyDescent="0.2">
      <c r="B2227" s="2">
        <f ca="1"/>
        <v>2.9212501361154164E-2</v>
      </c>
      <c r="O2227" s="2">
        <f ca="1"/>
        <v>-0.99029337545140006</v>
      </c>
      <c r="X2227" s="2">
        <f ca="1"/>
        <v>93.08547909600594</v>
      </c>
      <c r="AG2227" s="2">
        <f ca="1"/>
        <v>0.67976638463784855</v>
      </c>
      <c r="AH2227" s="2" t="str">
        <f ca="1"/>
        <v>Bad</v>
      </c>
    </row>
    <row r="2228" spans="2:34" x14ac:dyDescent="0.2">
      <c r="B2228" s="2">
        <f ca="1"/>
        <v>0.52032080674626768</v>
      </c>
      <c r="O2228" s="2">
        <f ca="1"/>
        <v>1.1540990192552096</v>
      </c>
      <c r="X2228" s="2">
        <f ca="1"/>
        <v>61.634335484071897</v>
      </c>
      <c r="AG2228" s="2">
        <f ca="1"/>
        <v>0.92238030187927311</v>
      </c>
      <c r="AH2228" s="2" t="str">
        <f ca="1"/>
        <v>Bad</v>
      </c>
    </row>
    <row r="2229" spans="2:34" x14ac:dyDescent="0.2">
      <c r="B2229" s="2">
        <f ca="1"/>
        <v>0.29997712682614464</v>
      </c>
      <c r="O2229" s="2">
        <f ca="1"/>
        <v>-1.3833326867790336</v>
      </c>
      <c r="X2229" s="2">
        <f ca="1"/>
        <v>68.907339444410411</v>
      </c>
      <c r="AG2229" s="2">
        <f ca="1"/>
        <v>0.98168344192713564</v>
      </c>
      <c r="AH2229" s="2" t="str">
        <f ca="1"/>
        <v>Bad</v>
      </c>
    </row>
    <row r="2230" spans="2:34" x14ac:dyDescent="0.2">
      <c r="B2230" s="2">
        <f ca="1"/>
        <v>0.93820410455918091</v>
      </c>
      <c r="O2230" s="2">
        <f ca="1"/>
        <v>-0.64851005485941848</v>
      </c>
      <c r="X2230" s="2">
        <f ca="1"/>
        <v>39.312767817999067</v>
      </c>
      <c r="AG2230" s="2">
        <f ca="1"/>
        <v>4.6704593543474004E-2</v>
      </c>
      <c r="AH2230" s="2" t="str">
        <f ca="1"/>
        <v>Good</v>
      </c>
    </row>
    <row r="2231" spans="2:34" x14ac:dyDescent="0.2">
      <c r="B2231" s="2">
        <f ca="1"/>
        <v>0.74105496000404347</v>
      </c>
      <c r="O2231" s="2">
        <f ca="1"/>
        <v>0.94517576931202685</v>
      </c>
      <c r="X2231" s="2">
        <f ca="1"/>
        <v>46.845130161648569</v>
      </c>
      <c r="AG2231" s="2">
        <f ca="1"/>
        <v>0.27084137407653652</v>
      </c>
      <c r="AH2231" s="2" t="str">
        <f ca="1"/>
        <v>OK</v>
      </c>
    </row>
    <row r="2232" spans="2:34" x14ac:dyDescent="0.2">
      <c r="B2232" s="2">
        <f ca="1"/>
        <v>0.94046150134962825</v>
      </c>
      <c r="O2232" s="2">
        <f ca="1"/>
        <v>0.88281173851597117</v>
      </c>
      <c r="X2232" s="2">
        <f ca="1"/>
        <v>37.521420662176951</v>
      </c>
      <c r="AG2232" s="2">
        <f ca="1"/>
        <v>0.73522167860478072</v>
      </c>
      <c r="AH2232" s="2" t="str">
        <f ca="1"/>
        <v>Bad</v>
      </c>
    </row>
    <row r="2233" spans="2:34" x14ac:dyDescent="0.2">
      <c r="B2233" s="2">
        <f ca="1"/>
        <v>2.7176734093636856E-3</v>
      </c>
      <c r="O2233" s="2">
        <f ca="1"/>
        <v>2.0792838353927454</v>
      </c>
      <c r="X2233" s="2">
        <f ca="1"/>
        <v>35.229248825937944</v>
      </c>
      <c r="AG2233" s="2">
        <f ca="1"/>
        <v>0.74517901345757864</v>
      </c>
      <c r="AH2233" s="2" t="str">
        <f ca="1"/>
        <v>Bad</v>
      </c>
    </row>
    <row r="2234" spans="2:34" x14ac:dyDescent="0.2">
      <c r="B2234" s="2">
        <f ca="1"/>
        <v>0.98896066741092281</v>
      </c>
      <c r="O2234" s="2">
        <f ca="1"/>
        <v>1.1905386684042121</v>
      </c>
      <c r="X2234" s="2">
        <f ca="1"/>
        <v>80.972281796434174</v>
      </c>
      <c r="AG2234" s="2">
        <f ca="1"/>
        <v>0.37682382864379727</v>
      </c>
      <c r="AH2234" s="2" t="str">
        <f ca="1"/>
        <v>OK</v>
      </c>
    </row>
    <row r="2235" spans="2:34" x14ac:dyDescent="0.2">
      <c r="B2235" s="2">
        <f ca="1"/>
        <v>0.21514567368304416</v>
      </c>
      <c r="O2235" s="2">
        <f ca="1"/>
        <v>0.58854275261741296</v>
      </c>
      <c r="X2235" s="2">
        <f ca="1"/>
        <v>61.683451769374251</v>
      </c>
      <c r="AG2235" s="2">
        <f ca="1"/>
        <v>0.91669655149333895</v>
      </c>
      <c r="AH2235" s="2" t="str">
        <f ca="1"/>
        <v>Bad</v>
      </c>
    </row>
    <row r="2236" spans="2:34" x14ac:dyDescent="0.2">
      <c r="B2236" s="2">
        <f ca="1"/>
        <v>8.3826194116073616E-2</v>
      </c>
      <c r="O2236" s="2">
        <f ca="1"/>
        <v>1.3317967767154038</v>
      </c>
      <c r="X2236" s="2">
        <f ca="1"/>
        <v>44.608809417856477</v>
      </c>
      <c r="AG2236" s="2">
        <f ca="1"/>
        <v>0.19832666297168311</v>
      </c>
      <c r="AH2236" s="2" t="str">
        <f ca="1"/>
        <v>OK</v>
      </c>
    </row>
    <row r="2237" spans="2:34" x14ac:dyDescent="0.2">
      <c r="B2237" s="2">
        <f ca="1"/>
        <v>0.96076968223574921</v>
      </c>
      <c r="O2237" s="2">
        <f ca="1"/>
        <v>-0.5707239770903435</v>
      </c>
      <c r="X2237" s="2">
        <f ca="1"/>
        <v>28.696406451415072</v>
      </c>
      <c r="AG2237" s="2">
        <f ca="1"/>
        <v>0.56593715983549076</v>
      </c>
      <c r="AH2237" s="2" t="str">
        <f ca="1"/>
        <v>Bad</v>
      </c>
    </row>
    <row r="2238" spans="2:34" x14ac:dyDescent="0.2">
      <c r="B2238" s="2">
        <f ca="1"/>
        <v>0.7883071151235943</v>
      </c>
      <c r="O2238" s="2">
        <f ca="1"/>
        <v>2.6237195119086506E-2</v>
      </c>
      <c r="X2238" s="2">
        <f ca="1"/>
        <v>38.170451673871014</v>
      </c>
      <c r="AG2238" s="2">
        <f ca="1"/>
        <v>0.29326966955843647</v>
      </c>
      <c r="AH2238" s="2" t="str">
        <f ca="1"/>
        <v>OK</v>
      </c>
    </row>
    <row r="2239" spans="2:34" x14ac:dyDescent="0.2">
      <c r="B2239" s="2">
        <f ca="1"/>
        <v>0.48544841617734713</v>
      </c>
      <c r="O2239" s="2">
        <f ca="1"/>
        <v>1.6454926959013616</v>
      </c>
      <c r="X2239" s="2">
        <f ca="1"/>
        <v>74.491730000530055</v>
      </c>
      <c r="AG2239" s="2">
        <f ca="1"/>
        <v>9.8619526991258422E-2</v>
      </c>
      <c r="AH2239" s="2" t="str">
        <f ca="1"/>
        <v>OK</v>
      </c>
    </row>
    <row r="2240" spans="2:34" x14ac:dyDescent="0.2">
      <c r="B2240" s="2">
        <f ca="1"/>
        <v>0.27460406781211755</v>
      </c>
      <c r="O2240" s="2">
        <f ca="1"/>
        <v>0.55508863620158688</v>
      </c>
      <c r="X2240" s="2">
        <f ca="1"/>
        <v>39.398076229802598</v>
      </c>
      <c r="AG2240" s="2">
        <f ca="1"/>
        <v>0.29014138156416536</v>
      </c>
      <c r="AH2240" s="2" t="str">
        <f ca="1"/>
        <v>OK</v>
      </c>
    </row>
    <row r="2241" spans="2:34" x14ac:dyDescent="0.2">
      <c r="B2241" s="2">
        <f ca="1"/>
        <v>0.90518813176414148</v>
      </c>
      <c r="O2241" s="2">
        <f ca="1"/>
        <v>0.14031729787636762</v>
      </c>
      <c r="X2241" s="2">
        <f ca="1"/>
        <v>69.085479449139513</v>
      </c>
      <c r="AG2241" s="2">
        <f ca="1"/>
        <v>0.96211740549322866</v>
      </c>
      <c r="AH2241" s="2" t="str">
        <f ca="1"/>
        <v>Bad</v>
      </c>
    </row>
    <row r="2242" spans="2:34" x14ac:dyDescent="0.2">
      <c r="B2242" s="2">
        <f ca="1"/>
        <v>9.1288854781329976E-2</v>
      </c>
      <c r="O2242" s="2">
        <f ca="1"/>
        <v>0.21464012309675493</v>
      </c>
      <c r="X2242" s="2">
        <f ca="1"/>
        <v>34.086785610425693</v>
      </c>
      <c r="AG2242" s="2">
        <f ca="1"/>
        <v>9.5855325818850368E-2</v>
      </c>
      <c r="AH2242" s="2" t="str">
        <f ca="1"/>
        <v>OK</v>
      </c>
    </row>
    <row r="2243" spans="2:34" x14ac:dyDescent="0.2">
      <c r="B2243" s="2">
        <f ca="1"/>
        <v>0.77515933845901186</v>
      </c>
      <c r="O2243" s="2">
        <f ca="1"/>
        <v>1.5296906543997677</v>
      </c>
      <c r="X2243" s="2">
        <f ca="1"/>
        <v>41.178034938753285</v>
      </c>
      <c r="AG2243" s="2">
        <f ca="1"/>
        <v>0.20407930781324235</v>
      </c>
      <c r="AH2243" s="2" t="str">
        <f ca="1"/>
        <v>OK</v>
      </c>
    </row>
    <row r="2244" spans="2:34" x14ac:dyDescent="0.2">
      <c r="B2244" s="2">
        <f ca="1"/>
        <v>0.67770264200794483</v>
      </c>
      <c r="O2244" s="2">
        <f ca="1"/>
        <v>-0.33742688318744318</v>
      </c>
      <c r="X2244" s="2">
        <f ca="1"/>
        <v>76.329404107296739</v>
      </c>
      <c r="AG2244" s="2">
        <f ca="1"/>
        <v>0.95753315412188389</v>
      </c>
      <c r="AH2244" s="2" t="str">
        <f ca="1"/>
        <v>Bad</v>
      </c>
    </row>
    <row r="2245" spans="2:34" x14ac:dyDescent="0.2">
      <c r="B2245" s="2">
        <f ca="1"/>
        <v>0.15499762447356624</v>
      </c>
      <c r="O2245" s="2">
        <f ca="1"/>
        <v>-1.8202752367105954</v>
      </c>
      <c r="X2245" s="2">
        <f ca="1"/>
        <v>43.373771246513577</v>
      </c>
      <c r="AG2245" s="2">
        <f ca="1"/>
        <v>0.76340205167824493</v>
      </c>
      <c r="AH2245" s="2" t="str">
        <f ca="1"/>
        <v>Bad</v>
      </c>
    </row>
    <row r="2246" spans="2:34" x14ac:dyDescent="0.2">
      <c r="B2246" s="2">
        <f ca="1"/>
        <v>0.94766883729589768</v>
      </c>
      <c r="O2246" s="2">
        <f ca="1"/>
        <v>2.3450292076724755</v>
      </c>
      <c r="X2246" s="2">
        <f ca="1"/>
        <v>32.877859787671433</v>
      </c>
      <c r="AG2246" s="2">
        <f ca="1"/>
        <v>0.40013312408437085</v>
      </c>
      <c r="AH2246" s="2" t="str">
        <f ca="1"/>
        <v>Bad</v>
      </c>
    </row>
    <row r="2247" spans="2:34" x14ac:dyDescent="0.2">
      <c r="B2247" s="2">
        <f ca="1"/>
        <v>9.9137561755761494E-2</v>
      </c>
      <c r="O2247" s="2">
        <f ca="1"/>
        <v>0.24651533651352145</v>
      </c>
      <c r="X2247" s="2">
        <f ca="1"/>
        <v>36.374197036075671</v>
      </c>
      <c r="AG2247" s="2">
        <f ca="1"/>
        <v>0.45623667168572246</v>
      </c>
      <c r="AH2247" s="2" t="str">
        <f ca="1"/>
        <v>Bad</v>
      </c>
    </row>
    <row r="2248" spans="2:34" x14ac:dyDescent="0.2">
      <c r="B2248" s="2">
        <f ca="1"/>
        <v>0.3698660317818625</v>
      </c>
      <c r="O2248" s="2">
        <f ca="1"/>
        <v>2.090435886040805</v>
      </c>
      <c r="X2248" s="2">
        <f ca="1"/>
        <v>56.032302416349893</v>
      </c>
      <c r="AG2248" s="2">
        <f ca="1"/>
        <v>0.28029481085841956</v>
      </c>
      <c r="AH2248" s="2" t="str">
        <f ca="1"/>
        <v>OK</v>
      </c>
    </row>
    <row r="2249" spans="2:34" x14ac:dyDescent="0.2">
      <c r="B2249" s="2">
        <f ca="1"/>
        <v>0.25970076822475296</v>
      </c>
      <c r="O2249" s="2">
        <f ca="1"/>
        <v>0.31718668779613951</v>
      </c>
      <c r="X2249" s="2">
        <f ca="1"/>
        <v>48.605392698226339</v>
      </c>
      <c r="AG2249" s="2">
        <f ca="1"/>
        <v>0.43338985880722203</v>
      </c>
      <c r="AH2249" s="2" t="str">
        <f ca="1"/>
        <v>Bad</v>
      </c>
    </row>
    <row r="2250" spans="2:34" x14ac:dyDescent="0.2">
      <c r="B2250" s="2">
        <f ca="1"/>
        <v>0.58912241732621395</v>
      </c>
      <c r="O2250" s="2">
        <f ca="1"/>
        <v>-0.99729243341713758</v>
      </c>
      <c r="X2250" s="2">
        <f ca="1"/>
        <v>50.056582694588428</v>
      </c>
      <c r="AG2250" s="2">
        <f ca="1"/>
        <v>0.29788722235829068</v>
      </c>
      <c r="AH2250" s="2" t="str">
        <f ca="1"/>
        <v>OK</v>
      </c>
    </row>
    <row r="2251" spans="2:34" x14ac:dyDescent="0.2">
      <c r="B2251" s="2">
        <f ca="1"/>
        <v>0.49985209766576766</v>
      </c>
      <c r="O2251" s="2">
        <f ca="1"/>
        <v>-0.36731257110778798</v>
      </c>
      <c r="X2251" s="2">
        <f ca="1"/>
        <v>60.700596308908182</v>
      </c>
      <c r="AG2251" s="2">
        <f ca="1"/>
        <v>0.85496338508975711</v>
      </c>
      <c r="AH2251" s="2" t="str">
        <f ca="1"/>
        <v>Bad</v>
      </c>
    </row>
    <row r="2252" spans="2:34" x14ac:dyDescent="0.2">
      <c r="B2252" s="2">
        <f ca="1"/>
        <v>0.18293931312766798</v>
      </c>
      <c r="O2252" s="2">
        <f ca="1"/>
        <v>0.1300478639554519</v>
      </c>
      <c r="X2252" s="2">
        <f ca="1"/>
        <v>49.517383069032306</v>
      </c>
      <c r="AG2252" s="2">
        <f ca="1"/>
        <v>0.95483043553132685</v>
      </c>
      <c r="AH2252" s="2" t="str">
        <f ca="1"/>
        <v>Bad</v>
      </c>
    </row>
    <row r="2253" spans="2:34" x14ac:dyDescent="0.2">
      <c r="B2253" s="2">
        <f ca="1"/>
        <v>0.9145683440797554</v>
      </c>
      <c r="O2253" s="2">
        <f ca="1"/>
        <v>-1.4291754362817497</v>
      </c>
      <c r="X2253" s="2">
        <f ca="1"/>
        <v>47.736277121494425</v>
      </c>
      <c r="AG2253" s="2">
        <f ca="1"/>
        <v>0.6665633440149632</v>
      </c>
      <c r="AH2253" s="2" t="str">
        <f ca="1"/>
        <v>Bad</v>
      </c>
    </row>
    <row r="2254" spans="2:34" x14ac:dyDescent="0.2">
      <c r="B2254" s="2">
        <f ca="1"/>
        <v>0.41649257177517662</v>
      </c>
      <c r="O2254" s="2">
        <f ca="1"/>
        <v>-0.89833406308205721</v>
      </c>
      <c r="X2254" s="2">
        <f ca="1"/>
        <v>39.986872757807106</v>
      </c>
      <c r="AG2254" s="2">
        <f ca="1"/>
        <v>0.74852773461831146</v>
      </c>
      <c r="AH2254" s="2" t="str">
        <f ca="1"/>
        <v>Bad</v>
      </c>
    </row>
    <row r="2255" spans="2:34" x14ac:dyDescent="0.2">
      <c r="B2255" s="2">
        <f ca="1"/>
        <v>0.87422075745772121</v>
      </c>
      <c r="O2255" s="2">
        <f ca="1"/>
        <v>0.86652438942905774</v>
      </c>
      <c r="X2255" s="2">
        <f ca="1"/>
        <v>41.185593564701939</v>
      </c>
      <c r="AG2255" s="2">
        <f ca="1"/>
        <v>0.12324962233148962</v>
      </c>
      <c r="AH2255" s="2" t="str">
        <f ca="1"/>
        <v>OK</v>
      </c>
    </row>
    <row r="2256" spans="2:34" x14ac:dyDescent="0.2">
      <c r="B2256" s="2">
        <f ca="1"/>
        <v>0.42068616703709605</v>
      </c>
      <c r="O2256" s="2">
        <f ca="1"/>
        <v>-1.4243988584428964</v>
      </c>
      <c r="X2256" s="2">
        <f ca="1"/>
        <v>29.569518470773243</v>
      </c>
      <c r="AG2256" s="2">
        <f ca="1"/>
        <v>0.58916904730278175</v>
      </c>
      <c r="AH2256" s="2" t="str">
        <f ca="1"/>
        <v>Bad</v>
      </c>
    </row>
    <row r="2257" spans="2:34" x14ac:dyDescent="0.2">
      <c r="B2257" s="2">
        <f ca="1"/>
        <v>3.5203053181669608E-2</v>
      </c>
      <c r="O2257" s="2">
        <f ca="1"/>
        <v>-0.82355848128499509</v>
      </c>
      <c r="X2257" s="2">
        <f ca="1"/>
        <v>26.544005832457035</v>
      </c>
      <c r="AG2257" s="2">
        <f ca="1"/>
        <v>0.7918924217305372</v>
      </c>
      <c r="AH2257" s="2" t="str">
        <f ca="1"/>
        <v>Bad</v>
      </c>
    </row>
    <row r="2258" spans="2:34" x14ac:dyDescent="0.2">
      <c r="B2258" s="2">
        <f ca="1"/>
        <v>0.42706247674068609</v>
      </c>
      <c r="O2258" s="2">
        <f ca="1"/>
        <v>-0.92006570910414198</v>
      </c>
      <c r="X2258" s="2">
        <f ca="1"/>
        <v>37.454306855685118</v>
      </c>
      <c r="AG2258" s="2">
        <f ca="1"/>
        <v>0.52636658546171655</v>
      </c>
      <c r="AH2258" s="2" t="str">
        <f ca="1"/>
        <v>Bad</v>
      </c>
    </row>
    <row r="2259" spans="2:34" x14ac:dyDescent="0.2">
      <c r="B2259" s="2">
        <f ca="1"/>
        <v>0.12248106309677809</v>
      </c>
      <c r="O2259" s="2">
        <f ca="1"/>
        <v>-0.6389822986647371</v>
      </c>
      <c r="X2259" s="2">
        <f ca="1"/>
        <v>36.034648429001443</v>
      </c>
      <c r="AG2259" s="2">
        <f ca="1"/>
        <v>0.26783724340219894</v>
      </c>
      <c r="AH2259" s="2" t="str">
        <f ca="1"/>
        <v>OK</v>
      </c>
    </row>
    <row r="2260" spans="2:34" x14ac:dyDescent="0.2">
      <c r="B2260" s="2">
        <f ca="1"/>
        <v>0.15484177135272281</v>
      </c>
      <c r="O2260" s="2">
        <f ca="1"/>
        <v>0.58504428646289963</v>
      </c>
      <c r="X2260" s="2">
        <f ca="1"/>
        <v>58.801010624936907</v>
      </c>
      <c r="AG2260" s="2">
        <f ca="1"/>
        <v>0.86971172865484281</v>
      </c>
      <c r="AH2260" s="2" t="str">
        <f ca="1"/>
        <v>Bad</v>
      </c>
    </row>
    <row r="2261" spans="2:34" x14ac:dyDescent="0.2">
      <c r="B2261" s="2">
        <f ca="1"/>
        <v>0.97477364496766272</v>
      </c>
      <c r="O2261" s="2">
        <f ca="1"/>
        <v>-0.41455485673750153</v>
      </c>
      <c r="X2261" s="2">
        <f ca="1"/>
        <v>74.056111840496698</v>
      </c>
      <c r="AG2261" s="2">
        <f ca="1"/>
        <v>0.1980562222001141</v>
      </c>
      <c r="AH2261" s="2" t="str">
        <f ca="1"/>
        <v>OK</v>
      </c>
    </row>
    <row r="2262" spans="2:34" x14ac:dyDescent="0.2">
      <c r="B2262" s="2">
        <f ca="1"/>
        <v>0.52341241215196144</v>
      </c>
      <c r="O2262" s="2">
        <f ca="1"/>
        <v>1.0986998222070348</v>
      </c>
      <c r="X2262" s="2">
        <f ca="1"/>
        <v>61.417299619295171</v>
      </c>
      <c r="AG2262" s="2">
        <f ca="1"/>
        <v>0.51275595663536833</v>
      </c>
      <c r="AH2262" s="2" t="str">
        <f ca="1"/>
        <v>Bad</v>
      </c>
    </row>
    <row r="2263" spans="2:34" x14ac:dyDescent="0.2">
      <c r="B2263" s="2">
        <f ca="1"/>
        <v>0.65722410192594927</v>
      </c>
      <c r="O2263" s="2">
        <f ca="1"/>
        <v>1.3884072207391436</v>
      </c>
      <c r="X2263" s="2">
        <f ca="1"/>
        <v>65.238263674149408</v>
      </c>
      <c r="AG2263" s="2">
        <f ca="1"/>
        <v>0.542745311642999</v>
      </c>
      <c r="AH2263" s="2" t="str">
        <f ca="1"/>
        <v>Bad</v>
      </c>
    </row>
    <row r="2264" spans="2:34" x14ac:dyDescent="0.2">
      <c r="B2264" s="2">
        <f ca="1"/>
        <v>0.42467230573714176</v>
      </c>
      <c r="O2264" s="2">
        <f ca="1"/>
        <v>1.3454194331119675</v>
      </c>
      <c r="X2264" s="2">
        <f ca="1"/>
        <v>36.570969558294372</v>
      </c>
      <c r="AG2264" s="2">
        <f ca="1"/>
        <v>0.45000991137291413</v>
      </c>
      <c r="AH2264" s="2" t="str">
        <f ca="1"/>
        <v>Bad</v>
      </c>
    </row>
    <row r="2265" spans="2:34" x14ac:dyDescent="0.2">
      <c r="B2265" s="2">
        <f ca="1"/>
        <v>0.89711619780637619</v>
      </c>
      <c r="O2265" s="2">
        <f ca="1"/>
        <v>-0.20855236151887566</v>
      </c>
      <c r="X2265" s="2">
        <f ca="1"/>
        <v>33.61798114377374</v>
      </c>
      <c r="AG2265" s="2">
        <f ca="1"/>
        <v>0.31557683366451506</v>
      </c>
      <c r="AH2265" s="2" t="str">
        <f ca="1"/>
        <v>OK</v>
      </c>
    </row>
    <row r="2266" spans="2:34" x14ac:dyDescent="0.2">
      <c r="B2266" s="2">
        <f ca="1"/>
        <v>0.38715673900581171</v>
      </c>
      <c r="O2266" s="2">
        <f ca="1"/>
        <v>1.551467542475006</v>
      </c>
      <c r="X2266" s="2">
        <f ca="1"/>
        <v>71.001761278149345</v>
      </c>
      <c r="AG2266" s="2">
        <f ca="1"/>
        <v>0.8074600716317526</v>
      </c>
      <c r="AH2266" s="2" t="str">
        <f ca="1"/>
        <v>Bad</v>
      </c>
    </row>
    <row r="2267" spans="2:34" x14ac:dyDescent="0.2">
      <c r="B2267" s="2">
        <f ca="1"/>
        <v>0.48763478219043743</v>
      </c>
      <c r="O2267" s="2">
        <f ca="1"/>
        <v>1.2058458756658232</v>
      </c>
      <c r="X2267" s="2">
        <f ca="1"/>
        <v>46.93881503125175</v>
      </c>
      <c r="AG2267" s="2">
        <f ca="1"/>
        <v>0.80602229704784367</v>
      </c>
      <c r="AH2267" s="2" t="str">
        <f ca="1"/>
        <v>Bad</v>
      </c>
    </row>
    <row r="2268" spans="2:34" x14ac:dyDescent="0.2">
      <c r="B2268" s="2">
        <f ca="1"/>
        <v>0.93287882350343465</v>
      </c>
      <c r="O2268" s="2">
        <f ca="1"/>
        <v>-0.92992940949023517</v>
      </c>
      <c r="X2268" s="2">
        <f ca="1"/>
        <v>42.07667301764473</v>
      </c>
      <c r="AG2268" s="2">
        <f ca="1"/>
        <v>0.4655766271464008</v>
      </c>
      <c r="AH2268" s="2" t="str">
        <f ca="1"/>
        <v>Bad</v>
      </c>
    </row>
    <row r="2269" spans="2:34" x14ac:dyDescent="0.2">
      <c r="B2269" s="2">
        <f ca="1"/>
        <v>0.96673922288954395</v>
      </c>
      <c r="O2269" s="2">
        <f ca="1"/>
        <v>0.38277039452297379</v>
      </c>
      <c r="X2269" s="2">
        <f ca="1"/>
        <v>43.098679078923723</v>
      </c>
      <c r="AG2269" s="2">
        <f ca="1"/>
        <v>0.58634787541848832</v>
      </c>
      <c r="AH2269" s="2" t="str">
        <f ca="1"/>
        <v>Bad</v>
      </c>
    </row>
    <row r="2270" spans="2:34" x14ac:dyDescent="0.2">
      <c r="B2270" s="2">
        <f ca="1"/>
        <v>0.49717063303343978</v>
      </c>
      <c r="O2270" s="2">
        <f ca="1"/>
        <v>-0.72598415281890549</v>
      </c>
      <c r="X2270" s="2">
        <f ca="1"/>
        <v>60.235558782451477</v>
      </c>
      <c r="AG2270" s="2">
        <f ca="1"/>
        <v>0.4118066925241235</v>
      </c>
      <c r="AH2270" s="2" t="str">
        <f ca="1"/>
        <v>Bad</v>
      </c>
    </row>
    <row r="2271" spans="2:34" x14ac:dyDescent="0.2">
      <c r="B2271" s="2">
        <f ca="1"/>
        <v>0.5307995078455825</v>
      </c>
      <c r="O2271" s="2">
        <f ca="1"/>
        <v>1.1562976076934592</v>
      </c>
      <c r="X2271" s="2">
        <f ca="1"/>
        <v>74.029203098332147</v>
      </c>
      <c r="AG2271" s="2">
        <f ca="1"/>
        <v>0.48085390718262588</v>
      </c>
      <c r="AH2271" s="2" t="str">
        <f ca="1"/>
        <v>Bad</v>
      </c>
    </row>
    <row r="2272" spans="2:34" x14ac:dyDescent="0.2">
      <c r="B2272" s="2">
        <f ca="1"/>
        <v>0.67410405731807232</v>
      </c>
      <c r="O2272" s="2">
        <f ca="1"/>
        <v>-2.3301731116689473</v>
      </c>
      <c r="X2272" s="2">
        <f ca="1"/>
        <v>47.173074887300842</v>
      </c>
      <c r="AG2272" s="2">
        <f ca="1"/>
        <v>0.84977229895438411</v>
      </c>
      <c r="AH2272" s="2" t="str">
        <f ca="1"/>
        <v>Bad</v>
      </c>
    </row>
    <row r="2273" spans="2:34" x14ac:dyDescent="0.2">
      <c r="B2273" s="2">
        <f ca="1"/>
        <v>9.9457745979633083E-2</v>
      </c>
      <c r="O2273" s="2">
        <f ca="1"/>
        <v>-0.81055056093380229</v>
      </c>
      <c r="X2273" s="2">
        <f ca="1"/>
        <v>57.99428715316062</v>
      </c>
      <c r="AG2273" s="2">
        <f ca="1"/>
        <v>0.74586963259997341</v>
      </c>
      <c r="AH2273" s="2" t="str">
        <f ca="1"/>
        <v>Bad</v>
      </c>
    </row>
    <row r="2274" spans="2:34" x14ac:dyDescent="0.2">
      <c r="B2274" s="2">
        <f ca="1"/>
        <v>0.15405072018707844</v>
      </c>
      <c r="O2274" s="2">
        <f ca="1"/>
        <v>1.1480782507823302</v>
      </c>
      <c r="X2274" s="2">
        <f ca="1"/>
        <v>48.33539276102438</v>
      </c>
      <c r="AG2274" s="2">
        <f ca="1"/>
        <v>0.74525661121154907</v>
      </c>
      <c r="AH2274" s="2" t="str">
        <f ca="1"/>
        <v>Bad</v>
      </c>
    </row>
    <row r="2275" spans="2:34" x14ac:dyDescent="0.2">
      <c r="B2275" s="2">
        <f ca="1"/>
        <v>0.19759469222395754</v>
      </c>
      <c r="O2275" s="2">
        <f ca="1"/>
        <v>-1.0216972678592797</v>
      </c>
      <c r="X2275" s="2">
        <f ca="1"/>
        <v>81.290094843606013</v>
      </c>
      <c r="AG2275" s="2">
        <f ca="1"/>
        <v>0.66048900386266962</v>
      </c>
      <c r="AH2275" s="2" t="str">
        <f ca="1"/>
        <v>Bad</v>
      </c>
    </row>
    <row r="2276" spans="2:34" x14ac:dyDescent="0.2">
      <c r="B2276" s="2">
        <f ca="1"/>
        <v>0.15985559562338247</v>
      </c>
      <c r="O2276" s="2">
        <f ca="1"/>
        <v>-1.7318572152360283</v>
      </c>
      <c r="X2276" s="2">
        <f ca="1"/>
        <v>41.134821664328967</v>
      </c>
      <c r="AG2276" s="2">
        <f ca="1"/>
        <v>8.8986181359356653E-2</v>
      </c>
      <c r="AH2276" s="2" t="str">
        <f ca="1"/>
        <v>OK</v>
      </c>
    </row>
    <row r="2277" spans="2:34" x14ac:dyDescent="0.2">
      <c r="B2277" s="2">
        <f ca="1"/>
        <v>0.22788855672274866</v>
      </c>
      <c r="O2277" s="2">
        <f ca="1"/>
        <v>-1.7812012199272138</v>
      </c>
      <c r="X2277" s="2">
        <f ca="1"/>
        <v>59.627597369641165</v>
      </c>
      <c r="AG2277" s="2">
        <f ca="1"/>
        <v>0.28685015668846536</v>
      </c>
      <c r="AH2277" s="2" t="str">
        <f ca="1"/>
        <v>OK</v>
      </c>
    </row>
    <row r="2278" spans="2:34" x14ac:dyDescent="0.2">
      <c r="B2278" s="2">
        <f ca="1"/>
        <v>0.33281134734732154</v>
      </c>
      <c r="O2278" s="2">
        <f ca="1"/>
        <v>-0.36958433778907962</v>
      </c>
      <c r="X2278" s="2">
        <f ca="1"/>
        <v>32.642925056416317</v>
      </c>
      <c r="AG2278" s="2">
        <f ca="1"/>
        <v>0.60985459709554934</v>
      </c>
      <c r="AH2278" s="2" t="str">
        <f ca="1"/>
        <v>Bad</v>
      </c>
    </row>
    <row r="2279" spans="2:34" x14ac:dyDescent="0.2">
      <c r="B2279" s="2">
        <f ca="1"/>
        <v>0.47870014016281681</v>
      </c>
      <c r="O2279" s="2">
        <f ca="1"/>
        <v>-0.47942948016979131</v>
      </c>
      <c r="X2279" s="2">
        <f ca="1"/>
        <v>36.698419407692818</v>
      </c>
      <c r="AG2279" s="2">
        <f ca="1"/>
        <v>0.11361329637793105</v>
      </c>
      <c r="AH2279" s="2" t="str">
        <f ca="1"/>
        <v>OK</v>
      </c>
    </row>
    <row r="2280" spans="2:34" x14ac:dyDescent="0.2">
      <c r="B2280" s="2">
        <f ca="1"/>
        <v>0.30373059664890856</v>
      </c>
      <c r="O2280" s="2">
        <f ca="1"/>
        <v>-0.45895778069429383</v>
      </c>
      <c r="X2280" s="2">
        <f ca="1"/>
        <v>60.884961991441209</v>
      </c>
      <c r="AG2280" s="2">
        <f ca="1"/>
        <v>0.59317705413582078</v>
      </c>
      <c r="AH2280" s="2" t="str">
        <f ca="1"/>
        <v>Bad</v>
      </c>
    </row>
    <row r="2281" spans="2:34" x14ac:dyDescent="0.2">
      <c r="B2281" s="2">
        <f ca="1"/>
        <v>0.17545159693309986</v>
      </c>
      <c r="O2281" s="2">
        <f ca="1"/>
        <v>1.0117432709964833</v>
      </c>
      <c r="X2281" s="2">
        <f ca="1"/>
        <v>71.907124564162018</v>
      </c>
      <c r="AG2281" s="2">
        <f ca="1"/>
        <v>0.77528918236039734</v>
      </c>
      <c r="AH2281" s="2" t="str">
        <f ca="1"/>
        <v>Bad</v>
      </c>
    </row>
    <row r="2282" spans="2:34" x14ac:dyDescent="0.2">
      <c r="B2282" s="2">
        <f ca="1"/>
        <v>0.62744557462342443</v>
      </c>
      <c r="O2282" s="2">
        <f ca="1"/>
        <v>-1.0038998833597392</v>
      </c>
      <c r="X2282" s="2">
        <f ca="1"/>
        <v>57.328474958578468</v>
      </c>
      <c r="AG2282" s="2">
        <f ca="1"/>
        <v>0.51227692853814033</v>
      </c>
      <c r="AH2282" s="2" t="str">
        <f ca="1"/>
        <v>Bad</v>
      </c>
    </row>
    <row r="2283" spans="2:34" x14ac:dyDescent="0.2">
      <c r="B2283" s="2">
        <f ca="1"/>
        <v>0.26530529582775086</v>
      </c>
      <c r="O2283" s="2">
        <f ca="1"/>
        <v>-0.15141117946472285</v>
      </c>
      <c r="X2283" s="2">
        <f ca="1"/>
        <v>59.281275248673893</v>
      </c>
      <c r="AG2283" s="2">
        <f ca="1"/>
        <v>0.8621510817443705</v>
      </c>
      <c r="AH2283" s="2" t="str">
        <f ca="1"/>
        <v>Bad</v>
      </c>
    </row>
    <row r="2284" spans="2:34" x14ac:dyDescent="0.2">
      <c r="B2284" s="2">
        <f ca="1"/>
        <v>0.82021304112292115</v>
      </c>
      <c r="O2284" s="2">
        <f ca="1"/>
        <v>-0.50600839012149024</v>
      </c>
      <c r="X2284" s="2">
        <f ca="1"/>
        <v>37.812472198584402</v>
      </c>
      <c r="AG2284" s="2">
        <f ca="1"/>
        <v>9.8666857249462225E-2</v>
      </c>
      <c r="AH2284" s="2" t="str">
        <f ca="1"/>
        <v>OK</v>
      </c>
    </row>
    <row r="2285" spans="2:34" x14ac:dyDescent="0.2">
      <c r="B2285" s="2">
        <f ca="1"/>
        <v>0.99285465896821279</v>
      </c>
      <c r="O2285" s="2">
        <f ca="1"/>
        <v>-6.2797132911343256E-2</v>
      </c>
      <c r="X2285" s="2">
        <f ca="1"/>
        <v>55.277200124417519</v>
      </c>
      <c r="AG2285" s="2">
        <f ca="1"/>
        <v>0.56897213864466512</v>
      </c>
      <c r="AH2285" s="2" t="str">
        <f ca="1"/>
        <v>Bad</v>
      </c>
    </row>
    <row r="2286" spans="2:34" x14ac:dyDescent="0.2">
      <c r="B2286" s="2">
        <f ca="1"/>
        <v>0.51333153830538758</v>
      </c>
      <c r="O2286" s="2">
        <f ca="1"/>
        <v>0.21073648724933194</v>
      </c>
      <c r="X2286" s="2">
        <f ca="1"/>
        <v>76.636630884259759</v>
      </c>
      <c r="AG2286" s="2">
        <f ca="1"/>
        <v>7.3623624165815027E-2</v>
      </c>
      <c r="AH2286" s="2" t="str">
        <f ca="1"/>
        <v>OK</v>
      </c>
    </row>
    <row r="2287" spans="2:34" x14ac:dyDescent="0.2">
      <c r="B2287" s="2">
        <f ca="1"/>
        <v>0.96263355100751147</v>
      </c>
      <c r="O2287" s="2">
        <f ca="1"/>
        <v>-0.70453426560948496</v>
      </c>
      <c r="X2287" s="2">
        <f ca="1"/>
        <v>44.926388066648158</v>
      </c>
      <c r="AG2287" s="2">
        <f ca="1"/>
        <v>0.70021397774441141</v>
      </c>
      <c r="AH2287" s="2" t="str">
        <f ca="1"/>
        <v>Bad</v>
      </c>
    </row>
    <row r="2288" spans="2:34" x14ac:dyDescent="0.2">
      <c r="B2288" s="2">
        <f ca="1"/>
        <v>0.3220148935606435</v>
      </c>
      <c r="O2288" s="2">
        <f ca="1"/>
        <v>-0.97938198318172642</v>
      </c>
      <c r="X2288" s="2">
        <f ca="1"/>
        <v>72.14717193787888</v>
      </c>
      <c r="AG2288" s="2">
        <f ca="1"/>
        <v>0.17281048036581281</v>
      </c>
      <c r="AH2288" s="2" t="str">
        <f ca="1"/>
        <v>OK</v>
      </c>
    </row>
    <row r="2289" spans="2:34" x14ac:dyDescent="0.2">
      <c r="B2289" s="2">
        <f ca="1"/>
        <v>0.79970728413652425</v>
      </c>
      <c r="O2289" s="2">
        <f ca="1"/>
        <v>1.3043827541796262</v>
      </c>
      <c r="X2289" s="2">
        <f ca="1"/>
        <v>35.231908947100294</v>
      </c>
      <c r="AG2289" s="2">
        <f ca="1"/>
        <v>0.46820190680964568</v>
      </c>
      <c r="AH2289" s="2" t="str">
        <f ca="1"/>
        <v>Bad</v>
      </c>
    </row>
    <row r="2290" spans="2:34" x14ac:dyDescent="0.2">
      <c r="B2290" s="2">
        <f ca="1"/>
        <v>0.90477790825820059</v>
      </c>
      <c r="O2290" s="2">
        <f ca="1"/>
        <v>-0.73688770692717653</v>
      </c>
      <c r="X2290" s="2">
        <f ca="1"/>
        <v>38.795472144822504</v>
      </c>
      <c r="AG2290" s="2">
        <f ca="1"/>
        <v>0.58309952834151901</v>
      </c>
      <c r="AH2290" s="2" t="str">
        <f ca="1"/>
        <v>Bad</v>
      </c>
    </row>
    <row r="2291" spans="2:34" x14ac:dyDescent="0.2">
      <c r="B2291" s="2">
        <f ca="1"/>
        <v>9.4441996168100673E-2</v>
      </c>
      <c r="O2291" s="2">
        <f ca="1"/>
        <v>-0.53180398233633164</v>
      </c>
      <c r="X2291" s="2">
        <f ca="1"/>
        <v>39.442282056389445</v>
      </c>
      <c r="AG2291" s="2">
        <f ca="1"/>
        <v>0.11103439143713034</v>
      </c>
      <c r="AH2291" s="2" t="str">
        <f ca="1"/>
        <v>OK</v>
      </c>
    </row>
    <row r="2292" spans="2:34" x14ac:dyDescent="0.2">
      <c r="B2292" s="2">
        <f ca="1"/>
        <v>0.71739357724137776</v>
      </c>
      <c r="O2292" s="2">
        <f ca="1"/>
        <v>-0.98607799555287856</v>
      </c>
      <c r="X2292" s="2">
        <f ca="1"/>
        <v>57.383713584256427</v>
      </c>
      <c r="AG2292" s="2">
        <f ca="1"/>
        <v>0.67341000045030674</v>
      </c>
      <c r="AH2292" s="2" t="str">
        <f ca="1"/>
        <v>Bad</v>
      </c>
    </row>
    <row r="2293" spans="2:34" x14ac:dyDescent="0.2">
      <c r="B2293" s="2">
        <f ca="1"/>
        <v>0.9673589268961309</v>
      </c>
      <c r="O2293" s="2">
        <f ca="1"/>
        <v>-0.24843597242705881</v>
      </c>
      <c r="X2293" s="2">
        <f ca="1"/>
        <v>68.672739614950046</v>
      </c>
      <c r="AG2293" s="2">
        <f ca="1"/>
        <v>0.86616076511174955</v>
      </c>
      <c r="AH2293" s="2" t="str">
        <f ca="1"/>
        <v>Bad</v>
      </c>
    </row>
    <row r="2294" spans="2:34" x14ac:dyDescent="0.2">
      <c r="B2294" s="2">
        <f ca="1"/>
        <v>0.81107652865786317</v>
      </c>
      <c r="O2294" s="2">
        <f ca="1"/>
        <v>0.4947958728939002</v>
      </c>
      <c r="X2294" s="2">
        <f ca="1"/>
        <v>58.323818779273623</v>
      </c>
      <c r="AG2294" s="2">
        <f ca="1"/>
        <v>0.57502647571513976</v>
      </c>
      <c r="AH2294" s="2" t="str">
        <f ca="1"/>
        <v>Bad</v>
      </c>
    </row>
    <row r="2295" spans="2:34" x14ac:dyDescent="0.2">
      <c r="B2295" s="2">
        <f ca="1"/>
        <v>0.59117965519066895</v>
      </c>
      <c r="O2295" s="2">
        <f ca="1"/>
        <v>0.18367424413034028</v>
      </c>
      <c r="X2295" s="2">
        <f ca="1"/>
        <v>42.529365895318179</v>
      </c>
      <c r="AG2295" s="2">
        <f ca="1"/>
        <v>0.65792927633885778</v>
      </c>
      <c r="AH2295" s="2" t="str">
        <f ca="1"/>
        <v>Bad</v>
      </c>
    </row>
    <row r="2296" spans="2:34" x14ac:dyDescent="0.2">
      <c r="B2296" s="2">
        <f ca="1"/>
        <v>0.19572653329743406</v>
      </c>
      <c r="O2296" s="2">
        <f ca="1"/>
        <v>-2.7349116045676549</v>
      </c>
      <c r="X2296" s="2">
        <f ca="1"/>
        <v>45.817141689547199</v>
      </c>
      <c r="AG2296" s="2">
        <f ca="1"/>
        <v>9.3221088759759319E-2</v>
      </c>
      <c r="AH2296" s="2" t="str">
        <f ca="1"/>
        <v>OK</v>
      </c>
    </row>
    <row r="2297" spans="2:34" x14ac:dyDescent="0.2">
      <c r="B2297" s="2">
        <f ca="1"/>
        <v>0.63219835104341215</v>
      </c>
      <c r="O2297" s="2">
        <f ca="1"/>
        <v>0.39048839111486977</v>
      </c>
      <c r="X2297" s="2">
        <f ca="1"/>
        <v>42.25544214488756</v>
      </c>
      <c r="AG2297" s="2">
        <f ca="1"/>
        <v>0.60886513345223325</v>
      </c>
      <c r="AH2297" s="2" t="str">
        <f ca="1"/>
        <v>Bad</v>
      </c>
    </row>
    <row r="2298" spans="2:34" x14ac:dyDescent="0.2">
      <c r="B2298" s="2">
        <f ca="1"/>
        <v>0.83475640975442844</v>
      </c>
      <c r="O2298" s="2">
        <f ca="1"/>
        <v>-2.6246793868355666E-2</v>
      </c>
      <c r="X2298" s="2">
        <f ca="1"/>
        <v>53.1849768791527</v>
      </c>
      <c r="AG2298" s="2">
        <f ca="1"/>
        <v>0.71494088897776331</v>
      </c>
      <c r="AH2298" s="2" t="str">
        <f ca="1"/>
        <v>Bad</v>
      </c>
    </row>
    <row r="2299" spans="2:34" x14ac:dyDescent="0.2">
      <c r="B2299" s="2">
        <f ca="1"/>
        <v>0.86695206439119099</v>
      </c>
      <c r="O2299" s="2">
        <f ca="1"/>
        <v>0.23330171498959773</v>
      </c>
      <c r="X2299" s="2">
        <f ca="1"/>
        <v>52.324597772329888</v>
      </c>
      <c r="AG2299" s="2">
        <f ca="1"/>
        <v>0.81964354153829988</v>
      </c>
      <c r="AH2299" s="2" t="str">
        <f ca="1"/>
        <v>Bad</v>
      </c>
    </row>
    <row r="2300" spans="2:34" x14ac:dyDescent="0.2">
      <c r="B2300" s="2">
        <f ca="1"/>
        <v>0.40202295857460069</v>
      </c>
      <c r="O2300" s="2">
        <f ca="1"/>
        <v>1.4959101527773975</v>
      </c>
      <c r="X2300" s="2">
        <f ca="1"/>
        <v>49.501285766856483</v>
      </c>
      <c r="AG2300" s="2">
        <f ca="1"/>
        <v>0.58394761977785703</v>
      </c>
      <c r="AH2300" s="2" t="str">
        <f ca="1"/>
        <v>Bad</v>
      </c>
    </row>
    <row r="2301" spans="2:34" x14ac:dyDescent="0.2">
      <c r="B2301" s="2">
        <f ca="1"/>
        <v>0.47395172697370125</v>
      </c>
      <c r="O2301" s="2">
        <f ca="1"/>
        <v>-1.3993722732834735</v>
      </c>
      <c r="X2301" s="2">
        <f ca="1"/>
        <v>77.599156295997801</v>
      </c>
      <c r="AG2301" s="2">
        <f ca="1"/>
        <v>0.98566212688581323</v>
      </c>
      <c r="AH2301" s="2" t="str">
        <f ca="1"/>
        <v>Bad</v>
      </c>
    </row>
    <row r="2302" spans="2:34" x14ac:dyDescent="0.2">
      <c r="B2302" s="2">
        <f ca="1"/>
        <v>0.60175742434770529</v>
      </c>
      <c r="O2302" s="2">
        <f ca="1"/>
        <v>-1.2989487803914097</v>
      </c>
      <c r="X2302" s="2">
        <f ca="1"/>
        <v>51.801758529300422</v>
      </c>
      <c r="AG2302" s="2">
        <f ca="1"/>
        <v>0.71364295359579111</v>
      </c>
      <c r="AH2302" s="2" t="str">
        <f ca="1"/>
        <v>Bad</v>
      </c>
    </row>
    <row r="2303" spans="2:34" x14ac:dyDescent="0.2">
      <c r="B2303" s="2">
        <f ca="1"/>
        <v>0.8848237578589262</v>
      </c>
      <c r="O2303" s="2">
        <f ca="1"/>
        <v>-0.6556894228163892</v>
      </c>
      <c r="X2303" s="2">
        <f ca="1"/>
        <v>46.596973317967084</v>
      </c>
      <c r="AG2303" s="2">
        <f ca="1"/>
        <v>0.96983239436427926</v>
      </c>
      <c r="AH2303" s="2" t="str">
        <f ca="1"/>
        <v>Bad</v>
      </c>
    </row>
    <row r="2304" spans="2:34" x14ac:dyDescent="0.2">
      <c r="B2304" s="2">
        <f ca="1"/>
        <v>0.52715441752877235</v>
      </c>
      <c r="O2304" s="2">
        <f ca="1"/>
        <v>-1.2191815321970423</v>
      </c>
      <c r="X2304" s="2">
        <f ca="1"/>
        <v>26.258435687541084</v>
      </c>
      <c r="AG2304" s="2">
        <f ca="1"/>
        <v>0.71338599225771238</v>
      </c>
      <c r="AH2304" s="2" t="str">
        <f ca="1"/>
        <v>Bad</v>
      </c>
    </row>
    <row r="2305" spans="2:34" x14ac:dyDescent="0.2">
      <c r="B2305" s="2">
        <f ca="1"/>
        <v>0.73895576589993883</v>
      </c>
      <c r="O2305" s="2">
        <f ca="1"/>
        <v>-0.94079446446698944</v>
      </c>
      <c r="X2305" s="2">
        <f ca="1"/>
        <v>43.392810601128893</v>
      </c>
      <c r="AG2305" s="2">
        <f ca="1"/>
        <v>0.77229067310272814</v>
      </c>
      <c r="AH2305" s="2" t="str">
        <f ca="1"/>
        <v>Bad</v>
      </c>
    </row>
    <row r="2306" spans="2:34" x14ac:dyDescent="0.2">
      <c r="B2306" s="2">
        <f ca="1"/>
        <v>0.2542450613177123</v>
      </c>
      <c r="O2306" s="2">
        <f ca="1"/>
        <v>-1.2987793184396972</v>
      </c>
      <c r="X2306" s="2">
        <f ca="1"/>
        <v>31.383477892562418</v>
      </c>
      <c r="AG2306" s="2">
        <f ca="1"/>
        <v>0.16428049375779996</v>
      </c>
      <c r="AH2306" s="2" t="str">
        <f ca="1"/>
        <v>OK</v>
      </c>
    </row>
    <row r="2307" spans="2:34" x14ac:dyDescent="0.2">
      <c r="B2307" s="2">
        <f ca="1"/>
        <v>0.32708479325572393</v>
      </c>
      <c r="O2307" s="2">
        <f ca="1"/>
        <v>-1.4552493601983816</v>
      </c>
      <c r="X2307" s="2">
        <f ca="1"/>
        <v>88.04221482841335</v>
      </c>
      <c r="AG2307" s="2">
        <f ca="1"/>
        <v>0.95113111635596992</v>
      </c>
      <c r="AH2307" s="2" t="str">
        <f ca="1"/>
        <v>Bad</v>
      </c>
    </row>
    <row r="2308" spans="2:34" x14ac:dyDescent="0.2">
      <c r="B2308" s="2">
        <f ca="1"/>
        <v>0.97236359582041088</v>
      </c>
      <c r="O2308" s="2">
        <f ca="1"/>
        <v>1.1168248045357478</v>
      </c>
      <c r="X2308" s="2">
        <f ca="1"/>
        <v>69.226588547475814</v>
      </c>
      <c r="AG2308" s="2">
        <f ca="1"/>
        <v>0.48497872352153748</v>
      </c>
      <c r="AH2308" s="2" t="str">
        <f ca="1"/>
        <v>Bad</v>
      </c>
    </row>
    <row r="2309" spans="2:34" x14ac:dyDescent="0.2">
      <c r="B2309" s="2">
        <f ca="1"/>
        <v>0.16598431316564111</v>
      </c>
      <c r="O2309" s="2">
        <f ca="1"/>
        <v>0.28180860805635671</v>
      </c>
      <c r="X2309" s="2">
        <f ca="1"/>
        <v>46.255025037212562</v>
      </c>
      <c r="AG2309" s="2">
        <f ca="1"/>
        <v>0.51196289741826129</v>
      </c>
      <c r="AH2309" s="2" t="str">
        <f ca="1"/>
        <v>Bad</v>
      </c>
    </row>
    <row r="2310" spans="2:34" x14ac:dyDescent="0.2">
      <c r="B2310" s="2">
        <f ca="1"/>
        <v>0.30138748625984024</v>
      </c>
      <c r="O2310" s="2">
        <f ca="1"/>
        <v>-0.51053070514660803</v>
      </c>
      <c r="X2310" s="2">
        <f ca="1"/>
        <v>23.668924873768987</v>
      </c>
      <c r="AG2310" s="2">
        <f ca="1"/>
        <v>0.80032347880968135</v>
      </c>
      <c r="AH2310" s="2" t="str">
        <f ca="1"/>
        <v>Bad</v>
      </c>
    </row>
    <row r="2311" spans="2:34" x14ac:dyDescent="0.2">
      <c r="B2311" s="2">
        <f ca="1"/>
        <v>0.32921567822565301</v>
      </c>
      <c r="O2311" s="2">
        <f ca="1"/>
        <v>-0.54047738797840716</v>
      </c>
      <c r="X2311" s="2">
        <f ca="1"/>
        <v>60.854305081046228</v>
      </c>
      <c r="AG2311" s="2">
        <f ca="1"/>
        <v>0.92644637071014779</v>
      </c>
      <c r="AH2311" s="2" t="str">
        <f ca="1"/>
        <v>Bad</v>
      </c>
    </row>
    <row r="2312" spans="2:34" x14ac:dyDescent="0.2">
      <c r="B2312" s="2">
        <f ca="1"/>
        <v>8.3985686681680605E-2</v>
      </c>
      <c r="O2312" s="2">
        <f ca="1"/>
        <v>0.52738191472322082</v>
      </c>
      <c r="X2312" s="2">
        <f ca="1"/>
        <v>57.112011636934511</v>
      </c>
      <c r="AG2312" s="2">
        <f ca="1"/>
        <v>0.88105707827880764</v>
      </c>
      <c r="AH2312" s="2" t="str">
        <f ca="1"/>
        <v>Bad</v>
      </c>
    </row>
    <row r="2313" spans="2:34" x14ac:dyDescent="0.2">
      <c r="B2313" s="2">
        <f ca="1"/>
        <v>5.5111635130520531E-2</v>
      </c>
      <c r="O2313" s="2">
        <f ca="1"/>
        <v>-0.75661381167656161</v>
      </c>
      <c r="X2313" s="2">
        <f ca="1"/>
        <v>63.442527741206931</v>
      </c>
      <c r="AG2313" s="2">
        <f ca="1"/>
        <v>0.67702538792020883</v>
      </c>
      <c r="AH2313" s="2" t="str">
        <f ca="1"/>
        <v>Bad</v>
      </c>
    </row>
    <row r="2314" spans="2:34" x14ac:dyDescent="0.2">
      <c r="B2314" s="2">
        <f ca="1"/>
        <v>0.32358871427911318</v>
      </c>
      <c r="O2314" s="2">
        <f ca="1"/>
        <v>3.927574653589929E-2</v>
      </c>
      <c r="X2314" s="2">
        <f ca="1"/>
        <v>34.918495453496526</v>
      </c>
      <c r="AG2314" s="2">
        <f ca="1"/>
        <v>0.87255372400369136</v>
      </c>
      <c r="AH2314" s="2" t="str">
        <f ca="1"/>
        <v>Bad</v>
      </c>
    </row>
    <row r="2315" spans="2:34" x14ac:dyDescent="0.2">
      <c r="B2315" s="2">
        <f ca="1"/>
        <v>0.8008259734803711</v>
      </c>
      <c r="O2315" s="2">
        <f ca="1"/>
        <v>0.26216792707640291</v>
      </c>
      <c r="X2315" s="2">
        <f ca="1"/>
        <v>46.951914808434168</v>
      </c>
      <c r="AG2315" s="2">
        <f ca="1"/>
        <v>0.82305982974674619</v>
      </c>
      <c r="AH2315" s="2" t="str">
        <f ca="1"/>
        <v>Bad</v>
      </c>
    </row>
    <row r="2316" spans="2:34" x14ac:dyDescent="0.2">
      <c r="B2316" s="2">
        <f ca="1"/>
        <v>0.84870679148066919</v>
      </c>
      <c r="O2316" s="2">
        <f ca="1"/>
        <v>0.22721935091947643</v>
      </c>
      <c r="X2316" s="2">
        <f ca="1"/>
        <v>90.437314980563997</v>
      </c>
      <c r="AG2316" s="2">
        <f ca="1"/>
        <v>0.16209928572542198</v>
      </c>
      <c r="AH2316" s="2" t="str">
        <f ca="1"/>
        <v>OK</v>
      </c>
    </row>
    <row r="2317" spans="2:34" x14ac:dyDescent="0.2">
      <c r="B2317" s="2">
        <f ca="1"/>
        <v>0.9220559160841979</v>
      </c>
      <c r="O2317" s="2">
        <f ca="1"/>
        <v>-1.2547924255634506</v>
      </c>
      <c r="X2317" s="2">
        <f ca="1"/>
        <v>91.307676413723797</v>
      </c>
      <c r="AG2317" s="2">
        <f ca="1"/>
        <v>0.85752511110851071</v>
      </c>
      <c r="AH2317" s="2" t="str">
        <f ca="1"/>
        <v>Bad</v>
      </c>
    </row>
    <row r="2318" spans="2:34" x14ac:dyDescent="0.2">
      <c r="B2318" s="2">
        <f ca="1"/>
        <v>0.80675622421915438</v>
      </c>
      <c r="O2318" s="2">
        <f ca="1"/>
        <v>-0.41063796435318722</v>
      </c>
      <c r="X2318" s="2">
        <f ca="1"/>
        <v>42.599884161660235</v>
      </c>
      <c r="AG2318" s="2">
        <f ca="1"/>
        <v>0.41434279349447567</v>
      </c>
      <c r="AH2318" s="2" t="str">
        <f ca="1"/>
        <v>Bad</v>
      </c>
    </row>
    <row r="2319" spans="2:34" x14ac:dyDescent="0.2">
      <c r="B2319" s="2">
        <f ca="1"/>
        <v>0.26133904808197195</v>
      </c>
      <c r="O2319" s="2">
        <f ca="1"/>
        <v>7.0041425760521261E-2</v>
      </c>
      <c r="X2319" s="2">
        <f ca="1"/>
        <v>44.085886294787471</v>
      </c>
      <c r="AG2319" s="2">
        <f ca="1"/>
        <v>0.12239142140437664</v>
      </c>
      <c r="AH2319" s="2" t="str">
        <f ca="1"/>
        <v>OK</v>
      </c>
    </row>
    <row r="2320" spans="2:34" x14ac:dyDescent="0.2">
      <c r="B2320" s="2">
        <f ca="1"/>
        <v>0.18563712873032268</v>
      </c>
      <c r="O2320" s="2">
        <f ca="1"/>
        <v>-2.273156259605319E-2</v>
      </c>
      <c r="X2320" s="2">
        <f ca="1"/>
        <v>43.496395029529367</v>
      </c>
      <c r="AG2320" s="2">
        <f ca="1"/>
        <v>0.59073784173890553</v>
      </c>
      <c r="AH2320" s="2" t="str">
        <f ca="1"/>
        <v>Bad</v>
      </c>
    </row>
    <row r="2321" spans="2:34" x14ac:dyDescent="0.2">
      <c r="B2321" s="2">
        <f ca="1"/>
        <v>0.22173042080008742</v>
      </c>
      <c r="O2321" s="2">
        <f ca="1"/>
        <v>1.052172148745833E-2</v>
      </c>
      <c r="X2321" s="2">
        <f ca="1"/>
        <v>33.896694507224979</v>
      </c>
      <c r="AG2321" s="2">
        <f ca="1"/>
        <v>0.57914260835605647</v>
      </c>
      <c r="AH2321" s="2" t="str">
        <f ca="1"/>
        <v>Bad</v>
      </c>
    </row>
    <row r="2322" spans="2:34" x14ac:dyDescent="0.2">
      <c r="B2322" s="2">
        <f ca="1"/>
        <v>0.15281556099366878</v>
      </c>
      <c r="O2322" s="2">
        <f ca="1"/>
        <v>-1.5865963642718077</v>
      </c>
      <c r="X2322" s="2">
        <f ca="1"/>
        <v>51.319020142387586</v>
      </c>
      <c r="AG2322" s="2">
        <f ca="1"/>
        <v>0.99374190158211673</v>
      </c>
      <c r="AH2322" s="2" t="str">
        <f ca="1"/>
        <v>Bad</v>
      </c>
    </row>
    <row r="2323" spans="2:34" x14ac:dyDescent="0.2">
      <c r="B2323" s="2">
        <f ca="1"/>
        <v>0.68050252428694336</v>
      </c>
      <c r="O2323" s="2">
        <f ca="1"/>
        <v>0.17622706236839514</v>
      </c>
      <c r="X2323" s="2">
        <f ca="1"/>
        <v>27.768900354454541</v>
      </c>
      <c r="AG2323" s="2">
        <f ca="1"/>
        <v>8.7659092149375617E-2</v>
      </c>
      <c r="AH2323" s="2" t="str">
        <f ca="1"/>
        <v>OK</v>
      </c>
    </row>
    <row r="2324" spans="2:34" x14ac:dyDescent="0.2">
      <c r="B2324" s="2">
        <f ca="1"/>
        <v>0.83440898064553903</v>
      </c>
      <c r="O2324" s="2">
        <f ca="1"/>
        <v>8.3045011993903694E-3</v>
      </c>
      <c r="X2324" s="2">
        <f ca="1"/>
        <v>31.409355777918041</v>
      </c>
      <c r="AG2324" s="2">
        <f ca="1"/>
        <v>0.33593980321434147</v>
      </c>
      <c r="AH2324" s="2" t="str">
        <f ca="1"/>
        <v>OK</v>
      </c>
    </row>
    <row r="2325" spans="2:34" x14ac:dyDescent="0.2">
      <c r="B2325" s="2">
        <f ca="1"/>
        <v>0.76401436585992188</v>
      </c>
      <c r="O2325" s="2">
        <f ca="1"/>
        <v>0.70414675075863575</v>
      </c>
      <c r="X2325" s="2">
        <f ca="1"/>
        <v>68.194864124098643</v>
      </c>
      <c r="AG2325" s="2">
        <f ca="1"/>
        <v>0.27525267809119658</v>
      </c>
      <c r="AH2325" s="2" t="str">
        <f ca="1"/>
        <v>OK</v>
      </c>
    </row>
    <row r="2326" spans="2:34" x14ac:dyDescent="0.2">
      <c r="B2326" s="2">
        <f ca="1"/>
        <v>0.56165563168438037</v>
      </c>
      <c r="O2326" s="2">
        <f ca="1"/>
        <v>-0.83051888520320039</v>
      </c>
      <c r="X2326" s="2">
        <f ca="1"/>
        <v>51.7072110342272</v>
      </c>
      <c r="AG2326" s="2">
        <f ca="1"/>
        <v>0.45346419337045263</v>
      </c>
      <c r="AH2326" s="2" t="str">
        <f ca="1"/>
        <v>Bad</v>
      </c>
    </row>
    <row r="2327" spans="2:34" x14ac:dyDescent="0.2">
      <c r="B2327" s="2">
        <f ca="1"/>
        <v>0.82637178936231104</v>
      </c>
      <c r="O2327" s="2">
        <f ca="1"/>
        <v>-7.6343065130667657E-3</v>
      </c>
      <c r="X2327" s="2">
        <f ca="1"/>
        <v>38.394217456938271</v>
      </c>
      <c r="AG2327" s="2">
        <f ca="1"/>
        <v>0.80745151954935457</v>
      </c>
      <c r="AH2327" s="2" t="str">
        <f ca="1"/>
        <v>Bad</v>
      </c>
    </row>
    <row r="2328" spans="2:34" x14ac:dyDescent="0.2">
      <c r="B2328" s="2">
        <f ca="1"/>
        <v>0.80229420629916093</v>
      </c>
      <c r="O2328" s="2">
        <f ca="1"/>
        <v>0.88959051968342906</v>
      </c>
      <c r="X2328" s="2">
        <f ca="1"/>
        <v>40.815192228323724</v>
      </c>
      <c r="AG2328" s="2">
        <f ca="1"/>
        <v>0.30181534775409746</v>
      </c>
      <c r="AH2328" s="2" t="str">
        <f ca="1"/>
        <v>OK</v>
      </c>
    </row>
    <row r="2329" spans="2:34" x14ac:dyDescent="0.2">
      <c r="B2329" s="2">
        <f ca="1"/>
        <v>5.6709180296792061E-2</v>
      </c>
      <c r="O2329" s="2">
        <f ca="1"/>
        <v>-0.60071785393937016</v>
      </c>
      <c r="X2329" s="2">
        <f ca="1"/>
        <v>69.658350910695503</v>
      </c>
      <c r="AG2329" s="2">
        <f ca="1"/>
        <v>0.95214159665328491</v>
      </c>
      <c r="AH2329" s="2" t="str">
        <f ca="1"/>
        <v>Bad</v>
      </c>
    </row>
    <row r="2330" spans="2:34" x14ac:dyDescent="0.2">
      <c r="B2330" s="2">
        <f ca="1"/>
        <v>0.2095829453886604</v>
      </c>
      <c r="O2330" s="2">
        <f ca="1"/>
        <v>1.3261474489163268E-2</v>
      </c>
      <c r="X2330" s="2">
        <f ca="1"/>
        <v>49.739749947551104</v>
      </c>
      <c r="AG2330" s="2">
        <f ca="1"/>
        <v>0.80695199466224876</v>
      </c>
      <c r="AH2330" s="2" t="str">
        <f ca="1"/>
        <v>Bad</v>
      </c>
    </row>
    <row r="2331" spans="2:34" x14ac:dyDescent="0.2">
      <c r="B2331" s="2">
        <f ca="1"/>
        <v>0.38816716041471278</v>
      </c>
      <c r="O2331" s="2">
        <f ca="1"/>
        <v>0.70312613847711636</v>
      </c>
      <c r="X2331" s="2">
        <f ca="1"/>
        <v>57.093032429975601</v>
      </c>
      <c r="AG2331" s="2">
        <f ca="1"/>
        <v>0.56577786556958021</v>
      </c>
      <c r="AH2331" s="2" t="str">
        <f ca="1"/>
        <v>Bad</v>
      </c>
    </row>
    <row r="2332" spans="2:34" x14ac:dyDescent="0.2">
      <c r="B2332" s="2">
        <f ca="1"/>
        <v>0.83019858077401443</v>
      </c>
      <c r="O2332" s="2">
        <f ca="1"/>
        <v>-0.30672844149406853</v>
      </c>
      <c r="X2332" s="2">
        <f ca="1"/>
        <v>22.700237614840052</v>
      </c>
      <c r="AG2332" s="2">
        <f ca="1"/>
        <v>0.4993094438887351</v>
      </c>
      <c r="AH2332" s="2" t="str">
        <f ca="1"/>
        <v>Bad</v>
      </c>
    </row>
    <row r="2333" spans="2:34" x14ac:dyDescent="0.2">
      <c r="B2333" s="2">
        <f ca="1"/>
        <v>0.69419225583889355</v>
      </c>
      <c r="O2333" s="2">
        <f ca="1"/>
        <v>2.0466005772869771</v>
      </c>
      <c r="X2333" s="2">
        <f ca="1"/>
        <v>47.800407434850655</v>
      </c>
      <c r="AG2333" s="2">
        <f ca="1"/>
        <v>0.18603469713597764</v>
      </c>
      <c r="AH2333" s="2" t="str">
        <f ca="1"/>
        <v>OK</v>
      </c>
    </row>
    <row r="2334" spans="2:34" x14ac:dyDescent="0.2">
      <c r="B2334" s="2">
        <f ca="1"/>
        <v>0.71898402768805059</v>
      </c>
      <c r="O2334" s="2">
        <f ca="1"/>
        <v>1.5017405293529735</v>
      </c>
      <c r="X2334" s="2">
        <f ca="1"/>
        <v>41.276518126663618</v>
      </c>
      <c r="AG2334" s="2">
        <f ca="1"/>
        <v>0.77871850860247238</v>
      </c>
      <c r="AH2334" s="2" t="str">
        <f ca="1"/>
        <v>Bad</v>
      </c>
    </row>
    <row r="2335" spans="2:34" x14ac:dyDescent="0.2">
      <c r="B2335" s="2">
        <f ca="1"/>
        <v>0.60569040520909856</v>
      </c>
      <c r="O2335" s="2">
        <f ca="1"/>
        <v>-0.2321830532885156</v>
      </c>
      <c r="X2335" s="2">
        <f ca="1"/>
        <v>44.877411047935986</v>
      </c>
      <c r="AG2335" s="2">
        <f ca="1"/>
        <v>0.17510302616280549</v>
      </c>
      <c r="AH2335" s="2" t="str">
        <f ca="1"/>
        <v>OK</v>
      </c>
    </row>
    <row r="2336" spans="2:34" x14ac:dyDescent="0.2">
      <c r="B2336" s="2">
        <f ca="1"/>
        <v>0.68997652983575297</v>
      </c>
      <c r="O2336" s="2">
        <f ca="1"/>
        <v>-0.24927865279597283</v>
      </c>
      <c r="X2336" s="2">
        <f ca="1"/>
        <v>59.994727874419524</v>
      </c>
      <c r="AG2336" s="2">
        <f ca="1"/>
        <v>0.85892188969804395</v>
      </c>
      <c r="AH2336" s="2" t="str">
        <f ca="1"/>
        <v>Bad</v>
      </c>
    </row>
    <row r="2337" spans="2:34" x14ac:dyDescent="0.2">
      <c r="B2337" s="2">
        <f ca="1"/>
        <v>0.56009494523041137</v>
      </c>
      <c r="O2337" s="2">
        <f ca="1"/>
        <v>2.803182139090739</v>
      </c>
      <c r="X2337" s="2">
        <f ca="1"/>
        <v>31.428259679704176</v>
      </c>
      <c r="AG2337" s="2">
        <f ca="1"/>
        <v>0.64144226657685066</v>
      </c>
      <c r="AH2337" s="2" t="str">
        <f ca="1"/>
        <v>Bad</v>
      </c>
    </row>
    <row r="2338" spans="2:34" x14ac:dyDescent="0.2">
      <c r="B2338" s="2">
        <f ca="1"/>
        <v>0.424081328233054</v>
      </c>
      <c r="O2338" s="2">
        <f ca="1"/>
        <v>-0.63669694997653781</v>
      </c>
      <c r="X2338" s="2">
        <f ca="1"/>
        <v>77.864141888389355</v>
      </c>
      <c r="AG2338" s="2">
        <f ca="1"/>
        <v>0.13831210150938755</v>
      </c>
      <c r="AH2338" s="2" t="str">
        <f ca="1"/>
        <v>OK</v>
      </c>
    </row>
    <row r="2339" spans="2:34" x14ac:dyDescent="0.2">
      <c r="B2339" s="2">
        <f ca="1"/>
        <v>0.16293152500438945</v>
      </c>
      <c r="O2339" s="2">
        <f ca="1"/>
        <v>-0.65016847632014463</v>
      </c>
      <c r="X2339" s="2">
        <f ca="1"/>
        <v>95.495554169978675</v>
      </c>
      <c r="AG2339" s="2">
        <f ca="1"/>
        <v>0.91281592074147566</v>
      </c>
      <c r="AH2339" s="2" t="str">
        <f ca="1"/>
        <v>Bad</v>
      </c>
    </row>
    <row r="2340" spans="2:34" x14ac:dyDescent="0.2">
      <c r="B2340" s="2">
        <f ca="1"/>
        <v>0.96607034750045662</v>
      </c>
      <c r="O2340" s="2">
        <f ca="1"/>
        <v>1.6136541652892031</v>
      </c>
      <c r="X2340" s="2">
        <f ca="1"/>
        <v>57.793808361846104</v>
      </c>
      <c r="AG2340" s="2">
        <f ca="1"/>
        <v>0.40460641015233056</v>
      </c>
      <c r="AH2340" s="2" t="str">
        <f ca="1"/>
        <v>Bad</v>
      </c>
    </row>
    <row r="2341" spans="2:34" x14ac:dyDescent="0.2">
      <c r="B2341" s="2">
        <f ca="1"/>
        <v>0.25971055498548834</v>
      </c>
      <c r="O2341" s="2">
        <f ca="1"/>
        <v>-1.2435221967306886</v>
      </c>
      <c r="X2341" s="2">
        <f ca="1"/>
        <v>63.02183151907861</v>
      </c>
      <c r="AG2341" s="2">
        <f ca="1"/>
        <v>0.17607532119420766</v>
      </c>
      <c r="AH2341" s="2" t="str">
        <f ca="1"/>
        <v>OK</v>
      </c>
    </row>
    <row r="2342" spans="2:34" x14ac:dyDescent="0.2">
      <c r="B2342" s="2">
        <f ca="1"/>
        <v>0.13554047393757318</v>
      </c>
      <c r="O2342" s="2">
        <f ca="1"/>
        <v>0.29359525167892109</v>
      </c>
      <c r="X2342" s="2">
        <f ca="1"/>
        <v>68.480696372409938</v>
      </c>
      <c r="AG2342" s="2">
        <f ca="1"/>
        <v>0.28934916495609753</v>
      </c>
      <c r="AH2342" s="2" t="str">
        <f ca="1"/>
        <v>OK</v>
      </c>
    </row>
    <row r="2343" spans="2:34" x14ac:dyDescent="0.2">
      <c r="B2343" s="2">
        <f ca="1"/>
        <v>0.338121808200323</v>
      </c>
      <c r="O2343" s="2">
        <f ca="1"/>
        <v>-0.55225788512202689</v>
      </c>
      <c r="X2343" s="2">
        <f ca="1"/>
        <v>50.245147070699588</v>
      </c>
      <c r="AG2343" s="2">
        <f ca="1"/>
        <v>0.68910042079252998</v>
      </c>
      <c r="AH2343" s="2" t="str">
        <f ca="1"/>
        <v>Bad</v>
      </c>
    </row>
    <row r="2344" spans="2:34" x14ac:dyDescent="0.2">
      <c r="B2344" s="2">
        <f ca="1"/>
        <v>0.30821524542422529</v>
      </c>
      <c r="O2344" s="2">
        <f ca="1"/>
        <v>-1.5241971816762527</v>
      </c>
      <c r="X2344" s="2">
        <f ca="1"/>
        <v>39.605942851962666</v>
      </c>
      <c r="AG2344" s="2">
        <f ca="1"/>
        <v>0.49134720633155093</v>
      </c>
      <c r="AH2344" s="2" t="str">
        <f ca="1"/>
        <v>Bad</v>
      </c>
    </row>
    <row r="2345" spans="2:34" x14ac:dyDescent="0.2">
      <c r="B2345" s="2">
        <f ca="1"/>
        <v>1.7023768462060662E-2</v>
      </c>
      <c r="O2345" s="2">
        <f ca="1"/>
        <v>-1.9119132652107189</v>
      </c>
      <c r="X2345" s="2">
        <f ca="1"/>
        <v>60.985972671641726</v>
      </c>
      <c r="AG2345" s="2">
        <f ca="1"/>
        <v>0.29610561389792389</v>
      </c>
      <c r="AH2345" s="2" t="str">
        <f ca="1"/>
        <v>OK</v>
      </c>
    </row>
    <row r="2346" spans="2:34" x14ac:dyDescent="0.2">
      <c r="B2346" s="2">
        <f ca="1"/>
        <v>0.35524877788761966</v>
      </c>
      <c r="O2346" s="2">
        <f ca="1"/>
        <v>-0.51336511775205018</v>
      </c>
      <c r="X2346" s="2">
        <f ca="1"/>
        <v>51.856641462703493</v>
      </c>
      <c r="AG2346" s="2">
        <f ca="1"/>
        <v>0.6403030345937355</v>
      </c>
      <c r="AH2346" s="2" t="str">
        <f ca="1"/>
        <v>Bad</v>
      </c>
    </row>
    <row r="2347" spans="2:34" x14ac:dyDescent="0.2">
      <c r="B2347" s="2">
        <f ca="1"/>
        <v>0.46515915422551246</v>
      </c>
      <c r="O2347" s="2">
        <f ca="1"/>
        <v>-0.69387037831542808</v>
      </c>
      <c r="X2347" s="2">
        <f ca="1"/>
        <v>45.745872990532625</v>
      </c>
      <c r="AG2347" s="2">
        <f ca="1"/>
        <v>0.29714352880651118</v>
      </c>
      <c r="AH2347" s="2" t="str">
        <f ca="1"/>
        <v>OK</v>
      </c>
    </row>
    <row r="2348" spans="2:34" x14ac:dyDescent="0.2">
      <c r="B2348" s="2">
        <f ca="1"/>
        <v>0.82058086251361573</v>
      </c>
      <c r="O2348" s="2">
        <f ca="1"/>
        <v>0.38637376112443739</v>
      </c>
      <c r="X2348" s="2">
        <f ca="1"/>
        <v>30.886886571460252</v>
      </c>
      <c r="AG2348" s="2">
        <f ca="1"/>
        <v>0.82042891043707833</v>
      </c>
      <c r="AH2348" s="2" t="str">
        <f ca="1"/>
        <v>Bad</v>
      </c>
    </row>
    <row r="2349" spans="2:34" x14ac:dyDescent="0.2">
      <c r="B2349" s="2">
        <f ca="1"/>
        <v>0.99260098367857563</v>
      </c>
      <c r="O2349" s="2">
        <f ca="1"/>
        <v>3.2535018125187137E-2</v>
      </c>
      <c r="X2349" s="2">
        <f ca="1"/>
        <v>46.185815152626965</v>
      </c>
      <c r="AG2349" s="2">
        <f ca="1"/>
        <v>0.80559452689336708</v>
      </c>
      <c r="AH2349" s="2" t="str">
        <f ca="1"/>
        <v>Bad</v>
      </c>
    </row>
    <row r="2350" spans="2:34" x14ac:dyDescent="0.2">
      <c r="B2350" s="2">
        <f ca="1"/>
        <v>0.41538561649462014</v>
      </c>
      <c r="O2350" s="2">
        <f ca="1"/>
        <v>-0.42337399411750309</v>
      </c>
      <c r="X2350" s="2">
        <f ca="1"/>
        <v>75.072296424066309</v>
      </c>
      <c r="AG2350" s="2">
        <f ca="1"/>
        <v>2.0034567383649948E-2</v>
      </c>
      <c r="AH2350" s="2" t="str">
        <f ca="1"/>
        <v>Good</v>
      </c>
    </row>
    <row r="2351" spans="2:34" x14ac:dyDescent="0.2">
      <c r="B2351" s="2">
        <f ca="1"/>
        <v>0.55848926868286308</v>
      </c>
      <c r="O2351" s="2">
        <f ca="1"/>
        <v>-0.11114898605348461</v>
      </c>
      <c r="X2351" s="2">
        <f ca="1"/>
        <v>69.412050331954944</v>
      </c>
      <c r="AG2351" s="2">
        <f ca="1"/>
        <v>0.3759077727044966</v>
      </c>
      <c r="AH2351" s="2" t="str">
        <f ca="1"/>
        <v>OK</v>
      </c>
    </row>
    <row r="2352" spans="2:34" x14ac:dyDescent="0.2">
      <c r="B2352" s="2">
        <f ca="1"/>
        <v>8.7895012182685583E-2</v>
      </c>
      <c r="O2352" s="2">
        <f ca="1"/>
        <v>1.63987826166919</v>
      </c>
      <c r="X2352" s="2">
        <f ca="1"/>
        <v>65.866945229865365</v>
      </c>
      <c r="AG2352" s="2">
        <f ca="1"/>
        <v>0.85743841144458144</v>
      </c>
      <c r="AH2352" s="2" t="str">
        <f ca="1"/>
        <v>Bad</v>
      </c>
    </row>
    <row r="2353" spans="2:34" x14ac:dyDescent="0.2">
      <c r="B2353" s="2">
        <f ca="1"/>
        <v>0.3313142079163478</v>
      </c>
      <c r="O2353" s="2">
        <f ca="1"/>
        <v>3.2038591503066149E-2</v>
      </c>
      <c r="X2353" s="2">
        <f ca="1"/>
        <v>67.327550948417283</v>
      </c>
      <c r="AG2353" s="2">
        <f ca="1"/>
        <v>0.76279355711948615</v>
      </c>
      <c r="AH2353" s="2" t="str">
        <f ca="1"/>
        <v>Bad</v>
      </c>
    </row>
    <row r="2354" spans="2:34" x14ac:dyDescent="0.2">
      <c r="B2354" s="2">
        <f ca="1"/>
        <v>0.75392048825827374</v>
      </c>
      <c r="O2354" s="2">
        <f ca="1"/>
        <v>-0.73571673913716873</v>
      </c>
      <c r="X2354" s="2">
        <f ca="1"/>
        <v>69.412899026172283</v>
      </c>
      <c r="AG2354" s="2">
        <f ca="1"/>
        <v>0.29473971591913228</v>
      </c>
      <c r="AH2354" s="2" t="str">
        <f ca="1"/>
        <v>OK</v>
      </c>
    </row>
    <row r="2355" spans="2:34" x14ac:dyDescent="0.2">
      <c r="B2355" s="2">
        <f ca="1"/>
        <v>0.82202222835457905</v>
      </c>
      <c r="O2355" s="2">
        <f ca="1"/>
        <v>0.34517559732963604</v>
      </c>
      <c r="X2355" s="2">
        <f ca="1"/>
        <v>61.335629070948627</v>
      </c>
      <c r="AG2355" s="2">
        <f ca="1"/>
        <v>0.21400115253539331</v>
      </c>
      <c r="AH2355" s="2" t="str">
        <f ca="1"/>
        <v>OK</v>
      </c>
    </row>
    <row r="2356" spans="2:34" x14ac:dyDescent="0.2">
      <c r="B2356" s="2">
        <f ca="1"/>
        <v>0.79184871571713278</v>
      </c>
      <c r="O2356" s="2">
        <f ca="1"/>
        <v>2.6558562268301458</v>
      </c>
      <c r="X2356" s="2">
        <f ca="1"/>
        <v>22.796618407798427</v>
      </c>
      <c r="AG2356" s="2">
        <f ca="1"/>
        <v>0.19640131567030794</v>
      </c>
      <c r="AH2356" s="2" t="str">
        <f ca="1"/>
        <v>OK</v>
      </c>
    </row>
    <row r="2357" spans="2:34" x14ac:dyDescent="0.2">
      <c r="B2357" s="2">
        <f ca="1"/>
        <v>0.58941144993724093</v>
      </c>
      <c r="O2357" s="2">
        <f ca="1"/>
        <v>-0.11116756202851223</v>
      </c>
      <c r="X2357" s="2">
        <f ca="1"/>
        <v>40.402150323058009</v>
      </c>
      <c r="AG2357" s="2">
        <f ca="1"/>
        <v>0.71370302588075618</v>
      </c>
      <c r="AH2357" s="2" t="str">
        <f ca="1"/>
        <v>Bad</v>
      </c>
    </row>
    <row r="2358" spans="2:34" x14ac:dyDescent="0.2">
      <c r="B2358" s="2">
        <f ca="1"/>
        <v>0.75393430937035277</v>
      </c>
      <c r="O2358" s="2">
        <f ca="1"/>
        <v>-1.5167504778023082</v>
      </c>
      <c r="X2358" s="2">
        <f ca="1"/>
        <v>40.059905399887469</v>
      </c>
      <c r="AG2358" s="2">
        <f ca="1"/>
        <v>0.5968923719792667</v>
      </c>
      <c r="AH2358" s="2" t="str">
        <f ca="1"/>
        <v>Bad</v>
      </c>
    </row>
    <row r="2359" spans="2:34" x14ac:dyDescent="0.2">
      <c r="B2359" s="2">
        <f ca="1"/>
        <v>0.74907093033429972</v>
      </c>
      <c r="O2359" s="2">
        <f ca="1"/>
        <v>-6.0762617509852852E-2</v>
      </c>
      <c r="X2359" s="2">
        <f ca="1"/>
        <v>66.767076225720913</v>
      </c>
      <c r="AG2359" s="2">
        <f ca="1"/>
        <v>0.82223913847228447</v>
      </c>
      <c r="AH2359" s="2" t="str">
        <f ca="1"/>
        <v>Bad</v>
      </c>
    </row>
    <row r="2360" spans="2:34" x14ac:dyDescent="0.2">
      <c r="B2360" s="2">
        <f ca="1"/>
        <v>0.93245563645971274</v>
      </c>
      <c r="O2360" s="2">
        <f ca="1"/>
        <v>0.12267372261800161</v>
      </c>
      <c r="X2360" s="2">
        <f ca="1"/>
        <v>61.114334234998239</v>
      </c>
      <c r="AG2360" s="2">
        <f ca="1"/>
        <v>0.51405582065265643</v>
      </c>
      <c r="AH2360" s="2" t="str">
        <f ca="1"/>
        <v>Bad</v>
      </c>
    </row>
    <row r="2361" spans="2:34" x14ac:dyDescent="0.2">
      <c r="B2361" s="2">
        <f ca="1"/>
        <v>0.57570942217961152</v>
      </c>
      <c r="O2361" s="2">
        <f ca="1"/>
        <v>-0.78737760318607553</v>
      </c>
      <c r="X2361" s="2">
        <f ca="1"/>
        <v>59.510776511265071</v>
      </c>
      <c r="AG2361" s="2">
        <f ca="1"/>
        <v>0.31676007739126888</v>
      </c>
      <c r="AH2361" s="2" t="str">
        <f ca="1"/>
        <v>OK</v>
      </c>
    </row>
    <row r="2362" spans="2:34" x14ac:dyDescent="0.2">
      <c r="B2362" s="2">
        <f ca="1"/>
        <v>0.17844552910934697</v>
      </c>
      <c r="O2362" s="2">
        <f ca="1"/>
        <v>1.5746893851764014</v>
      </c>
      <c r="X2362" s="2">
        <f ca="1"/>
        <v>51.354529000974161</v>
      </c>
      <c r="AG2362" s="2">
        <f ca="1"/>
        <v>0.2375781388945637</v>
      </c>
      <c r="AH2362" s="2" t="str">
        <f ca="1"/>
        <v>OK</v>
      </c>
    </row>
    <row r="2363" spans="2:34" x14ac:dyDescent="0.2">
      <c r="B2363" s="2">
        <f ca="1"/>
        <v>0.91406754563559578</v>
      </c>
      <c r="O2363" s="2">
        <f ca="1"/>
        <v>-1.6454688993943514</v>
      </c>
      <c r="X2363" s="2">
        <f ca="1"/>
        <v>56.345071099260799</v>
      </c>
      <c r="AG2363" s="2">
        <f ca="1"/>
        <v>0.18201077649609654</v>
      </c>
      <c r="AH2363" s="2" t="str">
        <f ca="1"/>
        <v>OK</v>
      </c>
    </row>
    <row r="2364" spans="2:34" x14ac:dyDescent="0.2">
      <c r="B2364" s="2">
        <f ca="1"/>
        <v>0.16844971980677159</v>
      </c>
      <c r="O2364" s="2">
        <f ca="1"/>
        <v>0.29012396051129724</v>
      </c>
      <c r="X2364" s="2">
        <f ca="1"/>
        <v>58.724854736954967</v>
      </c>
      <c r="AG2364" s="2">
        <f ca="1"/>
        <v>0.86755231409184752</v>
      </c>
      <c r="AH2364" s="2" t="str">
        <f ca="1"/>
        <v>Bad</v>
      </c>
    </row>
    <row r="2365" spans="2:34" x14ac:dyDescent="0.2">
      <c r="B2365" s="2">
        <f ca="1"/>
        <v>0.5652031293768669</v>
      </c>
      <c r="O2365" s="2">
        <f ca="1"/>
        <v>-1.448760065198438</v>
      </c>
      <c r="X2365" s="2">
        <f ca="1"/>
        <v>28.741562684485487</v>
      </c>
      <c r="AG2365" s="2">
        <f ca="1"/>
        <v>0.60863352381954239</v>
      </c>
      <c r="AH2365" s="2" t="str">
        <f ca="1"/>
        <v>Bad</v>
      </c>
    </row>
    <row r="2366" spans="2:34" x14ac:dyDescent="0.2">
      <c r="B2366" s="2">
        <f ca="1"/>
        <v>3.2922373991716603E-2</v>
      </c>
      <c r="O2366" s="2">
        <f ca="1"/>
        <v>0.12690477362431835</v>
      </c>
      <c r="X2366" s="2">
        <f ca="1"/>
        <v>56.094506837936137</v>
      </c>
      <c r="AG2366" s="2">
        <f ca="1"/>
        <v>0.47247030958600567</v>
      </c>
      <c r="AH2366" s="2" t="str">
        <f ca="1"/>
        <v>Bad</v>
      </c>
    </row>
    <row r="2367" spans="2:34" x14ac:dyDescent="0.2">
      <c r="B2367" s="2">
        <f ca="1"/>
        <v>6.6569964376867352E-2</v>
      </c>
      <c r="O2367" s="2">
        <f ca="1"/>
        <v>1.2574814953436941</v>
      </c>
      <c r="X2367" s="2">
        <f ca="1"/>
        <v>32.802036933632678</v>
      </c>
      <c r="AG2367" s="2">
        <f ca="1"/>
        <v>0.83889464904117617</v>
      </c>
      <c r="AH2367" s="2" t="str">
        <f ca="1"/>
        <v>Bad</v>
      </c>
    </row>
    <row r="2368" spans="2:34" x14ac:dyDescent="0.2">
      <c r="B2368" s="2">
        <f ca="1"/>
        <v>0.75219228542507199</v>
      </c>
      <c r="O2368" s="2">
        <f ca="1"/>
        <v>1.9352947904348958</v>
      </c>
      <c r="X2368" s="2">
        <f ca="1"/>
        <v>28.998578122259914</v>
      </c>
      <c r="AG2368" s="2">
        <f ca="1"/>
        <v>0.96832371056919553</v>
      </c>
      <c r="AH2368" s="2" t="str">
        <f ca="1"/>
        <v>Bad</v>
      </c>
    </row>
    <row r="2369" spans="2:34" x14ac:dyDescent="0.2">
      <c r="B2369" s="2">
        <f ca="1"/>
        <v>0.42009842080640802</v>
      </c>
      <c r="O2369" s="2">
        <f ca="1"/>
        <v>-0.39183186933258946</v>
      </c>
      <c r="X2369" s="2">
        <f ca="1"/>
        <v>46.279910817468284</v>
      </c>
      <c r="AG2369" s="2">
        <f ca="1"/>
        <v>0.66617794246001227</v>
      </c>
      <c r="AH2369" s="2" t="str">
        <f ca="1"/>
        <v>Bad</v>
      </c>
    </row>
    <row r="2370" spans="2:34" x14ac:dyDescent="0.2">
      <c r="B2370" s="2">
        <f ca="1"/>
        <v>0.37167559187564714</v>
      </c>
      <c r="O2370" s="2">
        <f ca="1"/>
        <v>-2.929294316456232</v>
      </c>
      <c r="X2370" s="2">
        <f ca="1"/>
        <v>49.756394562853849</v>
      </c>
      <c r="AG2370" s="2">
        <f ca="1"/>
        <v>9.5684188246815127E-2</v>
      </c>
      <c r="AH2370" s="2" t="str">
        <f ca="1"/>
        <v>OK</v>
      </c>
    </row>
    <row r="2371" spans="2:34" x14ac:dyDescent="0.2">
      <c r="B2371" s="2">
        <f ca="1"/>
        <v>0.11060572334898655</v>
      </c>
      <c r="O2371" s="2">
        <f ca="1"/>
        <v>-1.4102695361814708</v>
      </c>
      <c r="X2371" s="2">
        <f ca="1"/>
        <v>33.36717448369059</v>
      </c>
      <c r="AG2371" s="2">
        <f ca="1"/>
        <v>0.41626807870560145</v>
      </c>
      <c r="AH2371" s="2" t="str">
        <f ca="1"/>
        <v>Bad</v>
      </c>
    </row>
    <row r="2372" spans="2:34" x14ac:dyDescent="0.2">
      <c r="B2372" s="2">
        <f ca="1"/>
        <v>0.98419493337570918</v>
      </c>
      <c r="O2372" s="2">
        <f ca="1"/>
        <v>0.98990698139952582</v>
      </c>
      <c r="X2372" s="2">
        <f ca="1"/>
        <v>41.612581844238044</v>
      </c>
      <c r="AG2372" s="2">
        <f ca="1"/>
        <v>0.10660978541158261</v>
      </c>
      <c r="AH2372" s="2" t="str">
        <f ca="1"/>
        <v>OK</v>
      </c>
    </row>
    <row r="2373" spans="2:34" x14ac:dyDescent="0.2">
      <c r="B2373" s="2">
        <f ca="1"/>
        <v>0.27226223891256862</v>
      </c>
      <c r="O2373" s="2">
        <f ca="1"/>
        <v>-0.58190919875066083</v>
      </c>
      <c r="X2373" s="2">
        <f ca="1"/>
        <v>54.885121773097296</v>
      </c>
      <c r="AG2373" s="2">
        <f ca="1"/>
        <v>0.16879583110705121</v>
      </c>
      <c r="AH2373" s="2" t="str">
        <f ca="1"/>
        <v>OK</v>
      </c>
    </row>
    <row r="2374" spans="2:34" x14ac:dyDescent="0.2">
      <c r="B2374" s="2">
        <f ca="1"/>
        <v>0.73373637861929453</v>
      </c>
      <c r="O2374" s="2">
        <f ca="1"/>
        <v>0.4120788846560029</v>
      </c>
      <c r="X2374" s="2">
        <f ca="1"/>
        <v>80.40795255295086</v>
      </c>
      <c r="AG2374" s="2">
        <f ca="1"/>
        <v>0.97049072665273384</v>
      </c>
      <c r="AH2374" s="2" t="str">
        <f ca="1"/>
        <v>Bad</v>
      </c>
    </row>
    <row r="2375" spans="2:34" x14ac:dyDescent="0.2">
      <c r="B2375" s="2">
        <f ca="1"/>
        <v>0.45920043210172068</v>
      </c>
      <c r="O2375" s="2">
        <f ca="1"/>
        <v>-2.2093516856660305</v>
      </c>
      <c r="X2375" s="2">
        <f ca="1"/>
        <v>39.903402982187437</v>
      </c>
      <c r="AG2375" s="2">
        <f ca="1"/>
        <v>0.9511125957721509</v>
      </c>
      <c r="AH2375" s="2" t="str">
        <f ca="1"/>
        <v>Bad</v>
      </c>
    </row>
    <row r="2376" spans="2:34" x14ac:dyDescent="0.2">
      <c r="B2376" s="2">
        <f ca="1"/>
        <v>0.45938235362363455</v>
      </c>
      <c r="O2376" s="2">
        <f ca="1"/>
        <v>0.35620914785990282</v>
      </c>
      <c r="X2376" s="2">
        <f ca="1"/>
        <v>60.534698125461844</v>
      </c>
      <c r="AG2376" s="2">
        <f ca="1"/>
        <v>0.3819005239720239</v>
      </c>
      <c r="AH2376" s="2" t="str">
        <f ca="1"/>
        <v>OK</v>
      </c>
    </row>
    <row r="2377" spans="2:34" x14ac:dyDescent="0.2">
      <c r="B2377" s="2">
        <f ca="1"/>
        <v>0.50739102358235999</v>
      </c>
      <c r="O2377" s="2">
        <f ca="1"/>
        <v>0.87013234660426442</v>
      </c>
      <c r="X2377" s="2">
        <f ca="1"/>
        <v>54.781174109172632</v>
      </c>
      <c r="AG2377" s="2">
        <f ca="1"/>
        <v>0.16651106746110389</v>
      </c>
      <c r="AH2377" s="2" t="str">
        <f ca="1"/>
        <v>OK</v>
      </c>
    </row>
    <row r="2378" spans="2:34" x14ac:dyDescent="0.2">
      <c r="B2378" s="2">
        <f ca="1"/>
        <v>0.69636371668655705</v>
      </c>
      <c r="O2378" s="2">
        <f ca="1"/>
        <v>-0.40911487621400094</v>
      </c>
      <c r="X2378" s="2">
        <f ca="1"/>
        <v>33.202092452462992</v>
      </c>
      <c r="AG2378" s="2">
        <f ca="1"/>
        <v>4.6850592426812998E-2</v>
      </c>
      <c r="AH2378" s="2" t="str">
        <f ca="1"/>
        <v>Good</v>
      </c>
    </row>
    <row r="2379" spans="2:34" x14ac:dyDescent="0.2">
      <c r="B2379" s="2">
        <f ca="1"/>
        <v>0.5414017533224158</v>
      </c>
      <c r="O2379" s="2">
        <f ca="1"/>
        <v>0.32452483938066617</v>
      </c>
      <c r="X2379" s="2">
        <f ca="1"/>
        <v>46.917764202271101</v>
      </c>
      <c r="AG2379" s="2">
        <f ca="1"/>
        <v>0.2725265661811489</v>
      </c>
      <c r="AH2379" s="2" t="str">
        <f ca="1"/>
        <v>OK</v>
      </c>
    </row>
    <row r="2380" spans="2:34" x14ac:dyDescent="0.2">
      <c r="B2380" s="2">
        <f ca="1"/>
        <v>5.3142886559873759E-2</v>
      </c>
      <c r="O2380" s="2">
        <f ca="1"/>
        <v>0.25299852072468565</v>
      </c>
      <c r="X2380" s="2">
        <f ca="1"/>
        <v>31.683662748100758</v>
      </c>
      <c r="AG2380" s="2">
        <f ca="1"/>
        <v>0.89269308497608457</v>
      </c>
      <c r="AH2380" s="2" t="str">
        <f ca="1"/>
        <v>Bad</v>
      </c>
    </row>
    <row r="2381" spans="2:34" x14ac:dyDescent="0.2">
      <c r="B2381" s="2">
        <f ca="1"/>
        <v>0.9229912169742347</v>
      </c>
      <c r="O2381" s="2">
        <f ca="1"/>
        <v>-1.3758135409686405</v>
      </c>
      <c r="X2381" s="2">
        <f ca="1"/>
        <v>39.496443686924266</v>
      </c>
      <c r="AG2381" s="2">
        <f ca="1"/>
        <v>0.96423936969442758</v>
      </c>
      <c r="AH2381" s="2" t="str">
        <f ca="1"/>
        <v>Bad</v>
      </c>
    </row>
    <row r="2382" spans="2:34" x14ac:dyDescent="0.2">
      <c r="B2382" s="2">
        <f ca="1"/>
        <v>0.82335608521570514</v>
      </c>
      <c r="O2382" s="2">
        <f ca="1"/>
        <v>0.52039195191136189</v>
      </c>
      <c r="X2382" s="2">
        <f ca="1"/>
        <v>84.205299101064469</v>
      </c>
      <c r="AG2382" s="2">
        <f ca="1"/>
        <v>0.4107615518561698</v>
      </c>
      <c r="AH2382" s="2" t="str">
        <f ca="1"/>
        <v>Bad</v>
      </c>
    </row>
    <row r="2383" spans="2:34" x14ac:dyDescent="0.2">
      <c r="B2383" s="2">
        <f ca="1"/>
        <v>0.85363847186162345</v>
      </c>
      <c r="O2383" s="2">
        <f ca="1"/>
        <v>-0.42483045919891077</v>
      </c>
      <c r="X2383" s="2">
        <f ca="1"/>
        <v>14.540875315278708</v>
      </c>
      <c r="AG2383" s="2">
        <f ca="1"/>
        <v>0.73169454030769421</v>
      </c>
      <c r="AH2383" s="2" t="str">
        <f ca="1"/>
        <v>Bad</v>
      </c>
    </row>
    <row r="2384" spans="2:34" x14ac:dyDescent="0.2">
      <c r="B2384" s="2">
        <f ca="1"/>
        <v>5.7356133241764251E-2</v>
      </c>
      <c r="O2384" s="2">
        <f ca="1"/>
        <v>1.038307752703677</v>
      </c>
      <c r="X2384" s="2">
        <f ca="1"/>
        <v>68.702892059154692</v>
      </c>
      <c r="AG2384" s="2">
        <f ca="1"/>
        <v>0.23613977618474502</v>
      </c>
      <c r="AH2384" s="2" t="str">
        <f ca="1"/>
        <v>OK</v>
      </c>
    </row>
    <row r="2385" spans="2:34" x14ac:dyDescent="0.2">
      <c r="B2385" s="2">
        <f ca="1"/>
        <v>0.9624409897827364</v>
      </c>
      <c r="O2385" s="2">
        <f ca="1"/>
        <v>1.0165315760210185</v>
      </c>
      <c r="X2385" s="2">
        <f ca="1"/>
        <v>58.757409123111096</v>
      </c>
      <c r="AG2385" s="2">
        <f ca="1"/>
        <v>0.39497995835482946</v>
      </c>
      <c r="AH2385" s="2" t="str">
        <f ca="1"/>
        <v>OK</v>
      </c>
    </row>
    <row r="2386" spans="2:34" x14ac:dyDescent="0.2">
      <c r="B2386" s="2">
        <f ca="1"/>
        <v>0.58269499974117478</v>
      </c>
      <c r="O2386" s="2">
        <f ca="1"/>
        <v>0.66020418439255879</v>
      </c>
      <c r="X2386" s="2">
        <f ca="1"/>
        <v>40.039335348124609</v>
      </c>
      <c r="AG2386" s="2">
        <f ca="1"/>
        <v>0.99201683273276919</v>
      </c>
      <c r="AH2386" s="2" t="str">
        <f ca="1"/>
        <v>Bad</v>
      </c>
    </row>
    <row r="2387" spans="2:34" x14ac:dyDescent="0.2">
      <c r="B2387" s="2">
        <f ca="1"/>
        <v>0.39908255258316339</v>
      </c>
      <c r="O2387" s="2">
        <f ca="1"/>
        <v>-0.66375396770302775</v>
      </c>
      <c r="X2387" s="2">
        <f ca="1"/>
        <v>39.603098595513984</v>
      </c>
      <c r="AG2387" s="2">
        <f ca="1"/>
        <v>0.30236973310168636</v>
      </c>
      <c r="AH2387" s="2" t="str">
        <f ca="1"/>
        <v>OK</v>
      </c>
    </row>
    <row r="2388" spans="2:34" x14ac:dyDescent="0.2">
      <c r="B2388" s="2">
        <f ca="1"/>
        <v>0.34907247364445504</v>
      </c>
      <c r="O2388" s="2">
        <f ca="1"/>
        <v>8.2219972072460276E-2</v>
      </c>
      <c r="X2388" s="2">
        <f ca="1"/>
        <v>54.620462216189935</v>
      </c>
      <c r="AG2388" s="2">
        <f ca="1"/>
        <v>0.63927137960504221</v>
      </c>
      <c r="AH2388" s="2" t="str">
        <f ca="1"/>
        <v>Bad</v>
      </c>
    </row>
    <row r="2389" spans="2:34" x14ac:dyDescent="0.2">
      <c r="B2389" s="2">
        <f ca="1"/>
        <v>0.77723452825789741</v>
      </c>
      <c r="O2389" s="2">
        <f ca="1"/>
        <v>0.38944537778306121</v>
      </c>
      <c r="X2389" s="2">
        <f ca="1"/>
        <v>56.623681912792918</v>
      </c>
      <c r="AG2389" s="2">
        <f ca="1"/>
        <v>0.85688697609434472</v>
      </c>
      <c r="AH2389" s="2" t="str">
        <f ca="1"/>
        <v>Bad</v>
      </c>
    </row>
    <row r="2390" spans="2:34" x14ac:dyDescent="0.2">
      <c r="B2390" s="2">
        <f ca="1"/>
        <v>0.33243512902482353</v>
      </c>
      <c r="O2390" s="2">
        <f ca="1"/>
        <v>-1.0859415448295366</v>
      </c>
      <c r="X2390" s="2">
        <f ca="1"/>
        <v>35.68587216472028</v>
      </c>
      <c r="AG2390" s="2">
        <f ca="1"/>
        <v>0.2901352945416944</v>
      </c>
      <c r="AH2390" s="2" t="str">
        <f ca="1"/>
        <v>OK</v>
      </c>
    </row>
    <row r="2391" spans="2:34" x14ac:dyDescent="0.2">
      <c r="B2391" s="2">
        <f ca="1"/>
        <v>0.43707213894654773</v>
      </c>
      <c r="O2391" s="2">
        <f ca="1"/>
        <v>-0.14775099150884469</v>
      </c>
      <c r="X2391" s="2">
        <f ca="1"/>
        <v>40.122192097210188</v>
      </c>
      <c r="AG2391" s="2">
        <f ca="1"/>
        <v>0.6446485948755647</v>
      </c>
      <c r="AH2391" s="2" t="str">
        <f ca="1"/>
        <v>Bad</v>
      </c>
    </row>
    <row r="2392" spans="2:34" x14ac:dyDescent="0.2">
      <c r="B2392" s="2">
        <f ca="1"/>
        <v>0.56725591964794231</v>
      </c>
      <c r="O2392" s="2">
        <f ca="1"/>
        <v>-0.94309854511614111</v>
      </c>
      <c r="X2392" s="2">
        <f ca="1"/>
        <v>46.082581631119204</v>
      </c>
      <c r="AG2392" s="2">
        <f ca="1"/>
        <v>0.88181192266557407</v>
      </c>
      <c r="AH2392" s="2" t="str">
        <f ca="1"/>
        <v>Bad</v>
      </c>
    </row>
    <row r="2393" spans="2:34" x14ac:dyDescent="0.2">
      <c r="B2393" s="2">
        <f ca="1"/>
        <v>0.10692810298579136</v>
      </c>
      <c r="O2393" s="2">
        <f ca="1"/>
        <v>-1.6593850962137935</v>
      </c>
      <c r="X2393" s="2">
        <f ca="1"/>
        <v>54.111635413963029</v>
      </c>
      <c r="AG2393" s="2">
        <f ca="1"/>
        <v>0.53735419988203681</v>
      </c>
      <c r="AH2393" s="2" t="str">
        <f ca="1"/>
        <v>Bad</v>
      </c>
    </row>
    <row r="2394" spans="2:34" x14ac:dyDescent="0.2">
      <c r="B2394" s="2">
        <f ca="1"/>
        <v>0.85387583790800492</v>
      </c>
      <c r="O2394" s="2">
        <f ca="1"/>
        <v>0.14724975753043457</v>
      </c>
      <c r="X2394" s="2">
        <f ca="1"/>
        <v>63.392749005329001</v>
      </c>
      <c r="AG2394" s="2">
        <f ca="1"/>
        <v>0.14912563462471939</v>
      </c>
      <c r="AH2394" s="2" t="str">
        <f ca="1"/>
        <v>OK</v>
      </c>
    </row>
    <row r="2395" spans="2:34" x14ac:dyDescent="0.2">
      <c r="B2395" s="2">
        <f ca="1"/>
        <v>0.66094515907102824</v>
      </c>
      <c r="O2395" s="2">
        <f ca="1"/>
        <v>0.20675103449382465</v>
      </c>
      <c r="X2395" s="2">
        <f ca="1"/>
        <v>40.219952894308044</v>
      </c>
      <c r="AG2395" s="2">
        <f ca="1"/>
        <v>0.69235260472596605</v>
      </c>
      <c r="AH2395" s="2" t="str">
        <f ca="1"/>
        <v>Bad</v>
      </c>
    </row>
    <row r="2396" spans="2:34" x14ac:dyDescent="0.2">
      <c r="B2396" s="2">
        <f ca="1"/>
        <v>0.80605293518829346</v>
      </c>
      <c r="O2396" s="2">
        <f ca="1"/>
        <v>2.0018293232302451</v>
      </c>
      <c r="X2396" s="2">
        <f ca="1"/>
        <v>40.497043030926733</v>
      </c>
      <c r="AG2396" s="2">
        <f ca="1"/>
        <v>0.72434946331553673</v>
      </c>
      <c r="AH2396" s="2" t="str">
        <f ca="1"/>
        <v>Bad</v>
      </c>
    </row>
    <row r="2397" spans="2:34" x14ac:dyDescent="0.2">
      <c r="B2397" s="2">
        <f ca="1"/>
        <v>0.74984326648439215</v>
      </c>
      <c r="O2397" s="2">
        <f ca="1"/>
        <v>-0.29525615458620386</v>
      </c>
      <c r="X2397" s="2">
        <f ca="1"/>
        <v>22.510730004942374</v>
      </c>
      <c r="AG2397" s="2">
        <f ca="1"/>
        <v>0.39218215365423736</v>
      </c>
      <c r="AH2397" s="2" t="str">
        <f ca="1"/>
        <v>OK</v>
      </c>
    </row>
    <row r="2398" spans="2:34" x14ac:dyDescent="0.2">
      <c r="B2398" s="2">
        <f ca="1"/>
        <v>0.54862659520313906</v>
      </c>
      <c r="O2398" s="2">
        <f ca="1"/>
        <v>0.29369467326253013</v>
      </c>
      <c r="X2398" s="2">
        <f ca="1"/>
        <v>59.692952697735691</v>
      </c>
      <c r="AG2398" s="2">
        <f ca="1"/>
        <v>0.97966580940519865</v>
      </c>
      <c r="AH2398" s="2" t="str">
        <f ca="1"/>
        <v>Bad</v>
      </c>
    </row>
    <row r="2399" spans="2:34" x14ac:dyDescent="0.2">
      <c r="B2399" s="2">
        <f ca="1"/>
        <v>8.4106460310030329E-2</v>
      </c>
      <c r="O2399" s="2">
        <f ca="1"/>
        <v>-0.62009417959752577</v>
      </c>
      <c r="X2399" s="2">
        <f ca="1"/>
        <v>53.841538074069447</v>
      </c>
      <c r="AG2399" s="2">
        <f ca="1"/>
        <v>0.78184179739320347</v>
      </c>
      <c r="AH2399" s="2" t="str">
        <f ca="1"/>
        <v>Bad</v>
      </c>
    </row>
    <row r="2400" spans="2:34" x14ac:dyDescent="0.2">
      <c r="B2400" s="2">
        <f ca="1"/>
        <v>0.64204140001632215</v>
      </c>
      <c r="O2400" s="2">
        <f ca="1"/>
        <v>-3.5343684786656351E-2</v>
      </c>
      <c r="X2400" s="2">
        <f ca="1"/>
        <v>50.725315661430315</v>
      </c>
      <c r="AG2400" s="2">
        <f ca="1"/>
        <v>0.30399621759634887</v>
      </c>
      <c r="AH2400" s="2" t="str">
        <f ca="1"/>
        <v>OK</v>
      </c>
    </row>
    <row r="2401" spans="2:34" x14ac:dyDescent="0.2">
      <c r="B2401" s="2">
        <f ca="1"/>
        <v>0.64118034036029048</v>
      </c>
      <c r="O2401" s="2">
        <f ca="1"/>
        <v>-0.34174059434574638</v>
      </c>
      <c r="X2401" s="2">
        <f ca="1"/>
        <v>28.265759837931963</v>
      </c>
      <c r="AG2401" s="2">
        <f ca="1"/>
        <v>0.70691657213181713</v>
      </c>
      <c r="AH2401" s="2" t="str">
        <f ca="1"/>
        <v>Bad</v>
      </c>
    </row>
    <row r="2402" spans="2:34" x14ac:dyDescent="0.2">
      <c r="B2402" s="2">
        <f ca="1"/>
        <v>0.58395835412531527</v>
      </c>
      <c r="O2402" s="2">
        <f ca="1"/>
        <v>-0.24419024299877054</v>
      </c>
      <c r="X2402" s="2">
        <f ca="1"/>
        <v>70.791154203580675</v>
      </c>
      <c r="AG2402" s="2">
        <f ca="1"/>
        <v>0.99538326639674923</v>
      </c>
      <c r="AH2402" s="2" t="str">
        <f ca="1"/>
        <v>Bad</v>
      </c>
    </row>
    <row r="2403" spans="2:34" x14ac:dyDescent="0.2">
      <c r="B2403" s="2">
        <f ca="1"/>
        <v>0.75926058277070707</v>
      </c>
      <c r="O2403" s="2">
        <f ca="1"/>
        <v>-0.8162653703113143</v>
      </c>
      <c r="X2403" s="2">
        <f ca="1"/>
        <v>61.75078067262082</v>
      </c>
      <c r="AG2403" s="2">
        <f ca="1"/>
        <v>0.8474221227408878</v>
      </c>
      <c r="AH2403" s="2" t="str">
        <f ca="1"/>
        <v>Bad</v>
      </c>
    </row>
    <row r="2404" spans="2:34" x14ac:dyDescent="0.2">
      <c r="B2404" s="2">
        <f ca="1"/>
        <v>0.99124057172883018</v>
      </c>
      <c r="O2404" s="2">
        <f ca="1"/>
        <v>-1.5974885586554761</v>
      </c>
      <c r="X2404" s="2">
        <f ca="1"/>
        <v>22.896658758111492</v>
      </c>
      <c r="AG2404" s="2">
        <f ca="1"/>
        <v>0.15533801418930815</v>
      </c>
      <c r="AH2404" s="2" t="str">
        <f ca="1"/>
        <v>OK</v>
      </c>
    </row>
    <row r="2405" spans="2:34" x14ac:dyDescent="0.2">
      <c r="B2405" s="2">
        <f ca="1"/>
        <v>0.89321000323313537</v>
      </c>
      <c r="O2405" s="2">
        <f ca="1"/>
        <v>-9.0751685614666958E-3</v>
      </c>
      <c r="X2405" s="2">
        <f ca="1"/>
        <v>28.895577776097024</v>
      </c>
      <c r="AG2405" s="2">
        <f ca="1"/>
        <v>0.99015286412533454</v>
      </c>
      <c r="AH2405" s="2" t="str">
        <f ca="1"/>
        <v>Bad</v>
      </c>
    </row>
    <row r="2406" spans="2:34" x14ac:dyDescent="0.2">
      <c r="B2406" s="2">
        <f ca="1"/>
        <v>0.89767339099169363</v>
      </c>
      <c r="O2406" s="2">
        <f ca="1"/>
        <v>2.1258404457928917</v>
      </c>
      <c r="X2406" s="2">
        <f ca="1"/>
        <v>61.94232551750089</v>
      </c>
      <c r="AG2406" s="2">
        <f ca="1"/>
        <v>0.40794320515054716</v>
      </c>
      <c r="AH2406" s="2" t="str">
        <f ca="1"/>
        <v>Bad</v>
      </c>
    </row>
    <row r="2407" spans="2:34" x14ac:dyDescent="0.2">
      <c r="B2407" s="2">
        <f ca="1"/>
        <v>0.65931597889727822</v>
      </c>
      <c r="O2407" s="2">
        <f ca="1"/>
        <v>0.36878681810108804</v>
      </c>
      <c r="X2407" s="2">
        <f ca="1"/>
        <v>53.378139860178841</v>
      </c>
      <c r="AG2407" s="2">
        <f ca="1"/>
        <v>0.56382947675655815</v>
      </c>
      <c r="AH2407" s="2" t="str">
        <f ca="1"/>
        <v>Bad</v>
      </c>
    </row>
    <row r="2408" spans="2:34" x14ac:dyDescent="0.2">
      <c r="B2408" s="2">
        <f ca="1"/>
        <v>0.70613087741399938</v>
      </c>
      <c r="O2408" s="2">
        <f ca="1"/>
        <v>1.722468545333212</v>
      </c>
      <c r="X2408" s="2">
        <f ca="1"/>
        <v>54.132054480900209</v>
      </c>
      <c r="AG2408" s="2">
        <f ca="1"/>
        <v>7.7290740123258761E-2</v>
      </c>
      <c r="AH2408" s="2" t="str">
        <f ca="1"/>
        <v>OK</v>
      </c>
    </row>
    <row r="2409" spans="2:34" x14ac:dyDescent="0.2">
      <c r="B2409" s="2">
        <f ca="1"/>
        <v>0.26442680465500112</v>
      </c>
      <c r="O2409" s="2">
        <f ca="1"/>
        <v>0.9488551991722719</v>
      </c>
      <c r="X2409" s="2">
        <f ca="1"/>
        <v>46.339573409770487</v>
      </c>
      <c r="AG2409" s="2">
        <f ca="1"/>
        <v>1.6003840050172302E-2</v>
      </c>
      <c r="AH2409" s="2" t="str">
        <f ca="1"/>
        <v>Good</v>
      </c>
    </row>
    <row r="2410" spans="2:34" x14ac:dyDescent="0.2">
      <c r="B2410" s="2">
        <f ca="1"/>
        <v>0.60145115976669383</v>
      </c>
      <c r="O2410" s="2">
        <f ca="1"/>
        <v>1.1790954519064907</v>
      </c>
      <c r="X2410" s="2">
        <f ca="1"/>
        <v>23.878482991240524</v>
      </c>
      <c r="AG2410" s="2">
        <f ca="1"/>
        <v>0.42062974573305256</v>
      </c>
      <c r="AH2410" s="2" t="str">
        <f ca="1"/>
        <v>Bad</v>
      </c>
    </row>
    <row r="2411" spans="2:34" x14ac:dyDescent="0.2">
      <c r="B2411" s="2">
        <f ca="1"/>
        <v>0.48716716375980829</v>
      </c>
      <c r="O2411" s="2">
        <f ca="1"/>
        <v>1.5950762132081635</v>
      </c>
      <c r="X2411" s="2">
        <f ca="1"/>
        <v>40.80924639848287</v>
      </c>
      <c r="AG2411" s="2">
        <f ca="1"/>
        <v>0.124256442211643</v>
      </c>
      <c r="AH2411" s="2" t="str">
        <f ca="1"/>
        <v>OK</v>
      </c>
    </row>
    <row r="2412" spans="2:34" x14ac:dyDescent="0.2">
      <c r="B2412" s="2">
        <f ca="1"/>
        <v>0.26885153928527683</v>
      </c>
      <c r="O2412" s="2">
        <f ca="1"/>
        <v>-1.8277714988121869</v>
      </c>
      <c r="X2412" s="2">
        <f ca="1"/>
        <v>77.57079974028342</v>
      </c>
      <c r="AG2412" s="2">
        <f ca="1"/>
        <v>0.39090237244969361</v>
      </c>
      <c r="AH2412" s="2" t="str">
        <f ca="1"/>
        <v>OK</v>
      </c>
    </row>
    <row r="2413" spans="2:34" x14ac:dyDescent="0.2">
      <c r="B2413" s="2">
        <f ca="1"/>
        <v>0.83480618292061903</v>
      </c>
      <c r="O2413" s="2">
        <f ca="1"/>
        <v>-0.89535838890320762</v>
      </c>
      <c r="X2413" s="2">
        <f ca="1"/>
        <v>50.250374126936336</v>
      </c>
      <c r="AG2413" s="2">
        <f ca="1"/>
        <v>0.87390172819533496</v>
      </c>
      <c r="AH2413" s="2" t="str">
        <f ca="1"/>
        <v>Bad</v>
      </c>
    </row>
    <row r="2414" spans="2:34" x14ac:dyDescent="0.2">
      <c r="B2414" s="2">
        <f ca="1"/>
        <v>3.9720799684666019E-3</v>
      </c>
      <c r="O2414" s="2">
        <f ca="1"/>
        <v>-0.49615762220918919</v>
      </c>
      <c r="X2414" s="2">
        <f ca="1"/>
        <v>23.052132557990717</v>
      </c>
      <c r="AG2414" s="2">
        <f ca="1"/>
        <v>0.4350342041587687</v>
      </c>
      <c r="AH2414" s="2" t="str">
        <f ca="1"/>
        <v>Bad</v>
      </c>
    </row>
    <row r="2415" spans="2:34" x14ac:dyDescent="0.2">
      <c r="B2415" s="2">
        <f ca="1"/>
        <v>0.90230978275602869</v>
      </c>
      <c r="O2415" s="2">
        <f ca="1"/>
        <v>7.6554517839580574E-2</v>
      </c>
      <c r="X2415" s="2">
        <f ca="1"/>
        <v>37.991087424540005</v>
      </c>
      <c r="AG2415" s="2">
        <f ca="1"/>
        <v>0.5094943467248747</v>
      </c>
      <c r="AH2415" s="2" t="str">
        <f ca="1"/>
        <v>Bad</v>
      </c>
    </row>
    <row r="2416" spans="2:34" x14ac:dyDescent="0.2">
      <c r="B2416" s="2">
        <f ca="1"/>
        <v>0.71670398913551536</v>
      </c>
      <c r="O2416" s="2">
        <f ca="1"/>
        <v>-4.6770825763666332E-3</v>
      </c>
      <c r="X2416" s="2">
        <f ca="1"/>
        <v>37.806075009152423</v>
      </c>
      <c r="AG2416" s="2">
        <f ca="1"/>
        <v>0.82825982995972991</v>
      </c>
      <c r="AH2416" s="2" t="str">
        <f ca="1"/>
        <v>Bad</v>
      </c>
    </row>
    <row r="2417" spans="2:34" x14ac:dyDescent="0.2">
      <c r="B2417" s="2">
        <f ca="1"/>
        <v>0.86221052235915208</v>
      </c>
      <c r="O2417" s="2">
        <f ca="1"/>
        <v>0.63644594672855037</v>
      </c>
      <c r="X2417" s="2">
        <f ca="1"/>
        <v>39.212024222367134</v>
      </c>
      <c r="AG2417" s="2">
        <f ca="1"/>
        <v>0.84748963106289343</v>
      </c>
      <c r="AH2417" s="2" t="str">
        <f ca="1"/>
        <v>Bad</v>
      </c>
    </row>
    <row r="2418" spans="2:34" x14ac:dyDescent="0.2">
      <c r="B2418" s="2">
        <f ca="1"/>
        <v>0.94193295114758757</v>
      </c>
      <c r="O2418" s="2">
        <f ca="1"/>
        <v>0.21220689215258587</v>
      </c>
      <c r="X2418" s="2">
        <f ca="1"/>
        <v>26.917987861612374</v>
      </c>
      <c r="AG2418" s="2">
        <f ca="1"/>
        <v>0.52804367376317662</v>
      </c>
      <c r="AH2418" s="2" t="str">
        <f ca="1"/>
        <v>Bad</v>
      </c>
    </row>
    <row r="2419" spans="2:34" x14ac:dyDescent="0.2">
      <c r="B2419" s="2">
        <f ca="1"/>
        <v>0.48076589992601693</v>
      </c>
      <c r="O2419" s="2">
        <f ca="1"/>
        <v>-1.3914295756081898</v>
      </c>
      <c r="X2419" s="2">
        <f ca="1"/>
        <v>51.906785380840162</v>
      </c>
      <c r="AG2419" s="2">
        <f ca="1"/>
        <v>0.82754748487787233</v>
      </c>
      <c r="AH2419" s="2" t="str">
        <f ca="1"/>
        <v>Bad</v>
      </c>
    </row>
    <row r="2420" spans="2:34" x14ac:dyDescent="0.2">
      <c r="B2420" s="2">
        <f ca="1"/>
        <v>0.80239498678284304</v>
      </c>
      <c r="O2420" s="2">
        <f ca="1"/>
        <v>-0.18443900763845578</v>
      </c>
      <c r="X2420" s="2">
        <f ca="1"/>
        <v>73.386668461345835</v>
      </c>
      <c r="AG2420" s="2">
        <f ca="1"/>
        <v>0.31535837589655835</v>
      </c>
      <c r="AH2420" s="2" t="str">
        <f ca="1"/>
        <v>OK</v>
      </c>
    </row>
    <row r="2421" spans="2:34" x14ac:dyDescent="0.2">
      <c r="B2421" s="2">
        <f ca="1"/>
        <v>0.66225411815805812</v>
      </c>
      <c r="O2421" s="2">
        <f ca="1"/>
        <v>-0.13549022985850517</v>
      </c>
      <c r="X2421" s="2">
        <f ca="1"/>
        <v>34.621445108048469</v>
      </c>
      <c r="AG2421" s="2">
        <f ca="1"/>
        <v>0.2312735069831402</v>
      </c>
      <c r="AH2421" s="2" t="str">
        <f ca="1"/>
        <v>OK</v>
      </c>
    </row>
    <row r="2422" spans="2:34" x14ac:dyDescent="0.2">
      <c r="B2422" s="2">
        <f ca="1"/>
        <v>0.45519974550541198</v>
      </c>
      <c r="O2422" s="2">
        <f ca="1"/>
        <v>0.79305917806017612</v>
      </c>
      <c r="X2422" s="2">
        <f ca="1"/>
        <v>28.982101510314386</v>
      </c>
      <c r="AG2422" s="2">
        <f ca="1"/>
        <v>0.64819473647962833</v>
      </c>
      <c r="AH2422" s="2" t="str">
        <f ca="1"/>
        <v>Bad</v>
      </c>
    </row>
    <row r="2423" spans="2:34" x14ac:dyDescent="0.2">
      <c r="B2423" s="2">
        <f ca="1"/>
        <v>0.86129917641112885</v>
      </c>
      <c r="O2423" s="2">
        <f ca="1"/>
        <v>0.38762258084116158</v>
      </c>
      <c r="X2423" s="2">
        <f ca="1"/>
        <v>59.446137819970922</v>
      </c>
      <c r="AG2423" s="2">
        <f ca="1"/>
        <v>0.68788061607924145</v>
      </c>
      <c r="AH2423" s="2" t="str">
        <f ca="1"/>
        <v>Bad</v>
      </c>
    </row>
    <row r="2424" spans="2:34" x14ac:dyDescent="0.2">
      <c r="B2424" s="2">
        <f ca="1"/>
        <v>0.14235168769594719</v>
      </c>
      <c r="O2424" s="2">
        <f ca="1"/>
        <v>-0.82814432148766881</v>
      </c>
      <c r="X2424" s="2">
        <f ca="1"/>
        <v>55.477853860570782</v>
      </c>
      <c r="AG2424" s="2">
        <f ca="1"/>
        <v>0.13180545425645196</v>
      </c>
      <c r="AH2424" s="2" t="str">
        <f ca="1"/>
        <v>OK</v>
      </c>
    </row>
    <row r="2425" spans="2:34" x14ac:dyDescent="0.2">
      <c r="B2425" s="2">
        <f ca="1"/>
        <v>0.58552627959590908</v>
      </c>
      <c r="O2425" s="2">
        <f ca="1"/>
        <v>0.4047647898314945</v>
      </c>
      <c r="X2425" s="2">
        <f ca="1"/>
        <v>46.278523926071522</v>
      </c>
      <c r="AG2425" s="2">
        <f ca="1"/>
        <v>0.51839709018011826</v>
      </c>
      <c r="AH2425" s="2" t="str">
        <f ca="1"/>
        <v>Bad</v>
      </c>
    </row>
    <row r="2426" spans="2:34" x14ac:dyDescent="0.2">
      <c r="B2426" s="2">
        <f ca="1"/>
        <v>0.40039919539799462</v>
      </c>
      <c r="O2426" s="2">
        <f ca="1"/>
        <v>-2.3285098256384529E-2</v>
      </c>
      <c r="X2426" s="2">
        <f ca="1"/>
        <v>39.280460583489507</v>
      </c>
      <c r="AG2426" s="2">
        <f ca="1"/>
        <v>0.61918424887038315</v>
      </c>
      <c r="AH2426" s="2" t="str">
        <f ca="1"/>
        <v>Bad</v>
      </c>
    </row>
    <row r="2427" spans="2:34" x14ac:dyDescent="0.2">
      <c r="B2427" s="2">
        <f ca="1"/>
        <v>6.3664772875560161E-2</v>
      </c>
      <c r="O2427" s="2">
        <f ca="1"/>
        <v>1.1371293517100374</v>
      </c>
      <c r="X2427" s="2">
        <f ca="1"/>
        <v>53.14243446658412</v>
      </c>
      <c r="AG2427" s="2">
        <f ca="1"/>
        <v>0.79559722281936329</v>
      </c>
      <c r="AH2427" s="2" t="str">
        <f ca="1"/>
        <v>Bad</v>
      </c>
    </row>
    <row r="2428" spans="2:34" x14ac:dyDescent="0.2">
      <c r="B2428" s="2">
        <f ca="1"/>
        <v>0.94269601497589073</v>
      </c>
      <c r="O2428" s="2">
        <f ca="1"/>
        <v>1.0749143019547276</v>
      </c>
      <c r="X2428" s="2">
        <f ca="1"/>
        <v>40.121907870594747</v>
      </c>
      <c r="AG2428" s="2">
        <f ca="1"/>
        <v>0.12310803374966994</v>
      </c>
      <c r="AH2428" s="2" t="str">
        <f ca="1"/>
        <v>OK</v>
      </c>
    </row>
    <row r="2429" spans="2:34" x14ac:dyDescent="0.2">
      <c r="B2429" s="2">
        <f ca="1"/>
        <v>0.34396214953662874</v>
      </c>
      <c r="O2429" s="2">
        <f ca="1"/>
        <v>7.9410235509689786E-2</v>
      </c>
      <c r="X2429" s="2">
        <f ca="1"/>
        <v>49.206642985974099</v>
      </c>
      <c r="AG2429" s="2">
        <f ca="1"/>
        <v>0.63415561662669329</v>
      </c>
      <c r="AH2429" s="2" t="str">
        <f ca="1"/>
        <v>Bad</v>
      </c>
    </row>
    <row r="2430" spans="2:34" x14ac:dyDescent="0.2">
      <c r="B2430" s="2">
        <f ca="1"/>
        <v>0.87079225179751574</v>
      </c>
      <c r="O2430" s="2">
        <f ca="1"/>
        <v>-1.1919061506107962</v>
      </c>
      <c r="X2430" s="2">
        <f ca="1"/>
        <v>34.715233937270447</v>
      </c>
      <c r="AG2430" s="2">
        <f ca="1"/>
        <v>3.8898655545450689E-2</v>
      </c>
      <c r="AH2430" s="2" t="str">
        <f ca="1"/>
        <v>Good</v>
      </c>
    </row>
    <row r="2431" spans="2:34" x14ac:dyDescent="0.2">
      <c r="B2431" s="2">
        <f ca="1"/>
        <v>0.20798055665522264</v>
      </c>
      <c r="O2431" s="2">
        <f ca="1"/>
        <v>-1.1095454168463519</v>
      </c>
      <c r="X2431" s="2">
        <f ca="1"/>
        <v>26.302097594930839</v>
      </c>
      <c r="AG2431" s="2">
        <f ca="1"/>
        <v>0.75832137580336911</v>
      </c>
      <c r="AH2431" s="2" t="str">
        <f ca="1"/>
        <v>Bad</v>
      </c>
    </row>
    <row r="2432" spans="2:34" x14ac:dyDescent="0.2">
      <c r="B2432" s="2">
        <f ca="1"/>
        <v>0.29801074714763964</v>
      </c>
      <c r="O2432" s="2">
        <f ca="1"/>
        <v>2.1080834485931534</v>
      </c>
      <c r="X2432" s="2">
        <f ca="1"/>
        <v>54.963530138789366</v>
      </c>
      <c r="AG2432" s="2">
        <f ca="1"/>
        <v>0.61389495055920884</v>
      </c>
      <c r="AH2432" s="2" t="str">
        <f ca="1"/>
        <v>Bad</v>
      </c>
    </row>
    <row r="2433" spans="2:34" x14ac:dyDescent="0.2">
      <c r="B2433" s="2">
        <f ca="1"/>
        <v>0.33415485647639964</v>
      </c>
      <c r="O2433" s="2">
        <f ca="1"/>
        <v>-1.1701370756838287</v>
      </c>
      <c r="X2433" s="2">
        <f ca="1"/>
        <v>68.457700819057322</v>
      </c>
      <c r="AG2433" s="2">
        <f ca="1"/>
        <v>0.59928022328359432</v>
      </c>
      <c r="AH2433" s="2" t="str">
        <f ca="1"/>
        <v>Bad</v>
      </c>
    </row>
    <row r="2434" spans="2:34" x14ac:dyDescent="0.2">
      <c r="B2434" s="2">
        <f ca="1"/>
        <v>0.5736621933972208</v>
      </c>
      <c r="O2434" s="2">
        <f ca="1"/>
        <v>1.5812810178561203</v>
      </c>
      <c r="X2434" s="2">
        <f ca="1"/>
        <v>74.011243162923847</v>
      </c>
      <c r="AG2434" s="2">
        <f ca="1"/>
        <v>6.7059558186900015E-2</v>
      </c>
      <c r="AH2434" s="2" t="str">
        <f ca="1"/>
        <v>OK</v>
      </c>
    </row>
    <row r="2435" spans="2:34" x14ac:dyDescent="0.2">
      <c r="B2435" s="2">
        <f ca="1"/>
        <v>0.58467127642433825</v>
      </c>
      <c r="O2435" s="2">
        <f ca="1"/>
        <v>-1.2566734434768441</v>
      </c>
      <c r="X2435" s="2">
        <f ca="1"/>
        <v>68.312115670669129</v>
      </c>
      <c r="AG2435" s="2">
        <f ca="1"/>
        <v>0.78707227742204844</v>
      </c>
      <c r="AH2435" s="2" t="str">
        <f ca="1"/>
        <v>Bad</v>
      </c>
    </row>
    <row r="2436" spans="2:34" x14ac:dyDescent="0.2">
      <c r="B2436" s="2">
        <f ca="1"/>
        <v>3.1644213033546364E-2</v>
      </c>
      <c r="O2436" s="2">
        <f ca="1"/>
        <v>0.99774606848472736</v>
      </c>
      <c r="X2436" s="2">
        <f ca="1"/>
        <v>27.619153430119713</v>
      </c>
      <c r="AG2436" s="2">
        <f ca="1"/>
        <v>7.7382409521293161E-2</v>
      </c>
      <c r="AH2436" s="2" t="str">
        <f ca="1"/>
        <v>OK</v>
      </c>
    </row>
    <row r="2437" spans="2:34" x14ac:dyDescent="0.2">
      <c r="B2437" s="2">
        <f ca="1"/>
        <v>0.2239277162314961</v>
      </c>
      <c r="O2437" s="2">
        <f ca="1"/>
        <v>5.9074089790685611E-2</v>
      </c>
      <c r="X2437" s="2">
        <f ca="1"/>
        <v>41.701844499936847</v>
      </c>
      <c r="AG2437" s="2">
        <f ca="1"/>
        <v>0.26346751817325886</v>
      </c>
      <c r="AH2437" s="2" t="str">
        <f ca="1"/>
        <v>OK</v>
      </c>
    </row>
    <row r="2438" spans="2:34" x14ac:dyDescent="0.2">
      <c r="B2438" s="2">
        <f ca="1"/>
        <v>0.59570479486734018</v>
      </c>
      <c r="O2438" s="2">
        <f ca="1"/>
        <v>2.225483494781836</v>
      </c>
      <c r="X2438" s="2">
        <f ca="1"/>
        <v>43.211714393193226</v>
      </c>
      <c r="AG2438" s="2">
        <f ca="1"/>
        <v>0.46852121499370591</v>
      </c>
      <c r="AH2438" s="2" t="str">
        <f ca="1"/>
        <v>Bad</v>
      </c>
    </row>
    <row r="2439" spans="2:34" x14ac:dyDescent="0.2">
      <c r="B2439" s="2">
        <f ca="1"/>
        <v>0.11768452521683681</v>
      </c>
      <c r="O2439" s="2">
        <f ca="1"/>
        <v>-1.2177191255271007</v>
      </c>
      <c r="X2439" s="2">
        <f ca="1"/>
        <v>39.464626739495209</v>
      </c>
      <c r="AG2439" s="2">
        <f ca="1"/>
        <v>0.71566460229201656</v>
      </c>
      <c r="AH2439" s="2" t="str">
        <f ca="1"/>
        <v>Bad</v>
      </c>
    </row>
    <row r="2440" spans="2:34" x14ac:dyDescent="0.2">
      <c r="B2440" s="2">
        <f ca="1"/>
        <v>0.21916273283934062</v>
      </c>
      <c r="O2440" s="2">
        <f ca="1"/>
        <v>1.0824536625067176</v>
      </c>
      <c r="X2440" s="2">
        <f ca="1"/>
        <v>29.598998352141649</v>
      </c>
      <c r="AG2440" s="2">
        <f ca="1"/>
        <v>3.1079371207090256E-2</v>
      </c>
      <c r="AH2440" s="2" t="str">
        <f ca="1"/>
        <v>Good</v>
      </c>
    </row>
    <row r="2441" spans="2:34" x14ac:dyDescent="0.2">
      <c r="B2441" s="2">
        <f ca="1"/>
        <v>0.49231929659713658</v>
      </c>
      <c r="O2441" s="2">
        <f ca="1"/>
        <v>0.27471350887282603</v>
      </c>
      <c r="X2441" s="2">
        <f ca="1"/>
        <v>70.219032862527115</v>
      </c>
      <c r="AG2441" s="2">
        <f ca="1"/>
        <v>5.6357510695386193E-2</v>
      </c>
      <c r="AH2441" s="2" t="str">
        <f ca="1"/>
        <v>OK</v>
      </c>
    </row>
    <row r="2442" spans="2:34" x14ac:dyDescent="0.2">
      <c r="B2442" s="2">
        <f ca="1"/>
        <v>0.91307600646941789</v>
      </c>
      <c r="O2442" s="2">
        <f ca="1"/>
        <v>-8.7285498351505286E-2</v>
      </c>
      <c r="X2442" s="2">
        <f ca="1"/>
        <v>64.079386773311683</v>
      </c>
      <c r="AG2442" s="2">
        <f ca="1"/>
        <v>0.53154251857541701</v>
      </c>
      <c r="AH2442" s="2" t="str">
        <f ca="1"/>
        <v>Bad</v>
      </c>
    </row>
    <row r="2443" spans="2:34" x14ac:dyDescent="0.2">
      <c r="B2443" s="2">
        <f ca="1"/>
        <v>0.88421408052374595</v>
      </c>
      <c r="O2443" s="2">
        <f ca="1"/>
        <v>0.60251112269661977</v>
      </c>
      <c r="X2443" s="2">
        <f ca="1"/>
        <v>64.053877955041344</v>
      </c>
      <c r="AG2443" s="2">
        <f ca="1"/>
        <v>8.6989791038197373E-2</v>
      </c>
      <c r="AH2443" s="2" t="str">
        <f ca="1"/>
        <v>OK</v>
      </c>
    </row>
    <row r="2444" spans="2:34" x14ac:dyDescent="0.2">
      <c r="B2444" s="2">
        <f ca="1"/>
        <v>0.4527818450704526</v>
      </c>
      <c r="O2444" s="2">
        <f ca="1"/>
        <v>0.62419494309472967</v>
      </c>
      <c r="X2444" s="2">
        <f ca="1"/>
        <v>34.174161483254053</v>
      </c>
      <c r="AG2444" s="2">
        <f ca="1"/>
        <v>0.21558402162278645</v>
      </c>
      <c r="AH2444" s="2" t="str">
        <f ca="1"/>
        <v>OK</v>
      </c>
    </row>
    <row r="2445" spans="2:34" x14ac:dyDescent="0.2">
      <c r="B2445" s="2">
        <f ca="1"/>
        <v>0.1351889528938921</v>
      </c>
      <c r="O2445" s="2">
        <f ca="1"/>
        <v>-5.6338076632844476E-3</v>
      </c>
      <c r="X2445" s="2">
        <f ca="1"/>
        <v>72.537600309637313</v>
      </c>
      <c r="AG2445" s="2">
        <f ca="1"/>
        <v>0.17790783094436269</v>
      </c>
      <c r="AH2445" s="2" t="str">
        <f ca="1"/>
        <v>OK</v>
      </c>
    </row>
    <row r="2446" spans="2:34" x14ac:dyDescent="0.2">
      <c r="B2446" s="2">
        <f ca="1"/>
        <v>0.79402408487543785</v>
      </c>
      <c r="O2446" s="2">
        <f ca="1"/>
        <v>0.46212438893615754</v>
      </c>
      <c r="X2446" s="2">
        <f ca="1"/>
        <v>64.387526154595875</v>
      </c>
      <c r="AG2446" s="2">
        <f ca="1"/>
        <v>0.44338689237366591</v>
      </c>
      <c r="AH2446" s="2" t="str">
        <f ca="1"/>
        <v>Bad</v>
      </c>
    </row>
    <row r="2447" spans="2:34" x14ac:dyDescent="0.2">
      <c r="B2447" s="2">
        <f ca="1"/>
        <v>2.2022857210990399E-2</v>
      </c>
      <c r="O2447" s="2">
        <f ca="1"/>
        <v>0.12632210567855251</v>
      </c>
      <c r="X2447" s="2">
        <f ca="1"/>
        <v>39.102687897791355</v>
      </c>
      <c r="AG2447" s="2">
        <f ca="1"/>
        <v>0.8214363888248879</v>
      </c>
      <c r="AH2447" s="2" t="str">
        <f ca="1"/>
        <v>Bad</v>
      </c>
    </row>
    <row r="2448" spans="2:34" x14ac:dyDescent="0.2">
      <c r="B2448" s="2">
        <f ca="1"/>
        <v>0.87610295582624187</v>
      </c>
      <c r="O2448" s="2">
        <f ca="1"/>
        <v>1.4649046250041773</v>
      </c>
      <c r="X2448" s="2">
        <f ca="1"/>
        <v>46.110239839114698</v>
      </c>
      <c r="AG2448" s="2">
        <f ca="1"/>
        <v>0.300273387798625</v>
      </c>
      <c r="AH2448" s="2" t="str">
        <f ca="1"/>
        <v>OK</v>
      </c>
    </row>
    <row r="2449" spans="2:34" x14ac:dyDescent="0.2">
      <c r="B2449" s="2">
        <f ca="1"/>
        <v>0.59974586362334503</v>
      </c>
      <c r="O2449" s="2">
        <f ca="1"/>
        <v>-0.10294325805674472</v>
      </c>
      <c r="X2449" s="2">
        <f ca="1"/>
        <v>36.60138234542358</v>
      </c>
      <c r="AG2449" s="2">
        <f ca="1"/>
        <v>0.97229485493633594</v>
      </c>
      <c r="AH2449" s="2" t="str">
        <f ca="1"/>
        <v>Bad</v>
      </c>
    </row>
    <row r="2450" spans="2:34" x14ac:dyDescent="0.2">
      <c r="B2450" s="2">
        <f ca="1"/>
        <v>0.36583967679205442</v>
      </c>
      <c r="O2450" s="2">
        <f ca="1"/>
        <v>3.3704118047643859E-2</v>
      </c>
      <c r="X2450" s="2">
        <f ca="1"/>
        <v>64.873295436199811</v>
      </c>
      <c r="AG2450" s="2">
        <f ca="1"/>
        <v>3.7511682864523888E-3</v>
      </c>
      <c r="AH2450" s="2" t="str">
        <f ca="1"/>
        <v>Good</v>
      </c>
    </row>
    <row r="2451" spans="2:34" x14ac:dyDescent="0.2">
      <c r="B2451" s="2">
        <f ca="1"/>
        <v>0.91758646755442452</v>
      </c>
      <c r="O2451" s="2">
        <f ca="1"/>
        <v>0.28962383336919506</v>
      </c>
      <c r="X2451" s="2">
        <f ca="1"/>
        <v>44.530635106111809</v>
      </c>
      <c r="AG2451" s="2">
        <f ca="1"/>
        <v>0.58011893592022323</v>
      </c>
      <c r="AH2451" s="2" t="str">
        <f ca="1"/>
        <v>Bad</v>
      </c>
    </row>
    <row r="2452" spans="2:34" x14ac:dyDescent="0.2">
      <c r="B2452" s="2">
        <f ca="1"/>
        <v>0.42023153531777591</v>
      </c>
      <c r="O2452" s="2">
        <f ca="1"/>
        <v>-0.83427079299426443</v>
      </c>
      <c r="X2452" s="2">
        <f ca="1"/>
        <v>49.949793074794755</v>
      </c>
      <c r="AG2452" s="2">
        <f ca="1"/>
        <v>0.30019710558788804</v>
      </c>
      <c r="AH2452" s="2" t="str">
        <f ca="1"/>
        <v>OK</v>
      </c>
    </row>
    <row r="2453" spans="2:34" x14ac:dyDescent="0.2">
      <c r="B2453" s="2">
        <f ca="1"/>
        <v>5.6114576861046039E-3</v>
      </c>
      <c r="O2453" s="2">
        <f ca="1"/>
        <v>-1.0352614092897574</v>
      </c>
      <c r="X2453" s="2">
        <f ca="1"/>
        <v>36.460536398489133</v>
      </c>
      <c r="AG2453" s="2">
        <f ca="1"/>
        <v>0.17038545402595218</v>
      </c>
      <c r="AH2453" s="2" t="str">
        <f ca="1"/>
        <v>OK</v>
      </c>
    </row>
    <row r="2454" spans="2:34" x14ac:dyDescent="0.2">
      <c r="B2454" s="2">
        <f ca="1"/>
        <v>0.20316198937997498</v>
      </c>
      <c r="O2454" s="2">
        <f ca="1"/>
        <v>0.18080176960318234</v>
      </c>
      <c r="X2454" s="2">
        <f ca="1"/>
        <v>66.967487385013683</v>
      </c>
      <c r="AG2454" s="2">
        <f ca="1"/>
        <v>0.88742885920097181</v>
      </c>
      <c r="AH2454" s="2" t="str">
        <f ca="1"/>
        <v>Bad</v>
      </c>
    </row>
    <row r="2455" spans="2:34" x14ac:dyDescent="0.2">
      <c r="B2455" s="2">
        <f ca="1"/>
        <v>0.97264852403386715</v>
      </c>
      <c r="O2455" s="2">
        <f ca="1"/>
        <v>0.89752654908248897</v>
      </c>
      <c r="X2455" s="2">
        <f ca="1"/>
        <v>31.732512422555367</v>
      </c>
      <c r="AG2455" s="2">
        <f ca="1"/>
        <v>0.98300519129429387</v>
      </c>
      <c r="AH2455" s="2" t="str">
        <f ca="1"/>
        <v>Bad</v>
      </c>
    </row>
    <row r="2456" spans="2:34" x14ac:dyDescent="0.2">
      <c r="B2456" s="2">
        <f ca="1"/>
        <v>0.468364209768944</v>
      </c>
      <c r="O2456" s="2">
        <f ca="1"/>
        <v>0.36787820984025976</v>
      </c>
      <c r="X2456" s="2">
        <f ca="1"/>
        <v>47.72832880328135</v>
      </c>
      <c r="AG2456" s="2">
        <f ca="1"/>
        <v>0.14203366725617173</v>
      </c>
      <c r="AH2456" s="2" t="str">
        <f ca="1"/>
        <v>OK</v>
      </c>
    </row>
    <row r="2457" spans="2:34" x14ac:dyDescent="0.2">
      <c r="B2457" s="2">
        <f ca="1"/>
        <v>0.87749154241375749</v>
      </c>
      <c r="O2457" s="2">
        <f ca="1"/>
        <v>-1.3965341300600831</v>
      </c>
      <c r="X2457" s="2">
        <f ca="1"/>
        <v>28.823513336693466</v>
      </c>
      <c r="AG2457" s="2">
        <f ca="1"/>
        <v>0.9321402061258619</v>
      </c>
      <c r="AH2457" s="2" t="str">
        <f ca="1"/>
        <v>Bad</v>
      </c>
    </row>
    <row r="2458" spans="2:34" x14ac:dyDescent="0.2">
      <c r="B2458" s="2">
        <f ca="1"/>
        <v>0.32835208482805989</v>
      </c>
      <c r="O2458" s="2">
        <f ca="1"/>
        <v>0.20939206993899448</v>
      </c>
      <c r="X2458" s="2">
        <f ca="1"/>
        <v>41.804098741348177</v>
      </c>
      <c r="AG2458" s="2">
        <f ca="1"/>
        <v>0.31832899054837882</v>
      </c>
      <c r="AH2458" s="2" t="str">
        <f ca="1"/>
        <v>OK</v>
      </c>
    </row>
    <row r="2459" spans="2:34" x14ac:dyDescent="0.2">
      <c r="B2459" s="2">
        <f ca="1"/>
        <v>0.75557712322320691</v>
      </c>
      <c r="O2459" s="2">
        <f ca="1"/>
        <v>-0.5258334766767121</v>
      </c>
      <c r="X2459" s="2">
        <f ca="1"/>
        <v>66.472874861657473</v>
      </c>
      <c r="AG2459" s="2">
        <f ca="1"/>
        <v>1.3354434227113909E-2</v>
      </c>
      <c r="AH2459" s="2" t="str">
        <f ca="1"/>
        <v>Good</v>
      </c>
    </row>
    <row r="2460" spans="2:34" x14ac:dyDescent="0.2">
      <c r="B2460" s="2">
        <f ca="1"/>
        <v>0.93617602228726771</v>
      </c>
      <c r="O2460" s="2">
        <f ca="1"/>
        <v>0.68091895138630842</v>
      </c>
      <c r="X2460" s="2">
        <f ca="1"/>
        <v>56.694427162827438</v>
      </c>
      <c r="AG2460" s="2">
        <f ca="1"/>
        <v>0.35203972671480144</v>
      </c>
      <c r="AH2460" s="2" t="str">
        <f ca="1"/>
        <v>OK</v>
      </c>
    </row>
    <row r="2461" spans="2:34" x14ac:dyDescent="0.2">
      <c r="B2461" s="2">
        <f ca="1"/>
        <v>0.53923779026972918</v>
      </c>
      <c r="O2461" s="2">
        <f ca="1"/>
        <v>0.48640336730720712</v>
      </c>
      <c r="X2461" s="2">
        <f ca="1"/>
        <v>56.609844501715038</v>
      </c>
      <c r="AG2461" s="2">
        <f ca="1"/>
        <v>0.94242946107469461</v>
      </c>
      <c r="AH2461" s="2" t="str">
        <f ca="1"/>
        <v>Bad</v>
      </c>
    </row>
    <row r="2462" spans="2:34" x14ac:dyDescent="0.2">
      <c r="B2462" s="2">
        <f ca="1"/>
        <v>0.82282102691509751</v>
      </c>
      <c r="O2462" s="2">
        <f ca="1"/>
        <v>-0.78660996044153253</v>
      </c>
      <c r="X2462" s="2">
        <f ca="1"/>
        <v>33.130230120118924</v>
      </c>
      <c r="AG2462" s="2">
        <f ca="1"/>
        <v>0.51029433068797658</v>
      </c>
      <c r="AH2462" s="2" t="str">
        <f ca="1"/>
        <v>Bad</v>
      </c>
    </row>
    <row r="2463" spans="2:34" x14ac:dyDescent="0.2">
      <c r="B2463" s="2">
        <f ca="1"/>
        <v>0.73452605446772368</v>
      </c>
      <c r="O2463" s="2">
        <f ca="1"/>
        <v>-0.95140968639621959</v>
      </c>
      <c r="X2463" s="2">
        <f ca="1"/>
        <v>54.918417466501708</v>
      </c>
      <c r="AG2463" s="2">
        <f ca="1"/>
        <v>0.27222929565541687</v>
      </c>
      <c r="AH2463" s="2" t="str">
        <f ca="1"/>
        <v>OK</v>
      </c>
    </row>
    <row r="2464" spans="2:34" x14ac:dyDescent="0.2">
      <c r="B2464" s="2">
        <f ca="1"/>
        <v>0.59380627027597632</v>
      </c>
      <c r="O2464" s="2">
        <f ca="1"/>
        <v>-1.2465092600473211</v>
      </c>
      <c r="X2464" s="2">
        <f ca="1"/>
        <v>36.765275844438051</v>
      </c>
      <c r="AG2464" s="2">
        <f ca="1"/>
        <v>0.3834747001944161</v>
      </c>
      <c r="AH2464" s="2" t="str">
        <f ca="1"/>
        <v>OK</v>
      </c>
    </row>
    <row r="2465" spans="2:34" x14ac:dyDescent="0.2">
      <c r="B2465" s="2">
        <f ca="1"/>
        <v>0.41589798363714525</v>
      </c>
      <c r="O2465" s="2">
        <f ca="1"/>
        <v>1.6120180639137995</v>
      </c>
      <c r="X2465" s="2">
        <f ca="1"/>
        <v>33.392473062104777</v>
      </c>
      <c r="AG2465" s="2">
        <f ca="1"/>
        <v>0.44312418919096563</v>
      </c>
      <c r="AH2465" s="2" t="str">
        <f ca="1"/>
        <v>Bad</v>
      </c>
    </row>
    <row r="2466" spans="2:34" x14ac:dyDescent="0.2">
      <c r="B2466" s="2">
        <f ca="1"/>
        <v>0.83671954501198753</v>
      </c>
      <c r="O2466" s="2">
        <f ca="1"/>
        <v>-0.35014827730569137</v>
      </c>
      <c r="X2466" s="2">
        <f ca="1"/>
        <v>37.196904073913124</v>
      </c>
      <c r="AG2466" s="2">
        <f ca="1"/>
        <v>0.57298587654235389</v>
      </c>
      <c r="AH2466" s="2" t="str">
        <f ca="1"/>
        <v>Bad</v>
      </c>
    </row>
    <row r="2467" spans="2:34" x14ac:dyDescent="0.2">
      <c r="B2467" s="2">
        <f ca="1"/>
        <v>0.73436632755422271</v>
      </c>
      <c r="O2467" s="2">
        <f ca="1"/>
        <v>0.47645461601464373</v>
      </c>
      <c r="X2467" s="2">
        <f ca="1"/>
        <v>49.18683853375569</v>
      </c>
      <c r="AG2467" s="2">
        <f ca="1"/>
        <v>0.42525333836912638</v>
      </c>
      <c r="AH2467" s="2" t="str">
        <f ca="1"/>
        <v>Bad</v>
      </c>
    </row>
    <row r="2468" spans="2:34" x14ac:dyDescent="0.2">
      <c r="B2468" s="2">
        <f ca="1"/>
        <v>0.21674547334281469</v>
      </c>
      <c r="O2468" s="2">
        <f ca="1"/>
        <v>-1.094305940487728</v>
      </c>
      <c r="X2468" s="2">
        <f ca="1"/>
        <v>33.10449682966879</v>
      </c>
      <c r="AG2468" s="2">
        <f ca="1"/>
        <v>0.64770019364757569</v>
      </c>
      <c r="AH2468" s="2" t="str">
        <f ca="1"/>
        <v>Bad</v>
      </c>
    </row>
    <row r="2469" spans="2:34" x14ac:dyDescent="0.2">
      <c r="B2469" s="2">
        <f ca="1"/>
        <v>0.91630604385737335</v>
      </c>
      <c r="O2469" s="2">
        <f ca="1"/>
        <v>0.55254990996519326</v>
      </c>
      <c r="X2469" s="2">
        <f ca="1"/>
        <v>18.731326635873124</v>
      </c>
      <c r="AG2469" s="2">
        <f ca="1"/>
        <v>0.51536867427174049</v>
      </c>
      <c r="AH2469" s="2" t="str">
        <f ca="1"/>
        <v>Bad</v>
      </c>
    </row>
    <row r="2470" spans="2:34" x14ac:dyDescent="0.2">
      <c r="B2470" s="2">
        <f ca="1"/>
        <v>0.17715408057409143</v>
      </c>
      <c r="O2470" s="2">
        <f ca="1"/>
        <v>-0.22641037382104617</v>
      </c>
      <c r="X2470" s="2">
        <f ca="1"/>
        <v>54.612355892986912</v>
      </c>
      <c r="AG2470" s="2">
        <f ca="1"/>
        <v>0.2423635492631977</v>
      </c>
      <c r="AH2470" s="2" t="str">
        <f ca="1"/>
        <v>OK</v>
      </c>
    </row>
    <row r="2471" spans="2:34" x14ac:dyDescent="0.2">
      <c r="B2471" s="2">
        <f ca="1"/>
        <v>0.61970422274531223</v>
      </c>
      <c r="O2471" s="2">
        <f ca="1"/>
        <v>-1.0287596486242732</v>
      </c>
      <c r="X2471" s="2">
        <f ca="1"/>
        <v>28.299044614931109</v>
      </c>
      <c r="AG2471" s="2">
        <f ca="1"/>
        <v>0.73283862719219361</v>
      </c>
      <c r="AH2471" s="2" t="str">
        <f ca="1"/>
        <v>Bad</v>
      </c>
    </row>
    <row r="2472" spans="2:34" x14ac:dyDescent="0.2">
      <c r="B2472" s="2">
        <f ca="1"/>
        <v>0.40451543349671759</v>
      </c>
      <c r="O2472" s="2">
        <f ca="1"/>
        <v>-0.13278938916645375</v>
      </c>
      <c r="X2472" s="2">
        <f ca="1"/>
        <v>56.027166152482934</v>
      </c>
      <c r="AG2472" s="2">
        <f ca="1"/>
        <v>0.93155406762965676</v>
      </c>
      <c r="AH2472" s="2" t="str">
        <f ca="1"/>
        <v>Bad</v>
      </c>
    </row>
    <row r="2473" spans="2:34" x14ac:dyDescent="0.2">
      <c r="B2473" s="2">
        <f ca="1"/>
        <v>0.18606927575295118</v>
      </c>
      <c r="O2473" s="2">
        <f ca="1"/>
        <v>0.50037922079767749</v>
      </c>
      <c r="X2473" s="2">
        <f ca="1"/>
        <v>34.239359648412638</v>
      </c>
      <c r="AG2473" s="2">
        <f ca="1"/>
        <v>0.47326647476107198</v>
      </c>
      <c r="AH2473" s="2" t="str">
        <f ca="1"/>
        <v>Bad</v>
      </c>
    </row>
    <row r="2474" spans="2:34" x14ac:dyDescent="0.2">
      <c r="B2474" s="2">
        <f ca="1"/>
        <v>2.3744462801675859E-3</v>
      </c>
      <c r="O2474" s="2">
        <f ca="1"/>
        <v>-0.85163671710073685</v>
      </c>
      <c r="X2474" s="2">
        <f ca="1"/>
        <v>26.705660451672312</v>
      </c>
      <c r="AG2474" s="2">
        <f ca="1"/>
        <v>0.88055287275352256</v>
      </c>
      <c r="AH2474" s="2" t="str">
        <f ca="1"/>
        <v>Bad</v>
      </c>
    </row>
    <row r="2475" spans="2:34" x14ac:dyDescent="0.2">
      <c r="B2475" s="2">
        <f ca="1"/>
        <v>0.67021697472630115</v>
      </c>
      <c r="O2475" s="2">
        <f ca="1"/>
        <v>-0.67316342990261935</v>
      </c>
      <c r="X2475" s="2">
        <f ca="1"/>
        <v>58.210885397817684</v>
      </c>
      <c r="AG2475" s="2">
        <f ca="1"/>
        <v>0.74838026609010422</v>
      </c>
      <c r="AH2475" s="2" t="str">
        <f ca="1"/>
        <v>Bad</v>
      </c>
    </row>
    <row r="2476" spans="2:34" x14ac:dyDescent="0.2">
      <c r="B2476" s="2">
        <f ca="1"/>
        <v>0.5717677271004189</v>
      </c>
      <c r="O2476" s="2">
        <f ca="1"/>
        <v>-0.41638764047639903</v>
      </c>
      <c r="X2476" s="2">
        <f ca="1"/>
        <v>58.237467613801961</v>
      </c>
      <c r="AG2476" s="2">
        <f ca="1"/>
        <v>0.90007016463626854</v>
      </c>
      <c r="AH2476" s="2" t="str">
        <f ca="1"/>
        <v>Bad</v>
      </c>
    </row>
    <row r="2477" spans="2:34" x14ac:dyDescent="0.2">
      <c r="B2477" s="2">
        <f ca="1"/>
        <v>0.843802743163929</v>
      </c>
      <c r="O2477" s="2">
        <f ca="1"/>
        <v>-0.97130670882188641</v>
      </c>
      <c r="X2477" s="2">
        <f ca="1"/>
        <v>34.355457422630849</v>
      </c>
      <c r="AG2477" s="2">
        <f ca="1"/>
        <v>0.43048520898714093</v>
      </c>
      <c r="AH2477" s="2" t="str">
        <f ca="1"/>
        <v>Bad</v>
      </c>
    </row>
    <row r="2478" spans="2:34" x14ac:dyDescent="0.2">
      <c r="B2478" s="2">
        <f ca="1"/>
        <v>0.40062238153702179</v>
      </c>
      <c r="O2478" s="2">
        <f ca="1"/>
        <v>0.65341185691416981</v>
      </c>
      <c r="X2478" s="2">
        <f ca="1"/>
        <v>84.764015595433264</v>
      </c>
      <c r="AG2478" s="2">
        <f ca="1"/>
        <v>0.76607149756983373</v>
      </c>
      <c r="AH2478" s="2" t="str">
        <f ca="1"/>
        <v>Bad</v>
      </c>
    </row>
    <row r="2479" spans="2:34" x14ac:dyDescent="0.2">
      <c r="B2479" s="2">
        <f ca="1"/>
        <v>0.13349488479142613</v>
      </c>
      <c r="O2479" s="2">
        <f ca="1"/>
        <v>-1.8601478530662925</v>
      </c>
      <c r="X2479" s="2">
        <f ca="1"/>
        <v>41.640146732024668</v>
      </c>
      <c r="AG2479" s="2">
        <f ca="1"/>
        <v>0.36581077517549354</v>
      </c>
      <c r="AH2479" s="2" t="str">
        <f ca="1"/>
        <v>OK</v>
      </c>
    </row>
    <row r="2480" spans="2:34" x14ac:dyDescent="0.2">
      <c r="B2480" s="2">
        <f ca="1"/>
        <v>4.9111975235107019E-2</v>
      </c>
      <c r="O2480" s="2">
        <f ca="1"/>
        <v>-1.7519746315264955</v>
      </c>
      <c r="X2480" s="2">
        <f ca="1"/>
        <v>69.152523579065019</v>
      </c>
      <c r="AG2480" s="2">
        <f ca="1"/>
        <v>0.9735727386632016</v>
      </c>
      <c r="AH2480" s="2" t="str">
        <f ca="1"/>
        <v>Bad</v>
      </c>
    </row>
    <row r="2481" spans="2:34" x14ac:dyDescent="0.2">
      <c r="B2481" s="2">
        <f ca="1"/>
        <v>0.24951831443366412</v>
      </c>
      <c r="O2481" s="2">
        <f ca="1"/>
        <v>-0.85519837858079528</v>
      </c>
      <c r="X2481" s="2">
        <f ca="1"/>
        <v>58.763378848205647</v>
      </c>
      <c r="AG2481" s="2">
        <f ca="1"/>
        <v>0.8695873615966323</v>
      </c>
      <c r="AH2481" s="2" t="str">
        <f ca="1"/>
        <v>Bad</v>
      </c>
    </row>
    <row r="2482" spans="2:34" x14ac:dyDescent="0.2">
      <c r="B2482" s="2">
        <f ca="1"/>
        <v>0.34971616943893835</v>
      </c>
      <c r="O2482" s="2">
        <f ca="1"/>
        <v>0.17491311493508313</v>
      </c>
      <c r="X2482" s="2">
        <f ca="1"/>
        <v>74.234929532863873</v>
      </c>
      <c r="AG2482" s="2">
        <f ca="1"/>
        <v>0.14560133824239796</v>
      </c>
      <c r="AH2482" s="2" t="str">
        <f ca="1"/>
        <v>OK</v>
      </c>
    </row>
    <row r="2483" spans="2:34" x14ac:dyDescent="0.2">
      <c r="B2483" s="2">
        <f ca="1"/>
        <v>0.55723551130550808</v>
      </c>
      <c r="O2483" s="2">
        <f ca="1"/>
        <v>-0.40230487185284508</v>
      </c>
      <c r="X2483" s="2">
        <f ca="1"/>
        <v>40.247750706751326</v>
      </c>
      <c r="AG2483" s="2">
        <f ca="1"/>
        <v>0.80330659908160462</v>
      </c>
      <c r="AH2483" s="2" t="str">
        <f ca="1"/>
        <v>Bad</v>
      </c>
    </row>
    <row r="2484" spans="2:34" x14ac:dyDescent="0.2">
      <c r="B2484" s="2">
        <f ca="1"/>
        <v>3.2822687741590917E-2</v>
      </c>
      <c r="O2484" s="2">
        <f ca="1"/>
        <v>1.6812328988662617</v>
      </c>
      <c r="X2484" s="2">
        <f ca="1"/>
        <v>76.57730083701621</v>
      </c>
      <c r="AG2484" s="2">
        <f ca="1"/>
        <v>0.13162080301867429</v>
      </c>
      <c r="AH2484" s="2" t="str">
        <f ca="1"/>
        <v>OK</v>
      </c>
    </row>
    <row r="2485" spans="2:34" x14ac:dyDescent="0.2">
      <c r="B2485" s="2">
        <f ca="1"/>
        <v>0.43109512132309535</v>
      </c>
      <c r="O2485" s="2">
        <f ca="1"/>
        <v>6.8701453513876951E-2</v>
      </c>
      <c r="X2485" s="2">
        <f ca="1"/>
        <v>80.364188758675382</v>
      </c>
      <c r="AG2485" s="2">
        <f ca="1"/>
        <v>0.53172731191785605</v>
      </c>
      <c r="AH2485" s="2" t="str">
        <f ca="1"/>
        <v>Bad</v>
      </c>
    </row>
    <row r="2486" spans="2:34" x14ac:dyDescent="0.2">
      <c r="B2486" s="2">
        <f ca="1"/>
        <v>0.49425251241051016</v>
      </c>
      <c r="O2486" s="2">
        <f ca="1"/>
        <v>0.85914678218319396</v>
      </c>
      <c r="X2486" s="2">
        <f ca="1"/>
        <v>53.9475125588541</v>
      </c>
      <c r="AG2486" s="2">
        <f ca="1"/>
        <v>0.93908206315712861</v>
      </c>
      <c r="AH2486" s="2" t="str">
        <f ca="1"/>
        <v>Bad</v>
      </c>
    </row>
    <row r="2487" spans="2:34" x14ac:dyDescent="0.2">
      <c r="B2487" s="2">
        <f ca="1"/>
        <v>0.18765068205573066</v>
      </c>
      <c r="O2487" s="2">
        <f ca="1"/>
        <v>1.6719332748024207</v>
      </c>
      <c r="X2487" s="2">
        <f ca="1"/>
        <v>59.774825441760989</v>
      </c>
      <c r="AG2487" s="2">
        <f ca="1"/>
        <v>0.76534211936111141</v>
      </c>
      <c r="AH2487" s="2" t="str">
        <f ca="1"/>
        <v>Bad</v>
      </c>
    </row>
    <row r="2488" spans="2:34" x14ac:dyDescent="0.2">
      <c r="B2488" s="2">
        <f ca="1"/>
        <v>0.55580689932396621</v>
      </c>
      <c r="O2488" s="2">
        <f ca="1"/>
        <v>0.46222149573431714</v>
      </c>
      <c r="X2488" s="2">
        <f ca="1"/>
        <v>50.168213375585829</v>
      </c>
      <c r="AG2488" s="2">
        <f ca="1"/>
        <v>0.85497314882012465</v>
      </c>
      <c r="AH2488" s="2" t="str">
        <f ca="1"/>
        <v>Bad</v>
      </c>
    </row>
    <row r="2489" spans="2:34" x14ac:dyDescent="0.2">
      <c r="B2489" s="2">
        <f ca="1"/>
        <v>0.89137547204695666</v>
      </c>
      <c r="O2489" s="2">
        <f ca="1"/>
        <v>-0.81956817006949645</v>
      </c>
      <c r="X2489" s="2">
        <f ca="1"/>
        <v>39.340302747682792</v>
      </c>
      <c r="AG2489" s="2">
        <f ca="1"/>
        <v>3.5709548055931739E-2</v>
      </c>
      <c r="AH2489" s="2" t="str">
        <f ca="1"/>
        <v>Good</v>
      </c>
    </row>
    <row r="2490" spans="2:34" x14ac:dyDescent="0.2">
      <c r="B2490" s="2">
        <f ca="1"/>
        <v>0.35789044630403333</v>
      </c>
      <c r="O2490" s="2">
        <f ca="1"/>
        <v>-1.153819121745756E-2</v>
      </c>
      <c r="X2490" s="2">
        <f ca="1"/>
        <v>53.516034483521025</v>
      </c>
      <c r="AG2490" s="2">
        <f ca="1"/>
        <v>0.99687712188565869</v>
      </c>
      <c r="AH2490" s="2" t="str">
        <f ca="1"/>
        <v>Bad</v>
      </c>
    </row>
    <row r="2491" spans="2:34" x14ac:dyDescent="0.2">
      <c r="B2491" s="2">
        <f ca="1"/>
        <v>0.94941904872937033</v>
      </c>
      <c r="O2491" s="2">
        <f ca="1"/>
        <v>-0.34794576407010686</v>
      </c>
      <c r="X2491" s="2">
        <f ca="1"/>
        <v>65.466827837669555</v>
      </c>
      <c r="AG2491" s="2">
        <f ca="1"/>
        <v>0.8300286546387492</v>
      </c>
      <c r="AH2491" s="2" t="str">
        <f ca="1"/>
        <v>Bad</v>
      </c>
    </row>
    <row r="2492" spans="2:34" x14ac:dyDescent="0.2">
      <c r="B2492" s="2">
        <f ca="1"/>
        <v>0.44089248016467852</v>
      </c>
      <c r="O2492" s="2">
        <f ca="1"/>
        <v>0.64904879684983163</v>
      </c>
      <c r="X2492" s="2">
        <f ca="1"/>
        <v>22.8566945235535</v>
      </c>
      <c r="AG2492" s="2">
        <f ca="1"/>
        <v>0.95183607223501898</v>
      </c>
      <c r="AH2492" s="2" t="str">
        <f ca="1"/>
        <v>Bad</v>
      </c>
    </row>
    <row r="2493" spans="2:34" x14ac:dyDescent="0.2">
      <c r="B2493" s="2">
        <f ca="1"/>
        <v>0.95773196022290863</v>
      </c>
      <c r="O2493" s="2">
        <f ca="1"/>
        <v>4.669633765656718E-2</v>
      </c>
      <c r="X2493" s="2">
        <f ca="1"/>
        <v>77.05653543777332</v>
      </c>
      <c r="AG2493" s="2">
        <f ca="1"/>
        <v>0.82737538692009505</v>
      </c>
      <c r="AH2493" s="2" t="str">
        <f ca="1"/>
        <v>Bad</v>
      </c>
    </row>
    <row r="2494" spans="2:34" x14ac:dyDescent="0.2">
      <c r="B2494" s="2">
        <f ca="1"/>
        <v>0.15514007577812716</v>
      </c>
      <c r="O2494" s="2">
        <f ca="1"/>
        <v>-1.3892193618176478</v>
      </c>
      <c r="X2494" s="2">
        <f ca="1"/>
        <v>50.78954607784857</v>
      </c>
      <c r="AG2494" s="2">
        <f ca="1"/>
        <v>5.0002052090112326E-3</v>
      </c>
      <c r="AH2494" s="2" t="str">
        <f ca="1"/>
        <v>Good</v>
      </c>
    </row>
    <row r="2495" spans="2:34" x14ac:dyDescent="0.2">
      <c r="B2495" s="2">
        <f ca="1"/>
        <v>0.64746455078905818</v>
      </c>
      <c r="O2495" s="2">
        <f ca="1"/>
        <v>1.796944816567756</v>
      </c>
      <c r="X2495" s="2">
        <f ca="1"/>
        <v>37.714303049373939</v>
      </c>
      <c r="AG2495" s="2">
        <f ca="1"/>
        <v>0.85541240707967203</v>
      </c>
      <c r="AH2495" s="2" t="str">
        <f ca="1"/>
        <v>Bad</v>
      </c>
    </row>
    <row r="2496" spans="2:34" x14ac:dyDescent="0.2">
      <c r="B2496" s="2">
        <f ca="1"/>
        <v>0.68279394975782526</v>
      </c>
      <c r="O2496" s="2">
        <f ca="1"/>
        <v>1.51145769208924</v>
      </c>
      <c r="X2496" s="2">
        <f ca="1"/>
        <v>48.478228015758859</v>
      </c>
      <c r="AG2496" s="2">
        <f ca="1"/>
        <v>0.52377973666423894</v>
      </c>
      <c r="AH2496" s="2" t="str">
        <f ca="1"/>
        <v>Bad</v>
      </c>
    </row>
    <row r="2497" spans="2:34" x14ac:dyDescent="0.2">
      <c r="B2497" s="2">
        <f ca="1"/>
        <v>0.19877023231555402</v>
      </c>
      <c r="O2497" s="2">
        <f ca="1"/>
        <v>-0.25886830193140387</v>
      </c>
      <c r="X2497" s="2">
        <f ca="1"/>
        <v>48.111833193801765</v>
      </c>
      <c r="AG2497" s="2">
        <f ca="1"/>
        <v>0.46494575893220835</v>
      </c>
      <c r="AH2497" s="2" t="str">
        <f ca="1"/>
        <v>Bad</v>
      </c>
    </row>
    <row r="2498" spans="2:34" x14ac:dyDescent="0.2">
      <c r="B2498" s="2">
        <f ca="1"/>
        <v>0.23165933560300322</v>
      </c>
      <c r="O2498" s="2">
        <f ca="1"/>
        <v>1.2720232292704574</v>
      </c>
      <c r="X2498" s="2">
        <f ca="1"/>
        <v>39.429298961668891</v>
      </c>
      <c r="AG2498" s="2">
        <f ca="1"/>
        <v>0.57997000009940303</v>
      </c>
      <c r="AH2498" s="2" t="str">
        <f ca="1"/>
        <v>Bad</v>
      </c>
    </row>
    <row r="2499" spans="2:34" x14ac:dyDescent="0.2">
      <c r="B2499" s="2">
        <f ca="1"/>
        <v>0.79792266109223675</v>
      </c>
      <c r="O2499" s="2">
        <f ca="1"/>
        <v>-1.3380390813870577</v>
      </c>
      <c r="X2499" s="2">
        <f ca="1"/>
        <v>26.657010820619568</v>
      </c>
      <c r="AG2499" s="2">
        <f ca="1"/>
        <v>0.71368893988183446</v>
      </c>
      <c r="AH2499" s="2" t="str">
        <f ca="1"/>
        <v>Bad</v>
      </c>
    </row>
    <row r="2500" spans="2:34" x14ac:dyDescent="0.2">
      <c r="B2500" s="2">
        <f ca="1"/>
        <v>0.56080802809772967</v>
      </c>
      <c r="O2500" s="2">
        <f ca="1"/>
        <v>-1.3814185160456902</v>
      </c>
      <c r="X2500" s="2">
        <f ca="1"/>
        <v>64.376500615421023</v>
      </c>
      <c r="AG2500" s="2">
        <f ca="1"/>
        <v>0.33322398032539025</v>
      </c>
      <c r="AH2500" s="2" t="str">
        <f ca="1"/>
        <v>OK</v>
      </c>
    </row>
    <row r="2501" spans="2:34" x14ac:dyDescent="0.2">
      <c r="B2501" s="2">
        <f ca="1"/>
        <v>0.4022799725096089</v>
      </c>
      <c r="O2501" s="2">
        <f ca="1"/>
        <v>0.17540940277824779</v>
      </c>
      <c r="X2501" s="2">
        <f ca="1"/>
        <v>34.539523070070608</v>
      </c>
      <c r="AG2501" s="2">
        <f ca="1"/>
        <v>1.4758045554519761E-2</v>
      </c>
      <c r="AH2501" s="2" t="str">
        <f ca="1"/>
        <v>Good</v>
      </c>
    </row>
    <row r="2502" spans="2:34" x14ac:dyDescent="0.2">
      <c r="B2502" s="2">
        <f ca="1"/>
        <v>0.98203409497544114</v>
      </c>
      <c r="O2502" s="2">
        <f ca="1"/>
        <v>-0.41079981341678806</v>
      </c>
      <c r="X2502" s="2">
        <f ca="1"/>
        <v>51.960203578374674</v>
      </c>
      <c r="AG2502" s="2">
        <f ca="1"/>
        <v>0.23802622972406229</v>
      </c>
      <c r="AH2502" s="2" t="str">
        <f ca="1"/>
        <v>OK</v>
      </c>
    </row>
    <row r="2503" spans="2:34" x14ac:dyDescent="0.2">
      <c r="B2503" s="2">
        <f ca="1"/>
        <v>0.88896744737534594</v>
      </c>
      <c r="O2503" s="2">
        <f ca="1"/>
        <v>0.64979468472251678</v>
      </c>
      <c r="X2503" s="2">
        <f ca="1"/>
        <v>55.750896234608554</v>
      </c>
      <c r="AG2503" s="2">
        <f ca="1"/>
        <v>0.7375098475352484</v>
      </c>
      <c r="AH2503" s="2" t="str">
        <f ca="1"/>
        <v>Bad</v>
      </c>
    </row>
    <row r="2504" spans="2:34" x14ac:dyDescent="0.2">
      <c r="B2504" s="2">
        <f ca="1"/>
        <v>0.17010391024322624</v>
      </c>
      <c r="O2504" s="2">
        <f ca="1"/>
        <v>-0.81755994193264236</v>
      </c>
      <c r="X2504" s="2">
        <f ca="1"/>
        <v>39.470826198269194</v>
      </c>
      <c r="AG2504" s="2">
        <f ca="1"/>
        <v>0.91699038194578031</v>
      </c>
      <c r="AH2504" s="2" t="str">
        <f ca="1"/>
        <v>Bad</v>
      </c>
    </row>
    <row r="2505" spans="2:34" x14ac:dyDescent="0.2">
      <c r="B2505" s="2">
        <f ca="1"/>
        <v>0.10386859621855526</v>
      </c>
      <c r="O2505" s="2">
        <f ca="1"/>
        <v>1.9715455627549836E-3</v>
      </c>
      <c r="X2505" s="2">
        <f ca="1"/>
        <v>35.728455678623753</v>
      </c>
      <c r="AG2505" s="2">
        <f ca="1"/>
        <v>0.85721646089815406</v>
      </c>
      <c r="AH2505" s="2" t="str">
        <f ca="1"/>
        <v>Bad</v>
      </c>
    </row>
    <row r="2506" spans="2:34" x14ac:dyDescent="0.2">
      <c r="B2506" s="2">
        <f ca="1"/>
        <v>0.76713831226390838</v>
      </c>
      <c r="O2506" s="2">
        <f ca="1"/>
        <v>5.4419898482103712E-2</v>
      </c>
      <c r="X2506" s="2">
        <f ca="1"/>
        <v>78.625015393835426</v>
      </c>
      <c r="AG2506" s="2">
        <f ca="1"/>
        <v>0.29038220867808517</v>
      </c>
      <c r="AH2506" s="2" t="str">
        <f ca="1"/>
        <v>OK</v>
      </c>
    </row>
    <row r="2507" spans="2:34" x14ac:dyDescent="0.2">
      <c r="B2507" s="2">
        <f ca="1"/>
        <v>0.74968563773106323</v>
      </c>
      <c r="O2507" s="2">
        <f ca="1"/>
        <v>-1.1848742358730668</v>
      </c>
      <c r="X2507" s="2">
        <f ca="1"/>
        <v>44.884411595201541</v>
      </c>
      <c r="AG2507" s="2">
        <f ca="1"/>
        <v>0.66533471405605771</v>
      </c>
      <c r="AH2507" s="2" t="str">
        <f ca="1"/>
        <v>Bad</v>
      </c>
    </row>
    <row r="2508" spans="2:34" x14ac:dyDescent="0.2">
      <c r="B2508" s="2">
        <f ca="1"/>
        <v>0.84681142813469501</v>
      </c>
      <c r="O2508" s="2">
        <f ca="1"/>
        <v>1.7061536324272872</v>
      </c>
      <c r="X2508" s="2">
        <f ca="1"/>
        <v>32.31965449052565</v>
      </c>
      <c r="AG2508" s="2">
        <f ca="1"/>
        <v>0.12836359814699727</v>
      </c>
      <c r="AH2508" s="2" t="str">
        <f ca="1"/>
        <v>OK</v>
      </c>
    </row>
    <row r="2509" spans="2:34" x14ac:dyDescent="0.2">
      <c r="B2509" s="2">
        <f ca="1"/>
        <v>0.77505486059907458</v>
      </c>
      <c r="O2509" s="2">
        <f ca="1"/>
        <v>-1.5006706050220397</v>
      </c>
      <c r="X2509" s="2">
        <f ca="1"/>
        <v>53.94036451200612</v>
      </c>
      <c r="AG2509" s="2">
        <f ca="1"/>
        <v>0.91328983717328538</v>
      </c>
      <c r="AH2509" s="2" t="str">
        <f ca="1"/>
        <v>Bad</v>
      </c>
    </row>
    <row r="2510" spans="2:34" x14ac:dyDescent="0.2">
      <c r="B2510" s="2">
        <f ca="1"/>
        <v>0.62821389342435441</v>
      </c>
      <c r="O2510" s="2">
        <f ca="1"/>
        <v>-0.14669249124483547</v>
      </c>
      <c r="X2510" s="2">
        <f ca="1"/>
        <v>32.301895700715392</v>
      </c>
      <c r="AG2510" s="2">
        <f ca="1"/>
        <v>0.44208498562280707</v>
      </c>
      <c r="AH2510" s="2" t="str">
        <f ca="1"/>
        <v>Bad</v>
      </c>
    </row>
    <row r="2511" spans="2:34" x14ac:dyDescent="0.2">
      <c r="B2511" s="2">
        <f ca="1"/>
        <v>7.1598084673614393E-2</v>
      </c>
      <c r="O2511" s="2">
        <f ca="1"/>
        <v>-1.6779543897563971</v>
      </c>
      <c r="X2511" s="2">
        <f ca="1"/>
        <v>39.607178917103248</v>
      </c>
      <c r="AG2511" s="2">
        <f ca="1"/>
        <v>0.23782349039774076</v>
      </c>
      <c r="AH2511" s="2" t="str">
        <f ca="1"/>
        <v>OK</v>
      </c>
    </row>
    <row r="2512" spans="2:34" x14ac:dyDescent="0.2">
      <c r="B2512" s="2">
        <f ca="1"/>
        <v>9.6812892411823892E-2</v>
      </c>
      <c r="O2512" s="2">
        <f ca="1"/>
        <v>-0.13679482497227696</v>
      </c>
      <c r="X2512" s="2">
        <f ca="1"/>
        <v>37.57458561325295</v>
      </c>
      <c r="AG2512" s="2">
        <f ca="1"/>
        <v>0.30906689111345287</v>
      </c>
      <c r="AH2512" s="2" t="str">
        <f ca="1"/>
        <v>OK</v>
      </c>
    </row>
    <row r="2513" spans="2:34" x14ac:dyDescent="0.2">
      <c r="B2513" s="2">
        <f ca="1"/>
        <v>0.44387677662231839</v>
      </c>
      <c r="O2513" s="2">
        <f ca="1"/>
        <v>1.3418831954599353</v>
      </c>
      <c r="X2513" s="2">
        <f ca="1"/>
        <v>23.829377725383438</v>
      </c>
      <c r="AG2513" s="2">
        <f ca="1"/>
        <v>0.31203205541114443</v>
      </c>
      <c r="AH2513" s="2" t="str">
        <f ca="1"/>
        <v>OK</v>
      </c>
    </row>
    <row r="2514" spans="2:34" x14ac:dyDescent="0.2">
      <c r="B2514" s="2">
        <f ca="1"/>
        <v>0.98110532494826885</v>
      </c>
      <c r="O2514" s="2">
        <f ca="1"/>
        <v>5.2880888423844502E-2</v>
      </c>
      <c r="X2514" s="2">
        <f ca="1"/>
        <v>62.904407427634141</v>
      </c>
      <c r="AG2514" s="2">
        <f ca="1"/>
        <v>0.85454624460389406</v>
      </c>
      <c r="AH2514" s="2" t="str">
        <f ca="1"/>
        <v>Bad</v>
      </c>
    </row>
    <row r="2515" spans="2:34" x14ac:dyDescent="0.2">
      <c r="B2515" s="2">
        <f ca="1"/>
        <v>0.7756602180411214</v>
      </c>
      <c r="O2515" s="2">
        <f ca="1"/>
        <v>0.83249982261621958</v>
      </c>
      <c r="X2515" s="2">
        <f ca="1"/>
        <v>85.193658649324448</v>
      </c>
      <c r="AG2515" s="2">
        <f ca="1"/>
        <v>0.83800686226840848</v>
      </c>
      <c r="AH2515" s="2" t="str">
        <f ca="1"/>
        <v>Bad</v>
      </c>
    </row>
    <row r="2516" spans="2:34" x14ac:dyDescent="0.2">
      <c r="B2516" s="2">
        <f ca="1"/>
        <v>0.50361390397515637</v>
      </c>
      <c r="O2516" s="2">
        <f ca="1"/>
        <v>-0.26159354800486528</v>
      </c>
      <c r="X2516" s="2">
        <f ca="1"/>
        <v>74.853047856233687</v>
      </c>
      <c r="AG2516" s="2">
        <f ca="1"/>
        <v>0.12224417923547826</v>
      </c>
      <c r="AH2516" s="2" t="str">
        <f ca="1"/>
        <v>OK</v>
      </c>
    </row>
    <row r="2517" spans="2:34" x14ac:dyDescent="0.2">
      <c r="B2517" s="2">
        <f ca="1"/>
        <v>2.9096784545646015E-2</v>
      </c>
      <c r="O2517" s="2">
        <f ca="1"/>
        <v>0.31404936008605627</v>
      </c>
      <c r="X2517" s="2">
        <f ca="1"/>
        <v>30.173584297896397</v>
      </c>
      <c r="AG2517" s="2">
        <f ca="1"/>
        <v>0.26061705906003496</v>
      </c>
      <c r="AH2517" s="2" t="str">
        <f ca="1"/>
        <v>OK</v>
      </c>
    </row>
    <row r="2518" spans="2:34" x14ac:dyDescent="0.2">
      <c r="B2518" s="2">
        <f ca="1"/>
        <v>7.8211298319885492E-2</v>
      </c>
      <c r="O2518" s="2">
        <f ca="1"/>
        <v>1.3710747252628139</v>
      </c>
      <c r="X2518" s="2">
        <f ca="1"/>
        <v>23.103167883409522</v>
      </c>
      <c r="AG2518" s="2">
        <f ca="1"/>
        <v>0.55590442933377338</v>
      </c>
      <c r="AH2518" s="2" t="str">
        <f ca="1"/>
        <v>Bad</v>
      </c>
    </row>
    <row r="2519" spans="2:34" x14ac:dyDescent="0.2">
      <c r="B2519" s="2">
        <f ca="1"/>
        <v>2.2610575316685422E-2</v>
      </c>
      <c r="O2519" s="2">
        <f ca="1"/>
        <v>-0.26641256749174735</v>
      </c>
      <c r="X2519" s="2">
        <f ca="1"/>
        <v>48.729303791932246</v>
      </c>
      <c r="AG2519" s="2">
        <f ca="1"/>
        <v>0.51655400308678878</v>
      </c>
      <c r="AH2519" s="2" t="str">
        <f ca="1"/>
        <v>Bad</v>
      </c>
    </row>
    <row r="2520" spans="2:34" x14ac:dyDescent="0.2">
      <c r="B2520" s="2">
        <f ca="1"/>
        <v>0.93544732683539578</v>
      </c>
      <c r="O2520" s="2">
        <f ca="1"/>
        <v>0.73843245150157688</v>
      </c>
      <c r="X2520" s="2">
        <f ca="1"/>
        <v>53.096844028050249</v>
      </c>
      <c r="AG2520" s="2">
        <f ca="1"/>
        <v>0.25326734990538324</v>
      </c>
      <c r="AH2520" s="2" t="str">
        <f ca="1"/>
        <v>OK</v>
      </c>
    </row>
    <row r="2521" spans="2:34" x14ac:dyDescent="0.2">
      <c r="B2521" s="2">
        <f ca="1"/>
        <v>0.59700321339030316</v>
      </c>
      <c r="O2521" s="2">
        <f ca="1"/>
        <v>-1.2100108150219731</v>
      </c>
      <c r="X2521" s="2">
        <f ca="1"/>
        <v>30.213896125973552</v>
      </c>
      <c r="AG2521" s="2">
        <f ca="1"/>
        <v>0.37194575298066046</v>
      </c>
      <c r="AH2521" s="2" t="str">
        <f ca="1"/>
        <v>OK</v>
      </c>
    </row>
    <row r="2522" spans="2:34" x14ac:dyDescent="0.2">
      <c r="B2522" s="2">
        <f ca="1"/>
        <v>0.28822429580769704</v>
      </c>
      <c r="O2522" s="2">
        <f ca="1"/>
        <v>-0.10314526492101675</v>
      </c>
      <c r="X2522" s="2">
        <f ca="1"/>
        <v>53.787984790728942</v>
      </c>
      <c r="AG2522" s="2">
        <f ca="1"/>
        <v>0.62660889580526091</v>
      </c>
      <c r="AH2522" s="2" t="str">
        <f ca="1"/>
        <v>Bad</v>
      </c>
    </row>
    <row r="2523" spans="2:34" x14ac:dyDescent="0.2">
      <c r="B2523" s="2">
        <f ca="1"/>
        <v>0.34151064566616873</v>
      </c>
      <c r="O2523" s="2">
        <f ca="1"/>
        <v>-1.5999438868801312</v>
      </c>
      <c r="X2523" s="2">
        <f ca="1"/>
        <v>41.432279453604721</v>
      </c>
      <c r="AG2523" s="2">
        <f ca="1"/>
        <v>6.315847717508305E-2</v>
      </c>
      <c r="AH2523" s="2" t="str">
        <f ca="1"/>
        <v>OK</v>
      </c>
    </row>
    <row r="2524" spans="2:34" x14ac:dyDescent="0.2">
      <c r="B2524" s="2">
        <f ca="1"/>
        <v>5.7441734928083577E-2</v>
      </c>
      <c r="O2524" s="2">
        <f ca="1"/>
        <v>0.82367524528691838</v>
      </c>
      <c r="X2524" s="2">
        <f ca="1"/>
        <v>63.48196478686593</v>
      </c>
      <c r="AG2524" s="2">
        <f ca="1"/>
        <v>1.8061107340880955E-3</v>
      </c>
      <c r="AH2524" s="2" t="str">
        <f ca="1"/>
        <v>Good</v>
      </c>
    </row>
    <row r="2525" spans="2:34" x14ac:dyDescent="0.2">
      <c r="B2525" s="2">
        <f ca="1"/>
        <v>0.8835778480047316</v>
      </c>
      <c r="O2525" s="2">
        <f ca="1"/>
        <v>2.2996278552076936</v>
      </c>
      <c r="X2525" s="2">
        <f ca="1"/>
        <v>54.428432083151641</v>
      </c>
      <c r="AG2525" s="2">
        <f ca="1"/>
        <v>0.20959035745980059</v>
      </c>
      <c r="AH2525" s="2" t="str">
        <f ca="1"/>
        <v>OK</v>
      </c>
    </row>
    <row r="2526" spans="2:34" x14ac:dyDescent="0.2">
      <c r="B2526" s="2">
        <f ca="1"/>
        <v>0.59298003149995604</v>
      </c>
      <c r="O2526" s="2">
        <f ca="1"/>
        <v>-1.0380278491625285</v>
      </c>
      <c r="X2526" s="2">
        <f ca="1"/>
        <v>40.839339275815519</v>
      </c>
      <c r="AG2526" s="2">
        <f ca="1"/>
        <v>0.66652183310377633</v>
      </c>
      <c r="AH2526" s="2" t="str">
        <f ca="1"/>
        <v>Bad</v>
      </c>
    </row>
    <row r="2527" spans="2:34" x14ac:dyDescent="0.2">
      <c r="B2527" s="2">
        <f ca="1"/>
        <v>0.25893923789682116</v>
      </c>
      <c r="O2527" s="2">
        <f ca="1"/>
        <v>0.4195573281554365</v>
      </c>
      <c r="X2527" s="2">
        <f ca="1"/>
        <v>53.545718288396138</v>
      </c>
      <c r="AG2527" s="2">
        <f ca="1"/>
        <v>0.16474199361302433</v>
      </c>
      <c r="AH2527" s="2" t="str">
        <f ca="1"/>
        <v>OK</v>
      </c>
    </row>
    <row r="2528" spans="2:34" x14ac:dyDescent="0.2">
      <c r="B2528" s="2">
        <f ca="1"/>
        <v>5.2940190074015847E-2</v>
      </c>
      <c r="O2528" s="2">
        <f ca="1"/>
        <v>-0.37164551834002502</v>
      </c>
      <c r="X2528" s="2">
        <f ca="1"/>
        <v>42.450715396290647</v>
      </c>
      <c r="AG2528" s="2">
        <f ca="1"/>
        <v>0.39930123893640657</v>
      </c>
      <c r="AH2528" s="2" t="str">
        <f ca="1"/>
        <v>OK</v>
      </c>
    </row>
    <row r="2529" spans="2:34" x14ac:dyDescent="0.2">
      <c r="B2529" s="2">
        <f ca="1"/>
        <v>0.65326083767349274</v>
      </c>
      <c r="O2529" s="2">
        <f ca="1"/>
        <v>-0.82111505360288961</v>
      </c>
      <c r="X2529" s="2">
        <f ca="1"/>
        <v>49.943101846661975</v>
      </c>
      <c r="AG2529" s="2">
        <f ca="1"/>
        <v>0.90355129598750805</v>
      </c>
      <c r="AH2529" s="2" t="str">
        <f ca="1"/>
        <v>Bad</v>
      </c>
    </row>
    <row r="2530" spans="2:34" x14ac:dyDescent="0.2">
      <c r="B2530" s="2">
        <f ca="1"/>
        <v>0.23295792522706327</v>
      </c>
      <c r="O2530" s="2">
        <f ca="1"/>
        <v>-1.0850291113269344</v>
      </c>
      <c r="X2530" s="2">
        <f ca="1"/>
        <v>29.355184347770589</v>
      </c>
      <c r="AG2530" s="2">
        <f ca="1"/>
        <v>0.52987259148066967</v>
      </c>
      <c r="AH2530" s="2" t="str">
        <f ca="1"/>
        <v>Bad</v>
      </c>
    </row>
    <row r="2531" spans="2:34" x14ac:dyDescent="0.2">
      <c r="B2531" s="2">
        <f ca="1"/>
        <v>0.38492808388056954</v>
      </c>
      <c r="O2531" s="2">
        <f ca="1"/>
        <v>0.60597900981881592</v>
      </c>
      <c r="X2531" s="2">
        <f ca="1"/>
        <v>38.886197827498663</v>
      </c>
      <c r="AG2531" s="2">
        <f ca="1"/>
        <v>0.83170261153006297</v>
      </c>
      <c r="AH2531" s="2" t="str">
        <f ca="1"/>
        <v>Bad</v>
      </c>
    </row>
    <row r="2532" spans="2:34" x14ac:dyDescent="0.2">
      <c r="B2532" s="2">
        <f ca="1"/>
        <v>0.3834272903245306</v>
      </c>
      <c r="O2532" s="2">
        <f ca="1"/>
        <v>-0.17814239240666352</v>
      </c>
      <c r="X2532" s="2">
        <f ca="1"/>
        <v>54.536493629466491</v>
      </c>
      <c r="AG2532" s="2">
        <f ca="1"/>
        <v>9.9722140498208267E-2</v>
      </c>
      <c r="AH2532" s="2" t="str">
        <f ca="1"/>
        <v>OK</v>
      </c>
    </row>
    <row r="2533" spans="2:34" x14ac:dyDescent="0.2">
      <c r="B2533" s="2">
        <f ca="1"/>
        <v>0.29777150488410786</v>
      </c>
      <c r="O2533" s="2">
        <f ca="1"/>
        <v>-2.0193223764317105</v>
      </c>
      <c r="X2533" s="2">
        <f ca="1"/>
        <v>32.300020520037499</v>
      </c>
      <c r="AG2533" s="2">
        <f ca="1"/>
        <v>0.27159785582358076</v>
      </c>
      <c r="AH2533" s="2" t="str">
        <f ca="1"/>
        <v>OK</v>
      </c>
    </row>
    <row r="2534" spans="2:34" x14ac:dyDescent="0.2">
      <c r="B2534" s="2">
        <f ca="1"/>
        <v>0.82063500111204712</v>
      </c>
      <c r="O2534" s="2">
        <f ca="1"/>
        <v>-0.90618174747307134</v>
      </c>
      <c r="X2534" s="2">
        <f ca="1"/>
        <v>48.506767710652923</v>
      </c>
      <c r="AG2534" s="2">
        <f ca="1"/>
        <v>3.9422366077777937E-2</v>
      </c>
      <c r="AH2534" s="2" t="str">
        <f ca="1"/>
        <v>Good</v>
      </c>
    </row>
    <row r="2535" spans="2:34" x14ac:dyDescent="0.2">
      <c r="B2535" s="2">
        <f ca="1"/>
        <v>0.20061625463064647</v>
      </c>
      <c r="O2535" s="2">
        <f ca="1"/>
        <v>4.0833506796332936E-2</v>
      </c>
      <c r="X2535" s="2">
        <f ca="1"/>
        <v>60.230661217515276</v>
      </c>
      <c r="AG2535" s="2">
        <f ca="1"/>
        <v>0.62288333588856992</v>
      </c>
      <c r="AH2535" s="2" t="str">
        <f ca="1"/>
        <v>Bad</v>
      </c>
    </row>
    <row r="2536" spans="2:34" x14ac:dyDescent="0.2">
      <c r="B2536" s="2">
        <f ca="1"/>
        <v>0.50983134154322785</v>
      </c>
      <c r="O2536" s="2">
        <f ca="1"/>
        <v>-1.308647807780231</v>
      </c>
      <c r="X2536" s="2">
        <f ca="1"/>
        <v>65.616213960270457</v>
      </c>
      <c r="AG2536" s="2">
        <f ca="1"/>
        <v>0.60251566622965202</v>
      </c>
      <c r="AH2536" s="2" t="str">
        <f ca="1"/>
        <v>Bad</v>
      </c>
    </row>
    <row r="2537" spans="2:34" x14ac:dyDescent="0.2">
      <c r="B2537" s="2">
        <f ca="1"/>
        <v>3.0960663576633962E-2</v>
      </c>
      <c r="O2537" s="2">
        <f ca="1"/>
        <v>-1.7526563551933656</v>
      </c>
      <c r="X2537" s="2">
        <f ca="1"/>
        <v>42.060894200750909</v>
      </c>
      <c r="AG2537" s="2">
        <f ca="1"/>
        <v>0.1040310927235748</v>
      </c>
      <c r="AH2537" s="2" t="str">
        <f ca="1"/>
        <v>OK</v>
      </c>
    </row>
    <row r="2538" spans="2:34" x14ac:dyDescent="0.2">
      <c r="B2538" s="2">
        <f ca="1"/>
        <v>0.15968192975016415</v>
      </c>
      <c r="O2538" s="2">
        <f ca="1"/>
        <v>2.0894258054129917</v>
      </c>
      <c r="X2538" s="2">
        <f ca="1"/>
        <v>42.015016406925525</v>
      </c>
      <c r="AG2538" s="2">
        <f ca="1"/>
        <v>0.23720444766756565</v>
      </c>
      <c r="AH2538" s="2" t="str">
        <f ca="1"/>
        <v>OK</v>
      </c>
    </row>
    <row r="2539" spans="2:34" x14ac:dyDescent="0.2">
      <c r="B2539" s="2">
        <f ca="1"/>
        <v>0.33697494452660637</v>
      </c>
      <c r="O2539" s="2">
        <f ca="1"/>
        <v>-1.4869481994802722</v>
      </c>
      <c r="X2539" s="2">
        <f ca="1"/>
        <v>64.393556023384079</v>
      </c>
      <c r="AG2539" s="2">
        <f ca="1"/>
        <v>3.1593300434407112E-4</v>
      </c>
      <c r="AH2539" s="2" t="str">
        <f ca="1"/>
        <v>Good</v>
      </c>
    </row>
    <row r="2540" spans="2:34" x14ac:dyDescent="0.2">
      <c r="B2540" s="2">
        <f ca="1"/>
        <v>0.59549514424703043</v>
      </c>
      <c r="O2540" s="2">
        <f ca="1"/>
        <v>-8.674068734690682E-2</v>
      </c>
      <c r="X2540" s="2">
        <f ca="1"/>
        <v>54.421914674785071</v>
      </c>
      <c r="AG2540" s="2">
        <f ca="1"/>
        <v>0.38015542624586818</v>
      </c>
      <c r="AH2540" s="2" t="str">
        <f ca="1"/>
        <v>OK</v>
      </c>
    </row>
    <row r="2541" spans="2:34" x14ac:dyDescent="0.2">
      <c r="B2541" s="2">
        <f ca="1"/>
        <v>0.57563798810340705</v>
      </c>
      <c r="O2541" s="2">
        <f ca="1"/>
        <v>-0.36180061433744926</v>
      </c>
      <c r="X2541" s="2">
        <f ca="1"/>
        <v>23.39510996654024</v>
      </c>
      <c r="AG2541" s="2">
        <f ca="1"/>
        <v>0.78942866896697317</v>
      </c>
      <c r="AH2541" s="2" t="str">
        <f ca="1"/>
        <v>Bad</v>
      </c>
    </row>
    <row r="2542" spans="2:34" x14ac:dyDescent="0.2">
      <c r="B2542" s="2">
        <f ca="1"/>
        <v>0.70073545992528041</v>
      </c>
      <c r="O2542" s="2">
        <f ca="1"/>
        <v>-0.44589636921048614</v>
      </c>
      <c r="X2542" s="2">
        <f ca="1"/>
        <v>46.011998975165575</v>
      </c>
      <c r="AG2542" s="2">
        <f ca="1"/>
        <v>0.63465737626354968</v>
      </c>
      <c r="AH2542" s="2" t="str">
        <f ca="1"/>
        <v>Bad</v>
      </c>
    </row>
    <row r="2543" spans="2:34" x14ac:dyDescent="0.2">
      <c r="B2543" s="2">
        <f ca="1"/>
        <v>0.3963588652482557</v>
      </c>
      <c r="O2543" s="2">
        <f ca="1"/>
        <v>1.606683911013572</v>
      </c>
      <c r="X2543" s="2">
        <f ca="1"/>
        <v>19.483863428104268</v>
      </c>
      <c r="AG2543" s="2">
        <f ca="1"/>
        <v>0.71951214928332052</v>
      </c>
      <c r="AH2543" s="2" t="str">
        <f ca="1"/>
        <v>Bad</v>
      </c>
    </row>
    <row r="2544" spans="2:34" x14ac:dyDescent="0.2">
      <c r="B2544" s="2">
        <f ca="1"/>
        <v>0.94960566268069679</v>
      </c>
      <c r="O2544" s="2">
        <f ca="1"/>
        <v>1.0099133543354752</v>
      </c>
      <c r="X2544" s="2">
        <f ca="1"/>
        <v>48.309914453561582</v>
      </c>
      <c r="AG2544" s="2">
        <f ca="1"/>
        <v>0.1776362971924379</v>
      </c>
      <c r="AH2544" s="2" t="str">
        <f ca="1"/>
        <v>OK</v>
      </c>
    </row>
    <row r="2545" spans="2:34" x14ac:dyDescent="0.2">
      <c r="B2545" s="2">
        <f ca="1"/>
        <v>0.24341902863511566</v>
      </c>
      <c r="O2545" s="2">
        <f ca="1"/>
        <v>-0.58497915787123245</v>
      </c>
      <c r="X2545" s="2">
        <f ca="1"/>
        <v>75.231064380771684</v>
      </c>
      <c r="AG2545" s="2">
        <f ca="1"/>
        <v>0.38712734054682785</v>
      </c>
      <c r="AH2545" s="2" t="str">
        <f ca="1"/>
        <v>OK</v>
      </c>
    </row>
    <row r="2546" spans="2:34" x14ac:dyDescent="0.2">
      <c r="B2546" s="2">
        <f ca="1"/>
        <v>0.63570678170994688</v>
      </c>
      <c r="O2546" s="2">
        <f ca="1"/>
        <v>0.15721677921035726</v>
      </c>
      <c r="X2546" s="2">
        <f ca="1"/>
        <v>85.864161700900951</v>
      </c>
      <c r="AG2546" s="2">
        <f ca="1"/>
        <v>0.11071621569042822</v>
      </c>
      <c r="AH2546" s="2" t="str">
        <f ca="1"/>
        <v>OK</v>
      </c>
    </row>
    <row r="2547" spans="2:34" x14ac:dyDescent="0.2">
      <c r="B2547" s="2">
        <f ca="1"/>
        <v>0.1361097945360199</v>
      </c>
      <c r="O2547" s="2">
        <f ca="1"/>
        <v>-0.31331987472579043</v>
      </c>
      <c r="X2547" s="2">
        <f ca="1"/>
        <v>64.194113531601744</v>
      </c>
      <c r="AG2547" s="2">
        <f ca="1"/>
        <v>8.4371968131069064E-2</v>
      </c>
      <c r="AH2547" s="2" t="str">
        <f ca="1"/>
        <v>OK</v>
      </c>
    </row>
    <row r="2548" spans="2:34" x14ac:dyDescent="0.2">
      <c r="B2548" s="2">
        <f ca="1"/>
        <v>5.9155947962850064E-2</v>
      </c>
      <c r="O2548" s="2">
        <f ca="1"/>
        <v>-0.53978244708217227</v>
      </c>
      <c r="X2548" s="2">
        <f ca="1"/>
        <v>46.561599168511655</v>
      </c>
      <c r="AG2548" s="2">
        <f ca="1"/>
        <v>0.62351611239103799</v>
      </c>
      <c r="AH2548" s="2" t="str">
        <f ca="1"/>
        <v>Bad</v>
      </c>
    </row>
    <row r="2549" spans="2:34" x14ac:dyDescent="0.2">
      <c r="B2549" s="2">
        <f ca="1"/>
        <v>2.5692445451854784E-2</v>
      </c>
      <c r="O2549" s="2">
        <f ca="1"/>
        <v>0.53392755621294063</v>
      </c>
      <c r="X2549" s="2">
        <f ca="1"/>
        <v>16.059420536493811</v>
      </c>
      <c r="AG2549" s="2">
        <f ca="1"/>
        <v>0.95366234015845497</v>
      </c>
      <c r="AH2549" s="2" t="str">
        <f ca="1"/>
        <v>Bad</v>
      </c>
    </row>
    <row r="2550" spans="2:34" x14ac:dyDescent="0.2">
      <c r="B2550" s="2">
        <f ca="1"/>
        <v>0.77426907503483866</v>
      </c>
      <c r="O2550" s="2">
        <f ca="1"/>
        <v>1.1699548819718741</v>
      </c>
      <c r="X2550" s="2">
        <f ca="1"/>
        <v>28.441249898653073</v>
      </c>
      <c r="AG2550" s="2">
        <f ca="1"/>
        <v>0.1611246821675576</v>
      </c>
      <c r="AH2550" s="2" t="str">
        <f ca="1"/>
        <v>OK</v>
      </c>
    </row>
    <row r="2551" spans="2:34" x14ac:dyDescent="0.2">
      <c r="B2551" s="2">
        <f ca="1"/>
        <v>0.18707242365101195</v>
      </c>
      <c r="O2551" s="2">
        <f ca="1"/>
        <v>2.1009905789451548</v>
      </c>
      <c r="X2551" s="2">
        <f ca="1"/>
        <v>57.220097021557493</v>
      </c>
      <c r="AG2551" s="2">
        <f ca="1"/>
        <v>0.90732374240629987</v>
      </c>
      <c r="AH2551" s="2" t="str">
        <f ca="1"/>
        <v>Bad</v>
      </c>
    </row>
    <row r="2552" spans="2:34" x14ac:dyDescent="0.2">
      <c r="B2552" s="2">
        <f ca="1"/>
        <v>0.58694188716819262</v>
      </c>
      <c r="O2552" s="2">
        <f ca="1"/>
        <v>0.40696097828635897</v>
      </c>
      <c r="X2552" s="2">
        <f ca="1"/>
        <v>25.773023800963539</v>
      </c>
      <c r="AG2552" s="2">
        <f ca="1"/>
        <v>0.85342832676563485</v>
      </c>
      <c r="AH2552" s="2" t="str">
        <f ca="1"/>
        <v>Bad</v>
      </c>
    </row>
    <row r="2553" spans="2:34" x14ac:dyDescent="0.2">
      <c r="B2553" s="2">
        <f ca="1"/>
        <v>0.92111279500024534</v>
      </c>
      <c r="O2553" s="2">
        <f ca="1"/>
        <v>0.66465708961747816</v>
      </c>
      <c r="X2553" s="2">
        <f ca="1"/>
        <v>41.411756009447643</v>
      </c>
      <c r="AG2553" s="2">
        <f ca="1"/>
        <v>0.41324836176603696</v>
      </c>
      <c r="AH2553" s="2" t="str">
        <f ca="1"/>
        <v>Bad</v>
      </c>
    </row>
    <row r="2554" spans="2:34" x14ac:dyDescent="0.2">
      <c r="B2554" s="2">
        <f ca="1"/>
        <v>1.5774330844455564E-2</v>
      </c>
      <c r="O2554" s="2">
        <f ca="1"/>
        <v>1.2164270228410186</v>
      </c>
      <c r="X2554" s="2">
        <f ca="1"/>
        <v>106.84953673712224</v>
      </c>
      <c r="AG2554" s="2">
        <f ca="1"/>
        <v>0.37169905384324076</v>
      </c>
      <c r="AH2554" s="2" t="str">
        <f ca="1"/>
        <v>OK</v>
      </c>
    </row>
    <row r="2555" spans="2:34" x14ac:dyDescent="0.2">
      <c r="B2555" s="2">
        <f ca="1"/>
        <v>0.72274381305549973</v>
      </c>
      <c r="O2555" s="2">
        <f ca="1"/>
        <v>-0.53353640195330765</v>
      </c>
      <c r="X2555" s="2">
        <f ca="1"/>
        <v>81.364969655029171</v>
      </c>
      <c r="AG2555" s="2">
        <f ca="1"/>
        <v>0.42517141065629094</v>
      </c>
      <c r="AH2555" s="2" t="str">
        <f ca="1"/>
        <v>Bad</v>
      </c>
    </row>
    <row r="2556" spans="2:34" x14ac:dyDescent="0.2">
      <c r="B2556" s="2">
        <f ca="1"/>
        <v>0.44533018063196828</v>
      </c>
      <c r="O2556" s="2">
        <f ca="1"/>
        <v>-0.72633907196128666</v>
      </c>
      <c r="X2556" s="2">
        <f ca="1"/>
        <v>69.688657195074157</v>
      </c>
      <c r="AG2556" s="2">
        <f ca="1"/>
        <v>0.37015857249422357</v>
      </c>
      <c r="AH2556" s="2" t="str">
        <f ca="1"/>
        <v>OK</v>
      </c>
    </row>
    <row r="2557" spans="2:34" x14ac:dyDescent="0.2">
      <c r="B2557" s="2">
        <f ca="1"/>
        <v>0.34956187013941209</v>
      </c>
      <c r="O2557" s="2">
        <f ca="1"/>
        <v>-0.97315585786566794</v>
      </c>
      <c r="X2557" s="2">
        <f ca="1"/>
        <v>66.809967540653531</v>
      </c>
      <c r="AG2557" s="2">
        <f ca="1"/>
        <v>0.70863726550434647</v>
      </c>
      <c r="AH2557" s="2" t="str">
        <f ca="1"/>
        <v>Bad</v>
      </c>
    </row>
    <row r="2558" spans="2:34" x14ac:dyDescent="0.2">
      <c r="B2558" s="2">
        <f ca="1"/>
        <v>0.50957651152176764</v>
      </c>
      <c r="O2558" s="2">
        <f ca="1"/>
        <v>-1.6622700965769333E-2</v>
      </c>
      <c r="X2558" s="2">
        <f ca="1"/>
        <v>34.360518037703031</v>
      </c>
      <c r="AG2558" s="2">
        <f ca="1"/>
        <v>0.85038299013517804</v>
      </c>
      <c r="AH2558" s="2" t="str">
        <f ca="1"/>
        <v>Bad</v>
      </c>
    </row>
    <row r="2559" spans="2:34" x14ac:dyDescent="0.2">
      <c r="B2559" s="2">
        <f ca="1"/>
        <v>0.18964631727560688</v>
      </c>
      <c r="O2559" s="2">
        <f ca="1"/>
        <v>-0.25553876979528106</v>
      </c>
      <c r="X2559" s="2">
        <f ca="1"/>
        <v>95.646443691112239</v>
      </c>
      <c r="AG2559" s="2">
        <f ca="1"/>
        <v>0.43525411503810463</v>
      </c>
      <c r="AH2559" s="2" t="str">
        <f ca="1"/>
        <v>Bad</v>
      </c>
    </row>
    <row r="2560" spans="2:34" x14ac:dyDescent="0.2">
      <c r="B2560" s="2">
        <f ca="1"/>
        <v>0.81835845918222927</v>
      </c>
      <c r="O2560" s="2">
        <f ca="1"/>
        <v>-0.61032673504168855</v>
      </c>
      <c r="X2560" s="2">
        <f ca="1"/>
        <v>45.510567477603992</v>
      </c>
      <c r="AG2560" s="2">
        <f ca="1"/>
        <v>0.7629881296259331</v>
      </c>
      <c r="AH2560" s="2" t="str">
        <f ca="1"/>
        <v>Bad</v>
      </c>
    </row>
    <row r="2561" spans="2:34" x14ac:dyDescent="0.2">
      <c r="B2561" s="2">
        <f ca="1"/>
        <v>0.43372866329872095</v>
      </c>
      <c r="O2561" s="2">
        <f ca="1"/>
        <v>3.3556282683408628E-2</v>
      </c>
      <c r="X2561" s="2">
        <f ca="1"/>
        <v>73.022487288989907</v>
      </c>
      <c r="AG2561" s="2">
        <f ca="1"/>
        <v>4.3276751617802312E-3</v>
      </c>
      <c r="AH2561" s="2" t="str">
        <f ca="1"/>
        <v>Good</v>
      </c>
    </row>
    <row r="2562" spans="2:34" x14ac:dyDescent="0.2">
      <c r="B2562" s="2">
        <f ca="1"/>
        <v>0.69179788436022327</v>
      </c>
      <c r="O2562" s="2">
        <f ca="1"/>
        <v>-1.2296437866735055</v>
      </c>
      <c r="X2562" s="2">
        <f ca="1"/>
        <v>65.595588658377423</v>
      </c>
      <c r="AG2562" s="2">
        <f ca="1"/>
        <v>0.50241746693072087</v>
      </c>
      <c r="AH2562" s="2" t="str">
        <f ca="1"/>
        <v>Bad</v>
      </c>
    </row>
    <row r="2563" spans="2:34" x14ac:dyDescent="0.2">
      <c r="B2563" s="2">
        <f ca="1"/>
        <v>0.87783613226428381</v>
      </c>
      <c r="O2563" s="2">
        <f ca="1"/>
        <v>0.54162408793395866</v>
      </c>
      <c r="X2563" s="2">
        <f ca="1"/>
        <v>38.886068531479879</v>
      </c>
      <c r="AG2563" s="2">
        <f ca="1"/>
        <v>0.965715336128671</v>
      </c>
      <c r="AH2563" s="2" t="str">
        <f ca="1"/>
        <v>Bad</v>
      </c>
    </row>
    <row r="2564" spans="2:34" x14ac:dyDescent="0.2">
      <c r="B2564" s="2">
        <f ca="1"/>
        <v>0.27878994636544041</v>
      </c>
      <c r="O2564" s="2">
        <f ca="1"/>
        <v>-0.33663433327289888</v>
      </c>
      <c r="X2564" s="2">
        <f ca="1"/>
        <v>55.44797841249347</v>
      </c>
      <c r="AG2564" s="2">
        <f ca="1"/>
        <v>0.91777655150165272</v>
      </c>
      <c r="AH2564" s="2" t="str">
        <f ca="1"/>
        <v>Bad</v>
      </c>
    </row>
    <row r="2565" spans="2:34" x14ac:dyDescent="0.2">
      <c r="B2565" s="2">
        <f ca="1"/>
        <v>0.433847184121114</v>
      </c>
      <c r="O2565" s="2">
        <f ca="1"/>
        <v>-1.3185656023141645</v>
      </c>
      <c r="X2565" s="2">
        <f ca="1"/>
        <v>18.679190290468647</v>
      </c>
      <c r="AG2565" s="2">
        <f ca="1"/>
        <v>0.10100078570555038</v>
      </c>
      <c r="AH2565" s="2" t="str">
        <f ca="1"/>
        <v>OK</v>
      </c>
    </row>
    <row r="2566" spans="2:34" x14ac:dyDescent="0.2">
      <c r="B2566" s="2">
        <f ca="1"/>
        <v>0.65569490943904585</v>
      </c>
      <c r="O2566" s="2">
        <f ca="1"/>
        <v>-0.47441378396048867</v>
      </c>
      <c r="X2566" s="2">
        <f ca="1"/>
        <v>25.028594150122689</v>
      </c>
      <c r="AG2566" s="2">
        <f ca="1"/>
        <v>0.50584147181310346</v>
      </c>
      <c r="AH2566" s="2" t="str">
        <f ca="1"/>
        <v>Bad</v>
      </c>
    </row>
    <row r="2567" spans="2:34" x14ac:dyDescent="0.2">
      <c r="B2567" s="2">
        <f ca="1"/>
        <v>0.7154500750876942</v>
      </c>
      <c r="O2567" s="2">
        <f ca="1"/>
        <v>1.9560612077287238</v>
      </c>
      <c r="X2567" s="2">
        <f ca="1"/>
        <v>52.179021416962151</v>
      </c>
      <c r="AG2567" s="2">
        <f ca="1"/>
        <v>0.79631823240492916</v>
      </c>
      <c r="AH2567" s="2" t="str">
        <f ca="1"/>
        <v>Bad</v>
      </c>
    </row>
    <row r="2568" spans="2:34" x14ac:dyDescent="0.2">
      <c r="B2568" s="2">
        <f ca="1"/>
        <v>0.23715248429773506</v>
      </c>
      <c r="O2568" s="2">
        <f ca="1"/>
        <v>-0.64026376425988596</v>
      </c>
      <c r="X2568" s="2">
        <f ca="1"/>
        <v>50.896993156529078</v>
      </c>
      <c r="AG2568" s="2">
        <f ca="1"/>
        <v>0.42540000523229415</v>
      </c>
      <c r="AH2568" s="2" t="str">
        <f ca="1"/>
        <v>Bad</v>
      </c>
    </row>
    <row r="2569" spans="2:34" x14ac:dyDescent="0.2">
      <c r="B2569" s="2">
        <f ca="1"/>
        <v>0.54579686177896081</v>
      </c>
      <c r="O2569" s="2">
        <f ca="1"/>
        <v>-0.94694240674167895</v>
      </c>
      <c r="X2569" s="2">
        <f ca="1"/>
        <v>40.128797842500319</v>
      </c>
      <c r="AG2569" s="2">
        <f ca="1"/>
        <v>0.55305503583228011</v>
      </c>
      <c r="AH2569" s="2" t="str">
        <f ca="1"/>
        <v>Bad</v>
      </c>
    </row>
    <row r="2570" spans="2:34" x14ac:dyDescent="0.2">
      <c r="B2570" s="2">
        <f ca="1"/>
        <v>0.22905415459494294</v>
      </c>
      <c r="O2570" s="2">
        <f ca="1"/>
        <v>-0.68803842474757149</v>
      </c>
      <c r="X2570" s="2">
        <f ca="1"/>
        <v>61.423685116408599</v>
      </c>
      <c r="AG2570" s="2">
        <f ca="1"/>
        <v>0.80441007608952297</v>
      </c>
      <c r="AH2570" s="2" t="str">
        <f ca="1"/>
        <v>Bad</v>
      </c>
    </row>
    <row r="2571" spans="2:34" x14ac:dyDescent="0.2">
      <c r="B2571" s="2">
        <f ca="1"/>
        <v>0.62760154855204231</v>
      </c>
      <c r="O2571" s="2">
        <f ca="1"/>
        <v>0.95291943906187915</v>
      </c>
      <c r="X2571" s="2">
        <f ca="1"/>
        <v>39.395151969509897</v>
      </c>
      <c r="AG2571" s="2">
        <f ca="1"/>
        <v>0.76567158108063715</v>
      </c>
      <c r="AH2571" s="2" t="str">
        <f ca="1"/>
        <v>Bad</v>
      </c>
    </row>
    <row r="2572" spans="2:34" x14ac:dyDescent="0.2">
      <c r="B2572" s="2">
        <f ca="1"/>
        <v>0.94336575729838068</v>
      </c>
      <c r="O2572" s="2">
        <f ca="1"/>
        <v>-1.7773950762684274</v>
      </c>
      <c r="X2572" s="2">
        <f ca="1"/>
        <v>52.178153560101563</v>
      </c>
      <c r="AG2572" s="2">
        <f ca="1"/>
        <v>0.87227233458840936</v>
      </c>
      <c r="AH2572" s="2" t="str">
        <f ca="1"/>
        <v>Bad</v>
      </c>
    </row>
    <row r="2573" spans="2:34" x14ac:dyDescent="0.2">
      <c r="B2573" s="2">
        <f ca="1"/>
        <v>0.63381046529821727</v>
      </c>
      <c r="O2573" s="2">
        <f ca="1"/>
        <v>-0.82344688181721559</v>
      </c>
      <c r="X2573" s="2">
        <f ca="1"/>
        <v>58.127037554953688</v>
      </c>
      <c r="AG2573" s="2">
        <f ca="1"/>
        <v>0.34553536092609383</v>
      </c>
      <c r="AH2573" s="2" t="str">
        <f ca="1"/>
        <v>OK</v>
      </c>
    </row>
    <row r="2574" spans="2:34" x14ac:dyDescent="0.2">
      <c r="B2574" s="2">
        <f ca="1"/>
        <v>0.5857799851449661</v>
      </c>
      <c r="O2574" s="2">
        <f ca="1"/>
        <v>-0.95237796287444398</v>
      </c>
      <c r="X2574" s="2">
        <f ca="1"/>
        <v>37.2912277330352</v>
      </c>
      <c r="AG2574" s="2">
        <f ca="1"/>
        <v>3.8091324109011726E-2</v>
      </c>
      <c r="AH2574" s="2" t="str">
        <f ca="1"/>
        <v>Good</v>
      </c>
    </row>
    <row r="2575" spans="2:34" x14ac:dyDescent="0.2">
      <c r="B2575" s="2">
        <f ca="1"/>
        <v>0.53044983035979087</v>
      </c>
      <c r="O2575" s="2">
        <f ca="1"/>
        <v>-0.22348970801776616</v>
      </c>
      <c r="X2575" s="2">
        <f ca="1"/>
        <v>70.072736535470042</v>
      </c>
      <c r="AG2575" s="2">
        <f ca="1"/>
        <v>0.44311639976170758</v>
      </c>
      <c r="AH2575" s="2" t="str">
        <f ca="1"/>
        <v>Bad</v>
      </c>
    </row>
    <row r="2576" spans="2:34" x14ac:dyDescent="0.2">
      <c r="B2576" s="2">
        <f ca="1"/>
        <v>0.14913552390873686</v>
      </c>
      <c r="O2576" s="2">
        <f ca="1"/>
        <v>-1.2076892278480325</v>
      </c>
      <c r="X2576" s="2">
        <f ca="1"/>
        <v>58.693871527000987</v>
      </c>
      <c r="AG2576" s="2">
        <f ca="1"/>
        <v>0.22309381444339293</v>
      </c>
      <c r="AH2576" s="2" t="str">
        <f ca="1"/>
        <v>OK</v>
      </c>
    </row>
    <row r="2577" spans="2:34" x14ac:dyDescent="0.2">
      <c r="B2577" s="2">
        <f ca="1"/>
        <v>0.81138786513493755</v>
      </c>
      <c r="O2577" s="2">
        <f ca="1"/>
        <v>-0.4799986993477125</v>
      </c>
      <c r="X2577" s="2">
        <f ca="1"/>
        <v>50.01964181923816</v>
      </c>
      <c r="AG2577" s="2">
        <f ca="1"/>
        <v>0.29288108770580679</v>
      </c>
      <c r="AH2577" s="2" t="str">
        <f ca="1"/>
        <v>OK</v>
      </c>
    </row>
    <row r="2578" spans="2:34" x14ac:dyDescent="0.2">
      <c r="B2578" s="2">
        <f ca="1"/>
        <v>0.30696752480362521</v>
      </c>
      <c r="O2578" s="2">
        <f ca="1"/>
        <v>-9.5697239728875796E-2</v>
      </c>
      <c r="X2578" s="2">
        <f ca="1"/>
        <v>41.981898040613189</v>
      </c>
      <c r="AG2578" s="2">
        <f ca="1"/>
        <v>0.45577252994901452</v>
      </c>
      <c r="AH2578" s="2" t="str">
        <f ca="1"/>
        <v>Bad</v>
      </c>
    </row>
    <row r="2579" spans="2:34" x14ac:dyDescent="0.2">
      <c r="B2579" s="2">
        <f ca="1"/>
        <v>0.84833297290496668</v>
      </c>
      <c r="O2579" s="2">
        <f ca="1"/>
        <v>-2.0344137215643334</v>
      </c>
      <c r="X2579" s="2">
        <f ca="1"/>
        <v>49.165980667735511</v>
      </c>
      <c r="AG2579" s="2">
        <f ca="1"/>
        <v>0.26952124019960144</v>
      </c>
      <c r="AH2579" s="2" t="str">
        <f ca="1"/>
        <v>OK</v>
      </c>
    </row>
    <row r="2580" spans="2:34" x14ac:dyDescent="0.2">
      <c r="B2580" s="2">
        <f ca="1"/>
        <v>0.33081617451889977</v>
      </c>
      <c r="O2580" s="2">
        <f ca="1"/>
        <v>0.11457884356505196</v>
      </c>
      <c r="X2580" s="2">
        <f ca="1"/>
        <v>56.469525497444479</v>
      </c>
      <c r="AG2580" s="2">
        <f ca="1"/>
        <v>0.85936978621960591</v>
      </c>
      <c r="AH2580" s="2" t="str">
        <f ca="1"/>
        <v>Bad</v>
      </c>
    </row>
    <row r="2581" spans="2:34" x14ac:dyDescent="0.2">
      <c r="B2581" s="2">
        <f ca="1"/>
        <v>0.16355122240777553</v>
      </c>
      <c r="O2581" s="2">
        <f ca="1"/>
        <v>0.66873077164618733</v>
      </c>
      <c r="X2581" s="2">
        <f ca="1"/>
        <v>39.927877226705604</v>
      </c>
      <c r="AG2581" s="2">
        <f ca="1"/>
        <v>0.4236748985786627</v>
      </c>
      <c r="AH2581" s="2" t="str">
        <f ca="1"/>
        <v>Bad</v>
      </c>
    </row>
    <row r="2582" spans="2:34" x14ac:dyDescent="0.2">
      <c r="B2582" s="2">
        <f ca="1"/>
        <v>0.33571320951679628</v>
      </c>
      <c r="O2582" s="2">
        <f ca="1"/>
        <v>-0.31334588413124503</v>
      </c>
      <c r="X2582" s="2">
        <f ca="1"/>
        <v>50.641337169887983</v>
      </c>
      <c r="AG2582" s="2">
        <f ca="1"/>
        <v>0.43464186719915632</v>
      </c>
      <c r="AH2582" s="2" t="str">
        <f ca="1"/>
        <v>Bad</v>
      </c>
    </row>
    <row r="2583" spans="2:34" x14ac:dyDescent="0.2">
      <c r="B2583" s="2">
        <f ca="1"/>
        <v>0.56138155945679169</v>
      </c>
      <c r="O2583" s="2">
        <f ca="1"/>
        <v>0.18078404585949454</v>
      </c>
      <c r="X2583" s="2">
        <f ca="1"/>
        <v>51.083115988036099</v>
      </c>
      <c r="AG2583" s="2">
        <f ca="1"/>
        <v>0.57744664141377244</v>
      </c>
      <c r="AH2583" s="2" t="str">
        <f ca="1"/>
        <v>Bad</v>
      </c>
    </row>
    <row r="2584" spans="2:34" x14ac:dyDescent="0.2">
      <c r="B2584" s="2">
        <f ca="1"/>
        <v>6.8391476382152039E-2</v>
      </c>
      <c r="O2584" s="2">
        <f ca="1"/>
        <v>-0.80519226175811964</v>
      </c>
      <c r="X2584" s="2">
        <f ca="1"/>
        <v>50.644974679374684</v>
      </c>
      <c r="AG2584" s="2">
        <f ca="1"/>
        <v>6.9224902311831205E-2</v>
      </c>
      <c r="AH2584" s="2" t="str">
        <f ca="1"/>
        <v>OK</v>
      </c>
    </row>
    <row r="2585" spans="2:34" x14ac:dyDescent="0.2">
      <c r="B2585" s="2">
        <f ca="1"/>
        <v>0.38687242893467211</v>
      </c>
      <c r="O2585" s="2">
        <f ca="1"/>
        <v>0.59349542987706216</v>
      </c>
      <c r="X2585" s="2">
        <f ca="1"/>
        <v>76.603607204675342</v>
      </c>
      <c r="AG2585" s="2">
        <f ca="1"/>
        <v>0.90862412767514655</v>
      </c>
      <c r="AH2585" s="2" t="str">
        <f ca="1"/>
        <v>Bad</v>
      </c>
    </row>
    <row r="2586" spans="2:34" x14ac:dyDescent="0.2">
      <c r="B2586" s="2">
        <f ca="1"/>
        <v>0.84680007815216252</v>
      </c>
      <c r="O2586" s="2">
        <f ca="1"/>
        <v>0.4847078341729944</v>
      </c>
      <c r="X2586" s="2">
        <f ca="1"/>
        <v>73.515115896782802</v>
      </c>
      <c r="AG2586" s="2">
        <f ca="1"/>
        <v>0.82816713324382429</v>
      </c>
      <c r="AH2586" s="2" t="str">
        <f ca="1"/>
        <v>Bad</v>
      </c>
    </row>
    <row r="2587" spans="2:34" x14ac:dyDescent="0.2">
      <c r="B2587" s="2">
        <f ca="1"/>
        <v>0.58261393345205392</v>
      </c>
      <c r="O2587" s="2">
        <f ca="1"/>
        <v>-1.7910214112207377</v>
      </c>
      <c r="X2587" s="2">
        <f ca="1"/>
        <v>49.556517927173928</v>
      </c>
      <c r="AG2587" s="2">
        <f ca="1"/>
        <v>0.13166656856754821</v>
      </c>
      <c r="AH2587" s="2" t="str">
        <f ca="1"/>
        <v>OK</v>
      </c>
    </row>
    <row r="2588" spans="2:34" x14ac:dyDescent="0.2">
      <c r="B2588" s="2">
        <f ca="1"/>
        <v>4.709694708498513E-2</v>
      </c>
      <c r="O2588" s="2">
        <f ca="1"/>
        <v>-0.38196431636760353</v>
      </c>
      <c r="X2588" s="2">
        <f ca="1"/>
        <v>60.864010550597492</v>
      </c>
      <c r="AG2588" s="2">
        <f ca="1"/>
        <v>0.14690969413541066</v>
      </c>
      <c r="AH2588" s="2" t="str">
        <f ca="1"/>
        <v>OK</v>
      </c>
    </row>
    <row r="2589" spans="2:34" x14ac:dyDescent="0.2">
      <c r="B2589" s="2">
        <f ca="1"/>
        <v>0.7830060294798844</v>
      </c>
      <c r="O2589" s="2">
        <f ca="1"/>
        <v>-1.3962252648119777</v>
      </c>
      <c r="X2589" s="2">
        <f ca="1"/>
        <v>55.217677278183629</v>
      </c>
      <c r="AG2589" s="2">
        <f ca="1"/>
        <v>0.75036541090884357</v>
      </c>
      <c r="AH2589" s="2" t="str">
        <f ca="1"/>
        <v>Bad</v>
      </c>
    </row>
    <row r="2590" spans="2:34" x14ac:dyDescent="0.2">
      <c r="B2590" s="2">
        <f ca="1"/>
        <v>0.98899365425060881</v>
      </c>
      <c r="O2590" s="2">
        <f ca="1"/>
        <v>-0.19884117730034875</v>
      </c>
      <c r="X2590" s="2">
        <f ca="1"/>
        <v>35.707958500301714</v>
      </c>
      <c r="AG2590" s="2">
        <f ca="1"/>
        <v>0.207961498020095</v>
      </c>
      <c r="AH2590" s="2" t="str">
        <f ca="1"/>
        <v>OK</v>
      </c>
    </row>
    <row r="2591" spans="2:34" x14ac:dyDescent="0.2">
      <c r="B2591" s="2">
        <f ca="1"/>
        <v>0.51034363899553314</v>
      </c>
      <c r="O2591" s="2">
        <f ca="1"/>
        <v>-0.74882568189923715</v>
      </c>
      <c r="X2591" s="2">
        <f ca="1"/>
        <v>58.9974398641533</v>
      </c>
      <c r="AG2591" s="2">
        <f ca="1"/>
        <v>0.19061846108963643</v>
      </c>
      <c r="AH2591" s="2" t="str">
        <f ca="1"/>
        <v>OK</v>
      </c>
    </row>
    <row r="2592" spans="2:34" x14ac:dyDescent="0.2">
      <c r="B2592" s="2">
        <f ca="1"/>
        <v>0.90898279218683253</v>
      </c>
      <c r="O2592" s="2">
        <f ca="1"/>
        <v>-0.5483486767611131</v>
      </c>
      <c r="X2592" s="2">
        <f ca="1"/>
        <v>27.411393811376218</v>
      </c>
      <c r="AG2592" s="2">
        <f ca="1"/>
        <v>0.16128818145187473</v>
      </c>
      <c r="AH2592" s="2" t="str">
        <f ca="1"/>
        <v>OK</v>
      </c>
    </row>
    <row r="2593" spans="2:34" x14ac:dyDescent="0.2">
      <c r="B2593" s="2">
        <f ca="1"/>
        <v>0.17502497364445535</v>
      </c>
      <c r="O2593" s="2">
        <f ca="1"/>
        <v>0.30392057044691351</v>
      </c>
      <c r="X2593" s="2">
        <f ca="1"/>
        <v>33.755225693767692</v>
      </c>
      <c r="AG2593" s="2">
        <f ca="1"/>
        <v>0.55501849260784364</v>
      </c>
      <c r="AH2593" s="2" t="str">
        <f ca="1"/>
        <v>Bad</v>
      </c>
    </row>
    <row r="2594" spans="2:34" x14ac:dyDescent="0.2">
      <c r="B2594" s="2">
        <f ca="1"/>
        <v>1.3649300030740719E-2</v>
      </c>
      <c r="O2594" s="2">
        <f ca="1"/>
        <v>1.2363872661260344</v>
      </c>
      <c r="X2594" s="2">
        <f ca="1"/>
        <v>46.970570506073216</v>
      </c>
      <c r="AG2594" s="2">
        <f ca="1"/>
        <v>0.20738455511773823</v>
      </c>
      <c r="AH2594" s="2" t="str">
        <f ca="1"/>
        <v>OK</v>
      </c>
    </row>
    <row r="2595" spans="2:34" x14ac:dyDescent="0.2">
      <c r="B2595" s="2">
        <f ca="1"/>
        <v>0.60404467091139047</v>
      </c>
      <c r="O2595" s="2">
        <f ca="1"/>
        <v>0.74432479769703552</v>
      </c>
      <c r="X2595" s="2">
        <f ca="1"/>
        <v>40.499372946978013</v>
      </c>
      <c r="AG2595" s="2">
        <f ca="1"/>
        <v>0.34620519216408452</v>
      </c>
      <c r="AH2595" s="2" t="str">
        <f ca="1"/>
        <v>OK</v>
      </c>
    </row>
    <row r="2596" spans="2:34" x14ac:dyDescent="0.2">
      <c r="B2596" s="2">
        <f ca="1"/>
        <v>0.67227012160057775</v>
      </c>
      <c r="O2596" s="2">
        <f ca="1"/>
        <v>1.5225247154416564</v>
      </c>
      <c r="X2596" s="2">
        <f ca="1"/>
        <v>53.155789381627308</v>
      </c>
      <c r="AG2596" s="2">
        <f ca="1"/>
        <v>0.14831721211489302</v>
      </c>
      <c r="AH2596" s="2" t="str">
        <f ca="1"/>
        <v>OK</v>
      </c>
    </row>
    <row r="2597" spans="2:34" x14ac:dyDescent="0.2">
      <c r="B2597" s="2">
        <f ca="1"/>
        <v>0.97176578508851374</v>
      </c>
      <c r="O2597" s="2">
        <f ca="1"/>
        <v>1.8308610168858324</v>
      </c>
      <c r="X2597" s="2">
        <f ca="1"/>
        <v>37.31353215317953</v>
      </c>
      <c r="AG2597" s="2">
        <f ca="1"/>
        <v>0.25884333761933687</v>
      </c>
      <c r="AH2597" s="2" t="str">
        <f ca="1"/>
        <v>OK</v>
      </c>
    </row>
    <row r="2598" spans="2:34" x14ac:dyDescent="0.2">
      <c r="B2598" s="2">
        <f ca="1"/>
        <v>0.13977167825685433</v>
      </c>
      <c r="O2598" s="2">
        <f ca="1"/>
        <v>0.94755119862477921</v>
      </c>
      <c r="X2598" s="2">
        <f ca="1"/>
        <v>34.82210486378866</v>
      </c>
      <c r="AG2598" s="2">
        <f ca="1"/>
        <v>0.11507160095389679</v>
      </c>
      <c r="AH2598" s="2" t="str">
        <f ca="1"/>
        <v>OK</v>
      </c>
    </row>
    <row r="2599" spans="2:34" x14ac:dyDescent="0.2">
      <c r="B2599" s="2">
        <f ca="1"/>
        <v>0.93990023110796828</v>
      </c>
      <c r="O2599" s="2">
        <f ca="1"/>
        <v>-0.40932673742814518</v>
      </c>
      <c r="X2599" s="2">
        <f ca="1"/>
        <v>52.178560173422639</v>
      </c>
      <c r="AG2599" s="2">
        <f ca="1"/>
        <v>0.21391499404864067</v>
      </c>
      <c r="AH2599" s="2" t="str">
        <f ca="1"/>
        <v>OK</v>
      </c>
    </row>
    <row r="2600" spans="2:34" x14ac:dyDescent="0.2">
      <c r="B2600" s="2">
        <f ca="1"/>
        <v>0.45771030432133375</v>
      </c>
      <c r="O2600" s="2">
        <f ca="1"/>
        <v>-5.9126573140701404E-2</v>
      </c>
      <c r="X2600" s="2">
        <f ca="1"/>
        <v>43.311654514161184</v>
      </c>
      <c r="AG2600" s="2">
        <f ca="1"/>
        <v>0.73277648579174537</v>
      </c>
      <c r="AH2600" s="2" t="str">
        <f ca="1"/>
        <v>Bad</v>
      </c>
    </row>
    <row r="2601" spans="2:34" x14ac:dyDescent="0.2">
      <c r="B2601" s="2">
        <f ca="1"/>
        <v>0.44783501878124099</v>
      </c>
      <c r="O2601" s="2">
        <f ca="1"/>
        <v>-1.3529977044369403</v>
      </c>
      <c r="X2601" s="2">
        <f ca="1"/>
        <v>51.327767885173905</v>
      </c>
      <c r="AG2601" s="2">
        <f ca="1"/>
        <v>0.25561682382837581</v>
      </c>
      <c r="AH2601" s="2" t="str">
        <f ca="1"/>
        <v>OK</v>
      </c>
    </row>
    <row r="2602" spans="2:34" x14ac:dyDescent="0.2">
      <c r="B2602" s="2">
        <f ca="1"/>
        <v>0.32584900802725403</v>
      </c>
      <c r="O2602" s="2">
        <f ca="1"/>
        <v>-0.856625919176218</v>
      </c>
      <c r="X2602" s="2">
        <f ca="1"/>
        <v>81.082358956188159</v>
      </c>
      <c r="AG2602" s="2">
        <f ca="1"/>
        <v>0.98998547290328931</v>
      </c>
      <c r="AH2602" s="2" t="str">
        <f ca="1"/>
        <v>Bad</v>
      </c>
    </row>
    <row r="2603" spans="2:34" x14ac:dyDescent="0.2">
      <c r="B2603" s="2">
        <f ca="1"/>
        <v>0.39209445871473547</v>
      </c>
      <c r="O2603" s="2">
        <f ca="1"/>
        <v>7.7577828147447028E-2</v>
      </c>
      <c r="X2603" s="2">
        <f ca="1"/>
        <v>59.002215670953063</v>
      </c>
      <c r="AG2603" s="2">
        <f ca="1"/>
        <v>0.30995236589898556</v>
      </c>
      <c r="AH2603" s="2" t="str">
        <f ca="1"/>
        <v>OK</v>
      </c>
    </row>
    <row r="2604" spans="2:34" x14ac:dyDescent="0.2">
      <c r="B2604" s="2">
        <f ca="1"/>
        <v>0.52277123487552779</v>
      </c>
      <c r="O2604" s="2">
        <f ca="1"/>
        <v>1.0742489463714622</v>
      </c>
      <c r="X2604" s="2">
        <f ca="1"/>
        <v>57.410485836531379</v>
      </c>
      <c r="AG2604" s="2">
        <f ca="1"/>
        <v>0.8870852556345179</v>
      </c>
      <c r="AH2604" s="2" t="str">
        <f ca="1"/>
        <v>Bad</v>
      </c>
    </row>
    <row r="2605" spans="2:34" x14ac:dyDescent="0.2">
      <c r="B2605" s="2">
        <f ca="1"/>
        <v>0.69203802502610068</v>
      </c>
      <c r="O2605" s="2">
        <f ca="1"/>
        <v>-0.96285826067535207</v>
      </c>
      <c r="X2605" s="2">
        <f ca="1"/>
        <v>57.301176354335453</v>
      </c>
      <c r="AG2605" s="2">
        <f ca="1"/>
        <v>3.230984638241341E-2</v>
      </c>
      <c r="AH2605" s="2" t="str">
        <f ca="1"/>
        <v>Good</v>
      </c>
    </row>
    <row r="2606" spans="2:34" x14ac:dyDescent="0.2">
      <c r="B2606" s="2">
        <f ca="1"/>
        <v>0.26239925815797349</v>
      </c>
      <c r="O2606" s="2">
        <f ca="1"/>
        <v>0.51291330293939208</v>
      </c>
      <c r="X2606" s="2">
        <f ca="1"/>
        <v>31.194830413656721</v>
      </c>
      <c r="AG2606" s="2">
        <f ca="1"/>
        <v>0.14385129015269582</v>
      </c>
      <c r="AH2606" s="2" t="str">
        <f ca="1"/>
        <v>OK</v>
      </c>
    </row>
    <row r="2607" spans="2:34" x14ac:dyDescent="0.2">
      <c r="B2607" s="2">
        <f ca="1"/>
        <v>0.91940610671041667</v>
      </c>
      <c r="O2607" s="2">
        <f ca="1"/>
        <v>-0.79833731926559492</v>
      </c>
      <c r="X2607" s="2">
        <f ca="1"/>
        <v>52.956738901337168</v>
      </c>
      <c r="AG2607" s="2">
        <f ca="1"/>
        <v>0.25341927616216453</v>
      </c>
      <c r="AH2607" s="2" t="str">
        <f ca="1"/>
        <v>OK</v>
      </c>
    </row>
    <row r="2608" spans="2:34" x14ac:dyDescent="0.2">
      <c r="B2608" s="2">
        <f ca="1"/>
        <v>0.39420242724373988</v>
      </c>
      <c r="O2608" s="2">
        <f ca="1"/>
        <v>-3.9317530301937659E-2</v>
      </c>
      <c r="X2608" s="2">
        <f ca="1"/>
        <v>74.913630397361089</v>
      </c>
      <c r="AG2608" s="2">
        <f ca="1"/>
        <v>0.17958959011406894</v>
      </c>
      <c r="AH2608" s="2" t="str">
        <f ca="1"/>
        <v>OK</v>
      </c>
    </row>
    <row r="2609" spans="2:34" x14ac:dyDescent="0.2">
      <c r="B2609" s="2">
        <f ca="1"/>
        <v>0.7527438477630497</v>
      </c>
      <c r="O2609" s="2">
        <f ca="1"/>
        <v>0.48335369838584857</v>
      </c>
      <c r="X2609" s="2">
        <f ca="1"/>
        <v>27.033265231035713</v>
      </c>
      <c r="AG2609" s="2">
        <f ca="1"/>
        <v>0.52715476662007887</v>
      </c>
      <c r="AH2609" s="2" t="str">
        <f ca="1"/>
        <v>Bad</v>
      </c>
    </row>
    <row r="2610" spans="2:34" x14ac:dyDescent="0.2">
      <c r="B2610" s="2">
        <f ca="1"/>
        <v>0.47491672145810515</v>
      </c>
      <c r="O2610" s="2">
        <f ca="1"/>
        <v>0.31964824307776168</v>
      </c>
      <c r="X2610" s="2">
        <f ca="1"/>
        <v>33.483066148942335</v>
      </c>
      <c r="AG2610" s="2">
        <f ca="1"/>
        <v>0.32939635846629201</v>
      </c>
      <c r="AH2610" s="2" t="str">
        <f ca="1"/>
        <v>OK</v>
      </c>
    </row>
    <row r="2611" spans="2:34" x14ac:dyDescent="0.2">
      <c r="B2611" s="2">
        <f ca="1"/>
        <v>7.1695596511130999E-2</v>
      </c>
      <c r="O2611" s="2">
        <f ca="1"/>
        <v>0.43826593225807031</v>
      </c>
      <c r="X2611" s="2">
        <f ca="1"/>
        <v>38.802261132134142</v>
      </c>
      <c r="AG2611" s="2">
        <f ca="1"/>
        <v>0.58265406090784255</v>
      </c>
      <c r="AH2611" s="2" t="str">
        <f ca="1"/>
        <v>Bad</v>
      </c>
    </row>
    <row r="2612" spans="2:34" x14ac:dyDescent="0.2">
      <c r="B2612" s="2">
        <f ca="1"/>
        <v>0.62243862234527403</v>
      </c>
      <c r="O2612" s="2">
        <f ca="1"/>
        <v>-0.22841049110601389</v>
      </c>
      <c r="X2612" s="2">
        <f ca="1"/>
        <v>50.245111124705218</v>
      </c>
      <c r="AG2612" s="2">
        <f ca="1"/>
        <v>0.61062431166840692</v>
      </c>
      <c r="AH2612" s="2" t="str">
        <f ca="1"/>
        <v>Bad</v>
      </c>
    </row>
    <row r="2613" spans="2:34" x14ac:dyDescent="0.2">
      <c r="B2613" s="2">
        <f ca="1"/>
        <v>0.20804719269805783</v>
      </c>
      <c r="O2613" s="2">
        <f ca="1"/>
        <v>-0.61139220943249584</v>
      </c>
      <c r="X2613" s="2">
        <f ca="1"/>
        <v>57.512700452412567</v>
      </c>
      <c r="AG2613" s="2">
        <f ca="1"/>
        <v>1.8980829217360995E-2</v>
      </c>
      <c r="AH2613" s="2" t="str">
        <f ca="1"/>
        <v>Good</v>
      </c>
    </row>
    <row r="2614" spans="2:34" x14ac:dyDescent="0.2">
      <c r="B2614" s="2">
        <f ca="1"/>
        <v>7.7774518608230148E-2</v>
      </c>
      <c r="O2614" s="2">
        <f ca="1"/>
        <v>0.73320544606390314</v>
      </c>
      <c r="X2614" s="2">
        <f ca="1"/>
        <v>51.476375276194382</v>
      </c>
      <c r="AG2614" s="2">
        <f ca="1"/>
        <v>0.23290927916884741</v>
      </c>
      <c r="AH2614" s="2" t="str">
        <f ca="1"/>
        <v>OK</v>
      </c>
    </row>
    <row r="2615" spans="2:34" x14ac:dyDescent="0.2">
      <c r="B2615" s="2">
        <f ca="1"/>
        <v>0.92646386035839434</v>
      </c>
      <c r="O2615" s="2">
        <f ca="1"/>
        <v>-0.1947279114156065</v>
      </c>
      <c r="X2615" s="2">
        <f ca="1"/>
        <v>73.829234453812603</v>
      </c>
      <c r="AG2615" s="2">
        <f ca="1"/>
        <v>0.47604753314076653</v>
      </c>
      <c r="AH2615" s="2" t="str">
        <f ca="1"/>
        <v>Bad</v>
      </c>
    </row>
    <row r="2616" spans="2:34" x14ac:dyDescent="0.2">
      <c r="B2616" s="2">
        <f ca="1"/>
        <v>0.80332252713446306</v>
      </c>
      <c r="O2616" s="2">
        <f ca="1"/>
        <v>-1.0579331304585204</v>
      </c>
      <c r="X2616" s="2">
        <f ca="1"/>
        <v>47.640488188921154</v>
      </c>
      <c r="AG2616" s="2">
        <f ca="1"/>
        <v>0.48997735526548558</v>
      </c>
      <c r="AH2616" s="2" t="str">
        <f ca="1"/>
        <v>Bad</v>
      </c>
    </row>
    <row r="2617" spans="2:34" x14ac:dyDescent="0.2">
      <c r="B2617" s="2">
        <f ca="1"/>
        <v>8.1606194056177195E-2</v>
      </c>
      <c r="O2617" s="2">
        <f ca="1"/>
        <v>-1.136372558512851</v>
      </c>
      <c r="X2617" s="2">
        <f ca="1"/>
        <v>48.285378677184589</v>
      </c>
      <c r="AG2617" s="2">
        <f ca="1"/>
        <v>0.37438181999094655</v>
      </c>
      <c r="AH2617" s="2" t="str">
        <f ca="1"/>
        <v>OK</v>
      </c>
    </row>
    <row r="2618" spans="2:34" x14ac:dyDescent="0.2">
      <c r="B2618" s="2">
        <f ca="1"/>
        <v>0.67477352299652349</v>
      </c>
      <c r="O2618" s="2">
        <f ca="1"/>
        <v>0.19795917694664175</v>
      </c>
      <c r="X2618" s="2">
        <f ca="1"/>
        <v>33.300429789165783</v>
      </c>
      <c r="AG2618" s="2">
        <f ca="1"/>
        <v>0.66330541699285051</v>
      </c>
      <c r="AH2618" s="2" t="str">
        <f ca="1"/>
        <v>Bad</v>
      </c>
    </row>
    <row r="2619" spans="2:34" x14ac:dyDescent="0.2">
      <c r="B2619" s="2">
        <f ca="1"/>
        <v>2.2342117716806165E-2</v>
      </c>
      <c r="O2619" s="2">
        <f ca="1"/>
        <v>-0.56518471508435375</v>
      </c>
      <c r="X2619" s="2">
        <f ca="1"/>
        <v>55.801055847428344</v>
      </c>
      <c r="AG2619" s="2">
        <f ca="1"/>
        <v>0.54087092901768985</v>
      </c>
      <c r="AH2619" s="2" t="str">
        <f ca="1"/>
        <v>Bad</v>
      </c>
    </row>
    <row r="2620" spans="2:34" x14ac:dyDescent="0.2">
      <c r="B2620" s="2">
        <f ca="1"/>
        <v>0.81508621762163358</v>
      </c>
      <c r="O2620" s="2">
        <f ca="1"/>
        <v>-0.97442823997588646</v>
      </c>
      <c r="X2620" s="2">
        <f ca="1"/>
        <v>61.379490466567717</v>
      </c>
      <c r="AG2620" s="2">
        <f ca="1"/>
        <v>0.77178864935380731</v>
      </c>
      <c r="AH2620" s="2" t="str">
        <f ca="1"/>
        <v>Bad</v>
      </c>
    </row>
    <row r="2621" spans="2:34" x14ac:dyDescent="0.2">
      <c r="B2621" s="2">
        <f ca="1"/>
        <v>0.74830933033941949</v>
      </c>
      <c r="O2621" s="2">
        <f ca="1"/>
        <v>-0.304638573821706</v>
      </c>
      <c r="X2621" s="2">
        <f ca="1"/>
        <v>29.647160460693268</v>
      </c>
      <c r="AG2621" s="2">
        <f ca="1"/>
        <v>0.70947892916099575</v>
      </c>
      <c r="AH2621" s="2" t="str">
        <f ca="1"/>
        <v>Bad</v>
      </c>
    </row>
    <row r="2622" spans="2:34" x14ac:dyDescent="0.2">
      <c r="B2622" s="2">
        <f ca="1"/>
        <v>0.95965056061992149</v>
      </c>
      <c r="O2622" s="2">
        <f ca="1"/>
        <v>-0.61513318039940224</v>
      </c>
      <c r="X2622" s="2">
        <f ca="1"/>
        <v>46.99686448398802</v>
      </c>
      <c r="AG2622" s="2">
        <f ca="1"/>
        <v>0.38673387327460151</v>
      </c>
      <c r="AH2622" s="2" t="str">
        <f ca="1"/>
        <v>OK</v>
      </c>
    </row>
    <row r="2623" spans="2:34" x14ac:dyDescent="0.2">
      <c r="B2623" s="2">
        <f ca="1"/>
        <v>0.72665712158879003</v>
      </c>
      <c r="O2623" s="2">
        <f ca="1"/>
        <v>0.89611667375292225</v>
      </c>
      <c r="X2623" s="2">
        <f ca="1"/>
        <v>46.688962234246951</v>
      </c>
      <c r="AG2623" s="2">
        <f ca="1"/>
        <v>0.96559640630750976</v>
      </c>
      <c r="AH2623" s="2" t="str">
        <f ca="1"/>
        <v>Bad</v>
      </c>
    </row>
    <row r="2624" spans="2:34" x14ac:dyDescent="0.2">
      <c r="B2624" s="2">
        <f ca="1"/>
        <v>0.95937992172098907</v>
      </c>
      <c r="O2624" s="2">
        <f ca="1"/>
        <v>-0.33539303992429947</v>
      </c>
      <c r="X2624" s="2">
        <f ca="1"/>
        <v>78.482440909311777</v>
      </c>
      <c r="AG2624" s="2">
        <f ca="1"/>
        <v>0.84986504382122141</v>
      </c>
      <c r="AH2624" s="2" t="str">
        <f ca="1"/>
        <v>Bad</v>
      </c>
    </row>
    <row r="2625" spans="2:34" x14ac:dyDescent="0.2">
      <c r="B2625" s="2">
        <f ca="1"/>
        <v>9.8559300007009076E-2</v>
      </c>
      <c r="O2625" s="2">
        <f ca="1"/>
        <v>-0.38702805547465396</v>
      </c>
      <c r="X2625" s="2">
        <f ca="1"/>
        <v>33.713440250355944</v>
      </c>
      <c r="AG2625" s="2">
        <f ca="1"/>
        <v>0.94503209187498949</v>
      </c>
      <c r="AH2625" s="2" t="str">
        <f ca="1"/>
        <v>Bad</v>
      </c>
    </row>
    <row r="2626" spans="2:34" x14ac:dyDescent="0.2">
      <c r="B2626" s="2">
        <f ca="1"/>
        <v>0.97802116118686699</v>
      </c>
      <c r="O2626" s="2">
        <f ca="1"/>
        <v>-1.0432878846670075</v>
      </c>
      <c r="X2626" s="2">
        <f ca="1"/>
        <v>45.908094053821003</v>
      </c>
      <c r="AG2626" s="2">
        <f ca="1"/>
        <v>0.11097725764084876</v>
      </c>
      <c r="AH2626" s="2" t="str">
        <f ca="1"/>
        <v>OK</v>
      </c>
    </row>
    <row r="2627" spans="2:34" x14ac:dyDescent="0.2">
      <c r="B2627" s="2">
        <f ca="1"/>
        <v>0.28343458433860103</v>
      </c>
      <c r="O2627" s="2">
        <f ca="1"/>
        <v>2.4436712027619132</v>
      </c>
      <c r="X2627" s="2">
        <f ca="1"/>
        <v>80.139464887082084</v>
      </c>
      <c r="AG2627" s="2">
        <f ca="1"/>
        <v>0.92683416361826687</v>
      </c>
      <c r="AH2627" s="2" t="str">
        <f ca="1"/>
        <v>Bad</v>
      </c>
    </row>
    <row r="2628" spans="2:34" x14ac:dyDescent="0.2">
      <c r="B2628" s="2">
        <f ca="1"/>
        <v>0.49505692049217664</v>
      </c>
      <c r="O2628" s="2">
        <f ca="1"/>
        <v>-0.90208285874907546</v>
      </c>
      <c r="X2628" s="2">
        <f ca="1"/>
        <v>82.274076362149984</v>
      </c>
      <c r="AG2628" s="2">
        <f ca="1"/>
        <v>0.77821125385083723</v>
      </c>
      <c r="AH2628" s="2" t="str">
        <f ca="1"/>
        <v>Bad</v>
      </c>
    </row>
    <row r="2629" spans="2:34" x14ac:dyDescent="0.2">
      <c r="B2629" s="2">
        <f ca="1"/>
        <v>0.61614549041481448</v>
      </c>
      <c r="O2629" s="2">
        <f ca="1"/>
        <v>1.4090015547314201</v>
      </c>
      <c r="X2629" s="2">
        <f ca="1"/>
        <v>48.272748742626163</v>
      </c>
      <c r="AG2629" s="2">
        <f ca="1"/>
        <v>0.7157422852301103</v>
      </c>
      <c r="AH2629" s="2" t="str">
        <f ca="1"/>
        <v>Bad</v>
      </c>
    </row>
    <row r="2630" spans="2:34" x14ac:dyDescent="0.2">
      <c r="B2630" s="2">
        <f ca="1"/>
        <v>0.13746630826028272</v>
      </c>
      <c r="O2630" s="2">
        <f ca="1"/>
        <v>-1.3148917225225789</v>
      </c>
      <c r="X2630" s="2">
        <f ca="1"/>
        <v>33.086884359076933</v>
      </c>
      <c r="AG2630" s="2">
        <f ca="1"/>
        <v>0.95473851051049841</v>
      </c>
      <c r="AH2630" s="2" t="str">
        <f ca="1"/>
        <v>Bad</v>
      </c>
    </row>
    <row r="2631" spans="2:34" x14ac:dyDescent="0.2">
      <c r="B2631" s="2">
        <f ca="1"/>
        <v>0.64724517303011342</v>
      </c>
      <c r="O2631" s="2">
        <f ca="1"/>
        <v>2.5995964073363802</v>
      </c>
      <c r="X2631" s="2">
        <f ca="1"/>
        <v>32.36243971735427</v>
      </c>
      <c r="AG2631" s="2">
        <f ca="1"/>
        <v>0.17749957095499713</v>
      </c>
      <c r="AH2631" s="2" t="str">
        <f ca="1"/>
        <v>OK</v>
      </c>
    </row>
    <row r="2632" spans="2:34" x14ac:dyDescent="0.2">
      <c r="B2632" s="2">
        <f ca="1"/>
        <v>0.13677694764772608</v>
      </c>
      <c r="O2632" s="2">
        <f ca="1"/>
        <v>-0.25053516718826557</v>
      </c>
      <c r="X2632" s="2">
        <f ca="1"/>
        <v>73.573056425934894</v>
      </c>
      <c r="AG2632" s="2">
        <f ca="1"/>
        <v>0.42370181008484908</v>
      </c>
      <c r="AH2632" s="2" t="str">
        <f ca="1"/>
        <v>Bad</v>
      </c>
    </row>
    <row r="2633" spans="2:34" x14ac:dyDescent="0.2">
      <c r="B2633" s="2">
        <f ca="1"/>
        <v>0.1692947129249962</v>
      </c>
      <c r="O2633" s="2">
        <f ca="1"/>
        <v>-0.14251503176078184</v>
      </c>
      <c r="X2633" s="2">
        <f ca="1"/>
        <v>45.151636821039247</v>
      </c>
      <c r="AG2633" s="2">
        <f ca="1"/>
        <v>0.97540777686226754</v>
      </c>
      <c r="AH2633" s="2" t="str">
        <f ca="1"/>
        <v>Bad</v>
      </c>
    </row>
    <row r="2634" spans="2:34" x14ac:dyDescent="0.2">
      <c r="B2634" s="2">
        <f ca="1"/>
        <v>5.5484128994540249E-2</v>
      </c>
      <c r="O2634" s="2">
        <f ca="1"/>
        <v>-0.28815610374192407</v>
      </c>
      <c r="X2634" s="2">
        <f ca="1"/>
        <v>56.255606149283793</v>
      </c>
      <c r="AG2634" s="2">
        <f ca="1"/>
        <v>0.31210944595522228</v>
      </c>
      <c r="AH2634" s="2" t="str">
        <f ca="1"/>
        <v>OK</v>
      </c>
    </row>
    <row r="2635" spans="2:34" x14ac:dyDescent="0.2">
      <c r="B2635" s="2">
        <f ca="1"/>
        <v>0.8711008362624415</v>
      </c>
      <c r="O2635" s="2">
        <f ca="1"/>
        <v>-0.30325781567684507</v>
      </c>
      <c r="X2635" s="2">
        <f ca="1"/>
        <v>65.069664979023472</v>
      </c>
      <c r="AG2635" s="2">
        <f ca="1"/>
        <v>0.76784343183309045</v>
      </c>
      <c r="AH2635" s="2" t="str">
        <f ca="1"/>
        <v>Bad</v>
      </c>
    </row>
    <row r="2636" spans="2:34" x14ac:dyDescent="0.2">
      <c r="B2636" s="2">
        <f ca="1"/>
        <v>0.7923954115804408</v>
      </c>
      <c r="O2636" s="2">
        <f ca="1"/>
        <v>0.27624767533807376</v>
      </c>
      <c r="X2636" s="2">
        <f ca="1"/>
        <v>49.363461074896698</v>
      </c>
      <c r="AG2636" s="2">
        <f ca="1"/>
        <v>0.84510714065152981</v>
      </c>
      <c r="AH2636" s="2" t="str">
        <f ca="1"/>
        <v>Bad</v>
      </c>
    </row>
    <row r="2637" spans="2:34" x14ac:dyDescent="0.2">
      <c r="B2637" s="2">
        <f ca="1"/>
        <v>0.2844428363251017</v>
      </c>
      <c r="O2637" s="2">
        <f ca="1"/>
        <v>-0.57894297486250512</v>
      </c>
      <c r="X2637" s="2">
        <f ca="1"/>
        <v>34.221695996951659</v>
      </c>
      <c r="AG2637" s="2">
        <f ca="1"/>
        <v>0.25138821941520439</v>
      </c>
      <c r="AH2637" s="2" t="str">
        <f ca="1"/>
        <v>OK</v>
      </c>
    </row>
    <row r="2638" spans="2:34" x14ac:dyDescent="0.2">
      <c r="B2638" s="2">
        <f ca="1"/>
        <v>0.35478106049603331</v>
      </c>
      <c r="O2638" s="2">
        <f ca="1"/>
        <v>0.33834140237712679</v>
      </c>
      <c r="X2638" s="2">
        <f ca="1"/>
        <v>46.809251421906914</v>
      </c>
      <c r="AG2638" s="2">
        <f ca="1"/>
        <v>5.7988587928250235E-2</v>
      </c>
      <c r="AH2638" s="2" t="str">
        <f ca="1"/>
        <v>OK</v>
      </c>
    </row>
    <row r="2639" spans="2:34" x14ac:dyDescent="0.2">
      <c r="B2639" s="2">
        <f ca="1"/>
        <v>0.84427930426566644</v>
      </c>
      <c r="O2639" s="2">
        <f ca="1"/>
        <v>0.15085744771523427</v>
      </c>
      <c r="X2639" s="2">
        <f ca="1"/>
        <v>39.487292418392627</v>
      </c>
      <c r="AG2639" s="2">
        <f ca="1"/>
        <v>0.37206949865778438</v>
      </c>
      <c r="AH2639" s="2" t="str">
        <f ca="1"/>
        <v>OK</v>
      </c>
    </row>
    <row r="2640" spans="2:34" x14ac:dyDescent="0.2">
      <c r="B2640" s="2">
        <f ca="1"/>
        <v>0.62797568528696468</v>
      </c>
      <c r="O2640" s="2">
        <f ca="1"/>
        <v>-0.49074127312592086</v>
      </c>
      <c r="X2640" s="2">
        <f ca="1"/>
        <v>48.109516571483681</v>
      </c>
      <c r="AG2640" s="2">
        <f ca="1"/>
        <v>0.22880020290005554</v>
      </c>
      <c r="AH2640" s="2" t="str">
        <f ca="1"/>
        <v>OK</v>
      </c>
    </row>
    <row r="2641" spans="2:34" x14ac:dyDescent="0.2">
      <c r="B2641" s="2">
        <f ca="1"/>
        <v>0.92336373304384489</v>
      </c>
      <c r="O2641" s="2">
        <f ca="1"/>
        <v>-0.4904790954366342</v>
      </c>
      <c r="X2641" s="2">
        <f ca="1"/>
        <v>32.234689166303163</v>
      </c>
      <c r="AG2641" s="2">
        <f ca="1"/>
        <v>0.19307331265357042</v>
      </c>
      <c r="AH2641" s="2" t="str">
        <f ca="1"/>
        <v>OK</v>
      </c>
    </row>
    <row r="2642" spans="2:34" x14ac:dyDescent="0.2">
      <c r="B2642" s="2">
        <f ca="1"/>
        <v>0.10383459576708898</v>
      </c>
      <c r="O2642" s="2">
        <f ca="1"/>
        <v>-0.17725445075350096</v>
      </c>
      <c r="X2642" s="2">
        <f ca="1"/>
        <v>36.865024092101763</v>
      </c>
      <c r="AG2642" s="2">
        <f ca="1"/>
        <v>0.95387973698531447</v>
      </c>
      <c r="AH2642" s="2" t="str">
        <f ca="1"/>
        <v>Bad</v>
      </c>
    </row>
    <row r="2643" spans="2:34" x14ac:dyDescent="0.2">
      <c r="B2643" s="2">
        <f ca="1"/>
        <v>0.72555568922896208</v>
      </c>
      <c r="O2643" s="2">
        <f ca="1"/>
        <v>-1.1801488177392849</v>
      </c>
      <c r="X2643" s="2">
        <f ca="1"/>
        <v>87.33240755222765</v>
      </c>
      <c r="AG2643" s="2">
        <f ca="1"/>
        <v>0.46372279216772849</v>
      </c>
      <c r="AH2643" s="2" t="str">
        <f ca="1"/>
        <v>Bad</v>
      </c>
    </row>
    <row r="2644" spans="2:34" x14ac:dyDescent="0.2">
      <c r="B2644" s="2">
        <f ca="1"/>
        <v>0.70721833542861656</v>
      </c>
      <c r="O2644" s="2">
        <f ca="1"/>
        <v>0.7254698922251126</v>
      </c>
      <c r="X2644" s="2">
        <f ca="1"/>
        <v>34.924384607303281</v>
      </c>
      <c r="AG2644" s="2">
        <f ca="1"/>
        <v>0.76133982055515026</v>
      </c>
      <c r="AH2644" s="2" t="str">
        <f ca="1"/>
        <v>Bad</v>
      </c>
    </row>
    <row r="2645" spans="2:34" x14ac:dyDescent="0.2">
      <c r="B2645" s="2">
        <f ca="1"/>
        <v>0.23134679367336131</v>
      </c>
      <c r="O2645" s="2">
        <f ca="1"/>
        <v>0.25745624029119801</v>
      </c>
      <c r="X2645" s="2">
        <f ca="1"/>
        <v>29.469636767625367</v>
      </c>
      <c r="AG2645" s="2">
        <f ca="1"/>
        <v>5.0663466830890735E-2</v>
      </c>
      <c r="AH2645" s="2" t="str">
        <f ca="1"/>
        <v>OK</v>
      </c>
    </row>
    <row r="2646" spans="2:34" x14ac:dyDescent="0.2">
      <c r="B2646" s="2">
        <f ca="1"/>
        <v>0.25378078271908344</v>
      </c>
      <c r="O2646" s="2">
        <f ca="1"/>
        <v>1.8611103272772744</v>
      </c>
      <c r="X2646" s="2">
        <f ca="1"/>
        <v>44.549808014043691</v>
      </c>
      <c r="AG2646" s="2">
        <f ca="1"/>
        <v>6.9566050260689405E-2</v>
      </c>
      <c r="AH2646" s="2" t="str">
        <f ca="1"/>
        <v>OK</v>
      </c>
    </row>
    <row r="2647" spans="2:34" x14ac:dyDescent="0.2">
      <c r="B2647" s="2">
        <f ca="1"/>
        <v>0.64220517246622011</v>
      </c>
      <c r="O2647" s="2">
        <f ca="1"/>
        <v>1.1472273857092372</v>
      </c>
      <c r="X2647" s="2">
        <f ca="1"/>
        <v>42.982789693272963</v>
      </c>
      <c r="AG2647" s="2">
        <f ca="1"/>
        <v>0.39109960804431521</v>
      </c>
      <c r="AH2647" s="2" t="str">
        <f ca="1"/>
        <v>OK</v>
      </c>
    </row>
    <row r="2648" spans="2:34" x14ac:dyDescent="0.2">
      <c r="B2648" s="2">
        <f ca="1"/>
        <v>0.38291868717771038</v>
      </c>
      <c r="O2648" s="2">
        <f ca="1"/>
        <v>-1.0278626659907661</v>
      </c>
      <c r="X2648" s="2">
        <f ca="1"/>
        <v>42.212800071429982</v>
      </c>
      <c r="AG2648" s="2">
        <f ca="1"/>
        <v>0.61989446081116473</v>
      </c>
      <c r="AH2648" s="2" t="str">
        <f ca="1"/>
        <v>Bad</v>
      </c>
    </row>
    <row r="2649" spans="2:34" x14ac:dyDescent="0.2">
      <c r="B2649" s="2">
        <f ca="1"/>
        <v>0.46794174665860488</v>
      </c>
      <c r="O2649" s="2">
        <f ca="1"/>
        <v>0.21913476771870485</v>
      </c>
      <c r="X2649" s="2">
        <f ca="1"/>
        <v>74.038221799532465</v>
      </c>
      <c r="AG2649" s="2">
        <f ca="1"/>
        <v>0.80544786117118861</v>
      </c>
      <c r="AH2649" s="2" t="str">
        <f ca="1"/>
        <v>Bad</v>
      </c>
    </row>
    <row r="2650" spans="2:34" x14ac:dyDescent="0.2">
      <c r="B2650" s="2">
        <f ca="1"/>
        <v>0.97594435734031038</v>
      </c>
      <c r="O2650" s="2">
        <f ca="1"/>
        <v>0.88017140619005629</v>
      </c>
      <c r="X2650" s="2">
        <f ca="1"/>
        <v>27.418391203509373</v>
      </c>
      <c r="AG2650" s="2">
        <f ca="1"/>
        <v>0.77566290645378677</v>
      </c>
      <c r="AH2650" s="2" t="str">
        <f ca="1"/>
        <v>Bad</v>
      </c>
    </row>
    <row r="2651" spans="2:34" x14ac:dyDescent="0.2">
      <c r="B2651" s="2">
        <f ca="1"/>
        <v>0.41342897563449088</v>
      </c>
      <c r="O2651" s="2">
        <f ca="1"/>
        <v>-0.45422563959573042</v>
      </c>
      <c r="X2651" s="2">
        <f ca="1"/>
        <v>36.58807941869901</v>
      </c>
      <c r="AG2651" s="2">
        <f ca="1"/>
        <v>0.85439591713218688</v>
      </c>
      <c r="AH2651" s="2" t="str">
        <f ca="1"/>
        <v>Bad</v>
      </c>
    </row>
    <row r="2652" spans="2:34" x14ac:dyDescent="0.2">
      <c r="B2652" s="2">
        <f ca="1"/>
        <v>0.42354713122566334</v>
      </c>
      <c r="O2652" s="2">
        <f ca="1"/>
        <v>0.26834060493171413</v>
      </c>
      <c r="X2652" s="2">
        <f ca="1"/>
        <v>40.986972889035414</v>
      </c>
      <c r="AG2652" s="2">
        <f ca="1"/>
        <v>0.42727962729516933</v>
      </c>
      <c r="AH2652" s="2" t="str">
        <f ca="1"/>
        <v>Bad</v>
      </c>
    </row>
    <row r="2653" spans="2:34" x14ac:dyDescent="0.2">
      <c r="B2653" s="2">
        <f ca="1"/>
        <v>0.88456890388364151</v>
      </c>
      <c r="O2653" s="2">
        <f ca="1"/>
        <v>0.31285253141307173</v>
      </c>
      <c r="X2653" s="2">
        <f ca="1"/>
        <v>33.973972214950919</v>
      </c>
      <c r="AG2653" s="2">
        <f ca="1"/>
        <v>0.84494525283133637</v>
      </c>
      <c r="AH2653" s="2" t="str">
        <f ca="1"/>
        <v>Bad</v>
      </c>
    </row>
    <row r="2654" spans="2:34" x14ac:dyDescent="0.2">
      <c r="B2654" s="2">
        <f ca="1"/>
        <v>0.71329459084705982</v>
      </c>
      <c r="O2654" s="2">
        <f ca="1"/>
        <v>-0.37418589924145718</v>
      </c>
      <c r="X2654" s="2">
        <f ca="1"/>
        <v>64.670374422517156</v>
      </c>
      <c r="AG2654" s="2">
        <f ca="1"/>
        <v>0.75665875137549787</v>
      </c>
      <c r="AH2654" s="2" t="str">
        <f ca="1"/>
        <v>Bad</v>
      </c>
    </row>
    <row r="2655" spans="2:34" x14ac:dyDescent="0.2">
      <c r="B2655" s="2">
        <f ca="1"/>
        <v>0.48434881983145073</v>
      </c>
      <c r="O2655" s="2">
        <f ca="1"/>
        <v>-1.5644398001041091</v>
      </c>
      <c r="X2655" s="2">
        <f ca="1"/>
        <v>56.568728858184862</v>
      </c>
      <c r="AG2655" s="2">
        <f ca="1"/>
        <v>0.13077827755698967</v>
      </c>
      <c r="AH2655" s="2" t="str">
        <f ca="1"/>
        <v>OK</v>
      </c>
    </row>
    <row r="2656" spans="2:34" x14ac:dyDescent="0.2">
      <c r="B2656" s="2">
        <f ca="1"/>
        <v>0.63936685966703455</v>
      </c>
      <c r="O2656" s="2">
        <f ca="1"/>
        <v>-0.62143403284459475</v>
      </c>
      <c r="X2656" s="2">
        <f ca="1"/>
        <v>57.355101007351635</v>
      </c>
      <c r="AG2656" s="2">
        <f ca="1"/>
        <v>0.51950402198346457</v>
      </c>
      <c r="AH2656" s="2" t="str">
        <f ca="1"/>
        <v>Bad</v>
      </c>
    </row>
    <row r="2657" spans="2:34" x14ac:dyDescent="0.2">
      <c r="B2657" s="2">
        <f ca="1"/>
        <v>0.47458754729814756</v>
      </c>
      <c r="O2657" s="2">
        <f ca="1"/>
        <v>-1.1927156342571446</v>
      </c>
      <c r="X2657" s="2">
        <f ca="1"/>
        <v>32.419250373285578</v>
      </c>
      <c r="AG2657" s="2">
        <f ca="1"/>
        <v>0.22193942701603819</v>
      </c>
      <c r="AH2657" s="2" t="str">
        <f ca="1"/>
        <v>OK</v>
      </c>
    </row>
    <row r="2658" spans="2:34" x14ac:dyDescent="0.2">
      <c r="B2658" s="2">
        <f ca="1"/>
        <v>0.51286883622033463</v>
      </c>
      <c r="O2658" s="2">
        <f ca="1"/>
        <v>0.69302418013726241</v>
      </c>
      <c r="X2658" s="2">
        <f ca="1"/>
        <v>28.657018795672915</v>
      </c>
      <c r="AG2658" s="2">
        <f ca="1"/>
        <v>0.63275573210328484</v>
      </c>
      <c r="AH2658" s="2" t="str">
        <f ca="1"/>
        <v>Bad</v>
      </c>
    </row>
    <row r="2659" spans="2:34" x14ac:dyDescent="0.2">
      <c r="B2659" s="2">
        <f ca="1"/>
        <v>5.3377437524250837E-2</v>
      </c>
      <c r="O2659" s="2">
        <f ca="1"/>
        <v>-1.0446391688039889</v>
      </c>
      <c r="X2659" s="2">
        <f ca="1"/>
        <v>62.428451143008907</v>
      </c>
      <c r="AG2659" s="2">
        <f ca="1"/>
        <v>0.66055255054077189</v>
      </c>
      <c r="AH2659" s="2" t="str">
        <f ca="1"/>
        <v>Bad</v>
      </c>
    </row>
    <row r="2660" spans="2:34" x14ac:dyDescent="0.2">
      <c r="B2660" s="2">
        <f ca="1"/>
        <v>0.91500794721059897</v>
      </c>
      <c r="O2660" s="2">
        <f ca="1"/>
        <v>0.63834309282413715</v>
      </c>
      <c r="X2660" s="2">
        <f ca="1"/>
        <v>33.774983797708359</v>
      </c>
      <c r="AG2660" s="2">
        <f ca="1"/>
        <v>0.54326424315503052</v>
      </c>
      <c r="AH2660" s="2" t="str">
        <f ca="1"/>
        <v>Bad</v>
      </c>
    </row>
    <row r="2661" spans="2:34" x14ac:dyDescent="0.2">
      <c r="B2661" s="2">
        <f ca="1"/>
        <v>0.56895495003449059</v>
      </c>
      <c r="O2661" s="2">
        <f ca="1"/>
        <v>-0.69271109826790478</v>
      </c>
      <c r="X2661" s="2">
        <f ca="1"/>
        <v>21.966354512807243</v>
      </c>
      <c r="AG2661" s="2">
        <f ca="1"/>
        <v>0.23514037033521196</v>
      </c>
      <c r="AH2661" s="2" t="str">
        <f ca="1"/>
        <v>OK</v>
      </c>
    </row>
    <row r="2662" spans="2:34" x14ac:dyDescent="0.2">
      <c r="B2662" s="2">
        <f ca="1"/>
        <v>0.93740399567284083</v>
      </c>
      <c r="O2662" s="2">
        <f ca="1"/>
        <v>0.27097565246975008</v>
      </c>
      <c r="X2662" s="2">
        <f ca="1"/>
        <v>60.054655951508622</v>
      </c>
      <c r="AG2662" s="2">
        <f ca="1"/>
        <v>0.56925278489385422</v>
      </c>
      <c r="AH2662" s="2" t="str">
        <f ca="1"/>
        <v>Bad</v>
      </c>
    </row>
    <row r="2663" spans="2:34" x14ac:dyDescent="0.2">
      <c r="B2663" s="2">
        <f ca="1"/>
        <v>0.61082496774679984</v>
      </c>
      <c r="O2663" s="2">
        <f ca="1"/>
        <v>-6.0872204962451347E-2</v>
      </c>
      <c r="X2663" s="2">
        <f ca="1"/>
        <v>70.902590606481098</v>
      </c>
      <c r="AG2663" s="2">
        <f ca="1"/>
        <v>0.74707932182821457</v>
      </c>
      <c r="AH2663" s="2" t="str">
        <f ca="1"/>
        <v>Bad</v>
      </c>
    </row>
    <row r="2664" spans="2:34" x14ac:dyDescent="0.2">
      <c r="B2664" s="2">
        <f ca="1"/>
        <v>0.40865592987189414</v>
      </c>
      <c r="O2664" s="2">
        <f ca="1"/>
        <v>0.10018143893326011</v>
      </c>
      <c r="X2664" s="2">
        <f ca="1"/>
        <v>49.501861700360607</v>
      </c>
      <c r="AG2664" s="2">
        <f ca="1"/>
        <v>0.19193151977480571</v>
      </c>
      <c r="AH2664" s="2" t="str">
        <f ca="1"/>
        <v>OK</v>
      </c>
    </row>
    <row r="2665" spans="2:34" x14ac:dyDescent="0.2">
      <c r="B2665" s="2">
        <f ca="1"/>
        <v>0.11066489133732693</v>
      </c>
      <c r="O2665" s="2">
        <f ca="1"/>
        <v>-0.23751329833510831</v>
      </c>
      <c r="X2665" s="2">
        <f ca="1"/>
        <v>48.515267995916687</v>
      </c>
      <c r="AG2665" s="2">
        <f ca="1"/>
        <v>0.70334198827412298</v>
      </c>
      <c r="AH2665" s="2" t="str">
        <f ca="1"/>
        <v>Bad</v>
      </c>
    </row>
    <row r="2666" spans="2:34" x14ac:dyDescent="0.2">
      <c r="B2666" s="2">
        <f ca="1"/>
        <v>0.2132549852680341</v>
      </c>
      <c r="O2666" s="2">
        <f ca="1"/>
        <v>-0.48294630695377061</v>
      </c>
      <c r="X2666" s="2">
        <f ca="1"/>
        <v>34.336829381362982</v>
      </c>
      <c r="AG2666" s="2">
        <f ca="1"/>
        <v>0.5522631113180918</v>
      </c>
      <c r="AH2666" s="2" t="str">
        <f ca="1"/>
        <v>Bad</v>
      </c>
    </row>
    <row r="2667" spans="2:34" x14ac:dyDescent="0.2">
      <c r="B2667" s="2">
        <f ca="1"/>
        <v>0.64590742437382298</v>
      </c>
      <c r="O2667" s="2">
        <f ca="1"/>
        <v>0.90532042194728779</v>
      </c>
      <c r="X2667" s="2">
        <f ca="1"/>
        <v>54.280360764897075</v>
      </c>
      <c r="AG2667" s="2">
        <f ca="1"/>
        <v>0.64378066240188137</v>
      </c>
      <c r="AH2667" s="2" t="str">
        <f ca="1"/>
        <v>Bad</v>
      </c>
    </row>
    <row r="2668" spans="2:34" x14ac:dyDescent="0.2">
      <c r="B2668" s="2">
        <f ca="1"/>
        <v>0.26928025583543924</v>
      </c>
      <c r="O2668" s="2">
        <f ca="1"/>
        <v>-0.88119080770673031</v>
      </c>
      <c r="X2668" s="2">
        <f ca="1"/>
        <v>78.087296224846213</v>
      </c>
      <c r="AG2668" s="2">
        <f ca="1"/>
        <v>0.15354975626701406</v>
      </c>
      <c r="AH2668" s="2" t="str">
        <f ca="1"/>
        <v>OK</v>
      </c>
    </row>
    <row r="2669" spans="2:34" x14ac:dyDescent="0.2">
      <c r="B2669" s="2">
        <f ca="1"/>
        <v>0.7144668209805618</v>
      </c>
      <c r="O2669" s="2">
        <f ca="1"/>
        <v>0.82546393040632615</v>
      </c>
      <c r="X2669" s="2">
        <f ca="1"/>
        <v>58.788171693702544</v>
      </c>
      <c r="AG2669" s="2">
        <f ca="1"/>
        <v>0.33975882296537385</v>
      </c>
      <c r="AH2669" s="2" t="str">
        <f ca="1"/>
        <v>OK</v>
      </c>
    </row>
    <row r="2670" spans="2:34" x14ac:dyDescent="0.2">
      <c r="B2670" s="2">
        <f ca="1"/>
        <v>0.29988534448231285</v>
      </c>
      <c r="O2670" s="2">
        <f ca="1"/>
        <v>-0.96300155475431692</v>
      </c>
      <c r="X2670" s="2">
        <f ca="1"/>
        <v>50.498877667425937</v>
      </c>
      <c r="AG2670" s="2">
        <f ca="1"/>
        <v>0.1175440630618434</v>
      </c>
      <c r="AH2670" s="2" t="str">
        <f ca="1"/>
        <v>OK</v>
      </c>
    </row>
    <row r="2671" spans="2:34" x14ac:dyDescent="0.2">
      <c r="B2671" s="2">
        <f ca="1"/>
        <v>0.21856151717510652</v>
      </c>
      <c r="O2671" s="2">
        <f ca="1"/>
        <v>0.65028575942504452</v>
      </c>
      <c r="X2671" s="2">
        <f ca="1"/>
        <v>44.848321268759015</v>
      </c>
      <c r="AG2671" s="2">
        <f ca="1"/>
        <v>0.16768141519494506</v>
      </c>
      <c r="AH2671" s="2" t="str">
        <f ca="1"/>
        <v>OK</v>
      </c>
    </row>
    <row r="2672" spans="2:34" x14ac:dyDescent="0.2">
      <c r="B2672" s="2">
        <f ca="1"/>
        <v>0.57835553702668707</v>
      </c>
      <c r="O2672" s="2">
        <f ca="1"/>
        <v>-0.20944190993031644</v>
      </c>
      <c r="X2672" s="2">
        <f ca="1"/>
        <v>59.766472698583087</v>
      </c>
      <c r="AG2672" s="2">
        <f ca="1"/>
        <v>0.19612423312870675</v>
      </c>
      <c r="AH2672" s="2" t="str">
        <f ca="1"/>
        <v>OK</v>
      </c>
    </row>
    <row r="2673" spans="2:34" x14ac:dyDescent="0.2">
      <c r="B2673" s="2">
        <f ca="1"/>
        <v>0.20060884657170686</v>
      </c>
      <c r="O2673" s="2">
        <f ca="1"/>
        <v>-0.83868977178276038</v>
      </c>
      <c r="X2673" s="2">
        <f ca="1"/>
        <v>46.152357540953702</v>
      </c>
      <c r="AG2673" s="2">
        <f ca="1"/>
        <v>4.713529211173384E-2</v>
      </c>
      <c r="AH2673" s="2" t="str">
        <f ca="1"/>
        <v>Good</v>
      </c>
    </row>
    <row r="2674" spans="2:34" x14ac:dyDescent="0.2">
      <c r="B2674" s="2">
        <f ca="1"/>
        <v>0.80215791995845431</v>
      </c>
      <c r="O2674" s="2">
        <f ca="1"/>
        <v>-0.39926123481012959</v>
      </c>
      <c r="X2674" s="2">
        <f ca="1"/>
        <v>28.060853214038332</v>
      </c>
      <c r="AG2674" s="2">
        <f ca="1"/>
        <v>0.97010203431802089</v>
      </c>
      <c r="AH2674" s="2" t="str">
        <f ca="1"/>
        <v>Bad</v>
      </c>
    </row>
    <row r="2675" spans="2:34" x14ac:dyDescent="0.2">
      <c r="B2675" s="2">
        <f ca="1"/>
        <v>9.8819709837092207E-2</v>
      </c>
      <c r="O2675" s="2">
        <f ca="1"/>
        <v>-1.8298407115821649</v>
      </c>
      <c r="X2675" s="2">
        <f ca="1"/>
        <v>64.321220456354439</v>
      </c>
      <c r="AG2675" s="2">
        <f ca="1"/>
        <v>0.98052363851868085</v>
      </c>
      <c r="AH2675" s="2" t="str">
        <f ca="1"/>
        <v>Bad</v>
      </c>
    </row>
    <row r="2676" spans="2:34" x14ac:dyDescent="0.2">
      <c r="B2676" s="2">
        <f ca="1"/>
        <v>0.18476368288844025</v>
      </c>
      <c r="O2676" s="2">
        <f ca="1"/>
        <v>-0.44118017816267729</v>
      </c>
      <c r="X2676" s="2">
        <f ca="1"/>
        <v>46.769254828623595</v>
      </c>
      <c r="AG2676" s="2">
        <f ca="1"/>
        <v>0.71053450274207508</v>
      </c>
      <c r="AH2676" s="2" t="str">
        <f ca="1"/>
        <v>Bad</v>
      </c>
    </row>
    <row r="2677" spans="2:34" x14ac:dyDescent="0.2">
      <c r="B2677" s="2">
        <f ca="1"/>
        <v>1.3301527897459975E-2</v>
      </c>
      <c r="O2677" s="2">
        <f ca="1"/>
        <v>-0.7432121289876974</v>
      </c>
      <c r="X2677" s="2">
        <f ca="1"/>
        <v>34.2306295523708</v>
      </c>
      <c r="AG2677" s="2">
        <f ca="1"/>
        <v>0.19745919267758016</v>
      </c>
      <c r="AH2677" s="2" t="str">
        <f ca="1"/>
        <v>OK</v>
      </c>
    </row>
    <row r="2678" spans="2:34" x14ac:dyDescent="0.2">
      <c r="B2678" s="2">
        <f ca="1"/>
        <v>0.96441495701555202</v>
      </c>
      <c r="O2678" s="2">
        <f ca="1"/>
        <v>-1.9747437780947008</v>
      </c>
      <c r="X2678" s="2">
        <f ca="1"/>
        <v>57.931202707739359</v>
      </c>
      <c r="AG2678" s="2">
        <f ca="1"/>
        <v>0.33222304085955368</v>
      </c>
      <c r="AH2678" s="2" t="str">
        <f ca="1"/>
        <v>OK</v>
      </c>
    </row>
    <row r="2679" spans="2:34" x14ac:dyDescent="0.2">
      <c r="B2679" s="2">
        <f ca="1"/>
        <v>0.51065022597376419</v>
      </c>
      <c r="O2679" s="2">
        <f ca="1"/>
        <v>-5.5502203339206836E-2</v>
      </c>
      <c r="X2679" s="2">
        <f ca="1"/>
        <v>63.867704594325005</v>
      </c>
      <c r="AG2679" s="2">
        <f ca="1"/>
        <v>0.36872828745590924</v>
      </c>
      <c r="AH2679" s="2" t="str">
        <f ca="1"/>
        <v>OK</v>
      </c>
    </row>
    <row r="2680" spans="2:34" x14ac:dyDescent="0.2">
      <c r="B2680" s="2">
        <f ca="1"/>
        <v>0.7827894726733795</v>
      </c>
      <c r="O2680" s="2">
        <f ca="1"/>
        <v>0.20451741559125589</v>
      </c>
      <c r="X2680" s="2">
        <f ca="1"/>
        <v>48.832960559983015</v>
      </c>
      <c r="AG2680" s="2">
        <f ca="1"/>
        <v>0.7106606133568778</v>
      </c>
      <c r="AH2680" s="2" t="str">
        <f ca="1"/>
        <v>Bad</v>
      </c>
    </row>
    <row r="2681" spans="2:34" x14ac:dyDescent="0.2">
      <c r="B2681" s="2">
        <f ca="1"/>
        <v>0.3806245550693752</v>
      </c>
      <c r="O2681" s="2">
        <f ca="1"/>
        <v>-1.636832656378976E-2</v>
      </c>
      <c r="X2681" s="2">
        <f ca="1"/>
        <v>45.527869442456222</v>
      </c>
      <c r="AG2681" s="2">
        <f ca="1"/>
        <v>0.41140723219696551</v>
      </c>
      <c r="AH2681" s="2" t="str">
        <f ca="1"/>
        <v>Bad</v>
      </c>
    </row>
    <row r="2682" spans="2:34" x14ac:dyDescent="0.2">
      <c r="B2682" s="2">
        <f ca="1"/>
        <v>6.5813249415612951E-2</v>
      </c>
      <c r="O2682" s="2">
        <f ca="1"/>
        <v>0.49582684910438274</v>
      </c>
      <c r="X2682" s="2">
        <f ca="1"/>
        <v>31.113758769311449</v>
      </c>
      <c r="AG2682" s="2">
        <f ca="1"/>
        <v>0.9757961622126885</v>
      </c>
      <c r="AH2682" s="2" t="str">
        <f ca="1"/>
        <v>Bad</v>
      </c>
    </row>
    <row r="2683" spans="2:34" x14ac:dyDescent="0.2">
      <c r="B2683" s="2">
        <f ca="1"/>
        <v>0.61967223718026387</v>
      </c>
      <c r="O2683" s="2">
        <f ca="1"/>
        <v>0.54265256491555713</v>
      </c>
      <c r="X2683" s="2">
        <f ca="1"/>
        <v>31.32233346435082</v>
      </c>
      <c r="AG2683" s="2">
        <f ca="1"/>
        <v>0.50335898298068393</v>
      </c>
      <c r="AH2683" s="2" t="str">
        <f ca="1"/>
        <v>Bad</v>
      </c>
    </row>
    <row r="2684" spans="2:34" x14ac:dyDescent="0.2">
      <c r="B2684" s="2">
        <f ca="1"/>
        <v>0.82889922655387926</v>
      </c>
      <c r="O2684" s="2">
        <f ca="1"/>
        <v>0.16737968215068266</v>
      </c>
      <c r="X2684" s="2">
        <f ca="1"/>
        <v>83.918201703813239</v>
      </c>
      <c r="AG2684" s="2">
        <f ca="1"/>
        <v>0.41133127239641021</v>
      </c>
      <c r="AH2684" s="2" t="str">
        <f ca="1"/>
        <v>Bad</v>
      </c>
    </row>
    <row r="2685" spans="2:34" x14ac:dyDescent="0.2">
      <c r="B2685" s="2">
        <f ca="1"/>
        <v>0.22814525814823217</v>
      </c>
      <c r="O2685" s="2">
        <f ca="1"/>
        <v>0.75550248337290593</v>
      </c>
      <c r="X2685" s="2">
        <f ca="1"/>
        <v>52.469929349714121</v>
      </c>
      <c r="AG2685" s="2">
        <f ca="1"/>
        <v>0.67223371439244684</v>
      </c>
      <c r="AH2685" s="2" t="str">
        <f ca="1"/>
        <v>Bad</v>
      </c>
    </row>
    <row r="2686" spans="2:34" x14ac:dyDescent="0.2">
      <c r="B2686" s="2">
        <f ca="1"/>
        <v>9.400252767274675E-2</v>
      </c>
      <c r="O2686" s="2">
        <f ca="1"/>
        <v>-0.97782273597413438</v>
      </c>
      <c r="X2686" s="2">
        <f ca="1"/>
        <v>34.672078960070316</v>
      </c>
      <c r="AG2686" s="2">
        <f ca="1"/>
        <v>0.27761553011622042</v>
      </c>
      <c r="AH2686" s="2" t="str">
        <f ca="1"/>
        <v>OK</v>
      </c>
    </row>
    <row r="2687" spans="2:34" x14ac:dyDescent="0.2">
      <c r="B2687" s="2">
        <f ca="1"/>
        <v>0.78328430768509927</v>
      </c>
      <c r="O2687" s="2">
        <f ca="1"/>
        <v>-0.11134170997194887</v>
      </c>
      <c r="X2687" s="2">
        <f ca="1"/>
        <v>49.514347332090978</v>
      </c>
      <c r="AG2687" s="2">
        <f ca="1"/>
        <v>0.51201940679389257</v>
      </c>
      <c r="AH2687" s="2" t="str">
        <f ca="1"/>
        <v>Bad</v>
      </c>
    </row>
    <row r="2688" spans="2:34" x14ac:dyDescent="0.2">
      <c r="B2688" s="2">
        <f ca="1"/>
        <v>0.23189507578690183</v>
      </c>
      <c r="O2688" s="2">
        <f ca="1"/>
        <v>-1.4069705593818971E-2</v>
      </c>
      <c r="X2688" s="2">
        <f ca="1"/>
        <v>46.515123816399537</v>
      </c>
      <c r="AG2688" s="2">
        <f ca="1"/>
        <v>0.65666435032259929</v>
      </c>
      <c r="AH2688" s="2" t="str">
        <f ca="1"/>
        <v>Bad</v>
      </c>
    </row>
    <row r="2689" spans="2:34" x14ac:dyDescent="0.2">
      <c r="B2689" s="2">
        <f ca="1"/>
        <v>0.18622844069958489</v>
      </c>
      <c r="O2689" s="2">
        <f ca="1"/>
        <v>0.78115535325697893</v>
      </c>
      <c r="X2689" s="2">
        <f ca="1"/>
        <v>55.923373579953761</v>
      </c>
      <c r="AG2689" s="2">
        <f ca="1"/>
        <v>0.26047706353816036</v>
      </c>
      <c r="AH2689" s="2" t="str">
        <f ca="1"/>
        <v>OK</v>
      </c>
    </row>
    <row r="2690" spans="2:34" x14ac:dyDescent="0.2">
      <c r="B2690" s="2">
        <f ca="1"/>
        <v>0.57037232293889373</v>
      </c>
      <c r="O2690" s="2">
        <f ca="1"/>
        <v>-0.95049527590264593</v>
      </c>
      <c r="X2690" s="2">
        <f ca="1"/>
        <v>41.612585394436337</v>
      </c>
      <c r="AG2690" s="2">
        <f ca="1"/>
        <v>8.6095357320889132E-2</v>
      </c>
      <c r="AH2690" s="2" t="str">
        <f ca="1"/>
        <v>OK</v>
      </c>
    </row>
    <row r="2691" spans="2:34" x14ac:dyDescent="0.2">
      <c r="B2691" s="2">
        <f ca="1"/>
        <v>0.51466431428279713</v>
      </c>
      <c r="O2691" s="2">
        <f ca="1"/>
        <v>1.6884181018502276</v>
      </c>
      <c r="X2691" s="2">
        <f ca="1"/>
        <v>30.773004463811233</v>
      </c>
      <c r="AG2691" s="2">
        <f ca="1"/>
        <v>0.80405473331664856</v>
      </c>
      <c r="AH2691" s="2" t="str">
        <f ca="1"/>
        <v>Bad</v>
      </c>
    </row>
    <row r="2692" spans="2:34" x14ac:dyDescent="0.2">
      <c r="B2692" s="2">
        <f ca="1"/>
        <v>0.81625876303761991</v>
      </c>
      <c r="O2692" s="2">
        <f ca="1"/>
        <v>0.99893696802327303</v>
      </c>
      <c r="X2692" s="2">
        <f ca="1"/>
        <v>42.381955520584711</v>
      </c>
      <c r="AG2692" s="2">
        <f ca="1"/>
        <v>0.82700149870855988</v>
      </c>
      <c r="AH2692" s="2" t="str">
        <f ca="1"/>
        <v>Bad</v>
      </c>
    </row>
    <row r="2693" spans="2:34" x14ac:dyDescent="0.2">
      <c r="B2693" s="2">
        <f ca="1"/>
        <v>0.79308693377050576</v>
      </c>
      <c r="O2693" s="2">
        <f ca="1"/>
        <v>-0.14339223657508163</v>
      </c>
      <c r="X2693" s="2">
        <f ca="1"/>
        <v>59.058816341212747</v>
      </c>
      <c r="AG2693" s="2">
        <f ca="1"/>
        <v>0.78424563117268531</v>
      </c>
      <c r="AH2693" s="2" t="str">
        <f ca="1"/>
        <v>Bad</v>
      </c>
    </row>
    <row r="2694" spans="2:34" x14ac:dyDescent="0.2">
      <c r="B2694" s="2">
        <f ca="1"/>
        <v>0.79488886889776889</v>
      </c>
      <c r="O2694" s="2">
        <f ca="1"/>
        <v>-0.56670597565511893</v>
      </c>
      <c r="X2694" s="2">
        <f ca="1"/>
        <v>51.268638248804066</v>
      </c>
      <c r="AG2694" s="2">
        <f ca="1"/>
        <v>0.53455286688078507</v>
      </c>
      <c r="AH2694" s="2" t="str">
        <f ca="1"/>
        <v>Bad</v>
      </c>
    </row>
    <row r="2695" spans="2:34" x14ac:dyDescent="0.2">
      <c r="B2695" s="2">
        <f ca="1"/>
        <v>0.98779283290737996</v>
      </c>
      <c r="O2695" s="2">
        <f ca="1"/>
        <v>-0.15652119608760467</v>
      </c>
      <c r="X2695" s="2">
        <f ca="1"/>
        <v>68.157538454401632</v>
      </c>
      <c r="AG2695" s="2">
        <f ca="1"/>
        <v>0.59873381073040832</v>
      </c>
      <c r="AH2695" s="2" t="str">
        <f ca="1"/>
        <v>Bad</v>
      </c>
    </row>
    <row r="2696" spans="2:34" x14ac:dyDescent="0.2">
      <c r="B2696" s="2">
        <f ca="1"/>
        <v>0.53982325645650486</v>
      </c>
      <c r="O2696" s="2">
        <f ca="1"/>
        <v>-0.67719588763635241</v>
      </c>
      <c r="X2696" s="2">
        <f ca="1"/>
        <v>83.443885060275903</v>
      </c>
      <c r="AG2696" s="2">
        <f ca="1"/>
        <v>0.63497082160072638</v>
      </c>
      <c r="AH2696" s="2" t="str">
        <f ca="1"/>
        <v>Bad</v>
      </c>
    </row>
    <row r="2697" spans="2:34" x14ac:dyDescent="0.2">
      <c r="B2697" s="2">
        <f ca="1"/>
        <v>0.71856019156992135</v>
      </c>
      <c r="O2697" s="2">
        <f ca="1"/>
        <v>2.4998573645612514</v>
      </c>
      <c r="X2697" s="2">
        <f ca="1"/>
        <v>32.557156408857132</v>
      </c>
      <c r="AG2697" s="2">
        <f ca="1"/>
        <v>0.56362224436166075</v>
      </c>
      <c r="AH2697" s="2" t="str">
        <f ca="1"/>
        <v>Bad</v>
      </c>
    </row>
    <row r="2698" spans="2:34" x14ac:dyDescent="0.2">
      <c r="B2698" s="2">
        <f ca="1"/>
        <v>0.78216366059468889</v>
      </c>
      <c r="O2698" s="2">
        <f ca="1"/>
        <v>0.5921767418424454</v>
      </c>
      <c r="X2698" s="2">
        <f ca="1"/>
        <v>89.008547630872926</v>
      </c>
      <c r="AG2698" s="2">
        <f ca="1"/>
        <v>0.34360670815453864</v>
      </c>
      <c r="AH2698" s="2" t="str">
        <f ca="1"/>
        <v>OK</v>
      </c>
    </row>
    <row r="2699" spans="2:34" x14ac:dyDescent="0.2">
      <c r="B2699" s="2">
        <f ca="1"/>
        <v>0.16654980321910884</v>
      </c>
      <c r="O2699" s="2">
        <f ca="1"/>
        <v>-9.9860952554478633E-2</v>
      </c>
      <c r="X2699" s="2">
        <f ca="1"/>
        <v>53.507787021756421</v>
      </c>
      <c r="AG2699" s="2">
        <f ca="1"/>
        <v>0.18321767966174263</v>
      </c>
      <c r="AH2699" s="2" t="str">
        <f ca="1"/>
        <v>OK</v>
      </c>
    </row>
    <row r="2700" spans="2:34" x14ac:dyDescent="0.2">
      <c r="B2700" s="2">
        <f ca="1"/>
        <v>0.40690909973028488</v>
      </c>
      <c r="O2700" s="2">
        <f ca="1"/>
        <v>1.4322961715470925</v>
      </c>
      <c r="X2700" s="2">
        <f ca="1"/>
        <v>31.49173979415653</v>
      </c>
      <c r="AG2700" s="2">
        <f ca="1"/>
        <v>0.47546908588234049</v>
      </c>
      <c r="AH2700" s="2" t="str">
        <f ca="1"/>
        <v>Bad</v>
      </c>
    </row>
    <row r="2701" spans="2:34" x14ac:dyDescent="0.2">
      <c r="B2701" s="2">
        <f ca="1"/>
        <v>0.41475405924591491</v>
      </c>
      <c r="O2701" s="2">
        <f ca="1"/>
        <v>-1.4236842549051052</v>
      </c>
      <c r="X2701" s="2">
        <f ca="1"/>
        <v>68.56667735269194</v>
      </c>
      <c r="AG2701" s="2">
        <f ca="1"/>
        <v>0.47764901243092361</v>
      </c>
      <c r="AH2701" s="2" t="str">
        <f ca="1"/>
        <v>Bad</v>
      </c>
    </row>
    <row r="2702" spans="2:34" x14ac:dyDescent="0.2">
      <c r="B2702" s="2">
        <f ca="1"/>
        <v>0.32012154348894506</v>
      </c>
      <c r="O2702" s="2">
        <f ca="1"/>
        <v>-1.6344692460565189</v>
      </c>
      <c r="X2702" s="2">
        <f ca="1"/>
        <v>77.200301355509936</v>
      </c>
      <c r="AG2702" s="2">
        <f ca="1"/>
        <v>0.66271299397389827</v>
      </c>
      <c r="AH2702" s="2" t="str">
        <f ca="1"/>
        <v>Bad</v>
      </c>
    </row>
    <row r="2703" spans="2:34" x14ac:dyDescent="0.2">
      <c r="B2703" s="2">
        <f ca="1"/>
        <v>9.3990364021244277E-2</v>
      </c>
      <c r="O2703" s="2">
        <f ca="1"/>
        <v>0.22709249601879225</v>
      </c>
      <c r="X2703" s="2">
        <f ca="1"/>
        <v>29.207652321600701</v>
      </c>
      <c r="AG2703" s="2">
        <f ca="1"/>
        <v>0.90367121547351159</v>
      </c>
      <c r="AH2703" s="2" t="str">
        <f ca="1"/>
        <v>Bad</v>
      </c>
    </row>
    <row r="2704" spans="2:34" x14ac:dyDescent="0.2">
      <c r="B2704" s="2">
        <f ca="1"/>
        <v>0.38405046890311723</v>
      </c>
      <c r="O2704" s="2">
        <f ca="1"/>
        <v>0.71679330961962118</v>
      </c>
      <c r="X2704" s="2">
        <f ca="1"/>
        <v>37.990478496355394</v>
      </c>
      <c r="AG2704" s="2">
        <f ca="1"/>
        <v>0.79021043649357181</v>
      </c>
      <c r="AH2704" s="2" t="str">
        <f ca="1"/>
        <v>Bad</v>
      </c>
    </row>
    <row r="2705" spans="2:34" x14ac:dyDescent="0.2">
      <c r="B2705" s="2">
        <f ca="1"/>
        <v>0.27163400061287546</v>
      </c>
      <c r="O2705" s="2">
        <f ca="1"/>
        <v>0.86584433040806918</v>
      </c>
      <c r="X2705" s="2">
        <f ca="1"/>
        <v>66.76440835779799</v>
      </c>
      <c r="AG2705" s="2">
        <f ca="1"/>
        <v>0.65031753112242208</v>
      </c>
      <c r="AH2705" s="2" t="str">
        <f ca="1"/>
        <v>Bad</v>
      </c>
    </row>
    <row r="2706" spans="2:34" x14ac:dyDescent="0.2">
      <c r="B2706" s="2">
        <f ca="1"/>
        <v>9.3790057425938933E-2</v>
      </c>
      <c r="O2706" s="2">
        <f ca="1"/>
        <v>-1.0202018473256007</v>
      </c>
      <c r="X2706" s="2">
        <f ca="1"/>
        <v>35.845908250913027</v>
      </c>
      <c r="AG2706" s="2">
        <f ca="1"/>
        <v>0.96338938859534728</v>
      </c>
      <c r="AH2706" s="2" t="str">
        <f ca="1"/>
        <v>Bad</v>
      </c>
    </row>
    <row r="2707" spans="2:34" x14ac:dyDescent="0.2">
      <c r="B2707" s="2">
        <f ca="1"/>
        <v>0.13268350986201738</v>
      </c>
      <c r="O2707" s="2">
        <f ca="1"/>
        <v>1.4542290997160534</v>
      </c>
      <c r="X2707" s="2">
        <f ca="1"/>
        <v>91.450227430076652</v>
      </c>
      <c r="AG2707" s="2">
        <f ca="1"/>
        <v>0.27900762064072371</v>
      </c>
      <c r="AH2707" s="2" t="str">
        <f ca="1"/>
        <v>OK</v>
      </c>
    </row>
    <row r="2708" spans="2:34" x14ac:dyDescent="0.2">
      <c r="B2708" s="2">
        <f ca="1"/>
        <v>0.57124040744227522</v>
      </c>
      <c r="O2708" s="2">
        <f ca="1"/>
        <v>0.54473452369341047</v>
      </c>
      <c r="X2708" s="2">
        <f ca="1"/>
        <v>61.866062033310314</v>
      </c>
      <c r="AG2708" s="2">
        <f ca="1"/>
        <v>0.59577917258374802</v>
      </c>
      <c r="AH2708" s="2" t="str">
        <f ca="1"/>
        <v>Bad</v>
      </c>
    </row>
    <row r="2709" spans="2:34" x14ac:dyDescent="0.2">
      <c r="B2709" s="2">
        <f ca="1"/>
        <v>0.7012014787702896</v>
      </c>
      <c r="O2709" s="2">
        <f ca="1"/>
        <v>-6.1044089356431561E-2</v>
      </c>
      <c r="X2709" s="2">
        <f ca="1"/>
        <v>73.012112767307784</v>
      </c>
      <c r="AG2709" s="2">
        <f ca="1"/>
        <v>0.79359721092051339</v>
      </c>
      <c r="AH2709" s="2" t="str">
        <f ca="1"/>
        <v>Bad</v>
      </c>
    </row>
    <row r="2710" spans="2:34" x14ac:dyDescent="0.2">
      <c r="B2710" s="2">
        <f ca="1"/>
        <v>1.626302352634057E-2</v>
      </c>
      <c r="O2710" s="2">
        <f ca="1"/>
        <v>8.1160014096364211E-2</v>
      </c>
      <c r="X2710" s="2">
        <f ca="1"/>
        <v>36.672383587049111</v>
      </c>
      <c r="AG2710" s="2">
        <f ca="1"/>
        <v>0.43955250122572442</v>
      </c>
      <c r="AH2710" s="2" t="str">
        <f ca="1"/>
        <v>Bad</v>
      </c>
    </row>
    <row r="2711" spans="2:34" x14ac:dyDescent="0.2">
      <c r="B2711" s="2">
        <f ca="1"/>
        <v>0.35354473387444019</v>
      </c>
      <c r="O2711" s="2">
        <f ca="1"/>
        <v>-0.64312126545144155</v>
      </c>
      <c r="X2711" s="2">
        <f ca="1"/>
        <v>75.972467428915166</v>
      </c>
      <c r="AG2711" s="2">
        <f ca="1"/>
        <v>0.84241766424694164</v>
      </c>
      <c r="AH2711" s="2" t="str">
        <f ca="1"/>
        <v>Bad</v>
      </c>
    </row>
    <row r="2712" spans="2:34" x14ac:dyDescent="0.2">
      <c r="B2712" s="2">
        <f ca="1"/>
        <v>0.27525534459505785</v>
      </c>
      <c r="O2712" s="2">
        <f ca="1"/>
        <v>-0.12251664091715898</v>
      </c>
      <c r="X2712" s="2">
        <f ca="1"/>
        <v>39.878878116362856</v>
      </c>
      <c r="AG2712" s="2">
        <f ca="1"/>
        <v>5.5572080666128176E-2</v>
      </c>
      <c r="AH2712" s="2" t="str">
        <f ca="1"/>
        <v>OK</v>
      </c>
    </row>
    <row r="2713" spans="2:34" x14ac:dyDescent="0.2">
      <c r="B2713" s="2">
        <f ca="1"/>
        <v>7.8087200891878483E-2</v>
      </c>
      <c r="O2713" s="2">
        <f ca="1"/>
        <v>0.77420700890053129</v>
      </c>
      <c r="X2713" s="2">
        <f ca="1"/>
        <v>63.740202513560085</v>
      </c>
      <c r="AG2713" s="2">
        <f ca="1"/>
        <v>0.21821257896623436</v>
      </c>
      <c r="AH2713" s="2" t="str">
        <f ca="1"/>
        <v>OK</v>
      </c>
    </row>
    <row r="2714" spans="2:34" x14ac:dyDescent="0.2">
      <c r="B2714" s="2">
        <f ca="1"/>
        <v>0.46338798156498795</v>
      </c>
      <c r="O2714" s="2">
        <f ca="1"/>
        <v>1.350841601292325E-2</v>
      </c>
      <c r="X2714" s="2">
        <f ca="1"/>
        <v>29.708612616274664</v>
      </c>
      <c r="AG2714" s="2">
        <f ca="1"/>
        <v>0.63525445822570803</v>
      </c>
      <c r="AH2714" s="2" t="str">
        <f ca="1"/>
        <v>Bad</v>
      </c>
    </row>
    <row r="2715" spans="2:34" x14ac:dyDescent="0.2">
      <c r="B2715" s="2">
        <f ca="1"/>
        <v>0.98632161619016845</v>
      </c>
      <c r="O2715" s="2">
        <f ca="1"/>
        <v>1.6073894618788138</v>
      </c>
      <c r="X2715" s="2">
        <f ca="1"/>
        <v>78.627405882483714</v>
      </c>
      <c r="AG2715" s="2">
        <f ca="1"/>
        <v>0.97817910809271247</v>
      </c>
      <c r="AH2715" s="2" t="str">
        <f ca="1"/>
        <v>Bad</v>
      </c>
    </row>
    <row r="2716" spans="2:34" x14ac:dyDescent="0.2">
      <c r="B2716" s="2">
        <f ca="1"/>
        <v>0.76291522851902327</v>
      </c>
      <c r="O2716" s="2">
        <f ca="1"/>
        <v>0.42576598299986124</v>
      </c>
      <c r="X2716" s="2">
        <f ca="1"/>
        <v>56.00673774551781</v>
      </c>
      <c r="AG2716" s="2">
        <f ca="1"/>
        <v>0.98134536434635478</v>
      </c>
      <c r="AH2716" s="2" t="str">
        <f ca="1"/>
        <v>Bad</v>
      </c>
    </row>
    <row r="2717" spans="2:34" x14ac:dyDescent="0.2">
      <c r="B2717" s="2">
        <f ca="1"/>
        <v>0.44791510109474664</v>
      </c>
      <c r="O2717" s="2">
        <f ca="1"/>
        <v>-0.19652935562419691</v>
      </c>
      <c r="X2717" s="2">
        <f ca="1"/>
        <v>46.468950551220523</v>
      </c>
      <c r="AG2717" s="2">
        <f ca="1"/>
        <v>0.45701432373425677</v>
      </c>
      <c r="AH2717" s="2" t="str">
        <f ca="1"/>
        <v>Bad</v>
      </c>
    </row>
    <row r="2718" spans="2:34" x14ac:dyDescent="0.2">
      <c r="B2718" s="2">
        <f ca="1"/>
        <v>0.98174926922146133</v>
      </c>
      <c r="O2718" s="2">
        <f ca="1"/>
        <v>-6.3097194344176363E-2</v>
      </c>
      <c r="X2718" s="2">
        <f ca="1"/>
        <v>31.781671892043761</v>
      </c>
      <c r="AG2718" s="2">
        <f ca="1"/>
        <v>9.9275998156353573E-2</v>
      </c>
      <c r="AH2718" s="2" t="str">
        <f ca="1"/>
        <v>OK</v>
      </c>
    </row>
    <row r="2719" spans="2:34" x14ac:dyDescent="0.2">
      <c r="B2719" s="2">
        <f ca="1"/>
        <v>0.11577037325623118</v>
      </c>
      <c r="O2719" s="2">
        <f ca="1"/>
        <v>4.2806991066744828E-2</v>
      </c>
      <c r="X2719" s="2">
        <f ca="1"/>
        <v>63.268731617838753</v>
      </c>
      <c r="AG2719" s="2">
        <f ca="1"/>
        <v>0.41427506508319856</v>
      </c>
      <c r="AH2719" s="2" t="str">
        <f ca="1"/>
        <v>Bad</v>
      </c>
    </row>
    <row r="2720" spans="2:34" x14ac:dyDescent="0.2">
      <c r="B2720" s="2">
        <f ca="1"/>
        <v>0.62578273307065757</v>
      </c>
      <c r="O2720" s="2">
        <f ca="1"/>
        <v>0.46652325743212375</v>
      </c>
      <c r="X2720" s="2">
        <f ca="1"/>
        <v>63.748604259824766</v>
      </c>
      <c r="AG2720" s="2">
        <f ca="1"/>
        <v>0.9811768555834337</v>
      </c>
      <c r="AH2720" s="2" t="str">
        <f ca="1"/>
        <v>Bad</v>
      </c>
    </row>
    <row r="2721" spans="2:34" x14ac:dyDescent="0.2">
      <c r="B2721" s="2">
        <f ca="1"/>
        <v>0.60328842350801049</v>
      </c>
      <c r="O2721" s="2">
        <f ca="1"/>
        <v>1.1326328424552237</v>
      </c>
      <c r="X2721" s="2">
        <f ca="1"/>
        <v>66.731472246409751</v>
      </c>
      <c r="AG2721" s="2">
        <f ca="1"/>
        <v>0.65581135397322954</v>
      </c>
      <c r="AH2721" s="2" t="str">
        <f ca="1"/>
        <v>Bad</v>
      </c>
    </row>
    <row r="2722" spans="2:34" x14ac:dyDescent="0.2">
      <c r="B2722" s="2">
        <f ca="1"/>
        <v>0.89431025387780805</v>
      </c>
      <c r="O2722" s="2">
        <f ca="1"/>
        <v>-0.21877452866674507</v>
      </c>
      <c r="X2722" s="2">
        <f ca="1"/>
        <v>51.746124188727549</v>
      </c>
      <c r="AG2722" s="2">
        <f ca="1"/>
        <v>0.818285828100491</v>
      </c>
      <c r="AH2722" s="2" t="str">
        <f ca="1"/>
        <v>Bad</v>
      </c>
    </row>
    <row r="2723" spans="2:34" x14ac:dyDescent="0.2">
      <c r="B2723" s="2">
        <f ca="1"/>
        <v>0.31268041778505795</v>
      </c>
      <c r="O2723" s="2">
        <f ca="1"/>
        <v>-1.5456131486450526</v>
      </c>
      <c r="X2723" s="2">
        <f ca="1"/>
        <v>25.204153981279038</v>
      </c>
      <c r="AG2723" s="2">
        <f ca="1"/>
        <v>0.78913107788317993</v>
      </c>
      <c r="AH2723" s="2" t="str">
        <f ca="1"/>
        <v>Bad</v>
      </c>
    </row>
    <row r="2724" spans="2:34" x14ac:dyDescent="0.2">
      <c r="B2724" s="2">
        <f ca="1"/>
        <v>3.5443869307708598E-2</v>
      </c>
      <c r="O2724" s="2">
        <f ca="1"/>
        <v>0.97499144366286661</v>
      </c>
      <c r="X2724" s="2">
        <f ca="1"/>
        <v>35.496557187517396</v>
      </c>
      <c r="AG2724" s="2">
        <f ca="1"/>
        <v>3.6180258299990609E-2</v>
      </c>
      <c r="AH2724" s="2" t="str">
        <f ca="1"/>
        <v>Good</v>
      </c>
    </row>
    <row r="2725" spans="2:34" x14ac:dyDescent="0.2">
      <c r="B2725" s="2">
        <f ca="1"/>
        <v>0.95067491242993141</v>
      </c>
      <c r="O2725" s="2">
        <f ca="1"/>
        <v>0.71480837159945476</v>
      </c>
      <c r="X2725" s="2">
        <f ca="1"/>
        <v>24.002457334483882</v>
      </c>
      <c r="AG2725" s="2">
        <f ca="1"/>
        <v>0.67656491185073153</v>
      </c>
      <c r="AH2725" s="2" t="str">
        <f ca="1"/>
        <v>Bad</v>
      </c>
    </row>
    <row r="2726" spans="2:34" x14ac:dyDescent="0.2">
      <c r="B2726" s="2">
        <f ca="1"/>
        <v>0.17845541203517201</v>
      </c>
      <c r="O2726" s="2">
        <f ca="1"/>
        <v>0.71105474731302909</v>
      </c>
      <c r="X2726" s="2">
        <f ca="1"/>
        <v>46.015844232714983</v>
      </c>
      <c r="AG2726" s="2">
        <f ca="1"/>
        <v>0.40885991907582109</v>
      </c>
      <c r="AH2726" s="2" t="str">
        <f ca="1"/>
        <v>Bad</v>
      </c>
    </row>
    <row r="2727" spans="2:34" x14ac:dyDescent="0.2">
      <c r="B2727" s="2">
        <f ca="1"/>
        <v>0.96055977709268237</v>
      </c>
      <c r="O2727" s="2">
        <f ca="1"/>
        <v>-2.3823011998473249</v>
      </c>
      <c r="X2727" s="2">
        <f ca="1"/>
        <v>60.592188829261602</v>
      </c>
      <c r="AG2727" s="2">
        <f ca="1"/>
        <v>0.12352466923652572</v>
      </c>
      <c r="AH2727" s="2" t="str">
        <f ca="1"/>
        <v>OK</v>
      </c>
    </row>
    <row r="2728" spans="2:34" x14ac:dyDescent="0.2">
      <c r="B2728" s="2">
        <f ca="1"/>
        <v>0.58013061768362006</v>
      </c>
      <c r="O2728" s="2">
        <f ca="1"/>
        <v>-0.2199509604807193</v>
      </c>
      <c r="X2728" s="2">
        <f ca="1"/>
        <v>40.734199949064603</v>
      </c>
      <c r="AG2728" s="2">
        <f ca="1"/>
        <v>0.34744748192590458</v>
      </c>
      <c r="AH2728" s="2" t="str">
        <f ca="1"/>
        <v>OK</v>
      </c>
    </row>
    <row r="2729" spans="2:34" x14ac:dyDescent="0.2">
      <c r="B2729" s="2">
        <f ca="1"/>
        <v>0.95428801662793195</v>
      </c>
      <c r="O2729" s="2">
        <f ca="1"/>
        <v>-0.22858425510981495</v>
      </c>
      <c r="X2729" s="2">
        <f ca="1"/>
        <v>49.229644394735303</v>
      </c>
      <c r="AG2729" s="2">
        <f ca="1"/>
        <v>0.65845098875955199</v>
      </c>
      <c r="AH2729" s="2" t="str">
        <f ca="1"/>
        <v>Bad</v>
      </c>
    </row>
    <row r="2730" spans="2:34" x14ac:dyDescent="0.2">
      <c r="B2730" s="2">
        <f ca="1"/>
        <v>0.54477536677705496</v>
      </c>
      <c r="O2730" s="2">
        <f ca="1"/>
        <v>-1.4350909110759871</v>
      </c>
      <c r="X2730" s="2">
        <f ca="1"/>
        <v>39.373385948272983</v>
      </c>
      <c r="AG2730" s="2">
        <f ca="1"/>
        <v>0.87811656440306063</v>
      </c>
      <c r="AH2730" s="2" t="str">
        <f ca="1"/>
        <v>Bad</v>
      </c>
    </row>
    <row r="2731" spans="2:34" x14ac:dyDescent="0.2">
      <c r="B2731" s="2">
        <f ca="1"/>
        <v>0.95221399008058283</v>
      </c>
      <c r="O2731" s="2">
        <f ca="1"/>
        <v>1.0993295365994702</v>
      </c>
      <c r="X2731" s="2">
        <f ca="1"/>
        <v>56.162968727412299</v>
      </c>
      <c r="AG2731" s="2">
        <f ca="1"/>
        <v>0.47251209984695475</v>
      </c>
      <c r="AH2731" s="2" t="str">
        <f ca="1"/>
        <v>Bad</v>
      </c>
    </row>
    <row r="2732" spans="2:34" x14ac:dyDescent="0.2">
      <c r="B2732" s="2">
        <f ca="1"/>
        <v>0.22178536650038638</v>
      </c>
      <c r="O2732" s="2">
        <f ca="1"/>
        <v>-5.9637516010645465E-2</v>
      </c>
      <c r="X2732" s="2">
        <f ca="1"/>
        <v>48.863295154427107</v>
      </c>
      <c r="AG2732" s="2">
        <f ca="1"/>
        <v>0.94577164264302338</v>
      </c>
      <c r="AH2732" s="2" t="str">
        <f ca="1"/>
        <v>Bad</v>
      </c>
    </row>
    <row r="2733" spans="2:34" x14ac:dyDescent="0.2">
      <c r="B2733" s="2">
        <f ca="1"/>
        <v>0.60158229782643446</v>
      </c>
      <c r="O2733" s="2">
        <f ca="1"/>
        <v>-0.60200124947762135</v>
      </c>
      <c r="X2733" s="2">
        <f ca="1"/>
        <v>40.813763387040808</v>
      </c>
      <c r="AG2733" s="2">
        <f ca="1"/>
        <v>0.91695334827072061</v>
      </c>
      <c r="AH2733" s="2" t="str">
        <f ca="1"/>
        <v>Bad</v>
      </c>
    </row>
    <row r="2734" spans="2:34" x14ac:dyDescent="0.2">
      <c r="B2734" s="2">
        <f ca="1"/>
        <v>0.76370728444692659</v>
      </c>
      <c r="O2734" s="2">
        <f ca="1"/>
        <v>0.23345087403440332</v>
      </c>
      <c r="X2734" s="2">
        <f ca="1"/>
        <v>55.505196070995034</v>
      </c>
      <c r="AG2734" s="2">
        <f ca="1"/>
        <v>0.20358609732249344</v>
      </c>
      <c r="AH2734" s="2" t="str">
        <f ca="1"/>
        <v>OK</v>
      </c>
    </row>
    <row r="2735" spans="2:34" x14ac:dyDescent="0.2">
      <c r="B2735" s="2">
        <f ca="1"/>
        <v>0.13103808423169649</v>
      </c>
      <c r="O2735" s="2">
        <f ca="1"/>
        <v>-0.41523191965876355</v>
      </c>
      <c r="X2735" s="2">
        <f ca="1"/>
        <v>50.155342167173899</v>
      </c>
      <c r="AG2735" s="2">
        <f ca="1"/>
        <v>0.2468969798525813</v>
      </c>
      <c r="AH2735" s="2" t="str">
        <f ca="1"/>
        <v>OK</v>
      </c>
    </row>
    <row r="2736" spans="2:34" x14ac:dyDescent="0.2">
      <c r="B2736" s="2">
        <f ca="1"/>
        <v>0.84440851069812517</v>
      </c>
      <c r="O2736" s="2">
        <f ca="1"/>
        <v>-1.7920332722212002</v>
      </c>
      <c r="X2736" s="2">
        <f ca="1"/>
        <v>49.739782657022189</v>
      </c>
      <c r="AG2736" s="2">
        <f ca="1"/>
        <v>3.2558365850220428E-2</v>
      </c>
      <c r="AH2736" s="2" t="str">
        <f ca="1"/>
        <v>Good</v>
      </c>
    </row>
    <row r="2737" spans="2:34" x14ac:dyDescent="0.2">
      <c r="B2737" s="2">
        <f ca="1"/>
        <v>0.92925291676271282</v>
      </c>
      <c r="O2737" s="2">
        <f ca="1"/>
        <v>-1.6602170984452886</v>
      </c>
      <c r="X2737" s="2">
        <f ca="1"/>
        <v>52.233544897016728</v>
      </c>
      <c r="AG2737" s="2">
        <f ca="1"/>
        <v>0.15443894761893895</v>
      </c>
      <c r="AH2737" s="2" t="str">
        <f ca="1"/>
        <v>OK</v>
      </c>
    </row>
    <row r="2738" spans="2:34" x14ac:dyDescent="0.2">
      <c r="B2738" s="2">
        <f ca="1"/>
        <v>0.40468341335586056</v>
      </c>
      <c r="O2738" s="2">
        <f ca="1"/>
        <v>-1.1803515332609142</v>
      </c>
      <c r="X2738" s="2">
        <f ca="1"/>
        <v>53.712860966723937</v>
      </c>
      <c r="AG2738" s="2">
        <f ca="1"/>
        <v>0.16391140905541657</v>
      </c>
      <c r="AH2738" s="2" t="str">
        <f ca="1"/>
        <v>OK</v>
      </c>
    </row>
    <row r="2739" spans="2:34" x14ac:dyDescent="0.2">
      <c r="B2739" s="2">
        <f ca="1"/>
        <v>0.76194866746914691</v>
      </c>
      <c r="O2739" s="2">
        <f ca="1"/>
        <v>1.0661018402853286</v>
      </c>
      <c r="X2739" s="2">
        <f ca="1"/>
        <v>41.306487772539001</v>
      </c>
      <c r="AG2739" s="2">
        <f ca="1"/>
        <v>0.12666231026590058</v>
      </c>
      <c r="AH2739" s="2" t="str">
        <f ca="1"/>
        <v>OK</v>
      </c>
    </row>
    <row r="2740" spans="2:34" x14ac:dyDescent="0.2">
      <c r="B2740" s="2">
        <f ca="1"/>
        <v>0.75864201965195299</v>
      </c>
      <c r="O2740" s="2">
        <f ca="1"/>
        <v>-1.0151676176688145</v>
      </c>
      <c r="X2740" s="2">
        <f ca="1"/>
        <v>39.281416546331037</v>
      </c>
      <c r="AG2740" s="2">
        <f ca="1"/>
        <v>0.72218704017273838</v>
      </c>
      <c r="AH2740" s="2" t="str">
        <f ca="1"/>
        <v>Bad</v>
      </c>
    </row>
    <row r="2741" spans="2:34" x14ac:dyDescent="0.2">
      <c r="B2741" s="2">
        <f ca="1"/>
        <v>0.75712807455367681</v>
      </c>
      <c r="O2741" s="2">
        <f ca="1"/>
        <v>-0.13444522177409848</v>
      </c>
      <c r="X2741" s="2">
        <f ca="1"/>
        <v>70.067157744158635</v>
      </c>
      <c r="AG2741" s="2">
        <f ca="1"/>
        <v>0.82940618578909953</v>
      </c>
      <c r="AH2741" s="2" t="str">
        <f ca="1"/>
        <v>Bad</v>
      </c>
    </row>
    <row r="2742" spans="2:34" x14ac:dyDescent="0.2">
      <c r="B2742" s="2">
        <f ca="1"/>
        <v>1.6367462524563781E-2</v>
      </c>
      <c r="O2742" s="2">
        <f ca="1"/>
        <v>-0.27549280511957086</v>
      </c>
      <c r="X2742" s="2">
        <f ca="1"/>
        <v>52.377380313876131</v>
      </c>
      <c r="AG2742" s="2">
        <f ca="1"/>
        <v>0.16878125933901633</v>
      </c>
      <c r="AH2742" s="2" t="str">
        <f ca="1"/>
        <v>OK</v>
      </c>
    </row>
    <row r="2743" spans="2:34" x14ac:dyDescent="0.2">
      <c r="B2743" s="2">
        <f ca="1"/>
        <v>0.53239194684801383</v>
      </c>
      <c r="O2743" s="2">
        <f ca="1"/>
        <v>0.17627878635399033</v>
      </c>
      <c r="X2743" s="2">
        <f ca="1"/>
        <v>37.56150061945285</v>
      </c>
      <c r="AG2743" s="2">
        <f ca="1"/>
        <v>0.26210724246135908</v>
      </c>
      <c r="AH2743" s="2" t="str">
        <f ca="1"/>
        <v>OK</v>
      </c>
    </row>
    <row r="2744" spans="2:34" x14ac:dyDescent="0.2">
      <c r="B2744" s="2">
        <f ca="1"/>
        <v>0.13088614264435106</v>
      </c>
      <c r="O2744" s="2">
        <f ca="1"/>
        <v>-0.10066091019024137</v>
      </c>
      <c r="X2744" s="2">
        <f ca="1"/>
        <v>34.920787445128937</v>
      </c>
      <c r="AG2744" s="2">
        <f ca="1"/>
        <v>0.9118551742076344</v>
      </c>
      <c r="AH2744" s="2" t="str">
        <f ca="1"/>
        <v>Bad</v>
      </c>
    </row>
    <row r="2745" spans="2:34" x14ac:dyDescent="0.2">
      <c r="B2745" s="2">
        <f ca="1"/>
        <v>0.61017051750181284</v>
      </c>
      <c r="O2745" s="2">
        <f ca="1"/>
        <v>2.0219680039166366</v>
      </c>
      <c r="X2745" s="2">
        <f ca="1"/>
        <v>99.468141909703746</v>
      </c>
      <c r="AG2745" s="2">
        <f ca="1"/>
        <v>0.35051286416296246</v>
      </c>
      <c r="AH2745" s="2" t="str">
        <f ca="1"/>
        <v>OK</v>
      </c>
    </row>
    <row r="2746" spans="2:34" x14ac:dyDescent="0.2">
      <c r="B2746" s="2">
        <f ca="1"/>
        <v>0.89841974621469167</v>
      </c>
      <c r="O2746" s="2">
        <f ca="1"/>
        <v>0.22316373347913504</v>
      </c>
      <c r="X2746" s="2">
        <f ca="1"/>
        <v>37.755328806615836</v>
      </c>
      <c r="AG2746" s="2">
        <f ca="1"/>
        <v>0.13803170112346175</v>
      </c>
      <c r="AH2746" s="2" t="str">
        <f ca="1"/>
        <v>OK</v>
      </c>
    </row>
    <row r="2747" spans="2:34" x14ac:dyDescent="0.2">
      <c r="B2747" s="2">
        <f ca="1"/>
        <v>0.30465084318711533</v>
      </c>
      <c r="O2747" s="2">
        <f ca="1"/>
        <v>-0.64899748714263561</v>
      </c>
      <c r="X2747" s="2">
        <f ca="1"/>
        <v>61.974639649795876</v>
      </c>
      <c r="AG2747" s="2">
        <f ca="1"/>
        <v>0.74723431480607849</v>
      </c>
      <c r="AH2747" s="2" t="str">
        <f ca="1"/>
        <v>Bad</v>
      </c>
    </row>
    <row r="2748" spans="2:34" x14ac:dyDescent="0.2">
      <c r="B2748" s="2">
        <f ca="1"/>
        <v>0.28978674251516168</v>
      </c>
      <c r="O2748" s="2">
        <f ca="1"/>
        <v>-0.6204639577824681</v>
      </c>
      <c r="X2748" s="2">
        <f ca="1"/>
        <v>64.238553507592769</v>
      </c>
      <c r="AG2748" s="2">
        <f ca="1"/>
        <v>0.55844653112879961</v>
      </c>
      <c r="AH2748" s="2" t="str">
        <f ca="1"/>
        <v>Bad</v>
      </c>
    </row>
    <row r="2749" spans="2:34" x14ac:dyDescent="0.2">
      <c r="B2749" s="2">
        <f ca="1"/>
        <v>0.8707568172674689</v>
      </c>
      <c r="O2749" s="2">
        <f ca="1"/>
        <v>-6.1923109680480877E-2</v>
      </c>
      <c r="X2749" s="2">
        <f ca="1"/>
        <v>69.120067859633281</v>
      </c>
      <c r="AG2749" s="2">
        <f ca="1"/>
        <v>0.81324455497386605</v>
      </c>
      <c r="AH2749" s="2" t="str">
        <f ca="1"/>
        <v>Bad</v>
      </c>
    </row>
    <row r="2750" spans="2:34" x14ac:dyDescent="0.2">
      <c r="B2750" s="2">
        <f ca="1"/>
        <v>0.47787535679779314</v>
      </c>
      <c r="O2750" s="2">
        <f ca="1"/>
        <v>0.58301817626041741</v>
      </c>
      <c r="X2750" s="2">
        <f ca="1"/>
        <v>47.420906340462921</v>
      </c>
      <c r="AG2750" s="2">
        <f ca="1"/>
        <v>0.1241418749013643</v>
      </c>
      <c r="AH2750" s="2" t="str">
        <f ca="1"/>
        <v>OK</v>
      </c>
    </row>
    <row r="2751" spans="2:34" x14ac:dyDescent="0.2">
      <c r="B2751" s="2">
        <f ca="1"/>
        <v>0.82851702040850195</v>
      </c>
      <c r="O2751" s="2">
        <f ca="1"/>
        <v>0.18733875168602523</v>
      </c>
      <c r="X2751" s="2">
        <f ca="1"/>
        <v>66.329120428216527</v>
      </c>
      <c r="AG2751" s="2">
        <f ca="1"/>
        <v>0.98939932357541793</v>
      </c>
      <c r="AH2751" s="2" t="str">
        <f ca="1"/>
        <v>Bad</v>
      </c>
    </row>
    <row r="2752" spans="2:34" x14ac:dyDescent="0.2">
      <c r="B2752" s="2">
        <f ca="1"/>
        <v>0.33696275591033409</v>
      </c>
      <c r="O2752" s="2">
        <f ca="1"/>
        <v>2.3039404619393058</v>
      </c>
      <c r="X2752" s="2">
        <f ca="1"/>
        <v>40.046248254656362</v>
      </c>
      <c r="AG2752" s="2">
        <f ca="1"/>
        <v>0.38630918563370931</v>
      </c>
      <c r="AH2752" s="2" t="str">
        <f ca="1"/>
        <v>OK</v>
      </c>
    </row>
    <row r="2753" spans="2:34" x14ac:dyDescent="0.2">
      <c r="B2753" s="2">
        <f ca="1"/>
        <v>0.24117773542206811</v>
      </c>
      <c r="O2753" s="2">
        <f ca="1"/>
        <v>1.5334154127111561</v>
      </c>
      <c r="X2753" s="2">
        <f ca="1"/>
        <v>49.942064069094201</v>
      </c>
      <c r="AG2753" s="2">
        <f ca="1"/>
        <v>0.99256955933485669</v>
      </c>
      <c r="AH2753" s="2" t="str">
        <f ca="1"/>
        <v>Bad</v>
      </c>
    </row>
    <row r="2754" spans="2:34" x14ac:dyDescent="0.2">
      <c r="B2754" s="2">
        <f ca="1"/>
        <v>0.14404769208649904</v>
      </c>
      <c r="O2754" s="2">
        <f ca="1"/>
        <v>-1.2699922686103329</v>
      </c>
      <c r="X2754" s="2">
        <f ca="1"/>
        <v>60.359835163758291</v>
      </c>
      <c r="AG2754" s="2">
        <f ca="1"/>
        <v>0.7592880956145629</v>
      </c>
      <c r="AH2754" s="2" t="str">
        <f ca="1"/>
        <v>Bad</v>
      </c>
    </row>
    <row r="2755" spans="2:34" x14ac:dyDescent="0.2">
      <c r="B2755" s="2">
        <f ca="1"/>
        <v>0.35785428707604905</v>
      </c>
      <c r="O2755" s="2">
        <f ca="1"/>
        <v>1.3498691639170055</v>
      </c>
      <c r="X2755" s="2">
        <f ca="1"/>
        <v>67.118548676724544</v>
      </c>
      <c r="AG2755" s="2">
        <f ca="1"/>
        <v>0.28565327900567516</v>
      </c>
      <c r="AH2755" s="2" t="str">
        <f ca="1"/>
        <v>OK</v>
      </c>
    </row>
    <row r="2756" spans="2:34" x14ac:dyDescent="0.2">
      <c r="B2756" s="2">
        <f ca="1"/>
        <v>0.43701084036712379</v>
      </c>
      <c r="O2756" s="2">
        <f ca="1"/>
        <v>-0.71918401217438488</v>
      </c>
      <c r="X2756" s="2">
        <f ca="1"/>
        <v>42.880140733405966</v>
      </c>
      <c r="AG2756" s="2">
        <f ca="1"/>
        <v>0.79802124116129236</v>
      </c>
      <c r="AH2756" s="2" t="str">
        <f ca="1"/>
        <v>Bad</v>
      </c>
    </row>
    <row r="2757" spans="2:34" x14ac:dyDescent="0.2">
      <c r="B2757" s="2">
        <f ca="1"/>
        <v>0.39873135514210589</v>
      </c>
      <c r="O2757" s="2">
        <f ca="1"/>
        <v>1.2046895903472687</v>
      </c>
      <c r="X2757" s="2">
        <f ca="1"/>
        <v>54.457403359684562</v>
      </c>
      <c r="AG2757" s="2">
        <f ca="1"/>
        <v>0.63749193453750563</v>
      </c>
      <c r="AH2757" s="2" t="str">
        <f ca="1"/>
        <v>Bad</v>
      </c>
    </row>
    <row r="2758" spans="2:34" x14ac:dyDescent="0.2">
      <c r="B2758" s="2">
        <f ca="1"/>
        <v>0.40803708648817416</v>
      </c>
      <c r="O2758" s="2">
        <f ca="1"/>
        <v>0.79775244230765541</v>
      </c>
      <c r="X2758" s="2">
        <f ca="1"/>
        <v>34.231991073082391</v>
      </c>
      <c r="AG2758" s="2">
        <f ca="1"/>
        <v>0.29287570227468374</v>
      </c>
      <c r="AH2758" s="2" t="str">
        <f ca="1"/>
        <v>OK</v>
      </c>
    </row>
    <row r="2759" spans="2:34" x14ac:dyDescent="0.2">
      <c r="B2759" s="2">
        <f ca="1"/>
        <v>0.64798996675939891</v>
      </c>
      <c r="O2759" s="2">
        <f ca="1"/>
        <v>0.23698073712273529</v>
      </c>
      <c r="X2759" s="2">
        <f ca="1"/>
        <v>84.491316454841851</v>
      </c>
      <c r="AG2759" s="2">
        <f ca="1"/>
        <v>0.26945346812283621</v>
      </c>
      <c r="AH2759" s="2" t="str">
        <f ca="1"/>
        <v>OK</v>
      </c>
    </row>
    <row r="2760" spans="2:34" x14ac:dyDescent="0.2">
      <c r="B2760" s="2">
        <f ca="1"/>
        <v>0.57061990822821773</v>
      </c>
      <c r="O2760" s="2">
        <f ca="1"/>
        <v>1.4188880929784551</v>
      </c>
      <c r="X2760" s="2">
        <f ca="1"/>
        <v>27.431018934716423</v>
      </c>
      <c r="AG2760" s="2">
        <f ca="1"/>
        <v>0.57555565846025813</v>
      </c>
      <c r="AH2760" s="2" t="str">
        <f ca="1"/>
        <v>Bad</v>
      </c>
    </row>
    <row r="2761" spans="2:34" x14ac:dyDescent="0.2">
      <c r="B2761" s="2">
        <f ca="1"/>
        <v>0.25464029309787772</v>
      </c>
      <c r="O2761" s="2">
        <f ca="1"/>
        <v>-1.1809856219983097</v>
      </c>
      <c r="X2761" s="2">
        <f ca="1"/>
        <v>63.490379608704394</v>
      </c>
      <c r="AG2761" s="2">
        <f ca="1"/>
        <v>0.18370556482109857</v>
      </c>
      <c r="AH2761" s="2" t="str">
        <f ca="1"/>
        <v>OK</v>
      </c>
    </row>
    <row r="2762" spans="2:34" x14ac:dyDescent="0.2">
      <c r="B2762" s="2">
        <f ca="1"/>
        <v>0.85018870775272348</v>
      </c>
      <c r="O2762" s="2">
        <f ca="1"/>
        <v>0.85258021254840199</v>
      </c>
      <c r="X2762" s="2">
        <f ca="1"/>
        <v>37.703564286888451</v>
      </c>
      <c r="AG2762" s="2">
        <f ca="1"/>
        <v>0.1722344814261445</v>
      </c>
      <c r="AH2762" s="2" t="str">
        <f ca="1"/>
        <v>OK</v>
      </c>
    </row>
    <row r="2763" spans="2:34" x14ac:dyDescent="0.2">
      <c r="B2763" s="2">
        <f ca="1"/>
        <v>0.39540108329813539</v>
      </c>
      <c r="O2763" s="2">
        <f ca="1"/>
        <v>0.54294608900415586</v>
      </c>
      <c r="X2763" s="2">
        <f ca="1"/>
        <v>53.395816580488159</v>
      </c>
      <c r="AG2763" s="2">
        <f ca="1"/>
        <v>0.40452713572506838</v>
      </c>
      <c r="AH2763" s="2" t="str">
        <f ca="1"/>
        <v>Bad</v>
      </c>
    </row>
    <row r="2764" spans="2:34" x14ac:dyDescent="0.2">
      <c r="B2764" s="2">
        <f ca="1"/>
        <v>0.4949523220651153</v>
      </c>
      <c r="O2764" s="2">
        <f ca="1"/>
        <v>-0.4063929700205518</v>
      </c>
      <c r="X2764" s="2">
        <f ca="1"/>
        <v>51.100551183318075</v>
      </c>
      <c r="AG2764" s="2">
        <f ca="1"/>
        <v>0.14150105742977881</v>
      </c>
      <c r="AH2764" s="2" t="str">
        <f ca="1"/>
        <v>OK</v>
      </c>
    </row>
    <row r="2765" spans="2:34" x14ac:dyDescent="0.2">
      <c r="B2765" s="2">
        <f ca="1"/>
        <v>1.680611574309876E-2</v>
      </c>
      <c r="O2765" s="2">
        <f ca="1"/>
        <v>0.46242128701561913</v>
      </c>
      <c r="X2765" s="2">
        <f ca="1"/>
        <v>47.330238600009828</v>
      </c>
      <c r="AG2765" s="2">
        <f ca="1"/>
        <v>0.53836207243823164</v>
      </c>
      <c r="AH2765" s="2" t="str">
        <f ca="1"/>
        <v>Bad</v>
      </c>
    </row>
    <row r="2766" spans="2:34" x14ac:dyDescent="0.2">
      <c r="B2766" s="2">
        <f ca="1"/>
        <v>0.42090178451011107</v>
      </c>
      <c r="O2766" s="2">
        <f ca="1"/>
        <v>4.268480611495604E-3</v>
      </c>
      <c r="X2766" s="2">
        <f ca="1"/>
        <v>71.458027416564335</v>
      </c>
      <c r="AG2766" s="2">
        <f ca="1"/>
        <v>0.32963250854598702</v>
      </c>
      <c r="AH2766" s="2" t="str">
        <f ca="1"/>
        <v>OK</v>
      </c>
    </row>
    <row r="2767" spans="2:34" x14ac:dyDescent="0.2">
      <c r="B2767" s="2">
        <f ca="1"/>
        <v>0.46346010327798459</v>
      </c>
      <c r="O2767" s="2">
        <f ca="1"/>
        <v>0.54638882051399218</v>
      </c>
      <c r="X2767" s="2">
        <f ca="1"/>
        <v>52.925491361822871</v>
      </c>
      <c r="AG2767" s="2">
        <f ca="1"/>
        <v>0.69811422706444115</v>
      </c>
      <c r="AH2767" s="2" t="str">
        <f ca="1"/>
        <v>Bad</v>
      </c>
    </row>
    <row r="2768" spans="2:34" x14ac:dyDescent="0.2">
      <c r="B2768" s="2">
        <f ca="1"/>
        <v>0.30264897516389921</v>
      </c>
      <c r="O2768" s="2">
        <f ca="1"/>
        <v>9.2936116648085446E-2</v>
      </c>
      <c r="X2768" s="2">
        <f ca="1"/>
        <v>67.554574662978013</v>
      </c>
      <c r="AG2768" s="2">
        <f ca="1"/>
        <v>0.19656222483670605</v>
      </c>
      <c r="AH2768" s="2" t="str">
        <f ca="1"/>
        <v>OK</v>
      </c>
    </row>
    <row r="2769" spans="2:34" x14ac:dyDescent="0.2">
      <c r="B2769" s="2">
        <f ca="1"/>
        <v>0.92231446329593569</v>
      </c>
      <c r="O2769" s="2">
        <f ca="1"/>
        <v>0.86480978227043248</v>
      </c>
      <c r="X2769" s="2">
        <f ca="1"/>
        <v>49.224008051404027</v>
      </c>
      <c r="AG2769" s="2">
        <f ca="1"/>
        <v>0.61913566670417497</v>
      </c>
      <c r="AH2769" s="2" t="str">
        <f ca="1"/>
        <v>Bad</v>
      </c>
    </row>
    <row r="2770" spans="2:34" x14ac:dyDescent="0.2">
      <c r="B2770" s="2">
        <f ca="1"/>
        <v>0.21913380259843218</v>
      </c>
      <c r="O2770" s="2">
        <f ca="1"/>
        <v>-1.7066015776952606</v>
      </c>
      <c r="X2770" s="2">
        <f ca="1"/>
        <v>63.608248595607392</v>
      </c>
      <c r="AG2770" s="2">
        <f ca="1"/>
        <v>0.81363749215312464</v>
      </c>
      <c r="AH2770" s="2" t="str">
        <f ca="1"/>
        <v>Bad</v>
      </c>
    </row>
    <row r="2771" spans="2:34" x14ac:dyDescent="0.2">
      <c r="B2771" s="2">
        <f ca="1"/>
        <v>0.19386008995230153</v>
      </c>
      <c r="O2771" s="2">
        <f ca="1"/>
        <v>0.70068095260817054</v>
      </c>
      <c r="X2771" s="2">
        <f ca="1"/>
        <v>18.525331188017628</v>
      </c>
      <c r="AG2771" s="2">
        <f ca="1"/>
        <v>5.1884041526495617E-2</v>
      </c>
      <c r="AH2771" s="2" t="str">
        <f ca="1"/>
        <v>OK</v>
      </c>
    </row>
    <row r="2772" spans="2:34" x14ac:dyDescent="0.2">
      <c r="B2772" s="2">
        <f ca="1"/>
        <v>3.8712075442333349E-2</v>
      </c>
      <c r="O2772" s="2">
        <f ca="1"/>
        <v>-1.1288965485598841</v>
      </c>
      <c r="X2772" s="2">
        <f ca="1"/>
        <v>53.56635447906541</v>
      </c>
      <c r="AG2772" s="2">
        <f ca="1"/>
        <v>0.86687487815896414</v>
      </c>
      <c r="AH2772" s="2" t="str">
        <f ca="1"/>
        <v>Bad</v>
      </c>
    </row>
    <row r="2773" spans="2:34" x14ac:dyDescent="0.2">
      <c r="B2773" s="2">
        <f ca="1"/>
        <v>0.95937992814093076</v>
      </c>
      <c r="O2773" s="2">
        <f ca="1"/>
        <v>1.1721329561356628</v>
      </c>
      <c r="X2773" s="2">
        <f ca="1"/>
        <v>39.954433309364013</v>
      </c>
      <c r="AG2773" s="2">
        <f ca="1"/>
        <v>8.7929802134310897E-2</v>
      </c>
      <c r="AH2773" s="2" t="str">
        <f ca="1"/>
        <v>OK</v>
      </c>
    </row>
    <row r="2774" spans="2:34" x14ac:dyDescent="0.2">
      <c r="B2774" s="2">
        <f ca="1"/>
        <v>0.60449120855140648</v>
      </c>
      <c r="O2774" s="2">
        <f ca="1"/>
        <v>0.867784120036872</v>
      </c>
      <c r="X2774" s="2">
        <f ca="1"/>
        <v>38.514780928765447</v>
      </c>
      <c r="AG2774" s="2">
        <f ca="1"/>
        <v>0.88208911658922329</v>
      </c>
      <c r="AH2774" s="2" t="str">
        <f ca="1"/>
        <v>Bad</v>
      </c>
    </row>
    <row r="2775" spans="2:34" x14ac:dyDescent="0.2">
      <c r="B2775" s="2">
        <f ca="1"/>
        <v>0.73001021315017223</v>
      </c>
      <c r="O2775" s="2">
        <f ca="1"/>
        <v>0.91113597039461092</v>
      </c>
      <c r="X2775" s="2">
        <f ca="1"/>
        <v>39.727609251464983</v>
      </c>
      <c r="AG2775" s="2">
        <f ca="1"/>
        <v>0.71004547999154566</v>
      </c>
      <c r="AH2775" s="2" t="str">
        <f ca="1"/>
        <v>Bad</v>
      </c>
    </row>
    <row r="2776" spans="2:34" x14ac:dyDescent="0.2">
      <c r="B2776" s="2">
        <f ca="1"/>
        <v>0.74329272989516171</v>
      </c>
      <c r="O2776" s="2">
        <f ca="1"/>
        <v>1.0177793575637046</v>
      </c>
      <c r="X2776" s="2">
        <f ca="1"/>
        <v>35.063227453305899</v>
      </c>
      <c r="AG2776" s="2">
        <f ca="1"/>
        <v>0.85538610573078944</v>
      </c>
      <c r="AH2776" s="2" t="str">
        <f ca="1"/>
        <v>Bad</v>
      </c>
    </row>
    <row r="2777" spans="2:34" x14ac:dyDescent="0.2">
      <c r="B2777" s="2">
        <f ca="1"/>
        <v>0.72426693095354655</v>
      </c>
      <c r="O2777" s="2">
        <f ca="1"/>
        <v>-1.6292092917682803</v>
      </c>
      <c r="X2777" s="2">
        <f ca="1"/>
        <v>61.159022811842398</v>
      </c>
      <c r="AG2777" s="2">
        <f ca="1"/>
        <v>0.22186353624392297</v>
      </c>
      <c r="AH2777" s="2" t="str">
        <f ca="1"/>
        <v>OK</v>
      </c>
    </row>
    <row r="2778" spans="2:34" x14ac:dyDescent="0.2">
      <c r="B2778" s="2">
        <f ca="1"/>
        <v>0.22229419055263477</v>
      </c>
      <c r="O2778" s="2">
        <f ca="1"/>
        <v>-0.95144546526242302</v>
      </c>
      <c r="X2778" s="2">
        <f ca="1"/>
        <v>33.038484997011771</v>
      </c>
      <c r="AG2778" s="2">
        <f ca="1"/>
        <v>0.4391475521911703</v>
      </c>
      <c r="AH2778" s="2" t="str">
        <f ca="1"/>
        <v>Bad</v>
      </c>
    </row>
    <row r="2779" spans="2:34" x14ac:dyDescent="0.2">
      <c r="B2779" s="2">
        <f ca="1"/>
        <v>0.38747698953401333</v>
      </c>
      <c r="O2779" s="2">
        <f ca="1"/>
        <v>-1.2070715984592262</v>
      </c>
      <c r="X2779" s="2">
        <f ca="1"/>
        <v>58.364911226744354</v>
      </c>
      <c r="AG2779" s="2">
        <f ca="1"/>
        <v>0.81329021961866887</v>
      </c>
      <c r="AH2779" s="2" t="str">
        <f ca="1"/>
        <v>Bad</v>
      </c>
    </row>
    <row r="2780" spans="2:34" x14ac:dyDescent="0.2">
      <c r="B2780" s="2">
        <f ca="1"/>
        <v>0.63914242609577343</v>
      </c>
      <c r="O2780" s="2">
        <f ca="1"/>
        <v>-7.3897262886233925E-2</v>
      </c>
      <c r="X2780" s="2">
        <f ca="1"/>
        <v>58.728510550288391</v>
      </c>
      <c r="AG2780" s="2">
        <f ca="1"/>
        <v>0.9881494613638917</v>
      </c>
      <c r="AH2780" s="2" t="str">
        <f ca="1"/>
        <v>Bad</v>
      </c>
    </row>
    <row r="2781" spans="2:34" x14ac:dyDescent="0.2">
      <c r="B2781" s="2">
        <f ca="1"/>
        <v>0.70487577149509772</v>
      </c>
      <c r="O2781" s="2">
        <f ca="1"/>
        <v>-0.48146582581892822</v>
      </c>
      <c r="X2781" s="2">
        <f ca="1"/>
        <v>62.092732872973649</v>
      </c>
      <c r="AG2781" s="2">
        <f ca="1"/>
        <v>0.60605487598212138</v>
      </c>
      <c r="AH2781" s="2" t="str">
        <f ca="1"/>
        <v>Bad</v>
      </c>
    </row>
    <row r="2782" spans="2:34" x14ac:dyDescent="0.2">
      <c r="B2782" s="2">
        <f ca="1"/>
        <v>0.64763171336970804</v>
      </c>
      <c r="O2782" s="2">
        <f ca="1"/>
        <v>-1.1588249699919129</v>
      </c>
      <c r="X2782" s="2">
        <f ca="1"/>
        <v>39.610614084659055</v>
      </c>
      <c r="AG2782" s="2">
        <f ca="1"/>
        <v>0.70110631008910551</v>
      </c>
      <c r="AH2782" s="2" t="str">
        <f ca="1"/>
        <v>Bad</v>
      </c>
    </row>
    <row r="2783" spans="2:34" x14ac:dyDescent="0.2">
      <c r="B2783" s="2">
        <f ca="1"/>
        <v>9.6732155385783836E-2</v>
      </c>
      <c r="O2783" s="2">
        <f ca="1"/>
        <v>0.36330766854052704</v>
      </c>
      <c r="X2783" s="2">
        <f ca="1"/>
        <v>39.315401090313919</v>
      </c>
      <c r="AG2783" s="2">
        <f ca="1"/>
        <v>0.52942835154864754</v>
      </c>
      <c r="AH2783" s="2" t="str">
        <f ca="1"/>
        <v>Bad</v>
      </c>
    </row>
    <row r="2784" spans="2:34" x14ac:dyDescent="0.2">
      <c r="B2784" s="2">
        <f ca="1"/>
        <v>0.74291582211850771</v>
      </c>
      <c r="O2784" s="2">
        <f ca="1"/>
        <v>1.7009291356793004</v>
      </c>
      <c r="X2784" s="2">
        <f ca="1"/>
        <v>42.094476409260992</v>
      </c>
      <c r="AG2784" s="2">
        <f ca="1"/>
        <v>0.70328521755278728</v>
      </c>
      <c r="AH2784" s="2" t="str">
        <f ca="1"/>
        <v>Bad</v>
      </c>
    </row>
    <row r="2785" spans="2:34" x14ac:dyDescent="0.2">
      <c r="B2785" s="2">
        <f ca="1"/>
        <v>0.16210569504754258</v>
      </c>
      <c r="O2785" s="2">
        <f ca="1"/>
        <v>-0.36815114601439519</v>
      </c>
      <c r="X2785" s="2">
        <f ca="1"/>
        <v>29.894030641311502</v>
      </c>
      <c r="AG2785" s="2">
        <f ca="1"/>
        <v>0.30411958670244665</v>
      </c>
      <c r="AH2785" s="2" t="str">
        <f ca="1"/>
        <v>OK</v>
      </c>
    </row>
    <row r="2786" spans="2:34" x14ac:dyDescent="0.2">
      <c r="B2786" s="2">
        <f ca="1"/>
        <v>0.38387306448094582</v>
      </c>
      <c r="O2786" s="2">
        <f ca="1"/>
        <v>0.65183697176615474</v>
      </c>
      <c r="X2786" s="2">
        <f ca="1"/>
        <v>53.238980597951041</v>
      </c>
      <c r="AG2786" s="2">
        <f ca="1"/>
        <v>0.85258488820336087</v>
      </c>
      <c r="AH2786" s="2" t="str">
        <f ca="1"/>
        <v>Bad</v>
      </c>
    </row>
    <row r="2787" spans="2:34" x14ac:dyDescent="0.2">
      <c r="B2787" s="2">
        <f ca="1"/>
        <v>0.81966947431559412</v>
      </c>
      <c r="O2787" s="2">
        <f ca="1"/>
        <v>0.55321892470108502</v>
      </c>
      <c r="X2787" s="2">
        <f ca="1"/>
        <v>41.026931627125578</v>
      </c>
      <c r="AG2787" s="2">
        <f ca="1"/>
        <v>0.63454724357449765</v>
      </c>
      <c r="AH2787" s="2" t="str">
        <f ca="1"/>
        <v>Bad</v>
      </c>
    </row>
    <row r="2788" spans="2:34" x14ac:dyDescent="0.2">
      <c r="B2788" s="2">
        <f ca="1"/>
        <v>0.38672251405808189</v>
      </c>
      <c r="O2788" s="2">
        <f ca="1"/>
        <v>0.37439315022028513</v>
      </c>
      <c r="X2788" s="2">
        <f ca="1"/>
        <v>68.374128475214064</v>
      </c>
      <c r="AG2788" s="2">
        <f ca="1"/>
        <v>0.53525112678046316</v>
      </c>
      <c r="AH2788" s="2" t="str">
        <f ca="1"/>
        <v>Bad</v>
      </c>
    </row>
    <row r="2789" spans="2:34" x14ac:dyDescent="0.2">
      <c r="B2789" s="2">
        <f ca="1"/>
        <v>0.7973830065685088</v>
      </c>
      <c r="O2789" s="2">
        <f ca="1"/>
        <v>-1.4683990122056303</v>
      </c>
      <c r="X2789" s="2">
        <f ca="1"/>
        <v>72.802496486943824</v>
      </c>
      <c r="AG2789" s="2">
        <f ca="1"/>
        <v>0.89228155446038127</v>
      </c>
      <c r="AH2789" s="2" t="str">
        <f ca="1"/>
        <v>Bad</v>
      </c>
    </row>
    <row r="2790" spans="2:34" x14ac:dyDescent="0.2">
      <c r="B2790" s="2">
        <f ca="1"/>
        <v>0.56533806269988185</v>
      </c>
      <c r="O2790" s="2">
        <f ca="1"/>
        <v>-0.45587247051442087</v>
      </c>
      <c r="X2790" s="2">
        <f ca="1"/>
        <v>41.528365127988558</v>
      </c>
      <c r="AG2790" s="2">
        <f ca="1"/>
        <v>0.85754238524065163</v>
      </c>
      <c r="AH2790" s="2" t="str">
        <f ca="1"/>
        <v>Bad</v>
      </c>
    </row>
    <row r="2791" spans="2:34" x14ac:dyDescent="0.2">
      <c r="B2791" s="2">
        <f ca="1"/>
        <v>0.91272359578356332</v>
      </c>
      <c r="O2791" s="2">
        <f ca="1"/>
        <v>-0.56788320564852413</v>
      </c>
      <c r="X2791" s="2">
        <f ca="1"/>
        <v>25.166586832266375</v>
      </c>
      <c r="AG2791" s="2">
        <f ca="1"/>
        <v>0.13327167964881759</v>
      </c>
      <c r="AH2791" s="2" t="str">
        <f ca="1"/>
        <v>OK</v>
      </c>
    </row>
    <row r="2792" spans="2:34" x14ac:dyDescent="0.2">
      <c r="B2792" s="2">
        <f ca="1"/>
        <v>0.94764067791384154</v>
      </c>
      <c r="O2792" s="2">
        <f ca="1"/>
        <v>-0.43801800403132085</v>
      </c>
      <c r="X2792" s="2">
        <f ca="1"/>
        <v>70.464669424459245</v>
      </c>
      <c r="AG2792" s="2">
        <f ca="1"/>
        <v>0.54073615721796342</v>
      </c>
      <c r="AH2792" s="2" t="str">
        <f ca="1"/>
        <v>Bad</v>
      </c>
    </row>
    <row r="2793" spans="2:34" x14ac:dyDescent="0.2">
      <c r="B2793" s="2">
        <f ca="1"/>
        <v>0.84905212533007601</v>
      </c>
      <c r="O2793" s="2">
        <f ca="1"/>
        <v>-0.75348480190088862</v>
      </c>
      <c r="X2793" s="2">
        <f ca="1"/>
        <v>34.214950866453862</v>
      </c>
      <c r="AG2793" s="2">
        <f ca="1"/>
        <v>0.76245969893327437</v>
      </c>
      <c r="AH2793" s="2" t="str">
        <f ca="1"/>
        <v>Bad</v>
      </c>
    </row>
    <row r="2794" spans="2:34" x14ac:dyDescent="0.2">
      <c r="B2794" s="2">
        <f ca="1"/>
        <v>0.45342464695954088</v>
      </c>
      <c r="O2794" s="2">
        <f ca="1"/>
        <v>-0.91978411607072519</v>
      </c>
      <c r="X2794" s="2">
        <f ca="1"/>
        <v>29.148538896259343</v>
      </c>
      <c r="AG2794" s="2">
        <f ca="1"/>
        <v>0.75048495559825046</v>
      </c>
      <c r="AH2794" s="2" t="str">
        <f ca="1"/>
        <v>Bad</v>
      </c>
    </row>
    <row r="2795" spans="2:34" x14ac:dyDescent="0.2">
      <c r="B2795" s="2">
        <f ca="1"/>
        <v>0.15370954760712663</v>
      </c>
      <c r="O2795" s="2">
        <f ca="1"/>
        <v>-0.176866672804811</v>
      </c>
      <c r="X2795" s="2">
        <f ca="1"/>
        <v>50.835496917592963</v>
      </c>
      <c r="AG2795" s="2">
        <f ca="1"/>
        <v>0.84949836786570154</v>
      </c>
      <c r="AH2795" s="2" t="str">
        <f ca="1"/>
        <v>Bad</v>
      </c>
    </row>
    <row r="2796" spans="2:34" x14ac:dyDescent="0.2">
      <c r="B2796" s="2">
        <f ca="1"/>
        <v>0.89726793374393554</v>
      </c>
      <c r="O2796" s="2">
        <f ca="1"/>
        <v>1.1474720876583044</v>
      </c>
      <c r="X2796" s="2">
        <f ca="1"/>
        <v>36.801268562698432</v>
      </c>
      <c r="AG2796" s="2">
        <f ca="1"/>
        <v>0.25180549972805788</v>
      </c>
      <c r="AH2796" s="2" t="str">
        <f ca="1"/>
        <v>OK</v>
      </c>
    </row>
    <row r="2797" spans="2:34" x14ac:dyDescent="0.2">
      <c r="B2797" s="2">
        <f ca="1"/>
        <v>0.75298541778834194</v>
      </c>
      <c r="O2797" s="2">
        <f ca="1"/>
        <v>0.12920830625195492</v>
      </c>
      <c r="X2797" s="2">
        <f ca="1"/>
        <v>37.151353938155204</v>
      </c>
      <c r="AG2797" s="2">
        <f ca="1"/>
        <v>0.80826115857643832</v>
      </c>
      <c r="AH2797" s="2" t="str">
        <f ca="1"/>
        <v>Bad</v>
      </c>
    </row>
    <row r="2798" spans="2:34" x14ac:dyDescent="0.2">
      <c r="B2798" s="2">
        <f ca="1"/>
        <v>0.24570171177007794</v>
      </c>
      <c r="O2798" s="2">
        <f ca="1"/>
        <v>0.15332323197098541</v>
      </c>
      <c r="X2798" s="2">
        <f ca="1"/>
        <v>45.770524493109441</v>
      </c>
      <c r="AG2798" s="2">
        <f ca="1"/>
        <v>7.4692126042785745E-2</v>
      </c>
      <c r="AH2798" s="2" t="str">
        <f ca="1"/>
        <v>OK</v>
      </c>
    </row>
    <row r="2799" spans="2:34" x14ac:dyDescent="0.2">
      <c r="B2799" s="2">
        <f ca="1"/>
        <v>0.47540956071476037</v>
      </c>
      <c r="O2799" s="2">
        <f ca="1"/>
        <v>-2.1991188293291013</v>
      </c>
      <c r="X2799" s="2">
        <f ca="1"/>
        <v>38.250224917749925</v>
      </c>
      <c r="AG2799" s="2">
        <f ca="1"/>
        <v>1.055468976830487E-2</v>
      </c>
      <c r="AH2799" s="2" t="str">
        <f ca="1"/>
        <v>Good</v>
      </c>
    </row>
    <row r="2800" spans="2:34" x14ac:dyDescent="0.2">
      <c r="B2800" s="2">
        <f ca="1"/>
        <v>4.428264333385612E-2</v>
      </c>
      <c r="O2800" s="2">
        <f ca="1"/>
        <v>0.25209406639745463</v>
      </c>
      <c r="X2800" s="2">
        <f ca="1"/>
        <v>35.594635725653603</v>
      </c>
      <c r="AG2800" s="2">
        <f ca="1"/>
        <v>0.74432655311758733</v>
      </c>
      <c r="AH2800" s="2" t="str">
        <f ca="1"/>
        <v>Bad</v>
      </c>
    </row>
    <row r="2801" spans="2:34" x14ac:dyDescent="0.2">
      <c r="B2801" s="2">
        <f ca="1"/>
        <v>0.81731811929566311</v>
      </c>
      <c r="O2801" s="2">
        <f ca="1"/>
        <v>-0.99784787521920015</v>
      </c>
      <c r="X2801" s="2">
        <f ca="1"/>
        <v>40.42754780179461</v>
      </c>
      <c r="AG2801" s="2">
        <f ca="1"/>
        <v>0.61868050234538341</v>
      </c>
      <c r="AH2801" s="2" t="str">
        <f ca="1"/>
        <v>Bad</v>
      </c>
    </row>
    <row r="2802" spans="2:34" x14ac:dyDescent="0.2">
      <c r="B2802" s="2">
        <f ca="1"/>
        <v>0.2474814899486093</v>
      </c>
      <c r="O2802" s="2">
        <f ca="1"/>
        <v>1.0634528226972486</v>
      </c>
      <c r="X2802" s="2">
        <f ca="1"/>
        <v>54.413920667799331</v>
      </c>
      <c r="AG2802" s="2">
        <f ca="1"/>
        <v>0.5536213139584647</v>
      </c>
      <c r="AH2802" s="2" t="str">
        <f ca="1"/>
        <v>Bad</v>
      </c>
    </row>
    <row r="2803" spans="2:34" x14ac:dyDescent="0.2">
      <c r="B2803" s="2">
        <f ca="1"/>
        <v>0.98851707046207493</v>
      </c>
      <c r="O2803" s="2">
        <f ca="1"/>
        <v>0.74752129867552963</v>
      </c>
      <c r="X2803" s="2">
        <f ca="1"/>
        <v>44.068261636044454</v>
      </c>
      <c r="AG2803" s="2">
        <f ca="1"/>
        <v>6.6953966838176893E-2</v>
      </c>
      <c r="AH2803" s="2" t="str">
        <f ca="1"/>
        <v>OK</v>
      </c>
    </row>
    <row r="2804" spans="2:34" x14ac:dyDescent="0.2">
      <c r="B2804" s="2">
        <f ca="1"/>
        <v>0.66404130735060418</v>
      </c>
      <c r="O2804" s="2">
        <f ca="1"/>
        <v>1.0127188943958421</v>
      </c>
      <c r="X2804" s="2">
        <f ca="1"/>
        <v>56.805055093107057</v>
      </c>
      <c r="AG2804" s="2">
        <f ca="1"/>
        <v>0.81682278437810707</v>
      </c>
      <c r="AH2804" s="2" t="str">
        <f ca="1"/>
        <v>Bad</v>
      </c>
    </row>
    <row r="2805" spans="2:34" x14ac:dyDescent="0.2">
      <c r="B2805" s="2">
        <f ca="1"/>
        <v>0.5888034849839805</v>
      </c>
      <c r="O2805" s="2">
        <f ca="1"/>
        <v>-0.95180432327777997</v>
      </c>
      <c r="X2805" s="2">
        <f ca="1"/>
        <v>54.528073315944297</v>
      </c>
      <c r="AG2805" s="2">
        <f ca="1"/>
        <v>0.22424953475550824</v>
      </c>
      <c r="AH2805" s="2" t="str">
        <f ca="1"/>
        <v>OK</v>
      </c>
    </row>
    <row r="2806" spans="2:34" x14ac:dyDescent="0.2">
      <c r="B2806" s="2">
        <f ca="1"/>
        <v>0.56426012057150832</v>
      </c>
      <c r="O2806" s="2">
        <f ca="1"/>
        <v>1.277482349521383</v>
      </c>
      <c r="X2806" s="2">
        <f ca="1"/>
        <v>41.529920830250042</v>
      </c>
      <c r="AG2806" s="2">
        <f ca="1"/>
        <v>0.5003877117371287</v>
      </c>
      <c r="AH2806" s="2" t="str">
        <f ca="1"/>
        <v>Bad</v>
      </c>
    </row>
    <row r="2807" spans="2:34" x14ac:dyDescent="0.2">
      <c r="B2807" s="2">
        <f ca="1"/>
        <v>0.28659166590433061</v>
      </c>
      <c r="O2807" s="2">
        <f ca="1"/>
        <v>-0.11104682232152421</v>
      </c>
      <c r="X2807" s="2">
        <f ca="1"/>
        <v>80.402917792933394</v>
      </c>
      <c r="AG2807" s="2">
        <f ca="1"/>
        <v>8.0627951434456779E-2</v>
      </c>
      <c r="AH2807" s="2" t="str">
        <f ca="1"/>
        <v>OK</v>
      </c>
    </row>
    <row r="2808" spans="2:34" x14ac:dyDescent="0.2">
      <c r="B2808" s="2">
        <f ca="1"/>
        <v>0.18342665764280985</v>
      </c>
      <c r="O2808" s="2">
        <f ca="1"/>
        <v>0.36661711591146035</v>
      </c>
      <c r="X2808" s="2">
        <f ca="1"/>
        <v>54.001031895368513</v>
      </c>
      <c r="AG2808" s="2">
        <f ca="1"/>
        <v>0.65902117755074818</v>
      </c>
      <c r="AH2808" s="2" t="str">
        <f ca="1"/>
        <v>Bad</v>
      </c>
    </row>
    <row r="2809" spans="2:34" x14ac:dyDescent="0.2">
      <c r="B2809" s="2">
        <f ca="1"/>
        <v>0.68762470265307063</v>
      </c>
      <c r="O2809" s="2">
        <f ca="1"/>
        <v>1.538797409399685</v>
      </c>
      <c r="X2809" s="2">
        <f ca="1"/>
        <v>67.948286213529087</v>
      </c>
      <c r="AG2809" s="2">
        <f ca="1"/>
        <v>0.79789350598767639</v>
      </c>
      <c r="AH2809" s="2" t="str">
        <f ca="1"/>
        <v>Bad</v>
      </c>
    </row>
    <row r="2810" spans="2:34" x14ac:dyDescent="0.2">
      <c r="B2810" s="2">
        <f ca="1"/>
        <v>0.45469983894587296</v>
      </c>
      <c r="O2810" s="2">
        <f ca="1"/>
        <v>-1.1983102652899134</v>
      </c>
      <c r="X2810" s="2">
        <f ca="1"/>
        <v>48.448748535228603</v>
      </c>
      <c r="AG2810" s="2">
        <f ca="1"/>
        <v>0.53612462281289708</v>
      </c>
      <c r="AH2810" s="2" t="str">
        <f ca="1"/>
        <v>Bad</v>
      </c>
    </row>
    <row r="2811" spans="2:34" x14ac:dyDescent="0.2">
      <c r="B2811" s="2">
        <f ca="1"/>
        <v>0.56790272271493158</v>
      </c>
      <c r="O2811" s="2">
        <f ca="1"/>
        <v>-8.9754067774841281E-2</v>
      </c>
      <c r="X2811" s="2">
        <f ca="1"/>
        <v>34.385215655273996</v>
      </c>
      <c r="AG2811" s="2">
        <f ca="1"/>
        <v>0.68212934976919359</v>
      </c>
      <c r="AH2811" s="2" t="str">
        <f ca="1"/>
        <v>Bad</v>
      </c>
    </row>
    <row r="2812" spans="2:34" x14ac:dyDescent="0.2">
      <c r="B2812" s="2">
        <f ca="1"/>
        <v>0.83405189703671878</v>
      </c>
      <c r="O2812" s="2">
        <f ca="1"/>
        <v>1.6667983578031698</v>
      </c>
      <c r="X2812" s="2">
        <f ca="1"/>
        <v>48.100243939114932</v>
      </c>
      <c r="AG2812" s="2">
        <f ca="1"/>
        <v>0.81874146624482447</v>
      </c>
      <c r="AH2812" s="2" t="str">
        <f ca="1"/>
        <v>Bad</v>
      </c>
    </row>
    <row r="2813" spans="2:34" x14ac:dyDescent="0.2">
      <c r="B2813" s="2">
        <f ca="1"/>
        <v>0.94808010812432375</v>
      </c>
      <c r="O2813" s="2">
        <f ca="1"/>
        <v>-2.2110328210326498E-2</v>
      </c>
      <c r="X2813" s="2">
        <f ca="1"/>
        <v>54.87264528122283</v>
      </c>
      <c r="AG2813" s="2">
        <f ca="1"/>
        <v>0.46993190885062952</v>
      </c>
      <c r="AH2813" s="2" t="str">
        <f ca="1"/>
        <v>Bad</v>
      </c>
    </row>
    <row r="2814" spans="2:34" x14ac:dyDescent="0.2">
      <c r="B2814" s="2">
        <f ca="1"/>
        <v>0.96529882106265719</v>
      </c>
      <c r="O2814" s="2">
        <f ca="1"/>
        <v>0.4267949367708721</v>
      </c>
      <c r="X2814" s="2">
        <f ca="1"/>
        <v>28.015229210049291</v>
      </c>
      <c r="AG2814" s="2">
        <f ca="1"/>
        <v>0.47397513626009058</v>
      </c>
      <c r="AH2814" s="2" t="str">
        <f ca="1"/>
        <v>Bad</v>
      </c>
    </row>
    <row r="2815" spans="2:34" x14ac:dyDescent="0.2">
      <c r="B2815" s="2">
        <f ca="1"/>
        <v>0.10444604616082098</v>
      </c>
      <c r="O2815" s="2">
        <f ca="1"/>
        <v>1.0994214392426975</v>
      </c>
      <c r="X2815" s="2">
        <f ca="1"/>
        <v>23.783696222872916</v>
      </c>
      <c r="AG2815" s="2">
        <f ca="1"/>
        <v>0.4577365042645023</v>
      </c>
      <c r="AH2815" s="2" t="str">
        <f ca="1"/>
        <v>Bad</v>
      </c>
    </row>
    <row r="2816" spans="2:34" x14ac:dyDescent="0.2">
      <c r="B2816" s="2">
        <f ca="1"/>
        <v>0.21711691377106135</v>
      </c>
      <c r="O2816" s="2">
        <f ca="1"/>
        <v>-1.2327679201303618</v>
      </c>
      <c r="X2816" s="2">
        <f ca="1"/>
        <v>43.379511121437837</v>
      </c>
      <c r="AG2816" s="2">
        <f ca="1"/>
        <v>0.47244364551130014</v>
      </c>
      <c r="AH2816" s="2" t="str">
        <f ca="1"/>
        <v>Bad</v>
      </c>
    </row>
    <row r="2817" spans="2:34" x14ac:dyDescent="0.2">
      <c r="B2817" s="2">
        <f ca="1"/>
        <v>0.75050620693933423</v>
      </c>
      <c r="O2817" s="2">
        <f ca="1"/>
        <v>-2.2426264917216772</v>
      </c>
      <c r="X2817" s="2">
        <f ca="1"/>
        <v>48.086034553171132</v>
      </c>
      <c r="AG2817" s="2">
        <f ca="1"/>
        <v>0.14912495006943738</v>
      </c>
      <c r="AH2817" s="2" t="str">
        <f ca="1"/>
        <v>OK</v>
      </c>
    </row>
    <row r="2818" spans="2:34" x14ac:dyDescent="0.2">
      <c r="B2818" s="2">
        <f ca="1"/>
        <v>0.4693884726262727</v>
      </c>
      <c r="O2818" s="2">
        <f ca="1"/>
        <v>0.66362690220940213</v>
      </c>
      <c r="X2818" s="2">
        <f ca="1"/>
        <v>64.476196894140912</v>
      </c>
      <c r="AG2818" s="2">
        <f ca="1"/>
        <v>6.4084896249360979E-2</v>
      </c>
      <c r="AH2818" s="2" t="str">
        <f ca="1"/>
        <v>OK</v>
      </c>
    </row>
    <row r="2819" spans="2:34" x14ac:dyDescent="0.2">
      <c r="B2819" s="2">
        <f ca="1"/>
        <v>0.35886648822546729</v>
      </c>
      <c r="O2819" s="2">
        <f ca="1"/>
        <v>-0.52779818422670932</v>
      </c>
      <c r="X2819" s="2">
        <f ca="1"/>
        <v>47.920895242247319</v>
      </c>
      <c r="AG2819" s="2">
        <f ca="1"/>
        <v>0.83254437168340467</v>
      </c>
      <c r="AH2819" s="2" t="str">
        <f ca="1"/>
        <v>Bad</v>
      </c>
    </row>
    <row r="2820" spans="2:34" x14ac:dyDescent="0.2">
      <c r="B2820" s="2">
        <f ca="1"/>
        <v>0.55927377896533481</v>
      </c>
      <c r="O2820" s="2">
        <f ca="1"/>
        <v>-1.721972448117399</v>
      </c>
      <c r="X2820" s="2">
        <f ca="1"/>
        <v>52.19303753754042</v>
      </c>
      <c r="AG2820" s="2">
        <f ca="1"/>
        <v>1.3687722643778821E-2</v>
      </c>
      <c r="AH2820" s="2" t="str">
        <f ca="1"/>
        <v>Good</v>
      </c>
    </row>
    <row r="2821" spans="2:34" x14ac:dyDescent="0.2">
      <c r="B2821" s="2">
        <f ca="1"/>
        <v>0.99283752768141609</v>
      </c>
      <c r="O2821" s="2">
        <f ca="1"/>
        <v>8.2839809633371998E-3</v>
      </c>
      <c r="X2821" s="2">
        <f ca="1"/>
        <v>29.99328832155561</v>
      </c>
      <c r="AG2821" s="2">
        <f ca="1"/>
        <v>0.60451378016252311</v>
      </c>
      <c r="AH2821" s="2" t="str">
        <f ca="1"/>
        <v>Bad</v>
      </c>
    </row>
    <row r="2822" spans="2:34" x14ac:dyDescent="0.2">
      <c r="B2822" s="2">
        <f ca="1"/>
        <v>0.59109491685263871</v>
      </c>
      <c r="O2822" s="2">
        <f ca="1"/>
        <v>-0.1990552187848339</v>
      </c>
      <c r="X2822" s="2">
        <f ca="1"/>
        <v>40.279586206842794</v>
      </c>
      <c r="AG2822" s="2">
        <f ca="1"/>
        <v>0.82239188763048743</v>
      </c>
      <c r="AH2822" s="2" t="str">
        <f ca="1"/>
        <v>Bad</v>
      </c>
    </row>
    <row r="2823" spans="2:34" x14ac:dyDescent="0.2">
      <c r="B2823" s="2">
        <f ca="1"/>
        <v>0.22759878452213567</v>
      </c>
      <c r="O2823" s="2">
        <f ca="1"/>
        <v>0.63491406426054531</v>
      </c>
      <c r="X2823" s="2">
        <f ca="1"/>
        <v>37.138050365945759</v>
      </c>
      <c r="AG2823" s="2">
        <f ca="1"/>
        <v>0.38952629481700551</v>
      </c>
      <c r="AH2823" s="2" t="str">
        <f ca="1"/>
        <v>OK</v>
      </c>
    </row>
    <row r="2824" spans="2:34" x14ac:dyDescent="0.2">
      <c r="B2824" s="2">
        <f ca="1"/>
        <v>0.64417305669113922</v>
      </c>
      <c r="O2824" s="2">
        <f ca="1"/>
        <v>-0.51823148094620741</v>
      </c>
      <c r="X2824" s="2">
        <f ca="1"/>
        <v>41.0336842758459</v>
      </c>
      <c r="AG2824" s="2">
        <f ca="1"/>
        <v>0.71560678719735793</v>
      </c>
      <c r="AH2824" s="2" t="str">
        <f ca="1"/>
        <v>Bad</v>
      </c>
    </row>
    <row r="2825" spans="2:34" x14ac:dyDescent="0.2">
      <c r="B2825" s="2">
        <f ca="1"/>
        <v>0.87902828721356729</v>
      </c>
      <c r="O2825" s="2">
        <f ca="1"/>
        <v>-0.97311635080426628</v>
      </c>
      <c r="X2825" s="2">
        <f ca="1"/>
        <v>48.645824926581021</v>
      </c>
      <c r="AG2825" s="2">
        <f ca="1"/>
        <v>0.49654502159568903</v>
      </c>
      <c r="AH2825" s="2" t="str">
        <f ca="1"/>
        <v>Bad</v>
      </c>
    </row>
    <row r="2826" spans="2:34" x14ac:dyDescent="0.2">
      <c r="B2826" s="2">
        <f ca="1"/>
        <v>1.4411518536667334E-2</v>
      </c>
      <c r="O2826" s="2">
        <f ca="1"/>
        <v>-0.88544258704998913</v>
      </c>
      <c r="X2826" s="2">
        <f ca="1"/>
        <v>63.385316263818865</v>
      </c>
      <c r="AG2826" s="2">
        <f ca="1"/>
        <v>0.66201177873960115</v>
      </c>
      <c r="AH2826" s="2" t="str">
        <f ca="1"/>
        <v>Bad</v>
      </c>
    </row>
    <row r="2827" spans="2:34" x14ac:dyDescent="0.2">
      <c r="B2827" s="2">
        <f ca="1"/>
        <v>0.65693962739931644</v>
      </c>
      <c r="O2827" s="2">
        <f ca="1"/>
        <v>-0.74667222594110472</v>
      </c>
      <c r="X2827" s="2">
        <f ca="1"/>
        <v>62.937412954196574</v>
      </c>
      <c r="AG2827" s="2">
        <f ca="1"/>
        <v>0.62773499742393657</v>
      </c>
      <c r="AH2827" s="2" t="str">
        <f ca="1"/>
        <v>Bad</v>
      </c>
    </row>
    <row r="2828" spans="2:34" x14ac:dyDescent="0.2">
      <c r="B2828" s="2">
        <f ca="1"/>
        <v>0.13759166013375679</v>
      </c>
      <c r="O2828" s="2">
        <f ca="1"/>
        <v>-0.1298854948811525</v>
      </c>
      <c r="X2828" s="2">
        <f ca="1"/>
        <v>35.168957875990472</v>
      </c>
      <c r="AG2828" s="2">
        <f ca="1"/>
        <v>0.96374068495664211</v>
      </c>
      <c r="AH2828" s="2" t="str">
        <f ca="1"/>
        <v>Bad</v>
      </c>
    </row>
    <row r="2829" spans="2:34" x14ac:dyDescent="0.2">
      <c r="B2829" s="2">
        <f ca="1"/>
        <v>0.32358557343728256</v>
      </c>
      <c r="O2829" s="2">
        <f ca="1"/>
        <v>0.15951569235402915</v>
      </c>
      <c r="X2829" s="2">
        <f ca="1"/>
        <v>63.653041087074975</v>
      </c>
      <c r="AG2829" s="2">
        <f ca="1"/>
        <v>0.79155712537990541</v>
      </c>
      <c r="AH2829" s="2" t="str">
        <f ca="1"/>
        <v>Bad</v>
      </c>
    </row>
    <row r="2830" spans="2:34" x14ac:dyDescent="0.2">
      <c r="B2830" s="2">
        <f ca="1"/>
        <v>0.90009478377712693</v>
      </c>
      <c r="O2830" s="2">
        <f ca="1"/>
        <v>-0.61056664673723615</v>
      </c>
      <c r="X2830" s="2">
        <f ca="1"/>
        <v>25.460269378574051</v>
      </c>
      <c r="AG2830" s="2">
        <f ca="1"/>
        <v>0.74979733109758762</v>
      </c>
      <c r="AH2830" s="2" t="str">
        <f ca="1"/>
        <v>Bad</v>
      </c>
    </row>
    <row r="2831" spans="2:34" x14ac:dyDescent="0.2">
      <c r="B2831" s="2">
        <f ca="1"/>
        <v>0.63582413049818198</v>
      </c>
      <c r="O2831" s="2">
        <f ca="1"/>
        <v>-0.31732081253281452</v>
      </c>
      <c r="X2831" s="2">
        <f ca="1"/>
        <v>50.350135140786236</v>
      </c>
      <c r="AG2831" s="2">
        <f ca="1"/>
        <v>0.32172336887225139</v>
      </c>
      <c r="AH2831" s="2" t="str">
        <f ca="1"/>
        <v>OK</v>
      </c>
    </row>
    <row r="2832" spans="2:34" x14ac:dyDescent="0.2">
      <c r="B2832" s="2">
        <f ca="1"/>
        <v>0.56627551843176427</v>
      </c>
      <c r="O2832" s="2">
        <f ca="1"/>
        <v>0.16256281545441684</v>
      </c>
      <c r="X2832" s="2">
        <f ca="1"/>
        <v>49.266038395722305</v>
      </c>
      <c r="AG2832" s="2">
        <f ca="1"/>
        <v>0.38834605600302385</v>
      </c>
      <c r="AH2832" s="2" t="str">
        <f ca="1"/>
        <v>OK</v>
      </c>
    </row>
    <row r="2833" spans="2:34" x14ac:dyDescent="0.2">
      <c r="B2833" s="2">
        <f ca="1"/>
        <v>0.91205956523189724</v>
      </c>
      <c r="O2833" s="2">
        <f ca="1"/>
        <v>0.10155784732638613</v>
      </c>
      <c r="X2833" s="2">
        <f ca="1"/>
        <v>37.506078096205933</v>
      </c>
      <c r="AG2833" s="2">
        <f ca="1"/>
        <v>0.6424920433423611</v>
      </c>
      <c r="AH2833" s="2" t="str">
        <f ca="1"/>
        <v>Bad</v>
      </c>
    </row>
    <row r="2834" spans="2:34" x14ac:dyDescent="0.2">
      <c r="B2834" s="2">
        <f ca="1"/>
        <v>0.72653912561908873</v>
      </c>
      <c r="O2834" s="2">
        <f ca="1"/>
        <v>-0.52401483053809816</v>
      </c>
      <c r="X2834" s="2">
        <f ca="1"/>
        <v>62.364004280328651</v>
      </c>
      <c r="AG2834" s="2">
        <f ca="1"/>
        <v>0.54366120126427275</v>
      </c>
      <c r="AH2834" s="2" t="str">
        <f ca="1"/>
        <v>Bad</v>
      </c>
    </row>
    <row r="2835" spans="2:34" x14ac:dyDescent="0.2">
      <c r="B2835" s="2">
        <f ca="1"/>
        <v>0.87220349133343755</v>
      </c>
      <c r="O2835" s="2">
        <f ca="1"/>
        <v>-1.8152856448393151</v>
      </c>
      <c r="X2835" s="2">
        <f ca="1"/>
        <v>33.347452540719594</v>
      </c>
      <c r="AG2835" s="2">
        <f ca="1"/>
        <v>0.17779111791002511</v>
      </c>
      <c r="AH2835" s="2" t="str">
        <f ca="1"/>
        <v>OK</v>
      </c>
    </row>
    <row r="2836" spans="2:34" x14ac:dyDescent="0.2">
      <c r="B2836" s="2">
        <f ca="1"/>
        <v>0.99454784172339949</v>
      </c>
      <c r="O2836" s="2">
        <f ca="1"/>
        <v>-0.64855171034569881</v>
      </c>
      <c r="X2836" s="2">
        <f ca="1"/>
        <v>76.892818003303063</v>
      </c>
      <c r="AG2836" s="2">
        <f ca="1"/>
        <v>6.5303904153659609E-3</v>
      </c>
      <c r="AH2836" s="2" t="str">
        <f ca="1"/>
        <v>Good</v>
      </c>
    </row>
    <row r="2837" spans="2:34" x14ac:dyDescent="0.2">
      <c r="B2837" s="2">
        <f ca="1"/>
        <v>9.5133712412456939E-2</v>
      </c>
      <c r="O2837" s="2">
        <f ca="1"/>
        <v>-0.79511074361795719</v>
      </c>
      <c r="X2837" s="2">
        <f ca="1"/>
        <v>33.142068344300803</v>
      </c>
      <c r="AG2837" s="2">
        <f ca="1"/>
        <v>0.64048604685173594</v>
      </c>
      <c r="AH2837" s="2" t="str">
        <f ca="1"/>
        <v>Bad</v>
      </c>
    </row>
    <row r="2838" spans="2:34" x14ac:dyDescent="0.2">
      <c r="B2838" s="2">
        <f ca="1"/>
        <v>0.72330797250771051</v>
      </c>
      <c r="O2838" s="2">
        <f ca="1"/>
        <v>-1.5967520853606256</v>
      </c>
      <c r="X2838" s="2">
        <f ca="1"/>
        <v>52.040324959134352</v>
      </c>
      <c r="AG2838" s="2">
        <f ca="1"/>
        <v>0.46750539393635582</v>
      </c>
      <c r="AH2838" s="2" t="str">
        <f ca="1"/>
        <v>Bad</v>
      </c>
    </row>
    <row r="2839" spans="2:34" x14ac:dyDescent="0.2">
      <c r="B2839" s="2">
        <f ca="1"/>
        <v>0.74439454016261397</v>
      </c>
      <c r="O2839" s="2">
        <f ca="1"/>
        <v>5.7315453432966117E-2</v>
      </c>
      <c r="X2839" s="2">
        <f ca="1"/>
        <v>37.847635753451584</v>
      </c>
      <c r="AG2839" s="2">
        <f ca="1"/>
        <v>0.41450485090824318</v>
      </c>
      <c r="AH2839" s="2" t="str">
        <f ca="1"/>
        <v>Bad</v>
      </c>
    </row>
    <row r="2840" spans="2:34" x14ac:dyDescent="0.2">
      <c r="B2840" s="2">
        <f ca="1"/>
        <v>0.90971977463839182</v>
      </c>
      <c r="O2840" s="2">
        <f ca="1"/>
        <v>-0.16985294254931485</v>
      </c>
      <c r="X2840" s="2">
        <f ca="1"/>
        <v>56.861457334300162</v>
      </c>
      <c r="AG2840" s="2">
        <f ca="1"/>
        <v>0.56615288261390972</v>
      </c>
      <c r="AH2840" s="2" t="str">
        <f ca="1"/>
        <v>Bad</v>
      </c>
    </row>
    <row r="2841" spans="2:34" x14ac:dyDescent="0.2">
      <c r="B2841" s="2">
        <f ca="1"/>
        <v>0.70638218656521756</v>
      </c>
      <c r="O2841" s="2">
        <f ca="1"/>
        <v>-1.0363212047679524</v>
      </c>
      <c r="X2841" s="2">
        <f ca="1"/>
        <v>57.409520305449234</v>
      </c>
      <c r="AG2841" s="2">
        <f ca="1"/>
        <v>0.30913384987900394</v>
      </c>
      <c r="AH2841" s="2" t="str">
        <f ca="1"/>
        <v>OK</v>
      </c>
    </row>
    <row r="2842" spans="2:34" x14ac:dyDescent="0.2">
      <c r="B2842" s="2">
        <f ca="1"/>
        <v>0.31308367367656387</v>
      </c>
      <c r="O2842" s="2">
        <f ca="1"/>
        <v>1.0431747827719784</v>
      </c>
      <c r="X2842" s="2">
        <f ca="1"/>
        <v>48.562485121103322</v>
      </c>
      <c r="AG2842" s="2">
        <f ca="1"/>
        <v>0.67747307991393169</v>
      </c>
      <c r="AH2842" s="2" t="str">
        <f ca="1"/>
        <v>Bad</v>
      </c>
    </row>
    <row r="2843" spans="2:34" x14ac:dyDescent="0.2">
      <c r="B2843" s="2">
        <f ca="1"/>
        <v>0.19196327141128533</v>
      </c>
      <c r="O2843" s="2">
        <f ca="1"/>
        <v>-2.7339289523775519E-2</v>
      </c>
      <c r="X2843" s="2">
        <f ca="1"/>
        <v>36.95670921270338</v>
      </c>
      <c r="AG2843" s="2">
        <f ca="1"/>
        <v>0.94188845167017199</v>
      </c>
      <c r="AH2843" s="2" t="str">
        <f ca="1"/>
        <v>Bad</v>
      </c>
    </row>
    <row r="2844" spans="2:34" x14ac:dyDescent="0.2">
      <c r="B2844" s="2">
        <f ca="1"/>
        <v>0.1155386040399935</v>
      </c>
      <c r="O2844" s="2">
        <f ca="1"/>
        <v>-2.8428238648007545E-2</v>
      </c>
      <c r="X2844" s="2">
        <f ca="1"/>
        <v>49.556978488769303</v>
      </c>
      <c r="AG2844" s="2">
        <f ca="1"/>
        <v>0.88671655786396997</v>
      </c>
      <c r="AH2844" s="2" t="str">
        <f ca="1"/>
        <v>Bad</v>
      </c>
    </row>
    <row r="2845" spans="2:34" x14ac:dyDescent="0.2">
      <c r="B2845" s="2">
        <f ca="1"/>
        <v>9.2823613855768317E-2</v>
      </c>
      <c r="O2845" s="2">
        <f ca="1"/>
        <v>-0.52350226360130658</v>
      </c>
      <c r="X2845" s="2">
        <f ca="1"/>
        <v>54.320268735162436</v>
      </c>
      <c r="AG2845" s="2">
        <f ca="1"/>
        <v>0.56942043879327353</v>
      </c>
      <c r="AH2845" s="2" t="str">
        <f ca="1"/>
        <v>Bad</v>
      </c>
    </row>
    <row r="2846" spans="2:34" x14ac:dyDescent="0.2">
      <c r="B2846" s="2">
        <f ca="1"/>
        <v>0.37459449042048809</v>
      </c>
      <c r="O2846" s="2">
        <f ca="1"/>
        <v>-0.535074623559334</v>
      </c>
      <c r="X2846" s="2">
        <f ca="1"/>
        <v>28.463306178542229</v>
      </c>
      <c r="AG2846" s="2">
        <f ca="1"/>
        <v>1.447125637902924E-2</v>
      </c>
      <c r="AH2846" s="2" t="str">
        <f ca="1"/>
        <v>Good</v>
      </c>
    </row>
    <row r="2847" spans="2:34" x14ac:dyDescent="0.2">
      <c r="B2847" s="2">
        <f ca="1"/>
        <v>0.98057451077856239</v>
      </c>
      <c r="O2847" s="2">
        <f ca="1"/>
        <v>0.49705401888198542</v>
      </c>
      <c r="X2847" s="2">
        <f ca="1"/>
        <v>51.002704124257875</v>
      </c>
      <c r="AG2847" s="2">
        <f ca="1"/>
        <v>0.37748568413185568</v>
      </c>
      <c r="AH2847" s="2" t="str">
        <f ca="1"/>
        <v>OK</v>
      </c>
    </row>
    <row r="2848" spans="2:34" x14ac:dyDescent="0.2">
      <c r="B2848" s="2">
        <f ca="1"/>
        <v>0.87773963655167142</v>
      </c>
      <c r="O2848" s="2">
        <f ca="1"/>
        <v>0.25271835079188737</v>
      </c>
      <c r="X2848" s="2">
        <f ca="1"/>
        <v>30.260771668988184</v>
      </c>
      <c r="AG2848" s="2">
        <f ca="1"/>
        <v>0.41330061489696557</v>
      </c>
      <c r="AH2848" s="2" t="str">
        <f ca="1"/>
        <v>Bad</v>
      </c>
    </row>
    <row r="2849" spans="2:34" x14ac:dyDescent="0.2">
      <c r="B2849" s="2">
        <f ca="1"/>
        <v>0.19132090189621787</v>
      </c>
      <c r="O2849" s="2">
        <f ca="1"/>
        <v>-0.13047938912735532</v>
      </c>
      <c r="X2849" s="2">
        <f ca="1"/>
        <v>70.067191506691714</v>
      </c>
      <c r="AG2849" s="2">
        <f ca="1"/>
        <v>0.51970593990470659</v>
      </c>
      <c r="AH2849" s="2" t="str">
        <f ca="1"/>
        <v>Bad</v>
      </c>
    </row>
    <row r="2850" spans="2:34" x14ac:dyDescent="0.2">
      <c r="B2850" s="2">
        <f ca="1"/>
        <v>0.60580816223350809</v>
      </c>
      <c r="O2850" s="2">
        <f ca="1"/>
        <v>0.4382475437482875</v>
      </c>
      <c r="X2850" s="2">
        <f ca="1"/>
        <v>50.183426485383336</v>
      </c>
      <c r="AG2850" s="2">
        <f ca="1"/>
        <v>0.82858620266988958</v>
      </c>
      <c r="AH2850" s="2" t="str">
        <f ca="1"/>
        <v>Bad</v>
      </c>
    </row>
    <row r="2851" spans="2:34" x14ac:dyDescent="0.2">
      <c r="B2851" s="2">
        <f ca="1"/>
        <v>0.95273668161312464</v>
      </c>
      <c r="O2851" s="2">
        <f ca="1"/>
        <v>-0.25403044583940793</v>
      </c>
      <c r="X2851" s="2">
        <f ca="1"/>
        <v>49.036863268718633</v>
      </c>
      <c r="AG2851" s="2">
        <f ca="1"/>
        <v>0.11554572084657089</v>
      </c>
      <c r="AH2851" s="2" t="str">
        <f ca="1"/>
        <v>OK</v>
      </c>
    </row>
    <row r="2852" spans="2:34" x14ac:dyDescent="0.2">
      <c r="B2852" s="2">
        <f ca="1"/>
        <v>0.7261649715854317</v>
      </c>
      <c r="O2852" s="2">
        <f ca="1"/>
        <v>-0.13980070257434263</v>
      </c>
      <c r="X2852" s="2">
        <f ca="1"/>
        <v>63.352749531521184</v>
      </c>
      <c r="AG2852" s="2">
        <f ca="1"/>
        <v>0.8890300474566577</v>
      </c>
      <c r="AH2852" s="2" t="str">
        <f ca="1"/>
        <v>Bad</v>
      </c>
    </row>
    <row r="2853" spans="2:34" x14ac:dyDescent="0.2">
      <c r="B2853" s="2">
        <f ca="1"/>
        <v>0.33839816602463313</v>
      </c>
      <c r="O2853" s="2">
        <f ca="1"/>
        <v>-0.732393359777888</v>
      </c>
      <c r="X2853" s="2">
        <f ca="1"/>
        <v>37.165325358022045</v>
      </c>
      <c r="AG2853" s="2">
        <f ca="1"/>
        <v>0.66324996665722336</v>
      </c>
      <c r="AH2853" s="2" t="str">
        <f ca="1"/>
        <v>Bad</v>
      </c>
    </row>
    <row r="2854" spans="2:34" x14ac:dyDescent="0.2">
      <c r="B2854" s="2">
        <f ca="1"/>
        <v>0.30011404115929641</v>
      </c>
      <c r="O2854" s="2">
        <f ca="1"/>
        <v>-0.62385477261342326</v>
      </c>
      <c r="X2854" s="2">
        <f ca="1"/>
        <v>59.236811051007891</v>
      </c>
      <c r="AG2854" s="2">
        <f ca="1"/>
        <v>9.0695866881054688E-2</v>
      </c>
      <c r="AH2854" s="2" t="str">
        <f ca="1"/>
        <v>OK</v>
      </c>
    </row>
    <row r="2855" spans="2:34" x14ac:dyDescent="0.2">
      <c r="B2855" s="2">
        <f ca="1"/>
        <v>0.8332095134568609</v>
      </c>
      <c r="O2855" s="2">
        <f ca="1"/>
        <v>-2.8114714641136778</v>
      </c>
      <c r="X2855" s="2">
        <f ca="1"/>
        <v>41.152441467624215</v>
      </c>
      <c r="AG2855" s="2">
        <f ca="1"/>
        <v>0.51739253711912836</v>
      </c>
      <c r="AH2855" s="2" t="str">
        <f ca="1"/>
        <v>Bad</v>
      </c>
    </row>
    <row r="2856" spans="2:34" x14ac:dyDescent="0.2">
      <c r="B2856" s="2">
        <f ca="1"/>
        <v>0.68321782969125122</v>
      </c>
      <c r="O2856" s="2">
        <f ca="1"/>
        <v>0.18365613232438752</v>
      </c>
      <c r="X2856" s="2">
        <f ca="1"/>
        <v>56.644766806627366</v>
      </c>
      <c r="AG2856" s="2">
        <f ca="1"/>
        <v>0.6457796190165499</v>
      </c>
      <c r="AH2856" s="2" t="str">
        <f ca="1"/>
        <v>Bad</v>
      </c>
    </row>
    <row r="2857" spans="2:34" x14ac:dyDescent="0.2">
      <c r="B2857" s="2">
        <f ca="1"/>
        <v>0.46684335864200643</v>
      </c>
      <c r="O2857" s="2">
        <f ca="1"/>
        <v>0.9779959443348557</v>
      </c>
      <c r="X2857" s="2">
        <f ca="1"/>
        <v>51.197265386810962</v>
      </c>
      <c r="AG2857" s="2">
        <f ca="1"/>
        <v>0.96337619438843936</v>
      </c>
      <c r="AH2857" s="2" t="str">
        <f ca="1"/>
        <v>Bad</v>
      </c>
    </row>
    <row r="2858" spans="2:34" x14ac:dyDescent="0.2">
      <c r="B2858" s="2">
        <f ca="1"/>
        <v>8.2603326379018904E-2</v>
      </c>
      <c r="O2858" s="2">
        <f ca="1"/>
        <v>-0.30741314982510365</v>
      </c>
      <c r="X2858" s="2">
        <f ca="1"/>
        <v>68.06895059517926</v>
      </c>
      <c r="AG2858" s="2">
        <f ca="1"/>
        <v>0.85850610117468884</v>
      </c>
      <c r="AH2858" s="2" t="str">
        <f ca="1"/>
        <v>Bad</v>
      </c>
    </row>
    <row r="2859" spans="2:34" x14ac:dyDescent="0.2">
      <c r="B2859" s="2">
        <f ca="1"/>
        <v>0.18295952694948259</v>
      </c>
      <c r="O2859" s="2">
        <f ca="1"/>
        <v>1.9468927161647589</v>
      </c>
      <c r="X2859" s="2">
        <f ca="1"/>
        <v>49.532221738903921</v>
      </c>
      <c r="AG2859" s="2">
        <f ca="1"/>
        <v>0.79560732226962072</v>
      </c>
      <c r="AH2859" s="2" t="str">
        <f ca="1"/>
        <v>Bad</v>
      </c>
    </row>
    <row r="2860" spans="2:34" x14ac:dyDescent="0.2">
      <c r="B2860" s="2">
        <f ca="1"/>
        <v>0.71163012888273491</v>
      </c>
      <c r="O2860" s="2">
        <f ca="1"/>
        <v>-0.40193247165997165</v>
      </c>
      <c r="X2860" s="2">
        <f ca="1"/>
        <v>69.296492567605299</v>
      </c>
      <c r="AG2860" s="2">
        <f ca="1"/>
        <v>5.2077755695566053E-2</v>
      </c>
      <c r="AH2860" s="2" t="str">
        <f ca="1"/>
        <v>OK</v>
      </c>
    </row>
    <row r="2861" spans="2:34" x14ac:dyDescent="0.2">
      <c r="B2861" s="2">
        <f ca="1"/>
        <v>3.0320991626835436E-3</v>
      </c>
      <c r="O2861" s="2">
        <f ca="1"/>
        <v>9.3869142645950879E-2</v>
      </c>
      <c r="X2861" s="2">
        <f ca="1"/>
        <v>51.564083962301595</v>
      </c>
      <c r="AG2861" s="2">
        <f ca="1"/>
        <v>0.28021871798030906</v>
      </c>
      <c r="AH2861" s="2" t="str">
        <f ca="1"/>
        <v>OK</v>
      </c>
    </row>
    <row r="2862" spans="2:34" x14ac:dyDescent="0.2">
      <c r="B2862" s="2">
        <f ca="1"/>
        <v>0.54788193552751396</v>
      </c>
      <c r="O2862" s="2">
        <f ca="1"/>
        <v>1.1000916233674654</v>
      </c>
      <c r="X2862" s="2">
        <f ca="1"/>
        <v>66.348300995106939</v>
      </c>
      <c r="AG2862" s="2">
        <f ca="1"/>
        <v>0.99049272346999429</v>
      </c>
      <c r="AH2862" s="2" t="str">
        <f ca="1"/>
        <v>Bad</v>
      </c>
    </row>
    <row r="2863" spans="2:34" x14ac:dyDescent="0.2">
      <c r="B2863" s="2">
        <f ca="1"/>
        <v>0.59580983660924702</v>
      </c>
      <c r="O2863" s="2">
        <f ca="1"/>
        <v>5.6899367574386121E-2</v>
      </c>
      <c r="X2863" s="2">
        <f ca="1"/>
        <v>54.514648210452577</v>
      </c>
      <c r="AG2863" s="2">
        <f ca="1"/>
        <v>0.65466216975634439</v>
      </c>
      <c r="AH2863" s="2" t="str">
        <f ca="1"/>
        <v>Bad</v>
      </c>
    </row>
    <row r="2864" spans="2:34" x14ac:dyDescent="0.2">
      <c r="B2864" s="2">
        <f ca="1"/>
        <v>0.73379228297271837</v>
      </c>
      <c r="O2864" s="2">
        <f ca="1"/>
        <v>-0.66467088059173662</v>
      </c>
      <c r="X2864" s="2">
        <f ca="1"/>
        <v>34.994002977258233</v>
      </c>
      <c r="AG2864" s="2">
        <f ca="1"/>
        <v>0.77460347072012992</v>
      </c>
      <c r="AH2864" s="2" t="str">
        <f ca="1"/>
        <v>Bad</v>
      </c>
    </row>
    <row r="2865" spans="2:34" x14ac:dyDescent="0.2">
      <c r="B2865" s="2">
        <f ca="1"/>
        <v>0.55992636171542509</v>
      </c>
      <c r="O2865" s="2">
        <f ca="1"/>
        <v>1.1243189877264523</v>
      </c>
      <c r="X2865" s="2">
        <f ca="1"/>
        <v>34.713183167345576</v>
      </c>
      <c r="AG2865" s="2">
        <f ca="1"/>
        <v>0.65947993168608487</v>
      </c>
      <c r="AH2865" s="2" t="str">
        <f ca="1"/>
        <v>Bad</v>
      </c>
    </row>
    <row r="2866" spans="2:34" x14ac:dyDescent="0.2">
      <c r="B2866" s="2">
        <f ca="1"/>
        <v>5.3294792617703868E-2</v>
      </c>
      <c r="O2866" s="2">
        <f ca="1"/>
        <v>1.0742797710792318</v>
      </c>
      <c r="X2866" s="2">
        <f ca="1"/>
        <v>57.082256541207492</v>
      </c>
      <c r="AG2866" s="2">
        <f ca="1"/>
        <v>0.74040361571363666</v>
      </c>
      <c r="AH2866" s="2" t="str">
        <f ca="1"/>
        <v>Bad</v>
      </c>
    </row>
    <row r="2867" spans="2:34" x14ac:dyDescent="0.2">
      <c r="B2867" s="2">
        <f ca="1"/>
        <v>0.11631823438067745</v>
      </c>
      <c r="O2867" s="2">
        <f ca="1"/>
        <v>-1.7099012625867223</v>
      </c>
      <c r="X2867" s="2">
        <f ca="1"/>
        <v>38.709034737085176</v>
      </c>
      <c r="AG2867" s="2">
        <f ca="1"/>
        <v>0.57457167667648279</v>
      </c>
      <c r="AH2867" s="2" t="str">
        <f ca="1"/>
        <v>Bad</v>
      </c>
    </row>
    <row r="2868" spans="2:34" x14ac:dyDescent="0.2">
      <c r="B2868" s="2">
        <f ca="1"/>
        <v>0.11389607670758894</v>
      </c>
      <c r="O2868" s="2">
        <f ca="1"/>
        <v>-0.31838303262560247</v>
      </c>
      <c r="X2868" s="2">
        <f ca="1"/>
        <v>39.338981203901398</v>
      </c>
      <c r="AG2868" s="2">
        <f ca="1"/>
        <v>0.30109495784142881</v>
      </c>
      <c r="AH2868" s="2" t="str">
        <f ca="1"/>
        <v>OK</v>
      </c>
    </row>
    <row r="2869" spans="2:34" x14ac:dyDescent="0.2">
      <c r="B2869" s="2">
        <f ca="1"/>
        <v>0.74345564054208046</v>
      </c>
      <c r="O2869" s="2">
        <f ca="1"/>
        <v>0.48494873254793275</v>
      </c>
      <c r="X2869" s="2">
        <f ca="1"/>
        <v>65.990473574060374</v>
      </c>
      <c r="AG2869" s="2">
        <f ca="1"/>
        <v>0.6686465413692817</v>
      </c>
      <c r="AH2869" s="2" t="str">
        <f ca="1"/>
        <v>Bad</v>
      </c>
    </row>
    <row r="2870" spans="2:34" x14ac:dyDescent="0.2">
      <c r="B2870" s="2">
        <f ca="1"/>
        <v>0.23025680232561041</v>
      </c>
      <c r="O2870" s="2">
        <f ca="1"/>
        <v>-0.31239433795232607</v>
      </c>
      <c r="X2870" s="2">
        <f ca="1"/>
        <v>57.900074831907233</v>
      </c>
      <c r="AG2870" s="2">
        <f ca="1"/>
        <v>0.72870879802371369</v>
      </c>
      <c r="AH2870" s="2" t="str">
        <f ca="1"/>
        <v>Bad</v>
      </c>
    </row>
    <row r="2871" spans="2:34" x14ac:dyDescent="0.2">
      <c r="B2871" s="2">
        <f ca="1"/>
        <v>2.3298705441895828E-2</v>
      </c>
      <c r="O2871" s="2">
        <f ca="1"/>
        <v>0.3086820673446346</v>
      </c>
      <c r="X2871" s="2">
        <f ca="1"/>
        <v>32.544967619842723</v>
      </c>
      <c r="AG2871" s="2">
        <f ca="1"/>
        <v>0.61193798249514941</v>
      </c>
      <c r="AH2871" s="2" t="str">
        <f ca="1"/>
        <v>Bad</v>
      </c>
    </row>
    <row r="2872" spans="2:34" x14ac:dyDescent="0.2">
      <c r="B2872" s="2">
        <f ca="1"/>
        <v>0.92704579128338405</v>
      </c>
      <c r="O2872" s="2">
        <f ca="1"/>
        <v>9.7438185544941866E-2</v>
      </c>
      <c r="X2872" s="2">
        <f ca="1"/>
        <v>54.252167875968212</v>
      </c>
      <c r="AG2872" s="2">
        <f ca="1"/>
        <v>0.73433899574210115</v>
      </c>
      <c r="AH2872" s="2" t="str">
        <f ca="1"/>
        <v>Bad</v>
      </c>
    </row>
    <row r="2873" spans="2:34" x14ac:dyDescent="0.2">
      <c r="B2873" s="2">
        <f ca="1"/>
        <v>0.73164846931214367</v>
      </c>
      <c r="O2873" s="2">
        <f ca="1"/>
        <v>0.70427278577979324</v>
      </c>
      <c r="X2873" s="2">
        <f ca="1"/>
        <v>75.423567314612029</v>
      </c>
      <c r="AG2873" s="2">
        <f ca="1"/>
        <v>0.53972263314051849</v>
      </c>
      <c r="AH2873" s="2" t="str">
        <f ca="1"/>
        <v>Bad</v>
      </c>
    </row>
    <row r="2874" spans="2:34" x14ac:dyDescent="0.2">
      <c r="B2874" s="2">
        <f ca="1"/>
        <v>0.49442649066134736</v>
      </c>
      <c r="O2874" s="2">
        <f ca="1"/>
        <v>2.389304788879592</v>
      </c>
      <c r="X2874" s="2">
        <f ca="1"/>
        <v>50.890485715353535</v>
      </c>
      <c r="AG2874" s="2">
        <f ca="1"/>
        <v>0.974759409621891</v>
      </c>
      <c r="AH2874" s="2" t="str">
        <f ca="1"/>
        <v>Bad</v>
      </c>
    </row>
    <row r="2875" spans="2:34" x14ac:dyDescent="0.2">
      <c r="B2875" s="2">
        <f ca="1"/>
        <v>0.34411090259054022</v>
      </c>
      <c r="O2875" s="2">
        <f ca="1"/>
        <v>-1.4934461564414343</v>
      </c>
      <c r="X2875" s="2">
        <f ca="1"/>
        <v>65.319934239263688</v>
      </c>
      <c r="AG2875" s="2">
        <f ca="1"/>
        <v>0.22892948117583356</v>
      </c>
      <c r="AH2875" s="2" t="str">
        <f ca="1"/>
        <v>OK</v>
      </c>
    </row>
    <row r="2876" spans="2:34" x14ac:dyDescent="0.2">
      <c r="B2876" s="2">
        <f ca="1"/>
        <v>0.58831184062187214</v>
      </c>
      <c r="O2876" s="2">
        <f ca="1"/>
        <v>-0.1868999127323959</v>
      </c>
      <c r="X2876" s="2">
        <f ca="1"/>
        <v>50.627576143603292</v>
      </c>
      <c r="AG2876" s="2">
        <f ca="1"/>
        <v>5.6381244184784851E-2</v>
      </c>
      <c r="AH2876" s="2" t="str">
        <f ca="1"/>
        <v>OK</v>
      </c>
    </row>
    <row r="2877" spans="2:34" x14ac:dyDescent="0.2">
      <c r="B2877" s="2">
        <f ca="1"/>
        <v>0.986936211841003</v>
      </c>
      <c r="O2877" s="2">
        <f ca="1"/>
        <v>1.3529784018666056</v>
      </c>
      <c r="X2877" s="2">
        <f ca="1"/>
        <v>34.590338578279585</v>
      </c>
      <c r="AG2877" s="2">
        <f ca="1"/>
        <v>0.40124964415114683</v>
      </c>
      <c r="AH2877" s="2" t="str">
        <f ca="1"/>
        <v>Bad</v>
      </c>
    </row>
    <row r="2878" spans="2:34" x14ac:dyDescent="0.2">
      <c r="B2878" s="2">
        <f ca="1"/>
        <v>0.37966018628227904</v>
      </c>
      <c r="O2878" s="2">
        <f ca="1"/>
        <v>1.0385608879749595</v>
      </c>
      <c r="X2878" s="2">
        <f ca="1"/>
        <v>52.379327451477579</v>
      </c>
      <c r="AG2878" s="2">
        <f ca="1"/>
        <v>0.74668748879041891</v>
      </c>
      <c r="AH2878" s="2" t="str">
        <f ca="1"/>
        <v>Bad</v>
      </c>
    </row>
    <row r="2879" spans="2:34" x14ac:dyDescent="0.2">
      <c r="B2879" s="2">
        <f ca="1"/>
        <v>0.94732122677510477</v>
      </c>
      <c r="O2879" s="2">
        <f ca="1"/>
        <v>-2.1956985589549847</v>
      </c>
      <c r="X2879" s="2">
        <f ca="1"/>
        <v>88.911036010896524</v>
      </c>
      <c r="AG2879" s="2">
        <f ca="1"/>
        <v>0.66284148376065444</v>
      </c>
      <c r="AH2879" s="2" t="str">
        <f ca="1"/>
        <v>Bad</v>
      </c>
    </row>
    <row r="2880" spans="2:34" x14ac:dyDescent="0.2">
      <c r="B2880" s="2">
        <f ca="1"/>
        <v>0.54094855424830679</v>
      </c>
      <c r="O2880" s="2">
        <f ca="1"/>
        <v>-0.56548618139046336</v>
      </c>
      <c r="X2880" s="2">
        <f ca="1"/>
        <v>55.299794314465316</v>
      </c>
      <c r="AG2880" s="2">
        <f ca="1"/>
        <v>6.8475637464820993E-2</v>
      </c>
      <c r="AH2880" s="2" t="str">
        <f ca="1"/>
        <v>OK</v>
      </c>
    </row>
    <row r="2881" spans="2:34" x14ac:dyDescent="0.2">
      <c r="B2881" s="2">
        <f ca="1"/>
        <v>0.75964418261642286</v>
      </c>
      <c r="O2881" s="2">
        <f ca="1"/>
        <v>-0.26678005410291661</v>
      </c>
      <c r="X2881" s="2">
        <f ca="1"/>
        <v>64.608471502341104</v>
      </c>
      <c r="AG2881" s="2">
        <f ca="1"/>
        <v>0.95365964919793389</v>
      </c>
      <c r="AH2881" s="2" t="str">
        <f ca="1"/>
        <v>Bad</v>
      </c>
    </row>
    <row r="2882" spans="2:34" x14ac:dyDescent="0.2">
      <c r="B2882" s="2">
        <f ca="1"/>
        <v>0.15014582750063576</v>
      </c>
      <c r="O2882" s="2">
        <f ca="1"/>
        <v>-1.2543303778587667</v>
      </c>
      <c r="X2882" s="2">
        <f ca="1"/>
        <v>35.928334292871313</v>
      </c>
      <c r="AG2882" s="2">
        <f ca="1"/>
        <v>0.19972987055939107</v>
      </c>
      <c r="AH2882" s="2" t="str">
        <f ca="1"/>
        <v>OK</v>
      </c>
    </row>
    <row r="2883" spans="2:34" x14ac:dyDescent="0.2">
      <c r="B2883" s="2">
        <f ca="1"/>
        <v>0.79087599735652758</v>
      </c>
      <c r="O2883" s="2">
        <f ca="1"/>
        <v>0.79377580059937747</v>
      </c>
      <c r="X2883" s="2">
        <f ca="1"/>
        <v>67.472960444599309</v>
      </c>
      <c r="AG2883" s="2">
        <f ca="1"/>
        <v>1.2827420837549841E-2</v>
      </c>
      <c r="AH2883" s="2" t="str">
        <f ca="1"/>
        <v>Good</v>
      </c>
    </row>
    <row r="2884" spans="2:34" x14ac:dyDescent="0.2">
      <c r="B2884" s="2">
        <f ca="1"/>
        <v>0.88631129926160468</v>
      </c>
      <c r="O2884" s="2">
        <f ca="1"/>
        <v>-0.83686460689919551</v>
      </c>
      <c r="X2884" s="2">
        <f ca="1"/>
        <v>40.037353759619336</v>
      </c>
      <c r="AG2884" s="2">
        <f ca="1"/>
        <v>0.97136124668212509</v>
      </c>
      <c r="AH2884" s="2" t="str">
        <f ca="1"/>
        <v>Bad</v>
      </c>
    </row>
    <row r="2885" spans="2:34" x14ac:dyDescent="0.2">
      <c r="B2885" s="2">
        <f ca="1"/>
        <v>0.50582654103880897</v>
      </c>
      <c r="O2885" s="2">
        <f ca="1"/>
        <v>1.0548362755245309</v>
      </c>
      <c r="X2885" s="2">
        <f ca="1"/>
        <v>49.290325837338884</v>
      </c>
      <c r="AG2885" s="2">
        <f ca="1"/>
        <v>0.74282001279063858</v>
      </c>
      <c r="AH2885" s="2" t="str">
        <f ca="1"/>
        <v>Bad</v>
      </c>
    </row>
    <row r="2886" spans="2:34" x14ac:dyDescent="0.2">
      <c r="B2886" s="2">
        <f ca="1"/>
        <v>0.55790534068117914</v>
      </c>
      <c r="O2886" s="2">
        <f ca="1"/>
        <v>-0.1878740046029963</v>
      </c>
      <c r="X2886" s="2">
        <f ca="1"/>
        <v>57.781015960059996</v>
      </c>
      <c r="AG2886" s="2">
        <f ca="1"/>
        <v>0.7598344428210293</v>
      </c>
      <c r="AH2886" s="2" t="str">
        <f ca="1"/>
        <v>Bad</v>
      </c>
    </row>
    <row r="2887" spans="2:34" x14ac:dyDescent="0.2">
      <c r="B2887" s="2">
        <f ca="1"/>
        <v>0.17633146095794405</v>
      </c>
      <c r="O2887" s="2">
        <f ca="1"/>
        <v>-0.64725011540339716</v>
      </c>
      <c r="X2887" s="2">
        <f ca="1"/>
        <v>54.485735873773791</v>
      </c>
      <c r="AG2887" s="2">
        <f ca="1"/>
        <v>3.0030259628660794E-2</v>
      </c>
      <c r="AH2887" s="2" t="str">
        <f ca="1"/>
        <v>Good</v>
      </c>
    </row>
    <row r="2888" spans="2:34" x14ac:dyDescent="0.2">
      <c r="B2888" s="2">
        <f ca="1"/>
        <v>0.9195081179956075</v>
      </c>
      <c r="O2888" s="2">
        <f ca="1"/>
        <v>-1.4880518272816865</v>
      </c>
      <c r="X2888" s="2">
        <f ca="1"/>
        <v>37.059243535003219</v>
      </c>
      <c r="AG2888" s="2">
        <f ca="1"/>
        <v>0.98101648109270778</v>
      </c>
      <c r="AH2888" s="2" t="str">
        <f ca="1"/>
        <v>Bad</v>
      </c>
    </row>
    <row r="2889" spans="2:34" x14ac:dyDescent="0.2">
      <c r="B2889" s="2">
        <f ca="1"/>
        <v>9.049531638245667E-2</v>
      </c>
      <c r="O2889" s="2">
        <f ca="1"/>
        <v>1.3448243267670008</v>
      </c>
      <c r="X2889" s="2">
        <f ca="1"/>
        <v>22.052944179806659</v>
      </c>
      <c r="AG2889" s="2">
        <f ca="1"/>
        <v>0.32130522278755258</v>
      </c>
      <c r="AH2889" s="2" t="str">
        <f ca="1"/>
        <v>OK</v>
      </c>
    </row>
    <row r="2890" spans="2:34" x14ac:dyDescent="0.2">
      <c r="B2890" s="2">
        <f ca="1"/>
        <v>0.47151319841724715</v>
      </c>
      <c r="O2890" s="2">
        <f ca="1"/>
        <v>-0.62437920433499394</v>
      </c>
      <c r="X2890" s="2">
        <f ca="1"/>
        <v>47.140176581402152</v>
      </c>
      <c r="AG2890" s="2">
        <f ca="1"/>
        <v>0.88097388374797903</v>
      </c>
      <c r="AH2890" s="2" t="str">
        <f ca="1"/>
        <v>Bad</v>
      </c>
    </row>
    <row r="2891" spans="2:34" x14ac:dyDescent="0.2">
      <c r="B2891" s="2">
        <f ca="1"/>
        <v>0.49707683202075992</v>
      </c>
      <c r="O2891" s="2">
        <f ca="1"/>
        <v>-3.7649228043505865E-3</v>
      </c>
      <c r="X2891" s="2">
        <f ca="1"/>
        <v>56.669104602283099</v>
      </c>
      <c r="AG2891" s="2">
        <f ca="1"/>
        <v>0.38355866809062533</v>
      </c>
      <c r="AH2891" s="2" t="str">
        <f ca="1"/>
        <v>OK</v>
      </c>
    </row>
    <row r="2892" spans="2:34" x14ac:dyDescent="0.2">
      <c r="B2892" s="2">
        <f ca="1"/>
        <v>0.87520201604138048</v>
      </c>
      <c r="O2892" s="2">
        <f ca="1"/>
        <v>-0.97794499565998938</v>
      </c>
      <c r="X2892" s="2">
        <f ca="1"/>
        <v>35.748408180308367</v>
      </c>
      <c r="AG2892" s="2">
        <f ca="1"/>
        <v>0.27522060619554689</v>
      </c>
      <c r="AH2892" s="2" t="str">
        <f ca="1"/>
        <v>OK</v>
      </c>
    </row>
    <row r="2893" spans="2:34" x14ac:dyDescent="0.2">
      <c r="B2893" s="2">
        <f ca="1"/>
        <v>7.5106386884447929E-2</v>
      </c>
      <c r="O2893" s="2">
        <f ca="1"/>
        <v>-0.73560791623504052</v>
      </c>
      <c r="X2893" s="2">
        <f ca="1"/>
        <v>31.62369728095889</v>
      </c>
      <c r="AG2893" s="2">
        <f ca="1"/>
        <v>0.59822312813102507</v>
      </c>
      <c r="AH2893" s="2" t="str">
        <f ca="1"/>
        <v>Bad</v>
      </c>
    </row>
    <row r="2894" spans="2:34" x14ac:dyDescent="0.2">
      <c r="B2894" s="2">
        <f ca="1"/>
        <v>0.16945771565836232</v>
      </c>
      <c r="O2894" s="2">
        <f ca="1"/>
        <v>-1.1886494356228197</v>
      </c>
      <c r="X2894" s="2">
        <f ca="1"/>
        <v>38.717130831837324</v>
      </c>
      <c r="AG2894" s="2">
        <f ca="1"/>
        <v>0.91035368083969859</v>
      </c>
      <c r="AH2894" s="2" t="str">
        <f ca="1"/>
        <v>Bad</v>
      </c>
    </row>
    <row r="2895" spans="2:34" x14ac:dyDescent="0.2">
      <c r="B2895" s="2">
        <f ca="1"/>
        <v>0.80581023650027683</v>
      </c>
      <c r="O2895" s="2">
        <f ca="1"/>
        <v>0.38821309405354892</v>
      </c>
      <c r="X2895" s="2">
        <f ca="1"/>
        <v>55.840798793945481</v>
      </c>
      <c r="AG2895" s="2">
        <f ca="1"/>
        <v>0.16515200688810161</v>
      </c>
      <c r="AH2895" s="2" t="str">
        <f ca="1"/>
        <v>OK</v>
      </c>
    </row>
    <row r="2896" spans="2:34" x14ac:dyDescent="0.2">
      <c r="B2896" s="2">
        <f ca="1"/>
        <v>0.34433714238287139</v>
      </c>
      <c r="O2896" s="2">
        <f ca="1"/>
        <v>-5.4879328313593774E-2</v>
      </c>
      <c r="X2896" s="2">
        <f ca="1"/>
        <v>54.935863379826444</v>
      </c>
      <c r="AG2896" s="2">
        <f ca="1"/>
        <v>0.63458601185910868</v>
      </c>
      <c r="AH2896" s="2" t="str">
        <f ca="1"/>
        <v>Bad</v>
      </c>
    </row>
    <row r="2897" spans="2:34" x14ac:dyDescent="0.2">
      <c r="B2897" s="2">
        <f ca="1"/>
        <v>6.0425850521505398E-2</v>
      </c>
      <c r="O2897" s="2">
        <f ca="1"/>
        <v>0.85792654193899964</v>
      </c>
      <c r="X2897" s="2">
        <f ca="1"/>
        <v>46.687215365433161</v>
      </c>
      <c r="AG2897" s="2">
        <f ca="1"/>
        <v>0.67790298217672129</v>
      </c>
      <c r="AH2897" s="2" t="str">
        <f ca="1"/>
        <v>Bad</v>
      </c>
    </row>
    <row r="2898" spans="2:34" x14ac:dyDescent="0.2">
      <c r="B2898" s="2">
        <f ca="1"/>
        <v>0.83416146638897182</v>
      </c>
      <c r="O2898" s="2">
        <f ca="1"/>
        <v>0.60773869406586678</v>
      </c>
      <c r="X2898" s="2">
        <f ca="1"/>
        <v>46.731122677267855</v>
      </c>
      <c r="AG2898" s="2">
        <f ca="1"/>
        <v>0.98850877763202782</v>
      </c>
      <c r="AH2898" s="2" t="str">
        <f ca="1"/>
        <v>Bad</v>
      </c>
    </row>
    <row r="2899" spans="2:34" x14ac:dyDescent="0.2">
      <c r="B2899" s="2">
        <f ca="1"/>
        <v>0.41109817889030054</v>
      </c>
      <c r="O2899" s="2">
        <f ca="1"/>
        <v>-0.3446534456016731</v>
      </c>
      <c r="X2899" s="2">
        <f ca="1"/>
        <v>36.570139184129651</v>
      </c>
      <c r="AG2899" s="2">
        <f ca="1"/>
        <v>0.4737267810092316</v>
      </c>
      <c r="AH2899" s="2" t="str">
        <f ca="1"/>
        <v>Bad</v>
      </c>
    </row>
    <row r="2900" spans="2:34" x14ac:dyDescent="0.2">
      <c r="B2900" s="2">
        <f ca="1"/>
        <v>0.68220333571240133</v>
      </c>
      <c r="O2900" s="2">
        <f ca="1"/>
        <v>1.7900932237605678</v>
      </c>
      <c r="X2900" s="2">
        <f ca="1"/>
        <v>66.833799944381639</v>
      </c>
      <c r="AG2900" s="2">
        <f ca="1"/>
        <v>0.32671318760118595</v>
      </c>
      <c r="AH2900" s="2" t="str">
        <f ca="1"/>
        <v>OK</v>
      </c>
    </row>
    <row r="2901" spans="2:34" x14ac:dyDescent="0.2">
      <c r="B2901" s="2">
        <f ca="1"/>
        <v>0.49400005997143759</v>
      </c>
      <c r="O2901" s="2">
        <f ca="1"/>
        <v>-1.6620684064373679</v>
      </c>
      <c r="X2901" s="2">
        <f ca="1"/>
        <v>65.687284042067773</v>
      </c>
      <c r="AG2901" s="2">
        <f ca="1"/>
        <v>0.90799529122151967</v>
      </c>
      <c r="AH2901" s="2" t="str">
        <f ca="1"/>
        <v>Bad</v>
      </c>
    </row>
    <row r="2902" spans="2:34" x14ac:dyDescent="0.2">
      <c r="B2902" s="2">
        <f ca="1"/>
        <v>0.92413053309948445</v>
      </c>
      <c r="O2902" s="2">
        <f ca="1"/>
        <v>1.4564056007296466</v>
      </c>
      <c r="X2902" s="2">
        <f ca="1"/>
        <v>61.898729057855029</v>
      </c>
      <c r="AG2902" s="2">
        <f ca="1"/>
        <v>0.44974216464133332</v>
      </c>
      <c r="AH2902" s="2" t="str">
        <f ca="1"/>
        <v>Bad</v>
      </c>
    </row>
    <row r="2903" spans="2:34" x14ac:dyDescent="0.2">
      <c r="B2903" s="2">
        <f ca="1"/>
        <v>0.65852787484543751</v>
      </c>
      <c r="O2903" s="2">
        <f ca="1"/>
        <v>0.12827529618018477</v>
      </c>
      <c r="X2903" s="2">
        <f ca="1"/>
        <v>21.423707965775101</v>
      </c>
      <c r="AG2903" s="2">
        <f ca="1"/>
        <v>0.62091554837435869</v>
      </c>
      <c r="AH2903" s="2" t="str">
        <f ca="1"/>
        <v>Bad</v>
      </c>
    </row>
    <row r="2904" spans="2:34" x14ac:dyDescent="0.2">
      <c r="B2904" s="2">
        <f ca="1"/>
        <v>0.93022695010229861</v>
      </c>
      <c r="O2904" s="2">
        <f ca="1"/>
        <v>-0.59832511030566149</v>
      </c>
      <c r="X2904" s="2">
        <f ca="1"/>
        <v>32.694908943005252</v>
      </c>
      <c r="AG2904" s="2">
        <f ca="1"/>
        <v>0.15544167808708442</v>
      </c>
      <c r="AH2904" s="2" t="str">
        <f ca="1"/>
        <v>OK</v>
      </c>
    </row>
    <row r="2905" spans="2:34" x14ac:dyDescent="0.2">
      <c r="B2905" s="2">
        <f ca="1"/>
        <v>0.59167719820181675</v>
      </c>
      <c r="O2905" s="2">
        <f ca="1"/>
        <v>0.51922841562769362</v>
      </c>
      <c r="X2905" s="2">
        <f ca="1"/>
        <v>48.630134327721485</v>
      </c>
      <c r="AG2905" s="2">
        <f ca="1"/>
        <v>0.50276058812932911</v>
      </c>
      <c r="AH2905" s="2" t="str">
        <f ca="1"/>
        <v>Bad</v>
      </c>
    </row>
    <row r="2906" spans="2:34" x14ac:dyDescent="0.2">
      <c r="B2906" s="2">
        <f ca="1"/>
        <v>3.6996437282919903E-2</v>
      </c>
      <c r="O2906" s="2">
        <f ca="1"/>
        <v>-0.56654305684460571</v>
      </c>
      <c r="X2906" s="2">
        <f ca="1"/>
        <v>43.461501566320912</v>
      </c>
      <c r="AG2906" s="2">
        <f ca="1"/>
        <v>0.23220992199002399</v>
      </c>
      <c r="AH2906" s="2" t="str">
        <f ca="1"/>
        <v>OK</v>
      </c>
    </row>
    <row r="2907" spans="2:34" x14ac:dyDescent="0.2">
      <c r="B2907" s="2">
        <f ca="1"/>
        <v>0.80960764870555257</v>
      </c>
      <c r="O2907" s="2">
        <f ca="1"/>
        <v>-1.581024268524589</v>
      </c>
      <c r="X2907" s="2">
        <f ca="1"/>
        <v>48.26557012993824</v>
      </c>
      <c r="AG2907" s="2">
        <f ca="1"/>
        <v>0.31232079127526813</v>
      </c>
      <c r="AH2907" s="2" t="str">
        <f ca="1"/>
        <v>OK</v>
      </c>
    </row>
    <row r="2908" spans="2:34" x14ac:dyDescent="0.2">
      <c r="B2908" s="2">
        <f ca="1"/>
        <v>0.15960321982861658</v>
      </c>
      <c r="O2908" s="2">
        <f ca="1"/>
        <v>-0.12124686168204918</v>
      </c>
      <c r="X2908" s="2">
        <f ca="1"/>
        <v>28.631702632170992</v>
      </c>
      <c r="AG2908" s="2">
        <f ca="1"/>
        <v>7.251029220639249E-2</v>
      </c>
      <c r="AH2908" s="2" t="str">
        <f ca="1"/>
        <v>OK</v>
      </c>
    </row>
    <row r="2909" spans="2:34" x14ac:dyDescent="0.2">
      <c r="B2909" s="2">
        <f ca="1"/>
        <v>0.69948711867158941</v>
      </c>
      <c r="O2909" s="2">
        <f ca="1"/>
        <v>0.55981813082565635</v>
      </c>
      <c r="X2909" s="2">
        <f ca="1"/>
        <v>41.536521915238225</v>
      </c>
      <c r="AG2909" s="2">
        <f ca="1"/>
        <v>0.46087584766107792</v>
      </c>
      <c r="AH2909" s="2" t="str">
        <f ca="1"/>
        <v>Bad</v>
      </c>
    </row>
    <row r="2910" spans="2:34" x14ac:dyDescent="0.2">
      <c r="B2910" s="2">
        <f ca="1"/>
        <v>0.16385381015052669</v>
      </c>
      <c r="O2910" s="2">
        <f ca="1"/>
        <v>-1.0433424873614483</v>
      </c>
      <c r="X2910" s="2">
        <f ca="1"/>
        <v>73.405311509962544</v>
      </c>
      <c r="AG2910" s="2">
        <f ca="1"/>
        <v>0.15587588789044649</v>
      </c>
      <c r="AH2910" s="2" t="str">
        <f ca="1"/>
        <v>OK</v>
      </c>
    </row>
    <row r="2911" spans="2:34" x14ac:dyDescent="0.2">
      <c r="B2911" s="2">
        <f ca="1"/>
        <v>0.66976199164325734</v>
      </c>
      <c r="O2911" s="2">
        <f ca="1"/>
        <v>-1.7751920871547822</v>
      </c>
      <c r="X2911" s="2">
        <f ca="1"/>
        <v>60.755017099176158</v>
      </c>
      <c r="AG2911" s="2">
        <f ca="1"/>
        <v>0.12047094586325624</v>
      </c>
      <c r="AH2911" s="2" t="str">
        <f ca="1"/>
        <v>OK</v>
      </c>
    </row>
    <row r="2912" spans="2:34" x14ac:dyDescent="0.2">
      <c r="B2912" s="2">
        <f ca="1"/>
        <v>0.51883295086119907</v>
      </c>
      <c r="O2912" s="2">
        <f ca="1"/>
        <v>-2.0609571429248554E-2</v>
      </c>
      <c r="X2912" s="2">
        <f ca="1"/>
        <v>46.614098615941671</v>
      </c>
      <c r="AG2912" s="2">
        <f ca="1"/>
        <v>0.52597146433911002</v>
      </c>
      <c r="AH2912" s="2" t="str">
        <f ca="1"/>
        <v>Bad</v>
      </c>
    </row>
    <row r="2913" spans="2:34" x14ac:dyDescent="0.2">
      <c r="B2913" s="2">
        <f ca="1"/>
        <v>0.54611200381476999</v>
      </c>
      <c r="O2913" s="2">
        <f ca="1"/>
        <v>-1.2494366427208758</v>
      </c>
      <c r="X2913" s="2">
        <f ca="1"/>
        <v>58.401102261987461</v>
      </c>
      <c r="AG2913" s="2">
        <f ca="1"/>
        <v>0.91887795818232587</v>
      </c>
      <c r="AH2913" s="2" t="str">
        <f ca="1"/>
        <v>Bad</v>
      </c>
    </row>
    <row r="2914" spans="2:34" x14ac:dyDescent="0.2">
      <c r="B2914" s="2">
        <f ca="1"/>
        <v>0.23153350537327699</v>
      </c>
      <c r="O2914" s="2">
        <f ca="1"/>
        <v>0.45646764842198562</v>
      </c>
      <c r="X2914" s="2">
        <f ca="1"/>
        <v>64.331342794153315</v>
      </c>
      <c r="AG2914" s="2">
        <f ca="1"/>
        <v>0.7028417507382152</v>
      </c>
      <c r="AH2914" s="2" t="str">
        <f ca="1"/>
        <v>Bad</v>
      </c>
    </row>
    <row r="2915" spans="2:34" x14ac:dyDescent="0.2">
      <c r="B2915" s="2">
        <f ca="1"/>
        <v>0.57962743926920646</v>
      </c>
      <c r="O2915" s="2">
        <f ca="1"/>
        <v>0.24839334248247774</v>
      </c>
      <c r="X2915" s="2">
        <f ca="1"/>
        <v>55.015674075229512</v>
      </c>
      <c r="AG2915" s="2">
        <f ca="1"/>
        <v>0.32327355555840809</v>
      </c>
      <c r="AH2915" s="2" t="str">
        <f ca="1"/>
        <v>OK</v>
      </c>
    </row>
    <row r="2916" spans="2:34" x14ac:dyDescent="0.2">
      <c r="B2916" s="2">
        <f ca="1"/>
        <v>0.8319992651174497</v>
      </c>
      <c r="O2916" s="2">
        <f ca="1"/>
        <v>-0.45798626078831983</v>
      </c>
      <c r="X2916" s="2">
        <f ca="1"/>
        <v>80.329919403003885</v>
      </c>
      <c r="AG2916" s="2">
        <f ca="1"/>
        <v>2.992740457683718E-3</v>
      </c>
      <c r="AH2916" s="2" t="str">
        <f ca="1"/>
        <v>Good</v>
      </c>
    </row>
    <row r="2917" spans="2:34" x14ac:dyDescent="0.2">
      <c r="B2917" s="2">
        <f ca="1"/>
        <v>0.13547501630123526</v>
      </c>
      <c r="O2917" s="2">
        <f ca="1"/>
        <v>0.63535781972704419</v>
      </c>
      <c r="X2917" s="2">
        <f ca="1"/>
        <v>43.826695013804184</v>
      </c>
      <c r="AG2917" s="2">
        <f ca="1"/>
        <v>0.97154245402012518</v>
      </c>
      <c r="AH2917" s="2" t="str">
        <f ca="1"/>
        <v>Bad</v>
      </c>
    </row>
    <row r="2918" spans="2:34" x14ac:dyDescent="0.2">
      <c r="B2918" s="2">
        <f ca="1"/>
        <v>0.75736891522464211</v>
      </c>
      <c r="O2918" s="2">
        <f ca="1"/>
        <v>1.3343474736164811</v>
      </c>
      <c r="X2918" s="2">
        <f ca="1"/>
        <v>59.084928412604597</v>
      </c>
      <c r="AG2918" s="2">
        <f ca="1"/>
        <v>0.27607684707173474</v>
      </c>
      <c r="AH2918" s="2" t="str">
        <f ca="1"/>
        <v>OK</v>
      </c>
    </row>
    <row r="2919" spans="2:34" x14ac:dyDescent="0.2">
      <c r="B2919" s="2">
        <f ca="1"/>
        <v>0.43604740762080718</v>
      </c>
      <c r="O2919" s="2">
        <f ca="1"/>
        <v>1.0569970475313677</v>
      </c>
      <c r="X2919" s="2">
        <f ca="1"/>
        <v>47.388842266766716</v>
      </c>
      <c r="AG2919" s="2">
        <f ca="1"/>
        <v>0.33759618702610927</v>
      </c>
      <c r="AH2919" s="2" t="str">
        <f ca="1"/>
        <v>OK</v>
      </c>
    </row>
    <row r="2920" spans="2:34" x14ac:dyDescent="0.2">
      <c r="B2920" s="2">
        <f ca="1"/>
        <v>0.69251227891128719</v>
      </c>
      <c r="O2920" s="2">
        <f ca="1"/>
        <v>1.4256004903731032</v>
      </c>
      <c r="X2920" s="2">
        <f ca="1"/>
        <v>34.724608895430883</v>
      </c>
      <c r="AG2920" s="2">
        <f ca="1"/>
        <v>0.23247576766741651</v>
      </c>
      <c r="AH2920" s="2" t="str">
        <f ca="1"/>
        <v>OK</v>
      </c>
    </row>
    <row r="2921" spans="2:34" x14ac:dyDescent="0.2">
      <c r="B2921" s="2">
        <f ca="1"/>
        <v>0.89716436888407314</v>
      </c>
      <c r="O2921" s="2">
        <f ca="1"/>
        <v>-0.4532656480971976</v>
      </c>
      <c r="X2921" s="2">
        <f ca="1"/>
        <v>30.072337680963965</v>
      </c>
      <c r="AG2921" s="2">
        <f ca="1"/>
        <v>0.31398090890214836</v>
      </c>
      <c r="AH2921" s="2" t="str">
        <f ca="1"/>
        <v>OK</v>
      </c>
    </row>
    <row r="2922" spans="2:34" x14ac:dyDescent="0.2">
      <c r="B2922" s="2">
        <f ca="1"/>
        <v>0.20106458517487957</v>
      </c>
      <c r="O2922" s="2">
        <f ca="1"/>
        <v>6.5515920002732382E-3</v>
      </c>
      <c r="X2922" s="2">
        <f ca="1"/>
        <v>33.423529704924356</v>
      </c>
      <c r="AG2922" s="2">
        <f ca="1"/>
        <v>0.17712189262959432</v>
      </c>
      <c r="AH2922" s="2" t="str">
        <f ca="1"/>
        <v>OK</v>
      </c>
    </row>
    <row r="2923" spans="2:34" x14ac:dyDescent="0.2">
      <c r="B2923" s="2">
        <f ca="1"/>
        <v>0.20931154577876132</v>
      </c>
      <c r="O2923" s="2">
        <f ca="1"/>
        <v>0.29572336420107898</v>
      </c>
      <c r="X2923" s="2">
        <f ca="1"/>
        <v>26.669873210623724</v>
      </c>
      <c r="AG2923" s="2">
        <f ca="1"/>
        <v>3.9017723860307996E-2</v>
      </c>
      <c r="AH2923" s="2" t="str">
        <f ca="1"/>
        <v>Good</v>
      </c>
    </row>
    <row r="2924" spans="2:34" x14ac:dyDescent="0.2">
      <c r="B2924" s="2">
        <f ca="1"/>
        <v>0.9083393430069755</v>
      </c>
      <c r="O2924" s="2">
        <f ca="1"/>
        <v>-0.65854646134237282</v>
      </c>
      <c r="X2924" s="2">
        <f ca="1"/>
        <v>63.867440715738617</v>
      </c>
      <c r="AG2924" s="2">
        <f ca="1"/>
        <v>2.091348916168867E-2</v>
      </c>
      <c r="AH2924" s="2" t="str">
        <f ca="1"/>
        <v>Good</v>
      </c>
    </row>
    <row r="2925" spans="2:34" x14ac:dyDescent="0.2">
      <c r="B2925" s="2">
        <f ca="1"/>
        <v>0.467482917369898</v>
      </c>
      <c r="O2925" s="2">
        <f ca="1"/>
        <v>-1.3830249444492335</v>
      </c>
      <c r="X2925" s="2">
        <f ca="1"/>
        <v>62.133019041139917</v>
      </c>
      <c r="AG2925" s="2">
        <f ca="1"/>
        <v>0.13125613323732344</v>
      </c>
      <c r="AH2925" s="2" t="str">
        <f ca="1"/>
        <v>OK</v>
      </c>
    </row>
    <row r="2926" spans="2:34" x14ac:dyDescent="0.2">
      <c r="B2926" s="2">
        <f ca="1"/>
        <v>0.87661396415318671</v>
      </c>
      <c r="O2926" s="2">
        <f ca="1"/>
        <v>-6.8259169109003995E-2</v>
      </c>
      <c r="X2926" s="2">
        <f ca="1"/>
        <v>73.620261098149896</v>
      </c>
      <c r="AG2926" s="2">
        <f ca="1"/>
        <v>0.71698921911047719</v>
      </c>
      <c r="AH2926" s="2" t="str">
        <f ca="1"/>
        <v>Bad</v>
      </c>
    </row>
    <row r="2927" spans="2:34" x14ac:dyDescent="0.2">
      <c r="B2927" s="2">
        <f ca="1"/>
        <v>0.91993284149334587</v>
      </c>
      <c r="O2927" s="2">
        <f ca="1"/>
        <v>0.60550608766393832</v>
      </c>
      <c r="X2927" s="2">
        <f ca="1"/>
        <v>47.477696714975785</v>
      </c>
      <c r="AG2927" s="2">
        <f ca="1"/>
        <v>0.27462741567387838</v>
      </c>
      <c r="AH2927" s="2" t="str">
        <f ca="1"/>
        <v>OK</v>
      </c>
    </row>
    <row r="2928" spans="2:34" x14ac:dyDescent="0.2">
      <c r="B2928" s="2">
        <f ca="1"/>
        <v>0.84066751005765616</v>
      </c>
      <c r="O2928" s="2">
        <f ca="1"/>
        <v>-0.57189946933255464</v>
      </c>
      <c r="X2928" s="2">
        <f ca="1"/>
        <v>46.930025191257663</v>
      </c>
      <c r="AG2928" s="2">
        <f ca="1"/>
        <v>0.23658561540534695</v>
      </c>
      <c r="AH2928" s="2" t="str">
        <f ca="1"/>
        <v>OK</v>
      </c>
    </row>
    <row r="2929" spans="2:34" x14ac:dyDescent="0.2">
      <c r="B2929" s="2">
        <f ca="1"/>
        <v>0.20054678564568929</v>
      </c>
      <c r="O2929" s="2">
        <f ca="1"/>
        <v>0.21703293836665824</v>
      </c>
      <c r="X2929" s="2">
        <f ca="1"/>
        <v>141.0185368707925</v>
      </c>
      <c r="AG2929" s="2">
        <f ca="1"/>
        <v>1.2839191680159789E-2</v>
      </c>
      <c r="AH2929" s="2" t="str">
        <f ca="1"/>
        <v>Good</v>
      </c>
    </row>
    <row r="2930" spans="2:34" x14ac:dyDescent="0.2">
      <c r="B2930" s="2">
        <f ca="1"/>
        <v>0.14649243332957118</v>
      </c>
      <c r="O2930" s="2">
        <f ca="1"/>
        <v>-1.0664140523183621</v>
      </c>
      <c r="X2930" s="2">
        <f ca="1"/>
        <v>48.64764217593752</v>
      </c>
      <c r="AG2930" s="2">
        <f ca="1"/>
        <v>0.12044514489981695</v>
      </c>
      <c r="AH2930" s="2" t="str">
        <f ca="1"/>
        <v>OK</v>
      </c>
    </row>
    <row r="2931" spans="2:34" x14ac:dyDescent="0.2">
      <c r="B2931" s="2">
        <f ca="1"/>
        <v>0.3584259522098312</v>
      </c>
      <c r="O2931" s="2">
        <f ca="1"/>
        <v>0.89915147100413262</v>
      </c>
      <c r="X2931" s="2">
        <f ca="1"/>
        <v>43.99296591978483</v>
      </c>
      <c r="AG2931" s="2">
        <f ca="1"/>
        <v>0.47573861677471219</v>
      </c>
      <c r="AH2931" s="2" t="str">
        <f ca="1"/>
        <v>Bad</v>
      </c>
    </row>
    <row r="2932" spans="2:34" x14ac:dyDescent="0.2">
      <c r="B2932" s="2">
        <f ca="1"/>
        <v>4.9714400955918725E-2</v>
      </c>
      <c r="O2932" s="2">
        <f ca="1"/>
        <v>-0.15528524117103404</v>
      </c>
      <c r="X2932" s="2">
        <f ca="1"/>
        <v>51.23147632701874</v>
      </c>
      <c r="AG2932" s="2">
        <f ca="1"/>
        <v>0.22998386576998997</v>
      </c>
      <c r="AH2932" s="2" t="str">
        <f ca="1"/>
        <v>OK</v>
      </c>
    </row>
    <row r="2933" spans="2:34" x14ac:dyDescent="0.2">
      <c r="B2933" s="2">
        <f ca="1"/>
        <v>0.34059818883805959</v>
      </c>
      <c r="O2933" s="2">
        <f ca="1"/>
        <v>0.5709415584064873</v>
      </c>
      <c r="X2933" s="2">
        <f ca="1"/>
        <v>33.295362209988426</v>
      </c>
      <c r="AG2933" s="2">
        <f ca="1"/>
        <v>0.38213500366504838</v>
      </c>
      <c r="AH2933" s="2" t="str">
        <f ca="1"/>
        <v>OK</v>
      </c>
    </row>
    <row r="2934" spans="2:34" x14ac:dyDescent="0.2">
      <c r="B2934" s="2">
        <f ca="1"/>
        <v>0.31784515284067427</v>
      </c>
      <c r="O2934" s="2">
        <f ca="1"/>
        <v>0.25042614214246361</v>
      </c>
      <c r="X2934" s="2">
        <f ca="1"/>
        <v>45.263347899019578</v>
      </c>
      <c r="AG2934" s="2">
        <f ca="1"/>
        <v>0.53647574471119097</v>
      </c>
      <c r="AH2934" s="2" t="str">
        <f ca="1"/>
        <v>Bad</v>
      </c>
    </row>
    <row r="2935" spans="2:34" x14ac:dyDescent="0.2">
      <c r="B2935" s="2">
        <f ca="1"/>
        <v>3.0424336871496038E-2</v>
      </c>
      <c r="O2935" s="2">
        <f ca="1"/>
        <v>-1.7459066921996411</v>
      </c>
      <c r="X2935" s="2">
        <f ca="1"/>
        <v>57.030380087461765</v>
      </c>
      <c r="AG2935" s="2">
        <f ca="1"/>
        <v>0.39546723727338184</v>
      </c>
      <c r="AH2935" s="2" t="str">
        <f ca="1"/>
        <v>OK</v>
      </c>
    </row>
    <row r="2936" spans="2:34" x14ac:dyDescent="0.2">
      <c r="B2936" s="2">
        <f ca="1"/>
        <v>0.80993347394079152</v>
      </c>
      <c r="O2936" s="2">
        <f ca="1"/>
        <v>0.69243220608375122</v>
      </c>
      <c r="X2936" s="2">
        <f ca="1"/>
        <v>47.253747970847428</v>
      </c>
      <c r="AG2936" s="2">
        <f ca="1"/>
        <v>7.9235539554374457E-2</v>
      </c>
      <c r="AH2936" s="2" t="str">
        <f ca="1"/>
        <v>OK</v>
      </c>
    </row>
    <row r="2937" spans="2:34" x14ac:dyDescent="0.2">
      <c r="B2937" s="2">
        <f ca="1"/>
        <v>0.6047804026642718</v>
      </c>
      <c r="O2937" s="2">
        <f ca="1"/>
        <v>-0.96587316390569189</v>
      </c>
      <c r="X2937" s="2">
        <f ca="1"/>
        <v>46.278720120207325</v>
      </c>
      <c r="AG2937" s="2">
        <f ca="1"/>
        <v>0.17229031470573641</v>
      </c>
      <c r="AH2937" s="2" t="str">
        <f ca="1"/>
        <v>OK</v>
      </c>
    </row>
    <row r="2938" spans="2:34" x14ac:dyDescent="0.2">
      <c r="B2938" s="2">
        <f ca="1"/>
        <v>0.43649479106943101</v>
      </c>
      <c r="O2938" s="2">
        <f ca="1"/>
        <v>-0.77822338228249477</v>
      </c>
      <c r="X2938" s="2">
        <f ca="1"/>
        <v>80.663116595454539</v>
      </c>
      <c r="AG2938" s="2">
        <f ca="1"/>
        <v>0.65890418801342565</v>
      </c>
      <c r="AH2938" s="2" t="str">
        <f ca="1"/>
        <v>Bad</v>
      </c>
    </row>
    <row r="2939" spans="2:34" x14ac:dyDescent="0.2">
      <c r="B2939" s="2">
        <f ca="1"/>
        <v>0.19502518341488262</v>
      </c>
      <c r="O2939" s="2">
        <f ca="1"/>
        <v>7.0346694966010356E-2</v>
      </c>
      <c r="X2939" s="2">
        <f ca="1"/>
        <v>44.870109298684341</v>
      </c>
      <c r="AG2939" s="2">
        <f ca="1"/>
        <v>0.61482872050479731</v>
      </c>
      <c r="AH2939" s="2" t="str">
        <f ca="1"/>
        <v>Bad</v>
      </c>
    </row>
    <row r="2940" spans="2:34" x14ac:dyDescent="0.2">
      <c r="B2940" s="2">
        <f ca="1"/>
        <v>0.29375670747304694</v>
      </c>
      <c r="O2940" s="2">
        <f ca="1"/>
        <v>-1.7048435149463872</v>
      </c>
      <c r="X2940" s="2">
        <f ca="1"/>
        <v>28.619762718419601</v>
      </c>
      <c r="AG2940" s="2">
        <f ca="1"/>
        <v>0.72546944967899796</v>
      </c>
      <c r="AH2940" s="2" t="str">
        <f ca="1"/>
        <v>Bad</v>
      </c>
    </row>
    <row r="2941" spans="2:34" x14ac:dyDescent="0.2">
      <c r="B2941" s="2">
        <f ca="1"/>
        <v>0.5844944562060812</v>
      </c>
      <c r="O2941" s="2">
        <f ca="1"/>
        <v>-0.91159934193351122</v>
      </c>
      <c r="X2941" s="2">
        <f ca="1"/>
        <v>47.340025404551056</v>
      </c>
      <c r="AG2941" s="2">
        <f ca="1"/>
        <v>5.0000189376593118E-2</v>
      </c>
      <c r="AH2941" s="2" t="str">
        <f ca="1"/>
        <v>OK</v>
      </c>
    </row>
    <row r="2942" spans="2:34" x14ac:dyDescent="0.2">
      <c r="B2942" s="2">
        <f ca="1"/>
        <v>0.30765794145850123</v>
      </c>
      <c r="O2942" s="2">
        <f ca="1"/>
        <v>-1.1183557906167203</v>
      </c>
      <c r="X2942" s="2">
        <f ca="1"/>
        <v>49.420336866003424</v>
      </c>
      <c r="AG2942" s="2">
        <f ca="1"/>
        <v>0.15165060400793728</v>
      </c>
      <c r="AH2942" s="2" t="str">
        <f ca="1"/>
        <v>OK</v>
      </c>
    </row>
    <row r="2943" spans="2:34" x14ac:dyDescent="0.2">
      <c r="B2943" s="2">
        <f ca="1"/>
        <v>0.71289062307324857</v>
      </c>
      <c r="O2943" s="2">
        <f ca="1"/>
        <v>-0.65471882399766679</v>
      </c>
      <c r="X2943" s="2">
        <f ca="1"/>
        <v>50.498945827409699</v>
      </c>
      <c r="AG2943" s="2">
        <f ca="1"/>
        <v>0.82215715514008125</v>
      </c>
      <c r="AH2943" s="2" t="str">
        <f ca="1"/>
        <v>Bad</v>
      </c>
    </row>
    <row r="2944" spans="2:34" x14ac:dyDescent="0.2">
      <c r="B2944" s="2">
        <f ca="1"/>
        <v>0.60386215850811853</v>
      </c>
      <c r="O2944" s="2">
        <f ca="1"/>
        <v>-1.6151275518730537</v>
      </c>
      <c r="X2944" s="2">
        <f ca="1"/>
        <v>63.72219655214554</v>
      </c>
      <c r="AG2944" s="2">
        <f ca="1"/>
        <v>0.40729524672625073</v>
      </c>
      <c r="AH2944" s="2" t="str">
        <f ca="1"/>
        <v>Bad</v>
      </c>
    </row>
    <row r="2945" spans="2:34" x14ac:dyDescent="0.2">
      <c r="B2945" s="2">
        <f ca="1"/>
        <v>0.68315347399892579</v>
      </c>
      <c r="O2945" s="2">
        <f ca="1"/>
        <v>1.3750463616430866</v>
      </c>
      <c r="X2945" s="2">
        <f ca="1"/>
        <v>59.92434451161899</v>
      </c>
      <c r="AG2945" s="2">
        <f ca="1"/>
        <v>0.64275287377913726</v>
      </c>
      <c r="AH2945" s="2" t="str">
        <f ca="1"/>
        <v>Bad</v>
      </c>
    </row>
    <row r="2946" spans="2:34" x14ac:dyDescent="0.2">
      <c r="B2946" s="2">
        <f ca="1"/>
        <v>0.63357134477531285</v>
      </c>
      <c r="O2946" s="2">
        <f ca="1"/>
        <v>1.2501800668013194</v>
      </c>
      <c r="X2946" s="2">
        <f ca="1"/>
        <v>58.336741134483113</v>
      </c>
      <c r="AG2946" s="2">
        <f ca="1"/>
        <v>0.38941282773009367</v>
      </c>
      <c r="AH2946" s="2" t="str">
        <f ca="1"/>
        <v>OK</v>
      </c>
    </row>
    <row r="2947" spans="2:34" x14ac:dyDescent="0.2">
      <c r="B2947" s="2">
        <f ca="1"/>
        <v>0.51730481505795001</v>
      </c>
      <c r="O2947" s="2">
        <f ca="1"/>
        <v>-1.1628656726902333</v>
      </c>
      <c r="X2947" s="2">
        <f ca="1"/>
        <v>51.649110784864746</v>
      </c>
      <c r="AG2947" s="2">
        <f ca="1"/>
        <v>0.37773762052171378</v>
      </c>
      <c r="AH2947" s="2" t="str">
        <f ca="1"/>
        <v>OK</v>
      </c>
    </row>
    <row r="2948" spans="2:34" x14ac:dyDescent="0.2">
      <c r="B2948" s="2">
        <f ca="1"/>
        <v>0.42740353715018853</v>
      </c>
      <c r="O2948" s="2">
        <f ca="1"/>
        <v>0.18163400906787736</v>
      </c>
      <c r="X2948" s="2">
        <f ca="1"/>
        <v>58.61553206587157</v>
      </c>
      <c r="AG2948" s="2">
        <f ca="1"/>
        <v>0.89679240478795696</v>
      </c>
      <c r="AH2948" s="2" t="str">
        <f ca="1"/>
        <v>Bad</v>
      </c>
    </row>
    <row r="2949" spans="2:34" x14ac:dyDescent="0.2">
      <c r="B2949" s="2">
        <f ca="1"/>
        <v>0.98133708076023973</v>
      </c>
      <c r="O2949" s="2">
        <f ca="1"/>
        <v>0.35116497359131021</v>
      </c>
      <c r="X2949" s="2">
        <f ca="1"/>
        <v>46.853326300887659</v>
      </c>
      <c r="AG2949" s="2">
        <f ca="1"/>
        <v>0.78063616216770204</v>
      </c>
      <c r="AH2949" s="2" t="str">
        <f ca="1"/>
        <v>Bad</v>
      </c>
    </row>
    <row r="2950" spans="2:34" x14ac:dyDescent="0.2">
      <c r="B2950" s="2">
        <f ca="1"/>
        <v>0.76068730062333478</v>
      </c>
      <c r="O2950" s="2">
        <f ca="1"/>
        <v>-1.3814828446227099</v>
      </c>
      <c r="X2950" s="2">
        <f ca="1"/>
        <v>69.35464608339727</v>
      </c>
      <c r="AG2950" s="2">
        <f ca="1"/>
        <v>0.46947281183233702</v>
      </c>
      <c r="AH2950" s="2" t="str">
        <f ca="1"/>
        <v>Bad</v>
      </c>
    </row>
    <row r="2951" spans="2:34" x14ac:dyDescent="0.2">
      <c r="B2951" s="2">
        <f ca="1"/>
        <v>0.87821039863325545</v>
      </c>
      <c r="O2951" s="2">
        <f ca="1"/>
        <v>-7.4518637392169698E-2</v>
      </c>
      <c r="X2951" s="2">
        <f ca="1"/>
        <v>24.246105720026193</v>
      </c>
      <c r="AG2951" s="2">
        <f ca="1"/>
        <v>0.83186815434110928</v>
      </c>
      <c r="AH2951" s="2" t="str">
        <f ca="1"/>
        <v>Bad</v>
      </c>
    </row>
    <row r="2952" spans="2:34" x14ac:dyDescent="0.2">
      <c r="B2952" s="2">
        <f ca="1"/>
        <v>0.88235275077737496</v>
      </c>
      <c r="O2952" s="2">
        <f ca="1"/>
        <v>1.3621704560170524</v>
      </c>
      <c r="X2952" s="2">
        <f ca="1"/>
        <v>49.373518384195066</v>
      </c>
      <c r="AG2952" s="2">
        <f ca="1"/>
        <v>0.73522424287564014</v>
      </c>
      <c r="AH2952" s="2" t="str">
        <f ca="1"/>
        <v>Bad</v>
      </c>
    </row>
    <row r="2953" spans="2:34" x14ac:dyDescent="0.2">
      <c r="B2953" s="2">
        <f ca="1"/>
        <v>0.96945981393052549</v>
      </c>
      <c r="O2953" s="2">
        <f ca="1"/>
        <v>-0.92534367299364073</v>
      </c>
      <c r="X2953" s="2">
        <f ca="1"/>
        <v>51.496493697708786</v>
      </c>
      <c r="AG2953" s="2">
        <f ca="1"/>
        <v>0.81712229329719777</v>
      </c>
      <c r="AH2953" s="2" t="str">
        <f ca="1"/>
        <v>Bad</v>
      </c>
    </row>
    <row r="2954" spans="2:34" x14ac:dyDescent="0.2">
      <c r="B2954" s="2">
        <f ca="1"/>
        <v>0.31625549098018468</v>
      </c>
      <c r="O2954" s="2">
        <f ca="1"/>
        <v>-0.53363980875525463</v>
      </c>
      <c r="X2954" s="2">
        <f ca="1"/>
        <v>64.140089701894439</v>
      </c>
      <c r="AG2954" s="2">
        <f ca="1"/>
        <v>9.3783059454962459E-2</v>
      </c>
      <c r="AH2954" s="2" t="str">
        <f ca="1"/>
        <v>OK</v>
      </c>
    </row>
    <row r="2955" spans="2:34" x14ac:dyDescent="0.2">
      <c r="B2955" s="2">
        <f ca="1"/>
        <v>0.64833479487647971</v>
      </c>
      <c r="O2955" s="2">
        <f ca="1"/>
        <v>-0.51221147053517535</v>
      </c>
      <c r="X2955" s="2">
        <f ca="1"/>
        <v>45.841434495789372</v>
      </c>
      <c r="AG2955" s="2">
        <f ca="1"/>
        <v>0.63290791427319038</v>
      </c>
      <c r="AH2955" s="2" t="str">
        <f ca="1"/>
        <v>Bad</v>
      </c>
    </row>
    <row r="2956" spans="2:34" x14ac:dyDescent="0.2">
      <c r="B2956" s="2">
        <f ca="1"/>
        <v>0.25845531729153448</v>
      </c>
      <c r="O2956" s="2">
        <f ca="1"/>
        <v>9.723652984776783E-2</v>
      </c>
      <c r="X2956" s="2">
        <f ca="1"/>
        <v>30.77843235664966</v>
      </c>
      <c r="AG2956" s="2">
        <f ca="1"/>
        <v>6.9953556824762231E-3</v>
      </c>
      <c r="AH2956" s="2" t="str">
        <f ca="1"/>
        <v>Good</v>
      </c>
    </row>
    <row r="2957" spans="2:34" x14ac:dyDescent="0.2">
      <c r="B2957" s="2">
        <f ca="1"/>
        <v>0.32588603198559962</v>
      </c>
      <c r="O2957" s="2">
        <f ca="1"/>
        <v>-0.27428183806698447</v>
      </c>
      <c r="X2957" s="2">
        <f ca="1"/>
        <v>39.286853472309097</v>
      </c>
      <c r="AG2957" s="2">
        <f ca="1"/>
        <v>0.83736007931693601</v>
      </c>
      <c r="AH2957" s="2" t="str">
        <f ca="1"/>
        <v>Bad</v>
      </c>
    </row>
    <row r="2958" spans="2:34" x14ac:dyDescent="0.2">
      <c r="B2958" s="2">
        <f ca="1"/>
        <v>0.56302986935662847</v>
      </c>
      <c r="O2958" s="2">
        <f ca="1"/>
        <v>-1.1196966467483409</v>
      </c>
      <c r="X2958" s="2">
        <f ca="1"/>
        <v>52.751081174212331</v>
      </c>
      <c r="AG2958" s="2">
        <f ca="1"/>
        <v>9.7666739383541756E-3</v>
      </c>
      <c r="AH2958" s="2" t="str">
        <f ca="1"/>
        <v>Good</v>
      </c>
    </row>
    <row r="2959" spans="2:34" x14ac:dyDescent="0.2">
      <c r="B2959" s="2">
        <f ca="1"/>
        <v>2.2367744374132137E-3</v>
      </c>
      <c r="O2959" s="2">
        <f ca="1"/>
        <v>0.87777563053604868</v>
      </c>
      <c r="X2959" s="2">
        <f ca="1"/>
        <v>36.85597806548671</v>
      </c>
      <c r="AG2959" s="2">
        <f ca="1"/>
        <v>0.89441106985462859</v>
      </c>
      <c r="AH2959" s="2" t="str">
        <f ca="1"/>
        <v>Bad</v>
      </c>
    </row>
    <row r="2960" spans="2:34" x14ac:dyDescent="0.2">
      <c r="B2960" s="2">
        <f ca="1"/>
        <v>0.76119120043052368</v>
      </c>
      <c r="O2960" s="2">
        <f ca="1"/>
        <v>-8.823568930457602E-3</v>
      </c>
      <c r="X2960" s="2">
        <f ca="1"/>
        <v>17.230118828649729</v>
      </c>
      <c r="AG2960" s="2">
        <f ca="1"/>
        <v>0.38483725085891107</v>
      </c>
      <c r="AH2960" s="2" t="str">
        <f ca="1"/>
        <v>OK</v>
      </c>
    </row>
    <row r="2961" spans="2:34" x14ac:dyDescent="0.2">
      <c r="B2961" s="2">
        <f ca="1"/>
        <v>0.30183450455670036</v>
      </c>
      <c r="O2961" s="2">
        <f ca="1"/>
        <v>0.41824620001092555</v>
      </c>
      <c r="X2961" s="2">
        <f ca="1"/>
        <v>53.009397853031032</v>
      </c>
      <c r="AG2961" s="2">
        <f ca="1"/>
        <v>0.59733218478632111</v>
      </c>
      <c r="AH2961" s="2" t="str">
        <f ca="1"/>
        <v>Bad</v>
      </c>
    </row>
    <row r="2962" spans="2:34" x14ac:dyDescent="0.2">
      <c r="B2962" s="2">
        <f ca="1"/>
        <v>0.4582742490201519</v>
      </c>
      <c r="O2962" s="2">
        <f ca="1"/>
        <v>8.5941175089159272E-2</v>
      </c>
      <c r="X2962" s="2">
        <f ca="1"/>
        <v>48.937537941394631</v>
      </c>
      <c r="AG2962" s="2">
        <f ca="1"/>
        <v>0.87417684721639555</v>
      </c>
      <c r="AH2962" s="2" t="str">
        <f ca="1"/>
        <v>Bad</v>
      </c>
    </row>
    <row r="2963" spans="2:34" x14ac:dyDescent="0.2">
      <c r="B2963" s="2">
        <f ca="1"/>
        <v>3.2886002380195123E-2</v>
      </c>
      <c r="O2963" s="2">
        <f ca="1"/>
        <v>-5.8475996361248013E-2</v>
      </c>
      <c r="X2963" s="2">
        <f ca="1"/>
        <v>61.257641561507015</v>
      </c>
      <c r="AG2963" s="2">
        <f ca="1"/>
        <v>3.6230781166342041E-2</v>
      </c>
      <c r="AH2963" s="2" t="str">
        <f ca="1"/>
        <v>Good</v>
      </c>
    </row>
    <row r="2964" spans="2:34" x14ac:dyDescent="0.2">
      <c r="B2964" s="2">
        <f ca="1"/>
        <v>0.40876176557004129</v>
      </c>
      <c r="O2964" s="2">
        <f ca="1"/>
        <v>0.32432336371212733</v>
      </c>
      <c r="X2964" s="2">
        <f ca="1"/>
        <v>53.683767443775423</v>
      </c>
      <c r="AG2964" s="2">
        <f ca="1"/>
        <v>6.6876534598772741E-2</v>
      </c>
      <c r="AH2964" s="2" t="str">
        <f ca="1"/>
        <v>OK</v>
      </c>
    </row>
    <row r="2965" spans="2:34" x14ac:dyDescent="0.2">
      <c r="B2965" s="2">
        <f ca="1"/>
        <v>2.7188825865802624E-2</v>
      </c>
      <c r="O2965" s="2">
        <f ca="1"/>
        <v>0.73066363217629215</v>
      </c>
      <c r="X2965" s="2">
        <f ca="1"/>
        <v>31.83910849797342</v>
      </c>
      <c r="AG2965" s="2">
        <f ca="1"/>
        <v>0.43784894870908952</v>
      </c>
      <c r="AH2965" s="2" t="str">
        <f ca="1"/>
        <v>Bad</v>
      </c>
    </row>
    <row r="2966" spans="2:34" x14ac:dyDescent="0.2">
      <c r="B2966" s="2">
        <f ca="1"/>
        <v>0.60310743284563317</v>
      </c>
      <c r="O2966" s="2">
        <f ca="1"/>
        <v>0.63071383549402205</v>
      </c>
      <c r="X2966" s="2">
        <f ca="1"/>
        <v>26.953976496017837</v>
      </c>
      <c r="AG2966" s="2">
        <f ca="1"/>
        <v>0.8372507976845609</v>
      </c>
      <c r="AH2966" s="2" t="str">
        <f ca="1"/>
        <v>Bad</v>
      </c>
    </row>
    <row r="2967" spans="2:34" x14ac:dyDescent="0.2">
      <c r="B2967" s="2">
        <f ca="1"/>
        <v>0.27042444783508435</v>
      </c>
      <c r="O2967" s="2">
        <f ca="1"/>
        <v>0.16953401229800102</v>
      </c>
      <c r="X2967" s="2">
        <f ca="1"/>
        <v>52.922348359805021</v>
      </c>
      <c r="AG2967" s="2">
        <f ca="1"/>
        <v>0.4284951909261927</v>
      </c>
      <c r="AH2967" s="2" t="str">
        <f ca="1"/>
        <v>Bad</v>
      </c>
    </row>
    <row r="2968" spans="2:34" x14ac:dyDescent="0.2">
      <c r="B2968" s="2">
        <f ca="1"/>
        <v>0.96805185032974861</v>
      </c>
      <c r="O2968" s="2">
        <f ca="1"/>
        <v>-0.7162336247713238</v>
      </c>
      <c r="X2968" s="2">
        <f ca="1"/>
        <v>63.680261633561599</v>
      </c>
      <c r="AG2968" s="2">
        <f ca="1"/>
        <v>0.72944386762118607</v>
      </c>
      <c r="AH2968" s="2" t="str">
        <f ca="1"/>
        <v>Bad</v>
      </c>
    </row>
    <row r="2969" spans="2:34" x14ac:dyDescent="0.2">
      <c r="B2969" s="2">
        <f ca="1"/>
        <v>0.49467462953333174</v>
      </c>
      <c r="O2969" s="2">
        <f ca="1"/>
        <v>1.7778423878846916</v>
      </c>
      <c r="X2969" s="2">
        <f ca="1"/>
        <v>33.758148273728636</v>
      </c>
      <c r="AG2969" s="2">
        <f ca="1"/>
        <v>0.19898719138440346</v>
      </c>
      <c r="AH2969" s="2" t="str">
        <f ca="1"/>
        <v>OK</v>
      </c>
    </row>
    <row r="2970" spans="2:34" x14ac:dyDescent="0.2">
      <c r="B2970" s="2">
        <f ca="1"/>
        <v>0.13767381248317645</v>
      </c>
      <c r="O2970" s="2">
        <f ca="1"/>
        <v>-2.080277932033622</v>
      </c>
      <c r="X2970" s="2">
        <f ca="1"/>
        <v>29.296904532733464</v>
      </c>
      <c r="AG2970" s="2">
        <f ca="1"/>
        <v>0.99316952817072823</v>
      </c>
      <c r="AH2970" s="2" t="str">
        <f ca="1"/>
        <v>Bad</v>
      </c>
    </row>
    <row r="2971" spans="2:34" x14ac:dyDescent="0.2">
      <c r="B2971" s="2">
        <f ca="1"/>
        <v>0.38138691063348418</v>
      </c>
      <c r="O2971" s="2">
        <f ca="1"/>
        <v>0.17929139833086796</v>
      </c>
      <c r="X2971" s="2">
        <f ca="1"/>
        <v>35.286068007836292</v>
      </c>
      <c r="AG2971" s="2">
        <f ca="1"/>
        <v>0.367886103393402</v>
      </c>
      <c r="AH2971" s="2" t="str">
        <f ca="1"/>
        <v>OK</v>
      </c>
    </row>
    <row r="2972" spans="2:34" x14ac:dyDescent="0.2">
      <c r="B2972" s="2">
        <f ca="1"/>
        <v>0.41471123585077807</v>
      </c>
      <c r="O2972" s="2">
        <f ca="1"/>
        <v>0.28307269850605227</v>
      </c>
      <c r="X2972" s="2">
        <f ca="1"/>
        <v>30.805696344863627</v>
      </c>
      <c r="AG2972" s="2">
        <f ca="1"/>
        <v>0.30680685469036928</v>
      </c>
      <c r="AH2972" s="2" t="str">
        <f ca="1"/>
        <v>OK</v>
      </c>
    </row>
    <row r="2973" spans="2:34" x14ac:dyDescent="0.2">
      <c r="B2973" s="2">
        <f ca="1"/>
        <v>0.56862935818097848</v>
      </c>
      <c r="O2973" s="2">
        <f ca="1"/>
        <v>-1.4461736536173706</v>
      </c>
      <c r="X2973" s="2">
        <f ca="1"/>
        <v>70.190613576865644</v>
      </c>
      <c r="AG2973" s="2">
        <f ca="1"/>
        <v>4.5364693073516538E-2</v>
      </c>
      <c r="AH2973" s="2" t="str">
        <f ca="1"/>
        <v>Good</v>
      </c>
    </row>
    <row r="2974" spans="2:34" x14ac:dyDescent="0.2">
      <c r="B2974" s="2">
        <f ca="1"/>
        <v>0.76488663334830886</v>
      </c>
      <c r="O2974" s="2">
        <f ca="1"/>
        <v>0.20947210945116868</v>
      </c>
      <c r="X2974" s="2">
        <f ca="1"/>
        <v>36.732733953694208</v>
      </c>
      <c r="AG2974" s="2">
        <f ca="1"/>
        <v>0.63301409407077514</v>
      </c>
      <c r="AH2974" s="2" t="str">
        <f ca="1"/>
        <v>Bad</v>
      </c>
    </row>
    <row r="2975" spans="2:34" x14ac:dyDescent="0.2">
      <c r="B2975" s="2">
        <f ca="1"/>
        <v>0.32776707076067479</v>
      </c>
      <c r="O2975" s="2">
        <f ca="1"/>
        <v>-1.1742824462684409</v>
      </c>
      <c r="X2975" s="2">
        <f ca="1"/>
        <v>28.618787374932054</v>
      </c>
      <c r="AG2975" s="2">
        <f ca="1"/>
        <v>0.56858646691317993</v>
      </c>
      <c r="AH2975" s="2" t="str">
        <f ca="1"/>
        <v>Bad</v>
      </c>
    </row>
    <row r="2976" spans="2:34" x14ac:dyDescent="0.2">
      <c r="B2976" s="2">
        <f ca="1"/>
        <v>0.31076811865852516</v>
      </c>
      <c r="O2976" s="2">
        <f ca="1"/>
        <v>0.59351609401276928</v>
      </c>
      <c r="X2976" s="2">
        <f ca="1"/>
        <v>38.693214571281203</v>
      </c>
      <c r="AG2976" s="2">
        <f ca="1"/>
        <v>0.19890328364579868</v>
      </c>
      <c r="AH2976" s="2" t="str">
        <f ca="1"/>
        <v>OK</v>
      </c>
    </row>
    <row r="2977" spans="2:34" x14ac:dyDescent="0.2">
      <c r="B2977" s="2">
        <f ca="1"/>
        <v>0.95170986365325883</v>
      </c>
      <c r="O2977" s="2">
        <f ca="1"/>
        <v>-1.1278308857701114</v>
      </c>
      <c r="X2977" s="2">
        <f ca="1"/>
        <v>71.038823093985258</v>
      </c>
      <c r="AG2977" s="2">
        <f ca="1"/>
        <v>0.29115911337053602</v>
      </c>
      <c r="AH2977" s="2" t="str">
        <f ca="1"/>
        <v>OK</v>
      </c>
    </row>
    <row r="2978" spans="2:34" x14ac:dyDescent="0.2">
      <c r="B2978" s="2">
        <f ca="1"/>
        <v>0.97013991461644489</v>
      </c>
      <c r="O2978" s="2">
        <f ca="1"/>
        <v>1.5211807676736446</v>
      </c>
      <c r="X2978" s="2">
        <f ca="1"/>
        <v>35.315688418141541</v>
      </c>
      <c r="AG2978" s="2">
        <f ca="1"/>
        <v>0.32837722157327454</v>
      </c>
      <c r="AH2978" s="2" t="str">
        <f ca="1"/>
        <v>OK</v>
      </c>
    </row>
    <row r="2979" spans="2:34" x14ac:dyDescent="0.2">
      <c r="B2979" s="2">
        <f ca="1"/>
        <v>0.26581366576727028</v>
      </c>
      <c r="O2979" s="2">
        <f ca="1"/>
        <v>2.120079527825518</v>
      </c>
      <c r="X2979" s="2">
        <f ca="1"/>
        <v>33.456404926678182</v>
      </c>
      <c r="AG2979" s="2">
        <f ca="1"/>
        <v>0.38526175446798061</v>
      </c>
      <c r="AH2979" s="2" t="str">
        <f ca="1"/>
        <v>OK</v>
      </c>
    </row>
    <row r="2980" spans="2:34" x14ac:dyDescent="0.2">
      <c r="B2980" s="2">
        <f ca="1"/>
        <v>0.81011262308399279</v>
      </c>
      <c r="O2980" s="2">
        <f ca="1"/>
        <v>0.65272862688413125</v>
      </c>
      <c r="X2980" s="2">
        <f ca="1"/>
        <v>54.804758656118295</v>
      </c>
      <c r="AG2980" s="2">
        <f ca="1"/>
        <v>0.55969974013469304</v>
      </c>
      <c r="AH2980" s="2" t="str">
        <f ca="1"/>
        <v>Bad</v>
      </c>
    </row>
    <row r="2981" spans="2:34" x14ac:dyDescent="0.2">
      <c r="B2981" s="2">
        <f ca="1"/>
        <v>0.14621664888288399</v>
      </c>
      <c r="O2981" s="2">
        <f ca="1"/>
        <v>0.62700651695709542</v>
      </c>
      <c r="X2981" s="2">
        <f ca="1"/>
        <v>52.1607842795244</v>
      </c>
      <c r="AG2981" s="2">
        <f ca="1"/>
        <v>0.62516840928570527</v>
      </c>
      <c r="AH2981" s="2" t="str">
        <f ca="1"/>
        <v>Bad</v>
      </c>
    </row>
    <row r="2982" spans="2:34" x14ac:dyDescent="0.2">
      <c r="B2982" s="2">
        <f ca="1"/>
        <v>0.47024266687599936</v>
      </c>
      <c r="O2982" s="2">
        <f ca="1"/>
        <v>0.81936172189045198</v>
      </c>
      <c r="X2982" s="2">
        <f ca="1"/>
        <v>69.719336591243803</v>
      </c>
      <c r="AG2982" s="2">
        <f ca="1"/>
        <v>0.79713241014889613</v>
      </c>
      <c r="AH2982" s="2" t="str">
        <f ca="1"/>
        <v>Bad</v>
      </c>
    </row>
    <row r="2983" spans="2:34" x14ac:dyDescent="0.2">
      <c r="B2983" s="2">
        <f ca="1"/>
        <v>4.2776286900297E-2</v>
      </c>
      <c r="O2983" s="2">
        <f ca="1"/>
        <v>0.74733959771172787</v>
      </c>
      <c r="X2983" s="2">
        <f ca="1"/>
        <v>63.884035035287823</v>
      </c>
      <c r="AG2983" s="2">
        <f ca="1"/>
        <v>0.11471423893880095</v>
      </c>
      <c r="AH2983" s="2" t="str">
        <f ca="1"/>
        <v>OK</v>
      </c>
    </row>
    <row r="2984" spans="2:34" x14ac:dyDescent="0.2">
      <c r="B2984" s="2">
        <f ca="1"/>
        <v>0.26415948050080273</v>
      </c>
      <c r="O2984" s="2">
        <f ca="1"/>
        <v>0.6801213926682611</v>
      </c>
      <c r="X2984" s="2">
        <f ca="1"/>
        <v>34.784228803263424</v>
      </c>
      <c r="AG2984" s="2">
        <f ca="1"/>
        <v>0.74826658038604998</v>
      </c>
      <c r="AH2984" s="2" t="str">
        <f ca="1"/>
        <v>Bad</v>
      </c>
    </row>
    <row r="2985" spans="2:34" x14ac:dyDescent="0.2">
      <c r="B2985" s="2">
        <f ca="1"/>
        <v>6.8983563980168139E-2</v>
      </c>
      <c r="O2985" s="2">
        <f ca="1"/>
        <v>-1.7610337838267229</v>
      </c>
      <c r="X2985" s="2">
        <f ca="1"/>
        <v>54.909460860331563</v>
      </c>
      <c r="AG2985" s="2">
        <f ca="1"/>
        <v>0.21053453530316624</v>
      </c>
      <c r="AH2985" s="2" t="str">
        <f ca="1"/>
        <v>OK</v>
      </c>
    </row>
    <row r="2986" spans="2:34" x14ac:dyDescent="0.2">
      <c r="B2986" s="2">
        <f ca="1"/>
        <v>1.4761039256299346E-2</v>
      </c>
      <c r="O2986" s="2">
        <f ca="1"/>
        <v>-0.70286840431501241</v>
      </c>
      <c r="X2986" s="2">
        <f ca="1"/>
        <v>43.156388189686545</v>
      </c>
      <c r="AG2986" s="2">
        <f ca="1"/>
        <v>1.8719408918927982E-2</v>
      </c>
      <c r="AH2986" s="2" t="str">
        <f ca="1"/>
        <v>Good</v>
      </c>
    </row>
    <row r="2987" spans="2:34" x14ac:dyDescent="0.2">
      <c r="B2987" s="2">
        <f ca="1"/>
        <v>3.7431382729182561E-2</v>
      </c>
      <c r="O2987" s="2">
        <f ca="1"/>
        <v>-1.4213173275225557</v>
      </c>
      <c r="X2987" s="2">
        <f ca="1"/>
        <v>64.165694449286718</v>
      </c>
      <c r="AG2987" s="2">
        <f ca="1"/>
        <v>0.12170203064759666</v>
      </c>
      <c r="AH2987" s="2" t="str">
        <f ca="1"/>
        <v>OK</v>
      </c>
    </row>
    <row r="2988" spans="2:34" x14ac:dyDescent="0.2">
      <c r="B2988" s="2">
        <f ca="1"/>
        <v>0.49397142852956843</v>
      </c>
      <c r="O2988" s="2">
        <f ca="1"/>
        <v>1.0228709248056604</v>
      </c>
      <c r="X2988" s="2">
        <f ca="1"/>
        <v>63.139902492143122</v>
      </c>
      <c r="AG2988" s="2">
        <f ca="1"/>
        <v>0.6331586544510186</v>
      </c>
      <c r="AH2988" s="2" t="str">
        <f ca="1"/>
        <v>Bad</v>
      </c>
    </row>
    <row r="2989" spans="2:34" x14ac:dyDescent="0.2">
      <c r="B2989" s="2">
        <f ca="1"/>
        <v>0.58872979551392013</v>
      </c>
      <c r="O2989" s="2">
        <f ca="1"/>
        <v>0.81326632555270617</v>
      </c>
      <c r="X2989" s="2">
        <f ca="1"/>
        <v>56.821038519318307</v>
      </c>
      <c r="AG2989" s="2">
        <f ca="1"/>
        <v>0.95123762235164278</v>
      </c>
      <c r="AH2989" s="2" t="str">
        <f ca="1"/>
        <v>Bad</v>
      </c>
    </row>
    <row r="2990" spans="2:34" x14ac:dyDescent="0.2">
      <c r="B2990" s="2">
        <f ca="1"/>
        <v>0.12981747027653734</v>
      </c>
      <c r="O2990" s="2">
        <f ca="1"/>
        <v>-0.15150056037037166</v>
      </c>
      <c r="X2990" s="2">
        <f ca="1"/>
        <v>59.610244138901223</v>
      </c>
      <c r="AG2990" s="2">
        <f ca="1"/>
        <v>0.86855066665346614</v>
      </c>
      <c r="AH2990" s="2" t="str">
        <f ca="1"/>
        <v>Bad</v>
      </c>
    </row>
    <row r="2991" spans="2:34" x14ac:dyDescent="0.2">
      <c r="B2991" s="2">
        <f ca="1"/>
        <v>0.28491849983221385</v>
      </c>
      <c r="O2991" s="2">
        <f ca="1"/>
        <v>1.2148187468180276</v>
      </c>
      <c r="X2991" s="2">
        <f ca="1"/>
        <v>50.199232654738253</v>
      </c>
      <c r="AG2991" s="2">
        <f ca="1"/>
        <v>0.519935441093754</v>
      </c>
      <c r="AH2991" s="2" t="str">
        <f ca="1"/>
        <v>Bad</v>
      </c>
    </row>
    <row r="2992" spans="2:34" x14ac:dyDescent="0.2">
      <c r="B2992" s="2">
        <f ca="1"/>
        <v>0.89706299671744438</v>
      </c>
      <c r="O2992" s="2">
        <f ca="1"/>
        <v>0.86315308292068649</v>
      </c>
      <c r="X2992" s="2">
        <f ca="1"/>
        <v>29.550162365701308</v>
      </c>
      <c r="AG2992" s="2">
        <f ca="1"/>
        <v>0.37059707867539915</v>
      </c>
      <c r="AH2992" s="2" t="str">
        <f ca="1"/>
        <v>OK</v>
      </c>
    </row>
    <row r="2993" spans="2:34" x14ac:dyDescent="0.2">
      <c r="B2993" s="2">
        <f ca="1"/>
        <v>2.9883720609240827E-2</v>
      </c>
      <c r="O2993" s="2">
        <f ca="1"/>
        <v>-1.0300436244631628</v>
      </c>
      <c r="X2993" s="2">
        <f ca="1"/>
        <v>40.516228438721924</v>
      </c>
      <c r="AG2993" s="2">
        <f ca="1"/>
        <v>0.26179550133486029</v>
      </c>
      <c r="AH2993" s="2" t="str">
        <f ca="1"/>
        <v>OK</v>
      </c>
    </row>
    <row r="2994" spans="2:34" x14ac:dyDescent="0.2">
      <c r="B2994" s="2">
        <f ca="1"/>
        <v>0.95171797990168061</v>
      </c>
      <c r="O2994" s="2">
        <f ca="1"/>
        <v>-0.38095778775818384</v>
      </c>
      <c r="X2994" s="2">
        <f ca="1"/>
        <v>51.541622453304072</v>
      </c>
      <c r="AG2994" s="2">
        <f ca="1"/>
        <v>0.43127302789686617</v>
      </c>
      <c r="AH2994" s="2" t="str">
        <f ca="1"/>
        <v>Bad</v>
      </c>
    </row>
    <row r="2995" spans="2:34" x14ac:dyDescent="0.2">
      <c r="B2995" s="2">
        <f ca="1"/>
        <v>0.23164883541226811</v>
      </c>
      <c r="O2995" s="2">
        <f ca="1"/>
        <v>-1.2436306719509513</v>
      </c>
      <c r="X2995" s="2">
        <f ca="1"/>
        <v>48.34918326406337</v>
      </c>
      <c r="AG2995" s="2">
        <f ca="1"/>
        <v>0.65974556610348056</v>
      </c>
      <c r="AH2995" s="2" t="str">
        <f ca="1"/>
        <v>Bad</v>
      </c>
    </row>
    <row r="2996" spans="2:34" x14ac:dyDescent="0.2">
      <c r="B2996" s="2">
        <f ca="1"/>
        <v>0.72899630119899705</v>
      </c>
      <c r="O2996" s="2">
        <f ca="1"/>
        <v>-2.0697307864082113</v>
      </c>
      <c r="X2996" s="2">
        <f ca="1"/>
        <v>40.549037371334187</v>
      </c>
      <c r="AG2996" s="2">
        <f ca="1"/>
        <v>0.90123939020841681</v>
      </c>
      <c r="AH2996" s="2" t="str">
        <f ca="1"/>
        <v>Bad</v>
      </c>
    </row>
    <row r="2997" spans="2:34" x14ac:dyDescent="0.2">
      <c r="B2997" s="2">
        <f ca="1"/>
        <v>0.78522933689214658</v>
      </c>
      <c r="O2997" s="2">
        <f ca="1"/>
        <v>1.1951792639481975</v>
      </c>
      <c r="X2997" s="2">
        <f ca="1"/>
        <v>45.545517847973699</v>
      </c>
      <c r="AG2997" s="2">
        <f ca="1"/>
        <v>0.26974850378191428</v>
      </c>
      <c r="AH2997" s="2" t="str">
        <f ca="1"/>
        <v>OK</v>
      </c>
    </row>
    <row r="2998" spans="2:34" x14ac:dyDescent="0.2">
      <c r="B2998" s="2">
        <f ca="1"/>
        <v>0.43125369162858118</v>
      </c>
      <c r="O2998" s="2">
        <f ca="1"/>
        <v>-0.71592154031764976</v>
      </c>
      <c r="X2998" s="2">
        <f ca="1"/>
        <v>49.75147355793861</v>
      </c>
      <c r="AG2998" s="2">
        <f ca="1"/>
        <v>0.8333343667602402</v>
      </c>
      <c r="AH2998" s="2" t="str">
        <f ca="1"/>
        <v>Bad</v>
      </c>
    </row>
    <row r="2999" spans="2:34" x14ac:dyDescent="0.2">
      <c r="B2999" s="2">
        <f ca="1"/>
        <v>0.32045118737814993</v>
      </c>
      <c r="O2999" s="2">
        <f ca="1"/>
        <v>1.1184267825072542</v>
      </c>
      <c r="X2999" s="2">
        <f ca="1"/>
        <v>52.623909965905597</v>
      </c>
      <c r="AG2999" s="2">
        <f ca="1"/>
        <v>0.31322432283389978</v>
      </c>
      <c r="AH2999" s="2" t="str">
        <f ca="1"/>
        <v>OK</v>
      </c>
    </row>
    <row r="3000" spans="2:34" x14ac:dyDescent="0.2">
      <c r="B3000" s="2">
        <f ca="1"/>
        <v>0.20914033211556471</v>
      </c>
      <c r="O3000" s="2">
        <f ca="1"/>
        <v>-0.45659506697584257</v>
      </c>
      <c r="X3000" s="2">
        <f ca="1"/>
        <v>41.165241129546352</v>
      </c>
      <c r="AG3000" s="2">
        <f ca="1"/>
        <v>0.98222373824437614</v>
      </c>
      <c r="AH3000" s="2" t="str">
        <f ca="1"/>
        <v>Bad</v>
      </c>
    </row>
    <row r="3001" spans="2:34" x14ac:dyDescent="0.2">
      <c r="B3001" s="2">
        <f ca="1"/>
        <v>0.22084072867418869</v>
      </c>
      <c r="O3001" s="2">
        <f ca="1"/>
        <v>1.6372667201934648</v>
      </c>
      <c r="X3001" s="2">
        <f ca="1"/>
        <v>62.698039607139592</v>
      </c>
      <c r="AG3001" s="2">
        <f ca="1"/>
        <v>0.93274679205125266</v>
      </c>
      <c r="AH3001" s="2" t="str">
        <f ca="1"/>
        <v>Bad</v>
      </c>
    </row>
    <row r="3002" spans="2:34" x14ac:dyDescent="0.2">
      <c r="B3002" s="2">
        <f ca="1"/>
        <v>0.46709337474932466</v>
      </c>
      <c r="O3002" s="2">
        <f ca="1"/>
        <v>-0.87722187422720566</v>
      </c>
      <c r="X3002" s="2">
        <f ca="1"/>
        <v>48.825795960806545</v>
      </c>
      <c r="AG3002" s="2">
        <f ca="1"/>
        <v>0.79785614430119578</v>
      </c>
      <c r="AH3002" s="2" t="str">
        <f ca="1"/>
        <v>Bad</v>
      </c>
    </row>
    <row r="3003" spans="2:34" x14ac:dyDescent="0.2">
      <c r="B3003" s="2">
        <f ca="1"/>
        <v>0.45013233303300315</v>
      </c>
      <c r="O3003" s="2">
        <f ca="1"/>
        <v>2.3022729200545509E-2</v>
      </c>
      <c r="X3003" s="2">
        <f ca="1"/>
        <v>34.14057931796561</v>
      </c>
      <c r="AG3003" s="2">
        <f ca="1"/>
        <v>0.33003806342010189</v>
      </c>
      <c r="AH3003" s="2" t="str">
        <f ca="1"/>
        <v>OK</v>
      </c>
    </row>
    <row r="3004" spans="2:34" x14ac:dyDescent="0.2">
      <c r="B3004" s="2">
        <f ca="1"/>
        <v>3.6109788436000656E-3</v>
      </c>
      <c r="O3004" s="2">
        <f ca="1"/>
        <v>-1.2264731220880578</v>
      </c>
      <c r="X3004" s="2">
        <f ca="1"/>
        <v>66.339416840933737</v>
      </c>
      <c r="AG3004" s="2">
        <f ca="1"/>
        <v>0.73410163119046823</v>
      </c>
      <c r="AH3004" s="2" t="str">
        <f ca="1"/>
        <v>Bad</v>
      </c>
    </row>
    <row r="3005" spans="2:34" x14ac:dyDescent="0.2">
      <c r="B3005" s="2">
        <f ca="1"/>
        <v>0.28722350232186478</v>
      </c>
      <c r="O3005" s="2">
        <f ca="1"/>
        <v>-0.29626133718509245</v>
      </c>
      <c r="X3005" s="2">
        <f ca="1"/>
        <v>88.062938240490766</v>
      </c>
      <c r="AG3005" s="2">
        <f ca="1"/>
        <v>7.101929585749378E-2</v>
      </c>
      <c r="AH3005" s="2" t="str">
        <f ca="1"/>
        <v>OK</v>
      </c>
    </row>
    <row r="3006" spans="2:34" x14ac:dyDescent="0.2">
      <c r="B3006" s="2">
        <f ca="1"/>
        <v>0.38798594487387739</v>
      </c>
      <c r="O3006" s="2">
        <f ca="1"/>
        <v>0.96666188039462453</v>
      </c>
      <c r="X3006" s="2">
        <f ca="1"/>
        <v>33.75726262597442</v>
      </c>
      <c r="AG3006" s="2">
        <f ca="1"/>
        <v>2.4483791388157261E-2</v>
      </c>
      <c r="AH3006" s="2" t="str">
        <f ca="1"/>
        <v>Good</v>
      </c>
    </row>
    <row r="3007" spans="2:34" x14ac:dyDescent="0.2">
      <c r="B3007" s="2">
        <f ca="1"/>
        <v>5.328146360607855E-3</v>
      </c>
      <c r="O3007" s="2">
        <f ca="1"/>
        <v>-0.22976015494089036</v>
      </c>
      <c r="X3007" s="2">
        <f ca="1"/>
        <v>66.547950635286227</v>
      </c>
      <c r="AG3007" s="2">
        <f ca="1"/>
        <v>0.51092806062707896</v>
      </c>
      <c r="AH3007" s="2" t="str">
        <f ca="1"/>
        <v>Bad</v>
      </c>
    </row>
    <row r="3008" spans="2:34" x14ac:dyDescent="0.2">
      <c r="B3008" s="2">
        <f ca="1"/>
        <v>0.7786608680927658</v>
      </c>
      <c r="O3008" s="2">
        <f ca="1"/>
        <v>-0.44655072583666072</v>
      </c>
      <c r="X3008" s="2">
        <f ca="1"/>
        <v>38.637912593257951</v>
      </c>
      <c r="AG3008" s="2">
        <f ca="1"/>
        <v>0.71911189411523946</v>
      </c>
      <c r="AH3008" s="2" t="str">
        <f ca="1"/>
        <v>Bad</v>
      </c>
    </row>
    <row r="3009" spans="2:34" x14ac:dyDescent="0.2">
      <c r="B3009" s="2">
        <f ca="1"/>
        <v>0.85969835879625078</v>
      </c>
      <c r="O3009" s="2">
        <f ca="1"/>
        <v>1.3119919748195437</v>
      </c>
      <c r="X3009" s="2">
        <f ca="1"/>
        <v>37.335758528586062</v>
      </c>
      <c r="AG3009" s="2">
        <f ca="1"/>
        <v>0.89999993392217537</v>
      </c>
      <c r="AH3009" s="2" t="str">
        <f ca="1"/>
        <v>Bad</v>
      </c>
    </row>
    <row r="3010" spans="2:34" x14ac:dyDescent="0.2">
      <c r="B3010" s="2">
        <f ca="1"/>
        <v>0.40144149943721619</v>
      </c>
      <c r="O3010" s="2">
        <f ca="1"/>
        <v>-1.0142188564355052</v>
      </c>
      <c r="X3010" s="2">
        <f ca="1"/>
        <v>72.713612927921517</v>
      </c>
      <c r="AG3010" s="2">
        <f ca="1"/>
        <v>0.38659443359337042</v>
      </c>
      <c r="AH3010" s="2" t="str">
        <f ca="1"/>
        <v>OK</v>
      </c>
    </row>
    <row r="3011" spans="2:34" x14ac:dyDescent="0.2">
      <c r="B3011" s="2">
        <f ca="1"/>
        <v>0.39794731833450636</v>
      </c>
      <c r="O3011" s="2">
        <f ca="1"/>
        <v>0.17860061105823413</v>
      </c>
      <c r="X3011" s="2">
        <f ca="1"/>
        <v>51.464096787660395</v>
      </c>
      <c r="AG3011" s="2">
        <f ca="1"/>
        <v>5.7769599053372866E-2</v>
      </c>
      <c r="AH3011" s="2" t="str">
        <f ca="1"/>
        <v>OK</v>
      </c>
    </row>
    <row r="3012" spans="2:34" x14ac:dyDescent="0.2">
      <c r="B3012" s="2">
        <f ca="1"/>
        <v>0.87502840219012312</v>
      </c>
      <c r="O3012" s="2">
        <f ca="1"/>
        <v>-1.1532001928375255</v>
      </c>
      <c r="X3012" s="2">
        <f ca="1"/>
        <v>29.141334927789853</v>
      </c>
      <c r="AG3012" s="2">
        <f ca="1"/>
        <v>5.1545455580604083E-2</v>
      </c>
      <c r="AH3012" s="2" t="str">
        <f ca="1"/>
        <v>OK</v>
      </c>
    </row>
    <row r="3013" spans="2:34" x14ac:dyDescent="0.2">
      <c r="B3013" s="2">
        <f ca="1"/>
        <v>0.72981477595945243</v>
      </c>
      <c r="O3013" s="2">
        <f ca="1"/>
        <v>0.18710265830243061</v>
      </c>
      <c r="X3013" s="2">
        <f ca="1"/>
        <v>43.924782075137387</v>
      </c>
      <c r="AG3013" s="2">
        <f ca="1"/>
        <v>0.10495892840745613</v>
      </c>
      <c r="AH3013" s="2" t="str">
        <f ca="1"/>
        <v>OK</v>
      </c>
    </row>
    <row r="3014" spans="2:34" x14ac:dyDescent="0.2">
      <c r="B3014" s="2">
        <f ca="1"/>
        <v>0.76120848869219881</v>
      </c>
      <c r="O3014" s="2">
        <f ca="1"/>
        <v>-0.90536173699613687</v>
      </c>
      <c r="X3014" s="2">
        <f ca="1"/>
        <v>62.194368191143255</v>
      </c>
      <c r="AG3014" s="2">
        <f ca="1"/>
        <v>0.52798773322815773</v>
      </c>
      <c r="AH3014" s="2" t="str">
        <f ca="1"/>
        <v>Bad</v>
      </c>
    </row>
    <row r="3015" spans="2:34" x14ac:dyDescent="0.2">
      <c r="B3015" s="2">
        <f ca="1"/>
        <v>0.51235642691521632</v>
      </c>
      <c r="O3015" s="2">
        <f ca="1"/>
        <v>-1.7165233769732617</v>
      </c>
      <c r="X3015" s="2">
        <f ca="1"/>
        <v>53.26513508098914</v>
      </c>
      <c r="AG3015" s="2">
        <f ca="1"/>
        <v>0.87578645497761221</v>
      </c>
      <c r="AH3015" s="2" t="str">
        <f ca="1"/>
        <v>Bad</v>
      </c>
    </row>
    <row r="3016" spans="2:34" x14ac:dyDescent="0.2">
      <c r="B3016" s="2">
        <f ca="1"/>
        <v>0.86061883943792639</v>
      </c>
      <c r="O3016" s="2">
        <f ca="1"/>
        <v>0.19861737663613749</v>
      </c>
      <c r="X3016" s="2">
        <f ca="1"/>
        <v>25.044785269165807</v>
      </c>
      <c r="AG3016" s="2">
        <f ca="1"/>
        <v>0.68337725008509986</v>
      </c>
      <c r="AH3016" s="2" t="str">
        <f ca="1"/>
        <v>Bad</v>
      </c>
    </row>
    <row r="3017" spans="2:34" x14ac:dyDescent="0.2">
      <c r="B3017" s="2">
        <f ca="1"/>
        <v>0.51411979501554317</v>
      </c>
      <c r="O3017" s="2">
        <f ca="1"/>
        <v>-7.365730687317544E-2</v>
      </c>
      <c r="X3017" s="2">
        <f ca="1"/>
        <v>63.388719144028499</v>
      </c>
      <c r="AG3017" s="2">
        <f ca="1"/>
        <v>0.83467252384505652</v>
      </c>
      <c r="AH3017" s="2" t="str">
        <f ca="1"/>
        <v>Bad</v>
      </c>
    </row>
    <row r="3018" spans="2:34" x14ac:dyDescent="0.2">
      <c r="B3018" s="2">
        <f ca="1"/>
        <v>0.51400243720543881</v>
      </c>
      <c r="O3018" s="2">
        <f ca="1"/>
        <v>-0.14354086099579755</v>
      </c>
      <c r="X3018" s="2">
        <f ca="1"/>
        <v>66.334450462360223</v>
      </c>
      <c r="AG3018" s="2">
        <f ca="1"/>
        <v>0.258949382654448</v>
      </c>
      <c r="AH3018" s="2" t="str">
        <f ca="1"/>
        <v>OK</v>
      </c>
    </row>
    <row r="3019" spans="2:34" x14ac:dyDescent="0.2">
      <c r="B3019" s="2">
        <f ca="1"/>
        <v>0.63722773401171584</v>
      </c>
      <c r="O3019" s="2">
        <f ca="1"/>
        <v>1.1466265470426171</v>
      </c>
      <c r="X3019" s="2">
        <f ca="1"/>
        <v>74.153575447161842</v>
      </c>
      <c r="AG3019" s="2">
        <f ca="1"/>
        <v>0.55842623418317561</v>
      </c>
      <c r="AH3019" s="2" t="str">
        <f ca="1"/>
        <v>Bad</v>
      </c>
    </row>
    <row r="3020" spans="2:34" x14ac:dyDescent="0.2">
      <c r="B3020" s="2">
        <f ca="1"/>
        <v>0.46635133505980919</v>
      </c>
      <c r="O3020" s="2">
        <f ca="1"/>
        <v>2.7125292140908703</v>
      </c>
      <c r="X3020" s="2">
        <f ca="1"/>
        <v>41.671309554015856</v>
      </c>
      <c r="AG3020" s="2">
        <f ca="1"/>
        <v>0.75890154523061626</v>
      </c>
      <c r="AH3020" s="2" t="str">
        <f ca="1"/>
        <v>Bad</v>
      </c>
    </row>
    <row r="3021" spans="2:34" x14ac:dyDescent="0.2">
      <c r="B3021" s="2">
        <f ca="1"/>
        <v>0.67622390300217483</v>
      </c>
      <c r="O3021" s="2">
        <f ca="1"/>
        <v>0.31666278006916565</v>
      </c>
      <c r="X3021" s="2">
        <f ca="1"/>
        <v>51.881241068426277</v>
      </c>
      <c r="AG3021" s="2">
        <f ca="1"/>
        <v>0.71407658840535082</v>
      </c>
      <c r="AH3021" s="2" t="str">
        <f ca="1"/>
        <v>Bad</v>
      </c>
    </row>
    <row r="3022" spans="2:34" x14ac:dyDescent="0.2">
      <c r="B3022" s="2">
        <f ca="1"/>
        <v>0.20380560621481369</v>
      </c>
      <c r="O3022" s="2">
        <f ca="1"/>
        <v>-9.1254371317714578E-2</v>
      </c>
      <c r="X3022" s="2">
        <f ca="1"/>
        <v>35.030354997059099</v>
      </c>
      <c r="AG3022" s="2">
        <f ca="1"/>
        <v>0.71788570841145471</v>
      </c>
      <c r="AH3022" s="2" t="str">
        <f ca="1"/>
        <v>Bad</v>
      </c>
    </row>
    <row r="3023" spans="2:34" x14ac:dyDescent="0.2">
      <c r="B3023" s="2">
        <f ca="1"/>
        <v>0.54531376955613209</v>
      </c>
      <c r="O3023" s="2">
        <f ca="1"/>
        <v>-0.1405521723959052</v>
      </c>
      <c r="X3023" s="2">
        <f ca="1"/>
        <v>58.055301467405364</v>
      </c>
      <c r="AG3023" s="2">
        <f ca="1"/>
        <v>0.17937582415067976</v>
      </c>
      <c r="AH3023" s="2" t="str">
        <f ca="1"/>
        <v>OK</v>
      </c>
    </row>
    <row r="3024" spans="2:34" x14ac:dyDescent="0.2">
      <c r="B3024" s="2">
        <f ca="1"/>
        <v>0.31339783150826461</v>
      </c>
      <c r="O3024" s="2">
        <f ca="1"/>
        <v>-0.22548978419376348</v>
      </c>
      <c r="X3024" s="2">
        <f ca="1"/>
        <v>29.653223499646508</v>
      </c>
      <c r="AG3024" s="2">
        <f ca="1"/>
        <v>0.8837642015926761</v>
      </c>
      <c r="AH3024" s="2" t="str">
        <f ca="1"/>
        <v>Bad</v>
      </c>
    </row>
    <row r="3025" spans="2:34" x14ac:dyDescent="0.2">
      <c r="B3025" s="2">
        <f ca="1"/>
        <v>0.4383590255709946</v>
      </c>
      <c r="O3025" s="2">
        <f ca="1"/>
        <v>0.19635947666134276</v>
      </c>
      <c r="X3025" s="2">
        <f ca="1"/>
        <v>61.870632499473494</v>
      </c>
      <c r="AG3025" s="2">
        <f ca="1"/>
        <v>0.30788166065415079</v>
      </c>
      <c r="AH3025" s="2" t="str">
        <f ca="1"/>
        <v>OK</v>
      </c>
    </row>
    <row r="3026" spans="2:34" x14ac:dyDescent="0.2">
      <c r="B3026" s="2">
        <f ca="1"/>
        <v>7.4335353245423619E-2</v>
      </c>
      <c r="O3026" s="2">
        <f ca="1"/>
        <v>-2.1447864220832087</v>
      </c>
      <c r="X3026" s="2">
        <f ca="1"/>
        <v>43.92304528782077</v>
      </c>
      <c r="AG3026" s="2">
        <f ca="1"/>
        <v>0.50829565375308672</v>
      </c>
      <c r="AH3026" s="2" t="str">
        <f ca="1"/>
        <v>Bad</v>
      </c>
    </row>
    <row r="3027" spans="2:34" x14ac:dyDescent="0.2">
      <c r="B3027" s="2">
        <f ca="1"/>
        <v>0.3616479856018413</v>
      </c>
      <c r="O3027" s="2">
        <f ca="1"/>
        <v>0.83964242197793792</v>
      </c>
      <c r="X3027" s="2">
        <f ca="1"/>
        <v>31.256175304298029</v>
      </c>
      <c r="AG3027" s="2">
        <f ca="1"/>
        <v>0.58274978494339225</v>
      </c>
      <c r="AH3027" s="2" t="str">
        <f ca="1"/>
        <v>Bad</v>
      </c>
    </row>
    <row r="3028" spans="2:34" x14ac:dyDescent="0.2">
      <c r="B3028" s="2">
        <f ca="1"/>
        <v>0.4026848892210293</v>
      </c>
      <c r="O3028" s="2">
        <f ca="1"/>
        <v>1.6143206418931624</v>
      </c>
      <c r="X3028" s="2">
        <f ca="1"/>
        <v>30.030699456975473</v>
      </c>
      <c r="AG3028" s="2">
        <f ca="1"/>
        <v>0.41486795081295202</v>
      </c>
      <c r="AH3028" s="2" t="str">
        <f ca="1"/>
        <v>Bad</v>
      </c>
    </row>
    <row r="3029" spans="2:34" x14ac:dyDescent="0.2">
      <c r="B3029" s="2">
        <f ca="1"/>
        <v>0.27745233864027763</v>
      </c>
      <c r="O3029" s="2">
        <f ca="1"/>
        <v>-1.1331395150731409</v>
      </c>
      <c r="X3029" s="2">
        <f ca="1"/>
        <v>41.539413122720759</v>
      </c>
      <c r="AG3029" s="2">
        <f ca="1"/>
        <v>0.95379885387664287</v>
      </c>
      <c r="AH3029" s="2" t="str">
        <f ca="1"/>
        <v>Bad</v>
      </c>
    </row>
    <row r="3030" spans="2:34" x14ac:dyDescent="0.2">
      <c r="B3030" s="2">
        <f ca="1"/>
        <v>0.53411558768286294</v>
      </c>
      <c r="O3030" s="2">
        <f ca="1"/>
        <v>1.2548758535593754</v>
      </c>
      <c r="X3030" s="2">
        <f ca="1"/>
        <v>34.414906292026075</v>
      </c>
      <c r="AG3030" s="2">
        <f ca="1"/>
        <v>0.31921107129685011</v>
      </c>
      <c r="AH3030" s="2" t="str">
        <f ca="1"/>
        <v>OK</v>
      </c>
    </row>
    <row r="3031" spans="2:34" x14ac:dyDescent="0.2">
      <c r="B3031" s="2">
        <f ca="1"/>
        <v>1.5477022122094786E-2</v>
      </c>
      <c r="O3031" s="2">
        <f ca="1"/>
        <v>-0.29127999471482369</v>
      </c>
      <c r="X3031" s="2">
        <f ca="1"/>
        <v>62.106718217188373</v>
      </c>
      <c r="AG3031" s="2">
        <f ca="1"/>
        <v>0.56989748797259243</v>
      </c>
      <c r="AH3031" s="2" t="str">
        <f ca="1"/>
        <v>Bad</v>
      </c>
    </row>
    <row r="3032" spans="2:34" x14ac:dyDescent="0.2">
      <c r="B3032" s="2">
        <f ca="1"/>
        <v>0.28716712415552448</v>
      </c>
      <c r="O3032" s="2">
        <f ca="1"/>
        <v>-0.74659318578066702</v>
      </c>
      <c r="X3032" s="2">
        <f ca="1"/>
        <v>63.72795087766977</v>
      </c>
      <c r="AG3032" s="2">
        <f ca="1"/>
        <v>0.96061422985961453</v>
      </c>
      <c r="AH3032" s="2" t="str">
        <f ca="1"/>
        <v>Bad</v>
      </c>
    </row>
    <row r="3033" spans="2:34" x14ac:dyDescent="0.2">
      <c r="B3033" s="2">
        <f ca="1"/>
        <v>0.99785061407779696</v>
      </c>
      <c r="O3033" s="2">
        <f ca="1"/>
        <v>1.3586368908833659</v>
      </c>
      <c r="X3033" s="2">
        <f ca="1"/>
        <v>47.158207843514639</v>
      </c>
      <c r="AG3033" s="2">
        <f ca="1"/>
        <v>0.50075255417504638</v>
      </c>
      <c r="AH3033" s="2" t="str">
        <f ca="1"/>
        <v>Bad</v>
      </c>
    </row>
    <row r="3034" spans="2:34" x14ac:dyDescent="0.2">
      <c r="B3034" s="2">
        <f ca="1"/>
        <v>8.9508916918850989E-2</v>
      </c>
      <c r="O3034" s="2">
        <f ca="1"/>
        <v>1.2184438323599129</v>
      </c>
      <c r="X3034" s="2">
        <f ca="1"/>
        <v>39.24652059784767</v>
      </c>
      <c r="AG3034" s="2">
        <f ca="1"/>
        <v>0.67092343541817612</v>
      </c>
      <c r="AH3034" s="2" t="str">
        <f ca="1"/>
        <v>Bad</v>
      </c>
    </row>
    <row r="3035" spans="2:34" x14ac:dyDescent="0.2">
      <c r="B3035" s="2">
        <f ca="1"/>
        <v>0.46728994159023562</v>
      </c>
      <c r="O3035" s="2">
        <f ca="1"/>
        <v>0.34000436484930507</v>
      </c>
      <c r="X3035" s="2">
        <f ca="1"/>
        <v>71.337867537934628</v>
      </c>
      <c r="AG3035" s="2">
        <f ca="1"/>
        <v>0.65186539621151018</v>
      </c>
      <c r="AH3035" s="2" t="str">
        <f ca="1"/>
        <v>Bad</v>
      </c>
    </row>
    <row r="3036" spans="2:34" x14ac:dyDescent="0.2">
      <c r="B3036" s="2">
        <f ca="1"/>
        <v>0.11603577261824416</v>
      </c>
      <c r="O3036" s="2">
        <f ca="1"/>
        <v>-0.5470209477744703</v>
      </c>
      <c r="X3036" s="2">
        <f ca="1"/>
        <v>48.361928618286171</v>
      </c>
      <c r="AG3036" s="2">
        <f ca="1"/>
        <v>8.5051504885230278E-2</v>
      </c>
      <c r="AH3036" s="2" t="str">
        <f ca="1"/>
        <v>OK</v>
      </c>
    </row>
    <row r="3037" spans="2:34" x14ac:dyDescent="0.2">
      <c r="B3037" s="2">
        <f ca="1"/>
        <v>0.88782235171235357</v>
      </c>
      <c r="O3037" s="2">
        <f ca="1"/>
        <v>0.41540915199037859</v>
      </c>
      <c r="X3037" s="2">
        <f ca="1"/>
        <v>54.864478666777181</v>
      </c>
      <c r="AG3037" s="2">
        <f ca="1"/>
        <v>0.16013814740267596</v>
      </c>
      <c r="AH3037" s="2" t="str">
        <f ca="1"/>
        <v>OK</v>
      </c>
    </row>
    <row r="3038" spans="2:34" x14ac:dyDescent="0.2">
      <c r="B3038" s="2">
        <f ca="1"/>
        <v>6.3708242687168459E-2</v>
      </c>
      <c r="O3038" s="2">
        <f ca="1"/>
        <v>-1.8224665394520307</v>
      </c>
      <c r="X3038" s="2">
        <f ca="1"/>
        <v>85.394641111642727</v>
      </c>
      <c r="AG3038" s="2">
        <f ca="1"/>
        <v>4.901636215604932E-2</v>
      </c>
      <c r="AH3038" s="2" t="str">
        <f ca="1"/>
        <v>Good</v>
      </c>
    </row>
    <row r="3039" spans="2:34" x14ac:dyDescent="0.2">
      <c r="B3039" s="2">
        <f ca="1"/>
        <v>0.48984719703117174</v>
      </c>
      <c r="O3039" s="2">
        <f ca="1"/>
        <v>-1.5964824400167208</v>
      </c>
      <c r="X3039" s="2">
        <f ca="1"/>
        <v>58.771391746604557</v>
      </c>
      <c r="AG3039" s="2">
        <f ca="1"/>
        <v>0.2319184451279348</v>
      </c>
      <c r="AH3039" s="2" t="str">
        <f ca="1"/>
        <v>OK</v>
      </c>
    </row>
    <row r="3040" spans="2:34" x14ac:dyDescent="0.2">
      <c r="B3040" s="2">
        <f ca="1"/>
        <v>0.23503325053259028</v>
      </c>
      <c r="O3040" s="2">
        <f ca="1"/>
        <v>-0.79408630234821986</v>
      </c>
      <c r="X3040" s="2">
        <f ca="1"/>
        <v>57.626954080733881</v>
      </c>
      <c r="AG3040" s="2">
        <f ca="1"/>
        <v>0.15952454388179782</v>
      </c>
      <c r="AH3040" s="2" t="str">
        <f ca="1"/>
        <v>OK</v>
      </c>
    </row>
    <row r="3041" spans="2:34" x14ac:dyDescent="0.2">
      <c r="B3041" s="2">
        <f ca="1"/>
        <v>0.16342845584304921</v>
      </c>
      <c r="O3041" s="2">
        <f ca="1"/>
        <v>-0.27017451676687365</v>
      </c>
      <c r="X3041" s="2">
        <f ca="1"/>
        <v>28.609014534000615</v>
      </c>
      <c r="AG3041" s="2">
        <f ca="1"/>
        <v>0.88373104985978279</v>
      </c>
      <c r="AH3041" s="2" t="str">
        <f ca="1"/>
        <v>Bad</v>
      </c>
    </row>
    <row r="3042" spans="2:34" x14ac:dyDescent="0.2">
      <c r="B3042" s="2">
        <f ca="1"/>
        <v>0.12597658383292409</v>
      </c>
      <c r="O3042" s="2">
        <f ca="1"/>
        <v>1.5300772213101266</v>
      </c>
      <c r="X3042" s="2">
        <f ca="1"/>
        <v>30.560797203085954</v>
      </c>
      <c r="AG3042" s="2">
        <f ca="1"/>
        <v>0.6330200032539568</v>
      </c>
      <c r="AH3042" s="2" t="str">
        <f ca="1"/>
        <v>Bad</v>
      </c>
    </row>
    <row r="3043" spans="2:34" x14ac:dyDescent="0.2">
      <c r="B3043" s="2">
        <f ca="1"/>
        <v>0.37279620192269847</v>
      </c>
      <c r="O3043" s="2">
        <f ca="1"/>
        <v>-1.7276170080094628</v>
      </c>
      <c r="X3043" s="2">
        <f ca="1"/>
        <v>33.3957014877139</v>
      </c>
      <c r="AG3043" s="2">
        <f ca="1"/>
        <v>0.30161282093924346</v>
      </c>
      <c r="AH3043" s="2" t="str">
        <f ca="1"/>
        <v>OK</v>
      </c>
    </row>
    <row r="3044" spans="2:34" x14ac:dyDescent="0.2">
      <c r="B3044" s="2">
        <f ca="1"/>
        <v>6.2860689042744777E-2</v>
      </c>
      <c r="O3044" s="2">
        <f ca="1"/>
        <v>2.1976256966512436E-2</v>
      </c>
      <c r="X3044" s="2">
        <f ca="1"/>
        <v>59.77161330556379</v>
      </c>
      <c r="AG3044" s="2">
        <f ca="1"/>
        <v>0.47290553235550226</v>
      </c>
      <c r="AH3044" s="2" t="str">
        <f ca="1"/>
        <v>Bad</v>
      </c>
    </row>
    <row r="3045" spans="2:34" x14ac:dyDescent="0.2">
      <c r="B3045" s="2">
        <f ca="1"/>
        <v>0.70806579976731854</v>
      </c>
      <c r="O3045" s="2">
        <f ca="1"/>
        <v>0.41771283404370035</v>
      </c>
      <c r="X3045" s="2">
        <f ca="1"/>
        <v>41.549029322130274</v>
      </c>
      <c r="AG3045" s="2">
        <f ca="1"/>
        <v>0.79928319561391326</v>
      </c>
      <c r="AH3045" s="2" t="str">
        <f ca="1"/>
        <v>Bad</v>
      </c>
    </row>
    <row r="3046" spans="2:34" x14ac:dyDescent="0.2">
      <c r="B3046" s="2">
        <f ca="1"/>
        <v>0.30225933488658141</v>
      </c>
      <c r="O3046" s="2">
        <f ca="1"/>
        <v>-0.35036693683672687</v>
      </c>
      <c r="X3046" s="2">
        <f ca="1"/>
        <v>52.242336614820559</v>
      </c>
      <c r="AG3046" s="2">
        <f ca="1"/>
        <v>0.70022566648242046</v>
      </c>
      <c r="AH3046" s="2" t="str">
        <f ca="1"/>
        <v>Bad</v>
      </c>
    </row>
    <row r="3047" spans="2:34" x14ac:dyDescent="0.2">
      <c r="B3047" s="2">
        <f ca="1"/>
        <v>0.73748526912272094</v>
      </c>
      <c r="O3047" s="2">
        <f ca="1"/>
        <v>-0.76905952675401923</v>
      </c>
      <c r="X3047" s="2">
        <f ca="1"/>
        <v>28.104071232289879</v>
      </c>
      <c r="AG3047" s="2">
        <f ca="1"/>
        <v>0.5597000097163618</v>
      </c>
      <c r="AH3047" s="2" t="str">
        <f ca="1"/>
        <v>Bad</v>
      </c>
    </row>
    <row r="3048" spans="2:34" x14ac:dyDescent="0.2">
      <c r="B3048" s="2">
        <f ca="1"/>
        <v>0.73302926642863464</v>
      </c>
      <c r="O3048" s="2">
        <f ca="1"/>
        <v>-0.15265185080320626</v>
      </c>
      <c r="X3048" s="2">
        <f ca="1"/>
        <v>45.699203786710157</v>
      </c>
      <c r="AG3048" s="2">
        <f ca="1"/>
        <v>0.95562455272533797</v>
      </c>
      <c r="AH3048" s="2" t="str">
        <f ca="1"/>
        <v>Bad</v>
      </c>
    </row>
    <row r="3049" spans="2:34" x14ac:dyDescent="0.2">
      <c r="B3049" s="2">
        <f ca="1"/>
        <v>0.72884636525762247</v>
      </c>
      <c r="O3049" s="2">
        <f ca="1"/>
        <v>-0.94039842036058252</v>
      </c>
      <c r="X3049" s="2">
        <f ca="1"/>
        <v>64.83519922067488</v>
      </c>
      <c r="AG3049" s="2">
        <f ca="1"/>
        <v>0.31068028002808634</v>
      </c>
      <c r="AH3049" s="2" t="str">
        <f ca="1"/>
        <v>OK</v>
      </c>
    </row>
    <row r="3050" spans="2:34" x14ac:dyDescent="0.2">
      <c r="B3050" s="2">
        <f ca="1"/>
        <v>0.81523191340805945</v>
      </c>
      <c r="O3050" s="2">
        <f ca="1"/>
        <v>-1.281977320217961</v>
      </c>
      <c r="X3050" s="2">
        <f ca="1"/>
        <v>49.489162573591827</v>
      </c>
      <c r="AG3050" s="2">
        <f ca="1"/>
        <v>0.89773960343821768</v>
      </c>
      <c r="AH3050" s="2" t="str">
        <f ca="1"/>
        <v>Bad</v>
      </c>
    </row>
    <row r="3051" spans="2:34" x14ac:dyDescent="0.2">
      <c r="B3051" s="2">
        <f ca="1"/>
        <v>0.58408286418429012</v>
      </c>
      <c r="O3051" s="2">
        <f ca="1"/>
        <v>-0.74451668844053243</v>
      </c>
      <c r="X3051" s="2">
        <f ca="1"/>
        <v>41.752605946805488</v>
      </c>
      <c r="AG3051" s="2">
        <f ca="1"/>
        <v>0.57720991916570608</v>
      </c>
      <c r="AH3051" s="2" t="str">
        <f ca="1"/>
        <v>Bad</v>
      </c>
    </row>
    <row r="3052" spans="2:34" x14ac:dyDescent="0.2">
      <c r="B3052" s="2">
        <f ca="1"/>
        <v>4.7410676794203077E-2</v>
      </c>
      <c r="O3052" s="2">
        <f ca="1"/>
        <v>-1.0471797756410637</v>
      </c>
      <c r="X3052" s="2">
        <f ca="1"/>
        <v>53.632311975811163</v>
      </c>
      <c r="AG3052" s="2">
        <f ca="1"/>
        <v>0.90012206763026192</v>
      </c>
      <c r="AH3052" s="2" t="str">
        <f ca="1"/>
        <v>Bad</v>
      </c>
    </row>
    <row r="3053" spans="2:34" x14ac:dyDescent="0.2">
      <c r="B3053" s="2">
        <f ca="1"/>
        <v>0.82535391055272167</v>
      </c>
      <c r="O3053" s="2">
        <f ca="1"/>
        <v>-0.46019222839814583</v>
      </c>
      <c r="X3053" s="2">
        <f ca="1"/>
        <v>27.665830625381357</v>
      </c>
      <c r="AG3053" s="2">
        <f ca="1"/>
        <v>0.85813821285794822</v>
      </c>
      <c r="AH3053" s="2" t="str">
        <f ca="1"/>
        <v>Bad</v>
      </c>
    </row>
    <row r="3054" spans="2:34" x14ac:dyDescent="0.2">
      <c r="B3054" s="2">
        <f ca="1"/>
        <v>0.44151064571247867</v>
      </c>
      <c r="O3054" s="2">
        <f ca="1"/>
        <v>1.6018547535125718</v>
      </c>
      <c r="X3054" s="2">
        <f ca="1"/>
        <v>39.084353842311188</v>
      </c>
      <c r="AG3054" s="2">
        <f ca="1"/>
        <v>0.57080269180899657</v>
      </c>
      <c r="AH3054" s="2" t="str">
        <f ca="1"/>
        <v>Bad</v>
      </c>
    </row>
    <row r="3055" spans="2:34" x14ac:dyDescent="0.2">
      <c r="B3055" s="2">
        <f ca="1"/>
        <v>0.66934111192803325</v>
      </c>
      <c r="O3055" s="2">
        <f ca="1"/>
        <v>-0.29660055367392468</v>
      </c>
      <c r="X3055" s="2">
        <f ca="1"/>
        <v>62.904163685364402</v>
      </c>
      <c r="AG3055" s="2">
        <f ca="1"/>
        <v>0.59744582278583369</v>
      </c>
      <c r="AH3055" s="2" t="str">
        <f ca="1"/>
        <v>Bad</v>
      </c>
    </row>
    <row r="3056" spans="2:34" x14ac:dyDescent="0.2">
      <c r="B3056" s="2">
        <f ca="1"/>
        <v>0.61740657210493399</v>
      </c>
      <c r="O3056" s="2">
        <f ca="1"/>
        <v>-1.4028267712666846</v>
      </c>
      <c r="X3056" s="2">
        <f ca="1"/>
        <v>65.718325854921943</v>
      </c>
      <c r="AG3056" s="2">
        <f ca="1"/>
        <v>0.68514185689839957</v>
      </c>
      <c r="AH3056" s="2" t="str">
        <f ca="1"/>
        <v>Bad</v>
      </c>
    </row>
    <row r="3057" spans="2:34" x14ac:dyDescent="0.2">
      <c r="B3057" s="2">
        <f ca="1"/>
        <v>4.3235782952542046E-2</v>
      </c>
      <c r="O3057" s="2">
        <f ca="1"/>
        <v>-1.3434368744946761</v>
      </c>
      <c r="X3057" s="2">
        <f ca="1"/>
        <v>61.347253139711697</v>
      </c>
      <c r="AG3057" s="2">
        <f ca="1"/>
        <v>0.40777825965674008</v>
      </c>
      <c r="AH3057" s="2" t="str">
        <f ca="1"/>
        <v>Bad</v>
      </c>
    </row>
    <row r="3058" spans="2:34" x14ac:dyDescent="0.2">
      <c r="B3058" s="2">
        <f ca="1"/>
        <v>4.2768179482458812E-2</v>
      </c>
      <c r="O3058" s="2">
        <f ca="1"/>
        <v>1.7515368184483144</v>
      </c>
      <c r="X3058" s="2">
        <f ca="1"/>
        <v>56.156171077730377</v>
      </c>
      <c r="AG3058" s="2">
        <f ca="1"/>
        <v>0.63534756307909213</v>
      </c>
      <c r="AH3058" s="2" t="str">
        <f ca="1"/>
        <v>Bad</v>
      </c>
    </row>
    <row r="3059" spans="2:34" x14ac:dyDescent="0.2">
      <c r="B3059" s="2">
        <f ca="1"/>
        <v>0.87454058416043456</v>
      </c>
      <c r="O3059" s="2">
        <f ca="1"/>
        <v>1.1032916091780214</v>
      </c>
      <c r="X3059" s="2">
        <f ca="1"/>
        <v>45.654248557879683</v>
      </c>
      <c r="AG3059" s="2">
        <f ca="1"/>
        <v>0.31398448110282295</v>
      </c>
      <c r="AH3059" s="2" t="str">
        <f ca="1"/>
        <v>OK</v>
      </c>
    </row>
    <row r="3060" spans="2:34" x14ac:dyDescent="0.2">
      <c r="B3060" s="2">
        <f ca="1"/>
        <v>0.85467311178730454</v>
      </c>
      <c r="O3060" s="2">
        <f ca="1"/>
        <v>-2.1843240701295334</v>
      </c>
      <c r="X3060" s="2">
        <f ca="1"/>
        <v>56.460034247223234</v>
      </c>
      <c r="AG3060" s="2">
        <f ca="1"/>
        <v>0.86512543183090029</v>
      </c>
      <c r="AH3060" s="2" t="str">
        <f ca="1"/>
        <v>Bad</v>
      </c>
    </row>
    <row r="3061" spans="2:34" x14ac:dyDescent="0.2">
      <c r="B3061" s="2">
        <f ca="1"/>
        <v>0.73895581952892675</v>
      </c>
      <c r="O3061" s="2">
        <f ca="1"/>
        <v>0.64837323565695348</v>
      </c>
      <c r="X3061" s="2">
        <f ca="1"/>
        <v>66.770979042414183</v>
      </c>
      <c r="AG3061" s="2">
        <f ca="1"/>
        <v>0.52836439816042913</v>
      </c>
      <c r="AH3061" s="2" t="str">
        <f ca="1"/>
        <v>Bad</v>
      </c>
    </row>
    <row r="3062" spans="2:34" x14ac:dyDescent="0.2">
      <c r="B3062" s="2">
        <f ca="1"/>
        <v>0.89613725277940226</v>
      </c>
      <c r="O3062" s="2">
        <f ca="1"/>
        <v>0.16453201038144458</v>
      </c>
      <c r="X3062" s="2">
        <f ca="1"/>
        <v>52.512450620158177</v>
      </c>
      <c r="AG3062" s="2">
        <f ca="1"/>
        <v>0.50618253360247323</v>
      </c>
      <c r="AH3062" s="2" t="str">
        <f ca="1"/>
        <v>Bad</v>
      </c>
    </row>
    <row r="3063" spans="2:34" x14ac:dyDescent="0.2">
      <c r="B3063" s="2">
        <f ca="1"/>
        <v>0.41367230152991485</v>
      </c>
      <c r="O3063" s="2">
        <f ca="1"/>
        <v>0.42932068660664419</v>
      </c>
      <c r="X3063" s="2">
        <f ca="1"/>
        <v>50.871569117089066</v>
      </c>
      <c r="AG3063" s="2">
        <f ca="1"/>
        <v>0.12263780485552944</v>
      </c>
      <c r="AH3063" s="2" t="str">
        <f ca="1"/>
        <v>OK</v>
      </c>
    </row>
    <row r="3064" spans="2:34" x14ac:dyDescent="0.2">
      <c r="B3064" s="2">
        <f ca="1"/>
        <v>1.7024487404308397E-2</v>
      </c>
      <c r="O3064" s="2">
        <f ca="1"/>
        <v>0.65508175365627908</v>
      </c>
      <c r="X3064" s="2">
        <f ca="1"/>
        <v>41.379952145195517</v>
      </c>
      <c r="AG3064" s="2">
        <f ca="1"/>
        <v>1.3787267578673212E-2</v>
      </c>
      <c r="AH3064" s="2" t="str">
        <f ca="1"/>
        <v>Good</v>
      </c>
    </row>
    <row r="3065" spans="2:34" x14ac:dyDescent="0.2">
      <c r="B3065" s="2">
        <f ca="1"/>
        <v>0.45475582913550294</v>
      </c>
      <c r="O3065" s="2">
        <f ca="1"/>
        <v>1.9481278457927731</v>
      </c>
      <c r="X3065" s="2">
        <f ca="1"/>
        <v>33.884275212343219</v>
      </c>
      <c r="AG3065" s="2">
        <f ca="1"/>
        <v>0.27486659211169462</v>
      </c>
      <c r="AH3065" s="2" t="str">
        <f ca="1"/>
        <v>OK</v>
      </c>
    </row>
    <row r="3066" spans="2:34" x14ac:dyDescent="0.2">
      <c r="B3066" s="2">
        <f ca="1"/>
        <v>0.47856346861318655</v>
      </c>
      <c r="O3066" s="2">
        <f ca="1"/>
        <v>0.11678533021194229</v>
      </c>
      <c r="X3066" s="2">
        <f ca="1"/>
        <v>22.409147800438728</v>
      </c>
      <c r="AG3066" s="2">
        <f ca="1"/>
        <v>0.4900996347908444</v>
      </c>
      <c r="AH3066" s="2" t="str">
        <f ca="1"/>
        <v>Bad</v>
      </c>
    </row>
    <row r="3067" spans="2:34" x14ac:dyDescent="0.2">
      <c r="B3067" s="2">
        <f ca="1"/>
        <v>0.48488107944082581</v>
      </c>
      <c r="O3067" s="2">
        <f ca="1"/>
        <v>0.51081621384185361</v>
      </c>
      <c r="X3067" s="2">
        <f ca="1"/>
        <v>55.694198285609538</v>
      </c>
      <c r="AG3067" s="2">
        <f ca="1"/>
        <v>0.72950011053030628</v>
      </c>
      <c r="AH3067" s="2" t="str">
        <f ca="1"/>
        <v>Bad</v>
      </c>
    </row>
    <row r="3068" spans="2:34" x14ac:dyDescent="0.2">
      <c r="B3068" s="2">
        <f ca="1"/>
        <v>0.22347218679131942</v>
      </c>
      <c r="O3068" s="2">
        <f ca="1"/>
        <v>1.0699887997163366</v>
      </c>
      <c r="X3068" s="2">
        <f ca="1"/>
        <v>35.032766398109786</v>
      </c>
      <c r="AG3068" s="2">
        <f ca="1"/>
        <v>0.99271586576576865</v>
      </c>
      <c r="AH3068" s="2" t="str">
        <f ca="1"/>
        <v>Bad</v>
      </c>
    </row>
    <row r="3069" spans="2:34" x14ac:dyDescent="0.2">
      <c r="B3069" s="2">
        <f ca="1"/>
        <v>0.5628393270024461</v>
      </c>
      <c r="O3069" s="2">
        <f ca="1"/>
        <v>2.1278915701125554</v>
      </c>
      <c r="X3069" s="2">
        <f ca="1"/>
        <v>38.550495124935019</v>
      </c>
      <c r="AG3069" s="2">
        <f ca="1"/>
        <v>0.10686953607649152</v>
      </c>
      <c r="AH3069" s="2" t="str">
        <f ca="1"/>
        <v>OK</v>
      </c>
    </row>
    <row r="3070" spans="2:34" x14ac:dyDescent="0.2">
      <c r="B3070" s="2">
        <f ca="1"/>
        <v>0.53028320066498513</v>
      </c>
      <c r="O3070" s="2">
        <f ca="1"/>
        <v>-1.5301433180686377</v>
      </c>
      <c r="X3070" s="2">
        <f ca="1"/>
        <v>53.07013537380837</v>
      </c>
      <c r="AG3070" s="2">
        <f ca="1"/>
        <v>0.58297539822449562</v>
      </c>
      <c r="AH3070" s="2" t="str">
        <f ca="1"/>
        <v>Bad</v>
      </c>
    </row>
    <row r="3071" spans="2:34" x14ac:dyDescent="0.2">
      <c r="B3071" s="2">
        <f ca="1"/>
        <v>0.50606206715857627</v>
      </c>
      <c r="O3071" s="2">
        <f ca="1"/>
        <v>-0.10799596058870567</v>
      </c>
      <c r="X3071" s="2">
        <f ca="1"/>
        <v>39.231626339353454</v>
      </c>
      <c r="AG3071" s="2">
        <f ca="1"/>
        <v>9.4637293003549949E-3</v>
      </c>
      <c r="AH3071" s="2" t="str">
        <f ca="1"/>
        <v>Good</v>
      </c>
    </row>
    <row r="3072" spans="2:34" x14ac:dyDescent="0.2">
      <c r="B3072" s="2">
        <f ca="1"/>
        <v>0.38541332164282394</v>
      </c>
      <c r="O3072" s="2">
        <f ca="1"/>
        <v>-1.4136105605687534</v>
      </c>
      <c r="X3072" s="2">
        <f ca="1"/>
        <v>26.989348177277041</v>
      </c>
      <c r="AG3072" s="2">
        <f ca="1"/>
        <v>0.29078082153851414</v>
      </c>
      <c r="AH3072" s="2" t="str">
        <f ca="1"/>
        <v>OK</v>
      </c>
    </row>
    <row r="3073" spans="2:34" x14ac:dyDescent="0.2">
      <c r="B3073" s="2">
        <f ca="1"/>
        <v>0.92818089273426962</v>
      </c>
      <c r="O3073" s="2">
        <f ca="1"/>
        <v>0.48286553465935844</v>
      </c>
      <c r="X3073" s="2">
        <f ca="1"/>
        <v>65.521357301357725</v>
      </c>
      <c r="AG3073" s="2">
        <f ca="1"/>
        <v>0.78651817325096052</v>
      </c>
      <c r="AH3073" s="2" t="str">
        <f ca="1"/>
        <v>Bad</v>
      </c>
    </row>
    <row r="3074" spans="2:34" x14ac:dyDescent="0.2">
      <c r="B3074" s="2">
        <f ca="1"/>
        <v>0.94558191348715748</v>
      </c>
      <c r="O3074" s="2">
        <f ca="1"/>
        <v>-0.73501700683734184</v>
      </c>
      <c r="X3074" s="2">
        <f ca="1"/>
        <v>46.023217641765761</v>
      </c>
      <c r="AG3074" s="2">
        <f ca="1"/>
        <v>0.14822613963904874</v>
      </c>
      <c r="AH3074" s="2" t="str">
        <f ca="1"/>
        <v>OK</v>
      </c>
    </row>
    <row r="3075" spans="2:34" x14ac:dyDescent="0.2">
      <c r="B3075" s="2">
        <f ca="1"/>
        <v>0.22693738552974319</v>
      </c>
      <c r="O3075" s="2">
        <f ca="1"/>
        <v>-3.1523261506025885E-2</v>
      </c>
      <c r="X3075" s="2">
        <f ca="1"/>
        <v>39.488564958920222</v>
      </c>
      <c r="AG3075" s="2">
        <f ca="1"/>
        <v>0.17645350960434691</v>
      </c>
      <c r="AH3075" s="2" t="str">
        <f ca="1"/>
        <v>OK</v>
      </c>
    </row>
    <row r="3076" spans="2:34" x14ac:dyDescent="0.2">
      <c r="B3076" s="2">
        <f ca="1"/>
        <v>0.86670387587237085</v>
      </c>
      <c r="O3076" s="2">
        <f ca="1"/>
        <v>0.38951215622051538</v>
      </c>
      <c r="X3076" s="2">
        <f ca="1"/>
        <v>46.374933478827238</v>
      </c>
      <c r="AG3076" s="2">
        <f ca="1"/>
        <v>0.88344205174557944</v>
      </c>
      <c r="AH3076" s="2" t="str">
        <f ca="1"/>
        <v>Bad</v>
      </c>
    </row>
    <row r="3077" spans="2:34" x14ac:dyDescent="0.2">
      <c r="B3077" s="2">
        <f ca="1"/>
        <v>0.42532805246069216</v>
      </c>
      <c r="O3077" s="2">
        <f ca="1"/>
        <v>0.14766189968087176</v>
      </c>
      <c r="X3077" s="2">
        <f ca="1"/>
        <v>79.549834028848196</v>
      </c>
      <c r="AG3077" s="2">
        <f ca="1"/>
        <v>0.18361069756805759</v>
      </c>
      <c r="AH3077" s="2" t="str">
        <f ca="1"/>
        <v>OK</v>
      </c>
    </row>
    <row r="3078" spans="2:34" x14ac:dyDescent="0.2">
      <c r="B3078" s="2">
        <f ca="1"/>
        <v>0.40656623982971207</v>
      </c>
      <c r="O3078" s="2">
        <f ca="1"/>
        <v>-0.78865984714665249</v>
      </c>
      <c r="X3078" s="2">
        <f ca="1"/>
        <v>65.878633084863679</v>
      </c>
      <c r="AG3078" s="2">
        <f ca="1"/>
        <v>0.24342611211574772</v>
      </c>
      <c r="AH3078" s="2" t="str">
        <f ca="1"/>
        <v>OK</v>
      </c>
    </row>
    <row r="3079" spans="2:34" x14ac:dyDescent="0.2">
      <c r="B3079" s="2">
        <f ca="1"/>
        <v>1.1689287909568247E-2</v>
      </c>
      <c r="O3079" s="2">
        <f ca="1"/>
        <v>0.13936580721555236</v>
      </c>
      <c r="X3079" s="2">
        <f ca="1"/>
        <v>57.101313246749861</v>
      </c>
      <c r="AG3079" s="2">
        <f ca="1"/>
        <v>0.31094959514312226</v>
      </c>
      <c r="AH3079" s="2" t="str">
        <f ca="1"/>
        <v>OK</v>
      </c>
    </row>
    <row r="3080" spans="2:34" x14ac:dyDescent="0.2">
      <c r="B3080" s="2">
        <f ca="1"/>
        <v>0.61064626846702752</v>
      </c>
      <c r="O3080" s="2">
        <f ca="1"/>
        <v>0.41513938059894545</v>
      </c>
      <c r="X3080" s="2">
        <f ca="1"/>
        <v>31.058451536991338</v>
      </c>
      <c r="AG3080" s="2">
        <f ca="1"/>
        <v>0.86130029197589364</v>
      </c>
      <c r="AH3080" s="2" t="str">
        <f ca="1"/>
        <v>Bad</v>
      </c>
    </row>
    <row r="3081" spans="2:34" x14ac:dyDescent="0.2">
      <c r="B3081" s="2">
        <f ca="1"/>
        <v>9.5839601144530828E-2</v>
      </c>
      <c r="O3081" s="2">
        <f ca="1"/>
        <v>-8.4518960021177106E-2</v>
      </c>
      <c r="X3081" s="2">
        <f ca="1"/>
        <v>27.495126627934777</v>
      </c>
      <c r="AG3081" s="2">
        <f ca="1"/>
        <v>0.25338048422027337</v>
      </c>
      <c r="AH3081" s="2" t="str">
        <f ca="1"/>
        <v>OK</v>
      </c>
    </row>
    <row r="3082" spans="2:34" x14ac:dyDescent="0.2">
      <c r="B3082" s="2">
        <f ca="1"/>
        <v>0.50317639262256986</v>
      </c>
      <c r="O3082" s="2">
        <f ca="1"/>
        <v>0.85711919501827882</v>
      </c>
      <c r="X3082" s="2">
        <f ca="1"/>
        <v>36.510114692456561</v>
      </c>
      <c r="AG3082" s="2">
        <f ca="1"/>
        <v>1.1705192540558684E-3</v>
      </c>
      <c r="AH3082" s="2" t="str">
        <f ca="1"/>
        <v>Good</v>
      </c>
    </row>
    <row r="3083" spans="2:34" x14ac:dyDescent="0.2">
      <c r="B3083" s="2">
        <f ca="1"/>
        <v>0.39786251203164413</v>
      </c>
      <c r="O3083" s="2">
        <f ca="1"/>
        <v>1.1231614411857922</v>
      </c>
      <c r="X3083" s="2">
        <f ca="1"/>
        <v>56.518926750413698</v>
      </c>
      <c r="AG3083" s="2">
        <f ca="1"/>
        <v>0.98374670909108941</v>
      </c>
      <c r="AH3083" s="2" t="str">
        <f ca="1"/>
        <v>Bad</v>
      </c>
    </row>
    <row r="3084" spans="2:34" x14ac:dyDescent="0.2">
      <c r="B3084" s="2">
        <f ca="1"/>
        <v>0.45183200856355188</v>
      </c>
      <c r="O3084" s="2">
        <f ca="1"/>
        <v>-2.7560208863908031E-2</v>
      </c>
      <c r="X3084" s="2">
        <f ca="1"/>
        <v>81.926254704607132</v>
      </c>
      <c r="AG3084" s="2">
        <f ca="1"/>
        <v>0.95904396686761828</v>
      </c>
      <c r="AH3084" s="2" t="str">
        <f ca="1"/>
        <v>Bad</v>
      </c>
    </row>
    <row r="3085" spans="2:34" x14ac:dyDescent="0.2">
      <c r="B3085" s="2">
        <f ca="1"/>
        <v>0.73406221702544117</v>
      </c>
      <c r="O3085" s="2">
        <f ca="1"/>
        <v>1.1266305040831874</v>
      </c>
      <c r="X3085" s="2">
        <f ca="1"/>
        <v>53.13306506090035</v>
      </c>
      <c r="AG3085" s="2">
        <f ca="1"/>
        <v>0.38652146855761194</v>
      </c>
      <c r="AH3085" s="2" t="str">
        <f ca="1"/>
        <v>OK</v>
      </c>
    </row>
    <row r="3086" spans="2:34" x14ac:dyDescent="0.2">
      <c r="B3086" s="2">
        <f ca="1"/>
        <v>0.96381687879358369</v>
      </c>
      <c r="O3086" s="2">
        <f ca="1"/>
        <v>0.1257054715467795</v>
      </c>
      <c r="X3086" s="2">
        <f ca="1"/>
        <v>36.16526595869199</v>
      </c>
      <c r="AG3086" s="2">
        <f ca="1"/>
        <v>0.90045692838372404</v>
      </c>
      <c r="AH3086" s="2" t="str">
        <f ca="1"/>
        <v>Bad</v>
      </c>
    </row>
    <row r="3087" spans="2:34" x14ac:dyDescent="0.2">
      <c r="B3087" s="2">
        <f ca="1"/>
        <v>0.65373461496138408</v>
      </c>
      <c r="O3087" s="2">
        <f ca="1"/>
        <v>2.5327506470034211</v>
      </c>
      <c r="X3087" s="2">
        <f ca="1"/>
        <v>38.164261015678882</v>
      </c>
      <c r="AG3087" s="2">
        <f ca="1"/>
        <v>0.42914517376005756</v>
      </c>
      <c r="AH3087" s="2" t="str">
        <f ca="1"/>
        <v>Bad</v>
      </c>
    </row>
    <row r="3088" spans="2:34" x14ac:dyDescent="0.2">
      <c r="B3088" s="2">
        <f ca="1"/>
        <v>0.81826415549013909</v>
      </c>
      <c r="O3088" s="2">
        <f ca="1"/>
        <v>-0.11443900044231774</v>
      </c>
      <c r="X3088" s="2">
        <f ca="1"/>
        <v>40.428069045147694</v>
      </c>
      <c r="AG3088" s="2">
        <f ca="1"/>
        <v>0.62644449158916848</v>
      </c>
      <c r="AH3088" s="2" t="str">
        <f ca="1"/>
        <v>Bad</v>
      </c>
    </row>
    <row r="3089" spans="2:34" x14ac:dyDescent="0.2">
      <c r="B3089" s="2">
        <f ca="1"/>
        <v>0.65444000319976392</v>
      </c>
      <c r="O3089" s="2">
        <f ca="1"/>
        <v>-1.5697231123940159</v>
      </c>
      <c r="X3089" s="2">
        <f ca="1"/>
        <v>42.005508555173265</v>
      </c>
      <c r="AG3089" s="2">
        <f ca="1"/>
        <v>0.5232618963774005</v>
      </c>
      <c r="AH3089" s="2" t="str">
        <f ca="1"/>
        <v>Bad</v>
      </c>
    </row>
    <row r="3090" spans="2:34" x14ac:dyDescent="0.2">
      <c r="B3090" s="2">
        <f ca="1"/>
        <v>0.84015860123486497</v>
      </c>
      <c r="O3090" s="2">
        <f ca="1"/>
        <v>-0.43223579740360535</v>
      </c>
      <c r="X3090" s="2">
        <f ca="1"/>
        <v>30.027860324360113</v>
      </c>
      <c r="AG3090" s="2">
        <f ca="1"/>
        <v>0.97304704985459001</v>
      </c>
      <c r="AH3090" s="2" t="str">
        <f ca="1"/>
        <v>Bad</v>
      </c>
    </row>
    <row r="3091" spans="2:34" x14ac:dyDescent="0.2">
      <c r="B3091" s="2">
        <f ca="1"/>
        <v>0.33502770191103326</v>
      </c>
      <c r="O3091" s="2">
        <f ca="1"/>
        <v>0.88523111551866318</v>
      </c>
      <c r="X3091" s="2">
        <f ca="1"/>
        <v>43.093794987098264</v>
      </c>
      <c r="AG3091" s="2">
        <f ca="1"/>
        <v>0.35560062173877283</v>
      </c>
      <c r="AH3091" s="2" t="str">
        <f ca="1"/>
        <v>OK</v>
      </c>
    </row>
    <row r="3092" spans="2:34" x14ac:dyDescent="0.2">
      <c r="B3092" s="2">
        <f ca="1"/>
        <v>0.94629740781998772</v>
      </c>
      <c r="O3092" s="2">
        <f ca="1"/>
        <v>-4.7553955182033432E-2</v>
      </c>
      <c r="X3092" s="2">
        <f ca="1"/>
        <v>44.469898247335252</v>
      </c>
      <c r="AG3092" s="2">
        <f ca="1"/>
        <v>7.3982741170923516E-2</v>
      </c>
      <c r="AH3092" s="2" t="str">
        <f ca="1"/>
        <v>OK</v>
      </c>
    </row>
    <row r="3093" spans="2:34" x14ac:dyDescent="0.2">
      <c r="B3093" s="2">
        <f ca="1"/>
        <v>0.94040750537920537</v>
      </c>
      <c r="O3093" s="2">
        <f ca="1"/>
        <v>-1.3322853082590496</v>
      </c>
      <c r="X3093" s="2">
        <f ca="1"/>
        <v>63.711686420725854</v>
      </c>
      <c r="AG3093" s="2">
        <f ca="1"/>
        <v>0.44552636516982558</v>
      </c>
      <c r="AH3093" s="2" t="str">
        <f ca="1"/>
        <v>Bad</v>
      </c>
    </row>
    <row r="3094" spans="2:34" x14ac:dyDescent="0.2">
      <c r="B3094" s="2">
        <f ca="1"/>
        <v>0.93811229350539138</v>
      </c>
      <c r="O3094" s="2">
        <f ca="1"/>
        <v>-0.89707524297414809</v>
      </c>
      <c r="X3094" s="2">
        <f ca="1"/>
        <v>54.738534360499187</v>
      </c>
      <c r="AG3094" s="2">
        <f ca="1"/>
        <v>0.79043336112421492</v>
      </c>
      <c r="AH3094" s="2" t="str">
        <f ca="1"/>
        <v>Bad</v>
      </c>
    </row>
    <row r="3095" spans="2:34" x14ac:dyDescent="0.2">
      <c r="B3095" s="2">
        <f ca="1"/>
        <v>0.35640916761907282</v>
      </c>
      <c r="O3095" s="2">
        <f ca="1"/>
        <v>-0.7696943895420163</v>
      </c>
      <c r="X3095" s="2">
        <f ca="1"/>
        <v>35.55174659719431</v>
      </c>
      <c r="AG3095" s="2">
        <f ca="1"/>
        <v>0.51931388756913499</v>
      </c>
      <c r="AH3095" s="2" t="str">
        <f ca="1"/>
        <v>Bad</v>
      </c>
    </row>
    <row r="3096" spans="2:34" x14ac:dyDescent="0.2">
      <c r="B3096" s="2">
        <f ca="1"/>
        <v>0.4171112370489789</v>
      </c>
      <c r="O3096" s="2">
        <f ca="1"/>
        <v>1.3435363802011586</v>
      </c>
      <c r="X3096" s="2">
        <f ca="1"/>
        <v>67.716364556456796</v>
      </c>
      <c r="AG3096" s="2">
        <f ca="1"/>
        <v>0.63172035545671745</v>
      </c>
      <c r="AH3096" s="2" t="str">
        <f ca="1"/>
        <v>Bad</v>
      </c>
    </row>
    <row r="3097" spans="2:34" x14ac:dyDescent="0.2">
      <c r="B3097" s="2">
        <f ca="1"/>
        <v>8.7082602562015943E-2</v>
      </c>
      <c r="O3097" s="2">
        <f ca="1"/>
        <v>0.68740411047018324</v>
      </c>
      <c r="X3097" s="2">
        <f ca="1"/>
        <v>41.410715751338536</v>
      </c>
      <c r="AG3097" s="2">
        <f ca="1"/>
        <v>0.63109620020110024</v>
      </c>
      <c r="AH3097" s="2" t="str">
        <f ca="1"/>
        <v>Bad</v>
      </c>
    </row>
    <row r="3098" spans="2:34" x14ac:dyDescent="0.2">
      <c r="B3098" s="2">
        <f ca="1"/>
        <v>0.93714517594835067</v>
      </c>
      <c r="O3098" s="2">
        <f ca="1"/>
        <v>-0.33052698560251864</v>
      </c>
      <c r="X3098" s="2">
        <f ca="1"/>
        <v>23.877492471462457</v>
      </c>
      <c r="AG3098" s="2">
        <f ca="1"/>
        <v>0.23862423756966278</v>
      </c>
      <c r="AH3098" s="2" t="str">
        <f ca="1"/>
        <v>OK</v>
      </c>
    </row>
    <row r="3099" spans="2:34" x14ac:dyDescent="0.2">
      <c r="B3099" s="2">
        <f ca="1"/>
        <v>0.69241124441740398</v>
      </c>
      <c r="O3099" s="2">
        <f ca="1"/>
        <v>0.22764329791503096</v>
      </c>
      <c r="X3099" s="2">
        <f ca="1"/>
        <v>32.095728770836722</v>
      </c>
      <c r="AG3099" s="2">
        <f ca="1"/>
        <v>0.99686512124517801</v>
      </c>
      <c r="AH3099" s="2" t="str">
        <f ca="1"/>
        <v>Bad</v>
      </c>
    </row>
    <row r="3100" spans="2:34" x14ac:dyDescent="0.2">
      <c r="B3100" s="2">
        <f ca="1"/>
        <v>0.75090029490699228</v>
      </c>
      <c r="O3100" s="2">
        <f ca="1"/>
        <v>0.65747450062125745</v>
      </c>
      <c r="X3100" s="2">
        <f ca="1"/>
        <v>74.519363355329034</v>
      </c>
      <c r="AG3100" s="2">
        <f ca="1"/>
        <v>0.87689971097367847</v>
      </c>
      <c r="AH3100" s="2" t="str">
        <f ca="1"/>
        <v>Bad</v>
      </c>
    </row>
    <row r="3101" spans="2:34" x14ac:dyDescent="0.2">
      <c r="B3101" s="2">
        <f ca="1"/>
        <v>0.95954248258052011</v>
      </c>
      <c r="O3101" s="2">
        <f ca="1"/>
        <v>-0.46827944354624057</v>
      </c>
      <c r="X3101" s="2">
        <f ca="1"/>
        <v>79.72625678281463</v>
      </c>
      <c r="AG3101" s="2">
        <f ca="1"/>
        <v>0.56786162240908578</v>
      </c>
      <c r="AH3101" s="2" t="str">
        <f ca="1"/>
        <v>Bad</v>
      </c>
    </row>
    <row r="3102" spans="2:34" x14ac:dyDescent="0.2">
      <c r="B3102" s="2">
        <f ca="1"/>
        <v>0.3479004816295459</v>
      </c>
      <c r="O3102" s="2">
        <f ca="1"/>
        <v>2.126521524725827E-2</v>
      </c>
      <c r="X3102" s="2">
        <f ca="1"/>
        <v>67.747283024258167</v>
      </c>
      <c r="AG3102" s="2">
        <f ca="1"/>
        <v>0.67499396643275</v>
      </c>
      <c r="AH3102" s="2" t="str">
        <f ca="1"/>
        <v>Bad</v>
      </c>
    </row>
    <row r="3103" spans="2:34" x14ac:dyDescent="0.2">
      <c r="B3103" s="2">
        <f ca="1"/>
        <v>0.18126282937169336</v>
      </c>
      <c r="O3103" s="2">
        <f ca="1"/>
        <v>-0.20460927653096297</v>
      </c>
      <c r="X3103" s="2">
        <f ca="1"/>
        <v>43.029386282918374</v>
      </c>
      <c r="AG3103" s="2">
        <f ca="1"/>
        <v>0.91567420411082079</v>
      </c>
      <c r="AH3103" s="2" t="str">
        <f ca="1"/>
        <v>Bad</v>
      </c>
    </row>
    <row r="3104" spans="2:34" x14ac:dyDescent="0.2">
      <c r="B3104" s="2">
        <f ca="1"/>
        <v>0.64043768834604786</v>
      </c>
      <c r="O3104" s="2">
        <f ca="1"/>
        <v>0.95928932373610198</v>
      </c>
      <c r="X3104" s="2">
        <f ca="1"/>
        <v>22.040629132859216</v>
      </c>
      <c r="AG3104" s="2">
        <f ca="1"/>
        <v>0.64408355263065342</v>
      </c>
      <c r="AH3104" s="2" t="str">
        <f ca="1"/>
        <v>Bad</v>
      </c>
    </row>
    <row r="3105" spans="2:34" x14ac:dyDescent="0.2">
      <c r="B3105" s="2">
        <f ca="1"/>
        <v>0.86188794944634739</v>
      </c>
      <c r="O3105" s="2">
        <f ca="1"/>
        <v>1.0830002955736515</v>
      </c>
      <c r="X3105" s="2">
        <f ca="1"/>
        <v>42.960798554680302</v>
      </c>
      <c r="AG3105" s="2">
        <f ca="1"/>
        <v>0.77276668836509388</v>
      </c>
      <c r="AH3105" s="2" t="str">
        <f ca="1"/>
        <v>Bad</v>
      </c>
    </row>
    <row r="3106" spans="2:34" x14ac:dyDescent="0.2">
      <c r="B3106" s="2">
        <f ca="1"/>
        <v>0.72404469892992696</v>
      </c>
      <c r="O3106" s="2">
        <f ca="1"/>
        <v>-0.93760511536313462</v>
      </c>
      <c r="X3106" s="2">
        <f ca="1"/>
        <v>42.113495152992108</v>
      </c>
      <c r="AG3106" s="2">
        <f ca="1"/>
        <v>0.92879133839618766</v>
      </c>
      <c r="AH3106" s="2" t="str">
        <f ca="1"/>
        <v>Bad</v>
      </c>
    </row>
    <row r="3107" spans="2:34" x14ac:dyDescent="0.2">
      <c r="B3107" s="2">
        <f ca="1"/>
        <v>0.55010656113150991</v>
      </c>
      <c r="O3107" s="2">
        <f ca="1"/>
        <v>0.89034297155475306</v>
      </c>
      <c r="X3107" s="2">
        <f ca="1"/>
        <v>43.07734954989045</v>
      </c>
      <c r="AG3107" s="2">
        <f ca="1"/>
        <v>0.82123104540061953</v>
      </c>
      <c r="AH3107" s="2" t="str">
        <f ca="1"/>
        <v>Bad</v>
      </c>
    </row>
    <row r="3108" spans="2:34" x14ac:dyDescent="0.2">
      <c r="B3108" s="2">
        <f ca="1"/>
        <v>0.41501958082223633</v>
      </c>
      <c r="O3108" s="2">
        <f ca="1"/>
        <v>-1.4652174394120738</v>
      </c>
      <c r="X3108" s="2">
        <f ca="1"/>
        <v>30.468806581072254</v>
      </c>
      <c r="AG3108" s="2">
        <f ca="1"/>
        <v>0.83519383706512684</v>
      </c>
      <c r="AH3108" s="2" t="str">
        <f ca="1"/>
        <v>Bad</v>
      </c>
    </row>
    <row r="3109" spans="2:34" x14ac:dyDescent="0.2">
      <c r="B3109" s="2">
        <f ca="1"/>
        <v>0.50235379424239879</v>
      </c>
      <c r="O3109" s="2">
        <f ca="1"/>
        <v>0.79308327985859539</v>
      </c>
      <c r="X3109" s="2">
        <f ca="1"/>
        <v>56.771518761516823</v>
      </c>
      <c r="AG3109" s="2">
        <f ca="1"/>
        <v>0.73678067757154508</v>
      </c>
      <c r="AH3109" s="2" t="str">
        <f ca="1"/>
        <v>Bad</v>
      </c>
    </row>
    <row r="3110" spans="2:34" x14ac:dyDescent="0.2">
      <c r="B3110" s="2">
        <f ca="1"/>
        <v>0.1712059686911136</v>
      </c>
      <c r="O3110" s="2">
        <f ca="1"/>
        <v>1.8327819206141003</v>
      </c>
      <c r="X3110" s="2">
        <f ca="1"/>
        <v>45.463496046457983</v>
      </c>
      <c r="AG3110" s="2">
        <f ca="1"/>
        <v>0.6899172575422019</v>
      </c>
      <c r="AH3110" s="2" t="str">
        <f ca="1"/>
        <v>Bad</v>
      </c>
    </row>
    <row r="3111" spans="2:34" x14ac:dyDescent="0.2">
      <c r="B3111" s="2">
        <f ca="1"/>
        <v>0.68143414647651657</v>
      </c>
      <c r="O3111" s="2">
        <f ca="1"/>
        <v>-0.14997363568263464</v>
      </c>
      <c r="X3111" s="2">
        <f ca="1"/>
        <v>47.979118604484469</v>
      </c>
      <c r="AG3111" s="2">
        <f ca="1"/>
        <v>0.33593849655189167</v>
      </c>
      <c r="AH3111" s="2" t="str">
        <f ca="1"/>
        <v>OK</v>
      </c>
    </row>
    <row r="3112" spans="2:34" x14ac:dyDescent="0.2">
      <c r="B3112" s="2">
        <f ca="1"/>
        <v>5.8408140163078714E-2</v>
      </c>
      <c r="O3112" s="2">
        <f ca="1"/>
        <v>0.42463117571365455</v>
      </c>
      <c r="X3112" s="2">
        <f ca="1"/>
        <v>40.258980390731864</v>
      </c>
      <c r="AG3112" s="2">
        <f ca="1"/>
        <v>8.0188341341552505E-2</v>
      </c>
      <c r="AH3112" s="2" t="str">
        <f ca="1"/>
        <v>OK</v>
      </c>
    </row>
    <row r="3113" spans="2:34" x14ac:dyDescent="0.2">
      <c r="B3113" s="2">
        <f ca="1"/>
        <v>0.82684199131641933</v>
      </c>
      <c r="O3113" s="2">
        <f ca="1"/>
        <v>0.72377551609058499</v>
      </c>
      <c r="X3113" s="2">
        <f ca="1"/>
        <v>46.083194803044762</v>
      </c>
      <c r="AG3113" s="2">
        <f ca="1"/>
        <v>0.22560453079737663</v>
      </c>
      <c r="AH3113" s="2" t="str">
        <f ca="1"/>
        <v>OK</v>
      </c>
    </row>
    <row r="3114" spans="2:34" x14ac:dyDescent="0.2">
      <c r="B3114" s="2">
        <f ca="1"/>
        <v>0.17232957506697089</v>
      </c>
      <c r="O3114" s="2">
        <f ca="1"/>
        <v>-0.37925602646827739</v>
      </c>
      <c r="X3114" s="2">
        <f ca="1"/>
        <v>43.591755098099689</v>
      </c>
      <c r="AG3114" s="2">
        <f ca="1"/>
        <v>0.52886376485170672</v>
      </c>
      <c r="AH3114" s="2" t="str">
        <f ca="1"/>
        <v>Bad</v>
      </c>
    </row>
    <row r="3115" spans="2:34" x14ac:dyDescent="0.2">
      <c r="B3115" s="2">
        <f ca="1"/>
        <v>0.33216764292614687</v>
      </c>
      <c r="O3115" s="2">
        <f ca="1"/>
        <v>0.41189972408657399</v>
      </c>
      <c r="X3115" s="2">
        <f ca="1"/>
        <v>56.363465969058979</v>
      </c>
      <c r="AG3115" s="2">
        <f ca="1"/>
        <v>8.9814892340011054E-2</v>
      </c>
      <c r="AH3115" s="2" t="str">
        <f ca="1"/>
        <v>OK</v>
      </c>
    </row>
    <row r="3116" spans="2:34" x14ac:dyDescent="0.2">
      <c r="B3116" s="2">
        <f ca="1"/>
        <v>0.81166644334113069</v>
      </c>
      <c r="O3116" s="2">
        <f ca="1"/>
        <v>-0.14342214079221965</v>
      </c>
      <c r="X3116" s="2">
        <f ca="1"/>
        <v>54.267092557892127</v>
      </c>
      <c r="AG3116" s="2">
        <f ca="1"/>
        <v>7.6552090631653247E-2</v>
      </c>
      <c r="AH3116" s="2" t="str">
        <f ca="1"/>
        <v>OK</v>
      </c>
    </row>
    <row r="3117" spans="2:34" x14ac:dyDescent="0.2">
      <c r="B3117" s="2">
        <f ca="1"/>
        <v>0.89684355417876227</v>
      </c>
      <c r="O3117" s="2">
        <f ca="1"/>
        <v>0.7146034021674994</v>
      </c>
      <c r="X3117" s="2">
        <f ca="1"/>
        <v>35.495228784784935</v>
      </c>
      <c r="AG3117" s="2">
        <f ca="1"/>
        <v>0.51157222568943461</v>
      </c>
      <c r="AH3117" s="2" t="str">
        <f ca="1"/>
        <v>Bad</v>
      </c>
    </row>
    <row r="3118" spans="2:34" x14ac:dyDescent="0.2">
      <c r="B3118" s="2">
        <f ca="1"/>
        <v>0.46764986269006781</v>
      </c>
      <c r="O3118" s="2">
        <f ca="1"/>
        <v>-0.60497385428972217</v>
      </c>
      <c r="X3118" s="2">
        <f ca="1"/>
        <v>51.978494985810698</v>
      </c>
      <c r="AG3118" s="2">
        <f ca="1"/>
        <v>0.96489710016598629</v>
      </c>
      <c r="AH3118" s="2" t="str">
        <f ca="1"/>
        <v>Bad</v>
      </c>
    </row>
    <row r="3119" spans="2:34" x14ac:dyDescent="0.2">
      <c r="B3119" s="2">
        <f ca="1"/>
        <v>0.40646310486690473</v>
      </c>
      <c r="O3119" s="2">
        <f ca="1"/>
        <v>-0.15060700779009764</v>
      </c>
      <c r="X3119" s="2">
        <f ca="1"/>
        <v>35.642704105321037</v>
      </c>
      <c r="AG3119" s="2">
        <f ca="1"/>
        <v>0.50358488962641967</v>
      </c>
      <c r="AH3119" s="2" t="str">
        <f ca="1"/>
        <v>Bad</v>
      </c>
    </row>
    <row r="3120" spans="2:34" x14ac:dyDescent="0.2">
      <c r="B3120" s="2">
        <f ca="1"/>
        <v>0.80744114302949033</v>
      </c>
      <c r="O3120" s="2">
        <f ca="1"/>
        <v>-1.794864184770552</v>
      </c>
      <c r="X3120" s="2">
        <f ca="1"/>
        <v>70.802166251369172</v>
      </c>
      <c r="AG3120" s="2">
        <f ca="1"/>
        <v>0.83845540831099008</v>
      </c>
      <c r="AH3120" s="2" t="str">
        <f ca="1"/>
        <v>Bad</v>
      </c>
    </row>
    <row r="3121" spans="2:34" x14ac:dyDescent="0.2">
      <c r="B3121" s="2">
        <f ca="1"/>
        <v>0.45190490743573619</v>
      </c>
      <c r="O3121" s="2">
        <f ca="1"/>
        <v>1.6903317646904892</v>
      </c>
      <c r="X3121" s="2">
        <f ca="1"/>
        <v>38.119199889858493</v>
      </c>
      <c r="AG3121" s="2">
        <f ca="1"/>
        <v>0.4008796342793608</v>
      </c>
      <c r="AH3121" s="2" t="str">
        <f ca="1"/>
        <v>Bad</v>
      </c>
    </row>
    <row r="3122" spans="2:34" x14ac:dyDescent="0.2">
      <c r="B3122" s="2">
        <f ca="1"/>
        <v>0.69047031162246486</v>
      </c>
      <c r="O3122" s="2">
        <f ca="1"/>
        <v>0.46806221482399241</v>
      </c>
      <c r="X3122" s="2">
        <f ca="1"/>
        <v>67.210108375939583</v>
      </c>
      <c r="AG3122" s="2">
        <f ca="1"/>
        <v>0.56624369893502813</v>
      </c>
      <c r="AH3122" s="2" t="str">
        <f ca="1"/>
        <v>Bad</v>
      </c>
    </row>
    <row r="3123" spans="2:34" x14ac:dyDescent="0.2">
      <c r="B3123" s="2">
        <f ca="1"/>
        <v>0.65029183724594963</v>
      </c>
      <c r="O3123" s="2">
        <f ca="1"/>
        <v>0.71222083896140309</v>
      </c>
      <c r="X3123" s="2">
        <f ca="1"/>
        <v>44.617803270739465</v>
      </c>
      <c r="AG3123" s="2">
        <f ca="1"/>
        <v>6.8186128506863675E-2</v>
      </c>
      <c r="AH3123" s="2" t="str">
        <f ca="1"/>
        <v>OK</v>
      </c>
    </row>
    <row r="3124" spans="2:34" x14ac:dyDescent="0.2">
      <c r="B3124" s="2">
        <f ca="1"/>
        <v>0.7753039410842677</v>
      </c>
      <c r="O3124" s="2">
        <f ca="1"/>
        <v>-0.46016846806702377</v>
      </c>
      <c r="X3124" s="2">
        <f ca="1"/>
        <v>31.393205564333712</v>
      </c>
      <c r="AG3124" s="2">
        <f ca="1"/>
        <v>0.10368760862925797</v>
      </c>
      <c r="AH3124" s="2" t="str">
        <f ca="1"/>
        <v>OK</v>
      </c>
    </row>
    <row r="3125" spans="2:34" x14ac:dyDescent="0.2">
      <c r="B3125" s="2">
        <f ca="1"/>
        <v>0.50310069980112337</v>
      </c>
      <c r="O3125" s="2">
        <f ca="1"/>
        <v>-0.4747798810498744</v>
      </c>
      <c r="X3125" s="2">
        <f ca="1"/>
        <v>25.990427576248052</v>
      </c>
      <c r="AG3125" s="2">
        <f ca="1"/>
        <v>0.27316264310668759</v>
      </c>
      <c r="AH3125" s="2" t="str">
        <f ca="1"/>
        <v>OK</v>
      </c>
    </row>
    <row r="3126" spans="2:34" x14ac:dyDescent="0.2">
      <c r="B3126" s="2">
        <f ca="1"/>
        <v>0.61813756681271514</v>
      </c>
      <c r="O3126" s="2">
        <f ca="1"/>
        <v>-0.46572268828370161</v>
      </c>
      <c r="X3126" s="2">
        <f ca="1"/>
        <v>68.895527936840921</v>
      </c>
      <c r="AG3126" s="2">
        <f ca="1"/>
        <v>2.8049288048819676E-2</v>
      </c>
      <c r="AH3126" s="2" t="str">
        <f ca="1"/>
        <v>Good</v>
      </c>
    </row>
    <row r="3127" spans="2:34" x14ac:dyDescent="0.2">
      <c r="B3127" s="2">
        <f ca="1"/>
        <v>0.84963928146362488</v>
      </c>
      <c r="O3127" s="2">
        <f ca="1"/>
        <v>0.10119739467568523</v>
      </c>
      <c r="X3127" s="2">
        <f ca="1"/>
        <v>19.756830565902121</v>
      </c>
      <c r="AG3127" s="2">
        <f ca="1"/>
        <v>0.17218650104622935</v>
      </c>
      <c r="AH3127" s="2" t="str">
        <f ca="1"/>
        <v>OK</v>
      </c>
    </row>
    <row r="3128" spans="2:34" x14ac:dyDescent="0.2">
      <c r="B3128" s="2">
        <f ca="1"/>
        <v>0.3333933634405466</v>
      </c>
      <c r="O3128" s="2">
        <f ca="1"/>
        <v>0.53478606738227008</v>
      </c>
      <c r="X3128" s="2">
        <f ca="1"/>
        <v>77.857020921640284</v>
      </c>
      <c r="AG3128" s="2">
        <f ca="1"/>
        <v>0.31373684945828506</v>
      </c>
      <c r="AH3128" s="2" t="str">
        <f ca="1"/>
        <v>OK</v>
      </c>
    </row>
    <row r="3129" spans="2:34" x14ac:dyDescent="0.2">
      <c r="B3129" s="2">
        <f ca="1"/>
        <v>0.8710556954310098</v>
      </c>
      <c r="O3129" s="2">
        <f ca="1"/>
        <v>-1.277678367233662</v>
      </c>
      <c r="X3129" s="2">
        <f ca="1"/>
        <v>54.289227554888313</v>
      </c>
      <c r="AG3129" s="2">
        <f ca="1"/>
        <v>0.12857025422875989</v>
      </c>
      <c r="AH3129" s="2" t="str">
        <f ca="1"/>
        <v>OK</v>
      </c>
    </row>
    <row r="3130" spans="2:34" x14ac:dyDescent="0.2">
      <c r="B3130" s="2">
        <f ca="1"/>
        <v>0.73019377426887599</v>
      </c>
      <c r="O3130" s="2">
        <f ca="1"/>
        <v>-1.1562698833318228</v>
      </c>
      <c r="X3130" s="2">
        <f ca="1"/>
        <v>72.690710975428402</v>
      </c>
      <c r="AG3130" s="2">
        <f ca="1"/>
        <v>0.35600878288488014</v>
      </c>
      <c r="AH3130" s="2" t="str">
        <f ca="1"/>
        <v>OK</v>
      </c>
    </row>
    <row r="3131" spans="2:34" x14ac:dyDescent="0.2">
      <c r="B3131" s="2">
        <f ca="1"/>
        <v>0.331214750132379</v>
      </c>
      <c r="O3131" s="2">
        <f ca="1"/>
        <v>1.3607246524423813</v>
      </c>
      <c r="X3131" s="2">
        <f ca="1"/>
        <v>43.547640804020602</v>
      </c>
      <c r="AG3131" s="2">
        <f ca="1"/>
        <v>0.17973064921359239</v>
      </c>
      <c r="AH3131" s="2" t="str">
        <f ca="1"/>
        <v>OK</v>
      </c>
    </row>
    <row r="3132" spans="2:34" x14ac:dyDescent="0.2">
      <c r="B3132" s="2">
        <f ca="1"/>
        <v>0.48051341744006026</v>
      </c>
      <c r="O3132" s="2">
        <f ca="1"/>
        <v>1.2104514539765729</v>
      </c>
      <c r="X3132" s="2">
        <f ca="1"/>
        <v>31.727827400739045</v>
      </c>
      <c r="AG3132" s="2">
        <f ca="1"/>
        <v>0.92870431247059604</v>
      </c>
      <c r="AH3132" s="2" t="str">
        <f ca="1"/>
        <v>Bad</v>
      </c>
    </row>
    <row r="3133" spans="2:34" x14ac:dyDescent="0.2">
      <c r="B3133" s="2">
        <f ca="1"/>
        <v>0.62232448225315462</v>
      </c>
      <c r="O3133" s="2">
        <f ca="1"/>
        <v>0.76972026991683407</v>
      </c>
      <c r="X3133" s="2">
        <f ca="1"/>
        <v>70.304629961217017</v>
      </c>
      <c r="AG3133" s="2">
        <f ca="1"/>
        <v>0.42180140530734089</v>
      </c>
      <c r="AH3133" s="2" t="str">
        <f ca="1"/>
        <v>Bad</v>
      </c>
    </row>
    <row r="3134" spans="2:34" x14ac:dyDescent="0.2">
      <c r="B3134" s="2">
        <f ca="1"/>
        <v>0.80563382167478936</v>
      </c>
      <c r="O3134" s="2">
        <f ca="1"/>
        <v>-1.0281949660112173</v>
      </c>
      <c r="X3134" s="2">
        <f ca="1"/>
        <v>48.725636064112678</v>
      </c>
      <c r="AG3134" s="2">
        <f ca="1"/>
        <v>0.4039625723092406</v>
      </c>
      <c r="AH3134" s="2" t="str">
        <f ca="1"/>
        <v>Bad</v>
      </c>
    </row>
    <row r="3135" spans="2:34" x14ac:dyDescent="0.2">
      <c r="B3135" s="2">
        <f ca="1"/>
        <v>0.76977717798219092</v>
      </c>
      <c r="O3135" s="2">
        <f ca="1"/>
        <v>-8.2744127203413266E-3</v>
      </c>
      <c r="X3135" s="2">
        <f ca="1"/>
        <v>43.683568732386952</v>
      </c>
      <c r="AG3135" s="2">
        <f ca="1"/>
        <v>0.55042913634695467</v>
      </c>
      <c r="AH3135" s="2" t="str">
        <f ca="1"/>
        <v>Bad</v>
      </c>
    </row>
    <row r="3136" spans="2:34" x14ac:dyDescent="0.2">
      <c r="B3136" s="2">
        <f ca="1"/>
        <v>0.58000965253112335</v>
      </c>
      <c r="O3136" s="2">
        <f ca="1"/>
        <v>-0.4140154382179238</v>
      </c>
      <c r="X3136" s="2">
        <f ca="1"/>
        <v>30.623761168199803</v>
      </c>
      <c r="AG3136" s="2">
        <f ca="1"/>
        <v>0.3827386288293364</v>
      </c>
      <c r="AH3136" s="2" t="str">
        <f ca="1"/>
        <v>OK</v>
      </c>
    </row>
    <row r="3137" spans="2:34" x14ac:dyDescent="0.2">
      <c r="B3137" s="2">
        <f ca="1"/>
        <v>0.45450596944891908</v>
      </c>
      <c r="O3137" s="2">
        <f ca="1"/>
        <v>-0.51220311683208841</v>
      </c>
      <c r="X3137" s="2">
        <f ca="1"/>
        <v>62.735455739135801</v>
      </c>
      <c r="AG3137" s="2">
        <f ca="1"/>
        <v>0.24505092135873707</v>
      </c>
      <c r="AH3137" s="2" t="str">
        <f ca="1"/>
        <v>OK</v>
      </c>
    </row>
    <row r="3138" spans="2:34" x14ac:dyDescent="0.2">
      <c r="B3138" s="2">
        <f ca="1"/>
        <v>0.60013428819533376</v>
      </c>
      <c r="O3138" s="2">
        <f ca="1"/>
        <v>0.50237215375451083</v>
      </c>
      <c r="X3138" s="2">
        <f ca="1"/>
        <v>46.389115959038975</v>
      </c>
      <c r="AG3138" s="2">
        <f ca="1"/>
        <v>0.74814292485935696</v>
      </c>
      <c r="AH3138" s="2" t="str">
        <f ca="1"/>
        <v>Bad</v>
      </c>
    </row>
    <row r="3139" spans="2:34" x14ac:dyDescent="0.2">
      <c r="B3139" s="2">
        <f ca="1"/>
        <v>0.35103277697791935</v>
      </c>
      <c r="O3139" s="2">
        <f ca="1"/>
        <v>0.5032036255525536</v>
      </c>
      <c r="X3139" s="2">
        <f ca="1"/>
        <v>38.126586200794812</v>
      </c>
      <c r="AG3139" s="2">
        <f ca="1"/>
        <v>0.97050721711059595</v>
      </c>
      <c r="AH3139" s="2" t="str">
        <f ca="1"/>
        <v>Bad</v>
      </c>
    </row>
    <row r="3140" spans="2:34" x14ac:dyDescent="0.2">
      <c r="B3140" s="2">
        <f ca="1"/>
        <v>0.84950454421376009</v>
      </c>
      <c r="O3140" s="2">
        <f ca="1"/>
        <v>0.47008723995064494</v>
      </c>
      <c r="X3140" s="2">
        <f ca="1"/>
        <v>48.04304898094172</v>
      </c>
      <c r="AG3140" s="2">
        <f ca="1"/>
        <v>0.6071061481555835</v>
      </c>
      <c r="AH3140" s="2" t="str">
        <f ca="1"/>
        <v>Bad</v>
      </c>
    </row>
    <row r="3141" spans="2:34" x14ac:dyDescent="0.2">
      <c r="B3141" s="2">
        <f ca="1"/>
        <v>0.22395924072831619</v>
      </c>
      <c r="O3141" s="2">
        <f ca="1"/>
        <v>1.7167992570940491</v>
      </c>
      <c r="X3141" s="2">
        <f ca="1"/>
        <v>48.744820849285631</v>
      </c>
      <c r="AG3141" s="2">
        <f ca="1"/>
        <v>5.3169586081594611E-2</v>
      </c>
      <c r="AH3141" s="2" t="str">
        <f ca="1"/>
        <v>OK</v>
      </c>
    </row>
    <row r="3142" spans="2:34" x14ac:dyDescent="0.2">
      <c r="B3142" s="2">
        <f ca="1"/>
        <v>0.59741373075737303</v>
      </c>
      <c r="O3142" s="2">
        <f ca="1"/>
        <v>-0.8523415028736262</v>
      </c>
      <c r="X3142" s="2">
        <f ca="1"/>
        <v>59.702301470672097</v>
      </c>
      <c r="AG3142" s="2">
        <f ca="1"/>
        <v>0.31818310553694951</v>
      </c>
      <c r="AH3142" s="2" t="str">
        <f ca="1"/>
        <v>OK</v>
      </c>
    </row>
    <row r="3143" spans="2:34" x14ac:dyDescent="0.2">
      <c r="B3143" s="2">
        <f ca="1"/>
        <v>0.7409028443426382</v>
      </c>
      <c r="O3143" s="2">
        <f ca="1"/>
        <v>-0.40926727590467271</v>
      </c>
      <c r="X3143" s="2">
        <f ca="1"/>
        <v>46.662550894642401</v>
      </c>
      <c r="AG3143" s="2">
        <f ca="1"/>
        <v>0.34902153178373352</v>
      </c>
      <c r="AH3143" s="2" t="str">
        <f ca="1"/>
        <v>OK</v>
      </c>
    </row>
    <row r="3144" spans="2:34" x14ac:dyDescent="0.2">
      <c r="B3144" s="2">
        <f ca="1"/>
        <v>0.22925169457327343</v>
      </c>
      <c r="O3144" s="2">
        <f ca="1"/>
        <v>-1.1108652174788169</v>
      </c>
      <c r="X3144" s="2">
        <f ca="1"/>
        <v>49.823025465241138</v>
      </c>
      <c r="AG3144" s="2">
        <f ca="1"/>
        <v>0.33901651581885428</v>
      </c>
      <c r="AH3144" s="2" t="str">
        <f ca="1"/>
        <v>OK</v>
      </c>
    </row>
    <row r="3145" spans="2:34" x14ac:dyDescent="0.2">
      <c r="B3145" s="2">
        <f ca="1"/>
        <v>0.52323157294126554</v>
      </c>
      <c r="O3145" s="2">
        <f ca="1"/>
        <v>-0.92116589333712062</v>
      </c>
      <c r="X3145" s="2">
        <f ca="1"/>
        <v>46.590752925416126</v>
      </c>
      <c r="AG3145" s="2">
        <f ca="1"/>
        <v>3.3199524742680842E-2</v>
      </c>
      <c r="AH3145" s="2" t="str">
        <f ca="1"/>
        <v>Good</v>
      </c>
    </row>
    <row r="3146" spans="2:34" x14ac:dyDescent="0.2">
      <c r="B3146" s="2">
        <f ca="1"/>
        <v>0.37376936210407385</v>
      </c>
      <c r="O3146" s="2">
        <f ca="1"/>
        <v>-1.069985688051988</v>
      </c>
      <c r="X3146" s="2">
        <f ca="1"/>
        <v>67.09990476918135</v>
      </c>
      <c r="AG3146" s="2">
        <f ca="1"/>
        <v>0.35375129586448439</v>
      </c>
      <c r="AH3146" s="2" t="str">
        <f ca="1"/>
        <v>OK</v>
      </c>
    </row>
    <row r="3147" spans="2:34" x14ac:dyDescent="0.2">
      <c r="B3147" s="2">
        <f ca="1"/>
        <v>0.22997330777983405</v>
      </c>
      <c r="O3147" s="2">
        <f ca="1"/>
        <v>-0.62443607073139573</v>
      </c>
      <c r="X3147" s="2">
        <f ca="1"/>
        <v>50.61319019279486</v>
      </c>
      <c r="AG3147" s="2">
        <f ca="1"/>
        <v>0.42217354625132608</v>
      </c>
      <c r="AH3147" s="2" t="str">
        <f ca="1"/>
        <v>Bad</v>
      </c>
    </row>
    <row r="3148" spans="2:34" x14ac:dyDescent="0.2">
      <c r="B3148" s="2">
        <f ca="1"/>
        <v>0.53698137501584098</v>
      </c>
      <c r="O3148" s="2">
        <f ca="1"/>
        <v>-0.25869741267675039</v>
      </c>
      <c r="X3148" s="2">
        <f ca="1"/>
        <v>35.710527857866921</v>
      </c>
      <c r="AG3148" s="2">
        <f ca="1"/>
        <v>0.84494032047675116</v>
      </c>
      <c r="AH3148" s="2" t="str">
        <f ca="1"/>
        <v>Bad</v>
      </c>
    </row>
    <row r="3149" spans="2:34" x14ac:dyDescent="0.2">
      <c r="B3149" s="2">
        <f ca="1"/>
        <v>0.75281686238410228</v>
      </c>
      <c r="O3149" s="2">
        <f ca="1"/>
        <v>0.70247166947664164</v>
      </c>
      <c r="X3149" s="2">
        <f ca="1"/>
        <v>42.586042058715982</v>
      </c>
      <c r="AG3149" s="2">
        <f ca="1"/>
        <v>0.72734669264947316</v>
      </c>
      <c r="AH3149" s="2" t="str">
        <f ca="1"/>
        <v>Bad</v>
      </c>
    </row>
    <row r="3150" spans="2:34" x14ac:dyDescent="0.2">
      <c r="B3150" s="2">
        <f ca="1"/>
        <v>0.57344790849508009</v>
      </c>
      <c r="O3150" s="2">
        <f ca="1"/>
        <v>-0.675003484898135</v>
      </c>
      <c r="X3150" s="2">
        <f ca="1"/>
        <v>40.082136167929114</v>
      </c>
      <c r="AG3150" s="2">
        <f ca="1"/>
        <v>0.50784811456076184</v>
      </c>
      <c r="AH3150" s="2" t="str">
        <f ca="1"/>
        <v>Bad</v>
      </c>
    </row>
    <row r="3151" spans="2:34" x14ac:dyDescent="0.2">
      <c r="B3151" s="2">
        <f ca="1"/>
        <v>0.23541633284398267</v>
      </c>
      <c r="O3151" s="2">
        <f ca="1"/>
        <v>-0.62410751182069579</v>
      </c>
      <c r="X3151" s="2">
        <f ca="1"/>
        <v>35.45313017501779</v>
      </c>
      <c r="AG3151" s="2">
        <f ca="1"/>
        <v>0.30186686735522672</v>
      </c>
      <c r="AH3151" s="2" t="str">
        <f ca="1"/>
        <v>OK</v>
      </c>
    </row>
    <row r="3152" spans="2:34" x14ac:dyDescent="0.2">
      <c r="B3152" s="2">
        <f ca="1"/>
        <v>0.28840201877383209</v>
      </c>
      <c r="O3152" s="2">
        <f ca="1"/>
        <v>0.87500254344882067</v>
      </c>
      <c r="X3152" s="2">
        <f ca="1"/>
        <v>41.080233141816294</v>
      </c>
      <c r="AG3152" s="2">
        <f ca="1"/>
        <v>0.16766279685904451</v>
      </c>
      <c r="AH3152" s="2" t="str">
        <f ca="1"/>
        <v>OK</v>
      </c>
    </row>
    <row r="3153" spans="2:34" x14ac:dyDescent="0.2">
      <c r="B3153" s="2">
        <f ca="1"/>
        <v>6.5178154961958557E-2</v>
      </c>
      <c r="O3153" s="2">
        <f ca="1"/>
        <v>-0.67020253770551519</v>
      </c>
      <c r="X3153" s="2">
        <f ca="1"/>
        <v>55.160889493822282</v>
      </c>
      <c r="AG3153" s="2">
        <f ca="1"/>
        <v>0.72815277648911492</v>
      </c>
      <c r="AH3153" s="2" t="str">
        <f ca="1"/>
        <v>Bad</v>
      </c>
    </row>
    <row r="3154" spans="2:34" x14ac:dyDescent="0.2">
      <c r="B3154" s="2">
        <f ca="1"/>
        <v>0.23966039097966729</v>
      </c>
      <c r="O3154" s="2">
        <f ca="1"/>
        <v>0.3436468885261964</v>
      </c>
      <c r="X3154" s="2">
        <f ca="1"/>
        <v>36.761683309298171</v>
      </c>
      <c r="AG3154" s="2">
        <f ca="1"/>
        <v>0.71797428889685455</v>
      </c>
      <c r="AH3154" s="2" t="str">
        <f ca="1"/>
        <v>Bad</v>
      </c>
    </row>
    <row r="3155" spans="2:34" x14ac:dyDescent="0.2">
      <c r="B3155" s="2">
        <f ca="1"/>
        <v>0.10208101090499166</v>
      </c>
      <c r="O3155" s="2">
        <f ca="1"/>
        <v>0.14346676804501821</v>
      </c>
      <c r="X3155" s="2">
        <f ca="1"/>
        <v>42.596431554608671</v>
      </c>
      <c r="AG3155" s="2">
        <f ca="1"/>
        <v>0.85227796985440873</v>
      </c>
      <c r="AH3155" s="2" t="str">
        <f ca="1"/>
        <v>Bad</v>
      </c>
    </row>
    <row r="3156" spans="2:34" x14ac:dyDescent="0.2">
      <c r="B3156" s="2">
        <f ca="1"/>
        <v>0.3244633981561067</v>
      </c>
      <c r="O3156" s="2">
        <f ca="1"/>
        <v>-0.44777688087438777</v>
      </c>
      <c r="X3156" s="2">
        <f ca="1"/>
        <v>34.444330045662284</v>
      </c>
      <c r="AG3156" s="2">
        <f ca="1"/>
        <v>0.97673852468672906</v>
      </c>
      <c r="AH3156" s="2" t="str">
        <f ca="1"/>
        <v>Bad</v>
      </c>
    </row>
    <row r="3157" spans="2:34" x14ac:dyDescent="0.2">
      <c r="B3157" s="2">
        <f ca="1"/>
        <v>0.33629633937026648</v>
      </c>
      <c r="O3157" s="2">
        <f ca="1"/>
        <v>0.93763184538390465</v>
      </c>
      <c r="X3157" s="2">
        <f ca="1"/>
        <v>37.1503231040179</v>
      </c>
      <c r="AG3157" s="2">
        <f ca="1"/>
        <v>0.22570520523301751</v>
      </c>
      <c r="AH3157" s="2" t="str">
        <f ca="1"/>
        <v>OK</v>
      </c>
    </row>
    <row r="3158" spans="2:34" x14ac:dyDescent="0.2">
      <c r="B3158" s="2">
        <f ca="1"/>
        <v>0.14361322625674799</v>
      </c>
      <c r="O3158" s="2">
        <f ca="1"/>
        <v>-2.0821932994536008</v>
      </c>
      <c r="X3158" s="2">
        <f ca="1"/>
        <v>34.166243713745821</v>
      </c>
      <c r="AG3158" s="2">
        <f ca="1"/>
        <v>0.3631894204965378</v>
      </c>
      <c r="AH3158" s="2" t="str">
        <f ca="1"/>
        <v>OK</v>
      </c>
    </row>
    <row r="3159" spans="2:34" x14ac:dyDescent="0.2">
      <c r="B3159" s="2">
        <f ca="1"/>
        <v>0.57414656517621498</v>
      </c>
      <c r="O3159" s="2">
        <f ca="1"/>
        <v>0.23167804003159187</v>
      </c>
      <c r="X3159" s="2">
        <f ca="1"/>
        <v>61.048152836716653</v>
      </c>
      <c r="AG3159" s="2">
        <f ca="1"/>
        <v>0.67660569109178326</v>
      </c>
      <c r="AH3159" s="2" t="str">
        <f ca="1"/>
        <v>Bad</v>
      </c>
    </row>
    <row r="3160" spans="2:34" x14ac:dyDescent="0.2">
      <c r="B3160" s="2">
        <f ca="1"/>
        <v>0.27363248684066321</v>
      </c>
      <c r="O3160" s="2">
        <f ca="1"/>
        <v>-0.30211221789474463</v>
      </c>
      <c r="X3160" s="2">
        <f ca="1"/>
        <v>51.522249803626295</v>
      </c>
      <c r="AG3160" s="2">
        <f ca="1"/>
        <v>0.60462656560467676</v>
      </c>
      <c r="AH3160" s="2" t="str">
        <f ca="1"/>
        <v>Bad</v>
      </c>
    </row>
    <row r="3161" spans="2:34" x14ac:dyDescent="0.2">
      <c r="B3161" s="2">
        <f ca="1"/>
        <v>0.96021327207851148</v>
      </c>
      <c r="O3161" s="2">
        <f ca="1"/>
        <v>-0.65738406925894732</v>
      </c>
      <c r="X3161" s="2">
        <f ca="1"/>
        <v>35.347633269182033</v>
      </c>
      <c r="AG3161" s="2">
        <f ca="1"/>
        <v>0.5159110433928018</v>
      </c>
      <c r="AH3161" s="2" t="str">
        <f ca="1"/>
        <v>Bad</v>
      </c>
    </row>
    <row r="3162" spans="2:34" x14ac:dyDescent="0.2">
      <c r="B3162" s="2">
        <f ca="1"/>
        <v>0.79700205140397928</v>
      </c>
      <c r="O3162" s="2">
        <f ca="1"/>
        <v>0.36158905148124965</v>
      </c>
      <c r="X3162" s="2">
        <f ca="1"/>
        <v>36.022729298564812</v>
      </c>
      <c r="AG3162" s="2">
        <f ca="1"/>
        <v>0.11629770920215976</v>
      </c>
      <c r="AH3162" s="2" t="str">
        <f ca="1"/>
        <v>OK</v>
      </c>
    </row>
    <row r="3163" spans="2:34" x14ac:dyDescent="0.2">
      <c r="B3163" s="2">
        <f ca="1"/>
        <v>0.52747138920947823</v>
      </c>
      <c r="O3163" s="2">
        <f ca="1"/>
        <v>-2.3691603430274091</v>
      </c>
      <c r="X3163" s="2">
        <f ca="1"/>
        <v>83.740942092775171</v>
      </c>
      <c r="AG3163" s="2">
        <f ca="1"/>
        <v>0.31157632133862534</v>
      </c>
      <c r="AH3163" s="2" t="str">
        <f ca="1"/>
        <v>OK</v>
      </c>
    </row>
    <row r="3164" spans="2:34" x14ac:dyDescent="0.2">
      <c r="B3164" s="2">
        <f ca="1"/>
        <v>0.93509972871039748</v>
      </c>
      <c r="O3164" s="2">
        <f ca="1"/>
        <v>-0.34750243360009869</v>
      </c>
      <c r="X3164" s="2">
        <f ca="1"/>
        <v>53.785345466596581</v>
      </c>
      <c r="AG3164" s="2">
        <f ca="1"/>
        <v>0.57830179055126485</v>
      </c>
      <c r="AH3164" s="2" t="str">
        <f ca="1"/>
        <v>Bad</v>
      </c>
    </row>
    <row r="3165" spans="2:34" x14ac:dyDescent="0.2">
      <c r="B3165" s="2">
        <f ca="1"/>
        <v>0.47054300142384164</v>
      </c>
      <c r="O3165" s="2">
        <f ca="1"/>
        <v>-1.1868152020962182</v>
      </c>
      <c r="X3165" s="2">
        <f ca="1"/>
        <v>49.857375419683777</v>
      </c>
      <c r="AG3165" s="2">
        <f ca="1"/>
        <v>0.66562386242680449</v>
      </c>
      <c r="AH3165" s="2" t="str">
        <f ca="1"/>
        <v>Bad</v>
      </c>
    </row>
    <row r="3166" spans="2:34" x14ac:dyDescent="0.2">
      <c r="B3166" s="2">
        <f ca="1"/>
        <v>0.66784713211066338</v>
      </c>
      <c r="O3166" s="2">
        <f ca="1"/>
        <v>-0.24421808857837188</v>
      </c>
      <c r="X3166" s="2">
        <f ca="1"/>
        <v>37.479373892299805</v>
      </c>
      <c r="AG3166" s="2">
        <f ca="1"/>
        <v>0.16444713493184637</v>
      </c>
      <c r="AH3166" s="2" t="str">
        <f ca="1"/>
        <v>OK</v>
      </c>
    </row>
    <row r="3167" spans="2:34" x14ac:dyDescent="0.2">
      <c r="B3167" s="2">
        <f ca="1"/>
        <v>0.80200855690049133</v>
      </c>
      <c r="O3167" s="2">
        <f ca="1"/>
        <v>0.72619413803222843</v>
      </c>
      <c r="X3167" s="2">
        <f ca="1"/>
        <v>42.096854867013242</v>
      </c>
      <c r="AG3167" s="2">
        <f ca="1"/>
        <v>0.50350710059211234</v>
      </c>
      <c r="AH3167" s="2" t="str">
        <f ca="1"/>
        <v>Bad</v>
      </c>
    </row>
    <row r="3168" spans="2:34" x14ac:dyDescent="0.2">
      <c r="B3168" s="2">
        <f ca="1"/>
        <v>0.82734209654080626</v>
      </c>
      <c r="O3168" s="2">
        <f ca="1"/>
        <v>0.72184687080388632</v>
      </c>
      <c r="X3168" s="2">
        <f ca="1"/>
        <v>61.832754942842108</v>
      </c>
      <c r="AG3168" s="2">
        <f ca="1"/>
        <v>0.25564709394108509</v>
      </c>
      <c r="AH3168" s="2" t="str">
        <f ca="1"/>
        <v>OK</v>
      </c>
    </row>
    <row r="3169" spans="2:34" x14ac:dyDescent="0.2">
      <c r="B3169" s="2">
        <f ca="1"/>
        <v>0.63620673073658351</v>
      </c>
      <c r="O3169" s="2">
        <f ca="1"/>
        <v>7.8314248972035067E-2</v>
      </c>
      <c r="X3169" s="2">
        <f ca="1"/>
        <v>76.472160274032888</v>
      </c>
      <c r="AG3169" s="2">
        <f ca="1"/>
        <v>0.46667891566922148</v>
      </c>
      <c r="AH3169" s="2" t="str">
        <f ca="1"/>
        <v>Bad</v>
      </c>
    </row>
    <row r="3170" spans="2:34" x14ac:dyDescent="0.2">
      <c r="B3170" s="2">
        <f ca="1"/>
        <v>0.14776319538732419</v>
      </c>
      <c r="O3170" s="2">
        <f ca="1"/>
        <v>-0.10743469380462181</v>
      </c>
      <c r="X3170" s="2">
        <f ca="1"/>
        <v>44.701442541423773</v>
      </c>
      <c r="AG3170" s="2">
        <f ca="1"/>
        <v>9.3597804573967158E-2</v>
      </c>
      <c r="AH3170" s="2" t="str">
        <f ca="1"/>
        <v>OK</v>
      </c>
    </row>
    <row r="3171" spans="2:34" x14ac:dyDescent="0.2">
      <c r="B3171" s="2">
        <f ca="1"/>
        <v>0.53600032238987305</v>
      </c>
      <c r="O3171" s="2">
        <f ca="1"/>
        <v>0.20643911841623364</v>
      </c>
      <c r="X3171" s="2">
        <f ca="1"/>
        <v>79.279011276894494</v>
      </c>
      <c r="AG3171" s="2">
        <f ca="1"/>
        <v>0.16085430671727141</v>
      </c>
      <c r="AH3171" s="2" t="str">
        <f ca="1"/>
        <v>OK</v>
      </c>
    </row>
    <row r="3172" spans="2:34" x14ac:dyDescent="0.2">
      <c r="B3172" s="2">
        <f ca="1"/>
        <v>0.46292892575980482</v>
      </c>
      <c r="O3172" s="2">
        <f ca="1"/>
        <v>-1.6004866337550778</v>
      </c>
      <c r="X3172" s="2">
        <f ca="1"/>
        <v>38.078954656255611</v>
      </c>
      <c r="AG3172" s="2">
        <f ca="1"/>
        <v>0.3170429192963804</v>
      </c>
      <c r="AH3172" s="2" t="str">
        <f ca="1"/>
        <v>OK</v>
      </c>
    </row>
    <row r="3173" spans="2:34" x14ac:dyDescent="0.2">
      <c r="B3173" s="2">
        <f ca="1"/>
        <v>0.26449857274490229</v>
      </c>
      <c r="O3173" s="2">
        <f ca="1"/>
        <v>-0.65855328540149216</v>
      </c>
      <c r="X3173" s="2">
        <f ca="1"/>
        <v>49.037003669550352</v>
      </c>
      <c r="AG3173" s="2">
        <f ca="1"/>
        <v>7.630812835866263E-2</v>
      </c>
      <c r="AH3173" s="2" t="str">
        <f ca="1"/>
        <v>OK</v>
      </c>
    </row>
    <row r="3174" spans="2:34" x14ac:dyDescent="0.2">
      <c r="B3174" s="2">
        <f ca="1"/>
        <v>0.59415622823860148</v>
      </c>
      <c r="O3174" s="2">
        <f ca="1"/>
        <v>0.83622625080368695</v>
      </c>
      <c r="X3174" s="2">
        <f ca="1"/>
        <v>62.513298898978185</v>
      </c>
      <c r="AG3174" s="2">
        <f ca="1"/>
        <v>0.56814336309971547</v>
      </c>
      <c r="AH3174" s="2" t="str">
        <f ca="1"/>
        <v>Bad</v>
      </c>
    </row>
    <row r="3175" spans="2:34" x14ac:dyDescent="0.2">
      <c r="B3175" s="2">
        <f ca="1"/>
        <v>0.9530543417003281</v>
      </c>
      <c r="O3175" s="2">
        <f ca="1"/>
        <v>-1.1216557317554463</v>
      </c>
      <c r="X3175" s="2">
        <f ca="1"/>
        <v>62.479618409680782</v>
      </c>
      <c r="AG3175" s="2">
        <f ca="1"/>
        <v>0.25465152233955402</v>
      </c>
      <c r="AH3175" s="2" t="str">
        <f ca="1"/>
        <v>OK</v>
      </c>
    </row>
    <row r="3176" spans="2:34" x14ac:dyDescent="0.2">
      <c r="B3176" s="2">
        <f ca="1"/>
        <v>0.14955783640410236</v>
      </c>
      <c r="O3176" s="2">
        <f ca="1"/>
        <v>0.22918094142433687</v>
      </c>
      <c r="X3176" s="2">
        <f ca="1"/>
        <v>50.389272206700795</v>
      </c>
      <c r="AG3176" s="2">
        <f ca="1"/>
        <v>0.5895072796042311</v>
      </c>
      <c r="AH3176" s="2" t="str">
        <f ca="1"/>
        <v>Bad</v>
      </c>
    </row>
    <row r="3177" spans="2:34" x14ac:dyDescent="0.2">
      <c r="B3177" s="2">
        <f ca="1"/>
        <v>0.31329992924926309</v>
      </c>
      <c r="O3177" s="2">
        <f ca="1"/>
        <v>-0.93447359295239396</v>
      </c>
      <c r="X3177" s="2">
        <f ca="1"/>
        <v>51.798761604062079</v>
      </c>
      <c r="AG3177" s="2">
        <f ca="1"/>
        <v>0.28695514949970535</v>
      </c>
      <c r="AH3177" s="2" t="str">
        <f ca="1"/>
        <v>OK</v>
      </c>
    </row>
    <row r="3178" spans="2:34" x14ac:dyDescent="0.2">
      <c r="B3178" s="2">
        <f ca="1"/>
        <v>0.78521561815003493</v>
      </c>
      <c r="O3178" s="2">
        <f ca="1"/>
        <v>-1.678569390840504E-2</v>
      </c>
      <c r="X3178" s="2">
        <f ca="1"/>
        <v>50.231615861722503</v>
      </c>
      <c r="AG3178" s="2">
        <f ca="1"/>
        <v>0.77894171702391657</v>
      </c>
      <c r="AH3178" s="2" t="str">
        <f ca="1"/>
        <v>Bad</v>
      </c>
    </row>
    <row r="3179" spans="2:34" x14ac:dyDescent="0.2">
      <c r="B3179" s="2">
        <f ca="1"/>
        <v>0.18164860507991976</v>
      </c>
      <c r="O3179" s="2">
        <f ca="1"/>
        <v>-1.1538395571192723</v>
      </c>
      <c r="X3179" s="2">
        <f ca="1"/>
        <v>47.816718137457983</v>
      </c>
      <c r="AG3179" s="2">
        <f ca="1"/>
        <v>0.63152822399719621</v>
      </c>
      <c r="AH3179" s="2" t="str">
        <f ca="1"/>
        <v>Bad</v>
      </c>
    </row>
    <row r="3180" spans="2:34" x14ac:dyDescent="0.2">
      <c r="B3180" s="2">
        <f ca="1"/>
        <v>0.37245070630076005</v>
      </c>
      <c r="O3180" s="2">
        <f ca="1"/>
        <v>0.99074341021462464</v>
      </c>
      <c r="X3180" s="2">
        <f ca="1"/>
        <v>31.159506549163545</v>
      </c>
      <c r="AG3180" s="2">
        <f ca="1"/>
        <v>0.4782239880192205</v>
      </c>
      <c r="AH3180" s="2" t="str">
        <f ca="1"/>
        <v>Bad</v>
      </c>
    </row>
    <row r="3181" spans="2:34" x14ac:dyDescent="0.2">
      <c r="B3181" s="2">
        <f ca="1"/>
        <v>0.3754034732049305</v>
      </c>
      <c r="O3181" s="2">
        <f ca="1"/>
        <v>0.95850399772213712</v>
      </c>
      <c r="X3181" s="2">
        <f ca="1"/>
        <v>65.019344959560044</v>
      </c>
      <c r="AG3181" s="2">
        <f ca="1"/>
        <v>0.64210866456047766</v>
      </c>
      <c r="AH3181" s="2" t="str">
        <f ca="1"/>
        <v>Bad</v>
      </c>
    </row>
    <row r="3182" spans="2:34" x14ac:dyDescent="0.2">
      <c r="B3182" s="2">
        <f ca="1"/>
        <v>0.35151243848749836</v>
      </c>
      <c r="O3182" s="2">
        <f ca="1"/>
        <v>-1.6259387619040109</v>
      </c>
      <c r="X3182" s="2">
        <f ca="1"/>
        <v>81.039071728902883</v>
      </c>
      <c r="AG3182" s="2">
        <f ca="1"/>
        <v>0.4102233032223328</v>
      </c>
      <c r="AH3182" s="2" t="str">
        <f ca="1"/>
        <v>Bad</v>
      </c>
    </row>
    <row r="3183" spans="2:34" x14ac:dyDescent="0.2">
      <c r="B3183" s="2">
        <f ca="1"/>
        <v>0.1567481005500615</v>
      </c>
      <c r="O3183" s="2">
        <f ca="1"/>
        <v>0.76766897610193718</v>
      </c>
      <c r="X3183" s="2">
        <f ca="1"/>
        <v>49.301282917500664</v>
      </c>
      <c r="AG3183" s="2">
        <f ca="1"/>
        <v>0.84696099482659037</v>
      </c>
      <c r="AH3183" s="2" t="str">
        <f ca="1"/>
        <v>Bad</v>
      </c>
    </row>
    <row r="3184" spans="2:34" x14ac:dyDescent="0.2">
      <c r="B3184" s="2">
        <f ca="1"/>
        <v>0.88956096037188104</v>
      </c>
      <c r="O3184" s="2">
        <f ca="1"/>
        <v>-0.13778187545109505</v>
      </c>
      <c r="X3184" s="2">
        <f ca="1"/>
        <v>52.425376762966849</v>
      </c>
      <c r="AG3184" s="2">
        <f ca="1"/>
        <v>0.40570308497985264</v>
      </c>
      <c r="AH3184" s="2" t="str">
        <f ca="1"/>
        <v>Bad</v>
      </c>
    </row>
    <row r="3185" spans="2:34" x14ac:dyDescent="0.2">
      <c r="B3185" s="2">
        <f ca="1"/>
        <v>0.76486003308589878</v>
      </c>
      <c r="O3185" s="2">
        <f ca="1"/>
        <v>1.2908012225366923</v>
      </c>
      <c r="X3185" s="2">
        <f ca="1"/>
        <v>64.994155988167563</v>
      </c>
      <c r="AG3185" s="2">
        <f ca="1"/>
        <v>0.75803132441243148</v>
      </c>
      <c r="AH3185" s="2" t="str">
        <f ca="1"/>
        <v>Bad</v>
      </c>
    </row>
    <row r="3186" spans="2:34" x14ac:dyDescent="0.2">
      <c r="B3186" s="2">
        <f ca="1"/>
        <v>0.75118017613348109</v>
      </c>
      <c r="O3186" s="2">
        <f ca="1"/>
        <v>-0.3528075626738289</v>
      </c>
      <c r="X3186" s="2">
        <f ca="1"/>
        <v>62.733233603998706</v>
      </c>
      <c r="AG3186" s="2">
        <f ca="1"/>
        <v>0.10897204970561747</v>
      </c>
      <c r="AH3186" s="2" t="str">
        <f ca="1"/>
        <v>OK</v>
      </c>
    </row>
    <row r="3187" spans="2:34" x14ac:dyDescent="0.2">
      <c r="B3187" s="2">
        <f ca="1"/>
        <v>0.99112134357365145</v>
      </c>
      <c r="O3187" s="2">
        <f ca="1"/>
        <v>-0.22052643059054933</v>
      </c>
      <c r="X3187" s="2">
        <f ca="1"/>
        <v>45.314543375860339</v>
      </c>
      <c r="AG3187" s="2">
        <f ca="1"/>
        <v>0.31512624454029825</v>
      </c>
      <c r="AH3187" s="2" t="str">
        <f ca="1"/>
        <v>OK</v>
      </c>
    </row>
    <row r="3188" spans="2:34" x14ac:dyDescent="0.2">
      <c r="B3188" s="2">
        <f ca="1"/>
        <v>2.7136673375925291E-2</v>
      </c>
      <c r="O3188" s="2">
        <f ca="1"/>
        <v>2.1951116297128301</v>
      </c>
      <c r="X3188" s="2">
        <f ca="1"/>
        <v>30.893726730062102</v>
      </c>
      <c r="AG3188" s="2">
        <f ca="1"/>
        <v>0.37900365792971336</v>
      </c>
      <c r="AH3188" s="2" t="str">
        <f ca="1"/>
        <v>OK</v>
      </c>
    </row>
    <row r="3189" spans="2:34" x14ac:dyDescent="0.2">
      <c r="B3189" s="2">
        <f ca="1"/>
        <v>0.47687892450725577</v>
      </c>
      <c r="O3189" s="2">
        <f ca="1"/>
        <v>-1.5368141892993659</v>
      </c>
      <c r="X3189" s="2">
        <f ca="1"/>
        <v>84.651309232884074</v>
      </c>
      <c r="AG3189" s="2">
        <f ca="1"/>
        <v>0.53145830198387567</v>
      </c>
      <c r="AH3189" s="2" t="str">
        <f ca="1"/>
        <v>Bad</v>
      </c>
    </row>
    <row r="3190" spans="2:34" x14ac:dyDescent="0.2">
      <c r="B3190" s="2">
        <f ca="1"/>
        <v>0.18176923143393142</v>
      </c>
      <c r="O3190" s="2">
        <f ca="1"/>
        <v>1.8356030988822316</v>
      </c>
      <c r="X3190" s="2">
        <f ca="1"/>
        <v>55.520715129523637</v>
      </c>
      <c r="AG3190" s="2">
        <f ca="1"/>
        <v>0.78987045374796638</v>
      </c>
      <c r="AH3190" s="2" t="str">
        <f ca="1"/>
        <v>Bad</v>
      </c>
    </row>
    <row r="3191" spans="2:34" x14ac:dyDescent="0.2">
      <c r="B3191" s="2">
        <f ca="1"/>
        <v>0.50870197749926049</v>
      </c>
      <c r="O3191" s="2">
        <f ca="1"/>
        <v>-0.74154718408089804</v>
      </c>
      <c r="X3191" s="2">
        <f ca="1"/>
        <v>41.437238365309817</v>
      </c>
      <c r="AG3191" s="2">
        <f ca="1"/>
        <v>0.25624140756034119</v>
      </c>
      <c r="AH3191" s="2" t="str">
        <f ca="1"/>
        <v>OK</v>
      </c>
    </row>
    <row r="3192" spans="2:34" x14ac:dyDescent="0.2">
      <c r="B3192" s="2">
        <f ca="1"/>
        <v>0.44028591700106423</v>
      </c>
      <c r="O3192" s="2">
        <f ca="1"/>
        <v>-1.2300849224950685</v>
      </c>
      <c r="X3192" s="2">
        <f ca="1"/>
        <v>41.915587354290608</v>
      </c>
      <c r="AG3192" s="2">
        <f ca="1"/>
        <v>0.76884785504410846</v>
      </c>
      <c r="AH3192" s="2" t="str">
        <f ca="1"/>
        <v>Bad</v>
      </c>
    </row>
    <row r="3193" spans="2:34" x14ac:dyDescent="0.2">
      <c r="B3193" s="2">
        <f ca="1"/>
        <v>0.74405597602419116</v>
      </c>
      <c r="O3193" s="2">
        <f ca="1"/>
        <v>-0.30015504755349526</v>
      </c>
      <c r="X3193" s="2">
        <f ca="1"/>
        <v>66.494013846742192</v>
      </c>
      <c r="AG3193" s="2">
        <f ca="1"/>
        <v>7.0606369684223624E-2</v>
      </c>
      <c r="AH3193" s="2" t="str">
        <f ca="1"/>
        <v>OK</v>
      </c>
    </row>
    <row r="3194" spans="2:34" x14ac:dyDescent="0.2">
      <c r="B3194" s="2">
        <f ca="1"/>
        <v>0.47356180046501151</v>
      </c>
      <c r="O3194" s="2">
        <f ca="1"/>
        <v>-3.241972212440781</v>
      </c>
      <c r="X3194" s="2">
        <f ca="1"/>
        <v>61.83770921743519</v>
      </c>
      <c r="AG3194" s="2">
        <f ca="1"/>
        <v>0.57421626376501589</v>
      </c>
      <c r="AH3194" s="2" t="str">
        <f ca="1"/>
        <v>Bad</v>
      </c>
    </row>
    <row r="3195" spans="2:34" x14ac:dyDescent="0.2">
      <c r="B3195" s="2">
        <f ca="1"/>
        <v>0.19052105138266029</v>
      </c>
      <c r="O3195" s="2">
        <f ca="1"/>
        <v>3.3316407778636092E-2</v>
      </c>
      <c r="X3195" s="2">
        <f ca="1"/>
        <v>55.819694668151662</v>
      </c>
      <c r="AG3195" s="2">
        <f ca="1"/>
        <v>0.27590164008655949</v>
      </c>
      <c r="AH3195" s="2" t="str">
        <f ca="1"/>
        <v>OK</v>
      </c>
    </row>
    <row r="3196" spans="2:34" x14ac:dyDescent="0.2">
      <c r="B3196" s="2">
        <f ca="1"/>
        <v>0.24252667075142775</v>
      </c>
      <c r="O3196" s="2">
        <f ca="1"/>
        <v>-0.59058729041264868</v>
      </c>
      <c r="X3196" s="2">
        <f ca="1"/>
        <v>43.780823262257201</v>
      </c>
      <c r="AG3196" s="2">
        <f ca="1"/>
        <v>4.9404764897352571E-2</v>
      </c>
      <c r="AH3196" s="2" t="str">
        <f ca="1"/>
        <v>Good</v>
      </c>
    </row>
    <row r="3197" spans="2:34" x14ac:dyDescent="0.2">
      <c r="B3197" s="2">
        <f ca="1"/>
        <v>0.29194461414104178</v>
      </c>
      <c r="O3197" s="2">
        <f ca="1"/>
        <v>0.31067798650207068</v>
      </c>
      <c r="X3197" s="2">
        <f ca="1"/>
        <v>59.692215930958639</v>
      </c>
      <c r="AG3197" s="2">
        <f ca="1"/>
        <v>0.15333658113772564</v>
      </c>
      <c r="AH3197" s="2" t="str">
        <f ca="1"/>
        <v>OK</v>
      </c>
    </row>
    <row r="3198" spans="2:34" x14ac:dyDescent="0.2">
      <c r="B3198" s="2">
        <f ca="1"/>
        <v>0.97381668907289343</v>
      </c>
      <c r="O3198" s="2">
        <f ca="1"/>
        <v>1.5809043569677514</v>
      </c>
      <c r="X3198" s="2">
        <f ca="1"/>
        <v>60.353810767775215</v>
      </c>
      <c r="AG3198" s="2">
        <f ca="1"/>
        <v>0.86741800954938952</v>
      </c>
      <c r="AH3198" s="2" t="str">
        <f ca="1"/>
        <v>Bad</v>
      </c>
    </row>
    <row r="3199" spans="2:34" x14ac:dyDescent="0.2">
      <c r="B3199" s="2">
        <f ca="1"/>
        <v>0.59740815409096859</v>
      </c>
      <c r="O3199" s="2">
        <f ca="1"/>
        <v>-1.3080002894934094E-2</v>
      </c>
      <c r="X3199" s="2">
        <f ca="1"/>
        <v>60.967067616775317</v>
      </c>
      <c r="AG3199" s="2">
        <f ca="1"/>
        <v>0.36510562035367311</v>
      </c>
      <c r="AH3199" s="2" t="str">
        <f ca="1"/>
        <v>OK</v>
      </c>
    </row>
    <row r="3200" spans="2:34" x14ac:dyDescent="0.2">
      <c r="B3200" s="2">
        <f ca="1"/>
        <v>0.54353579768215377</v>
      </c>
      <c r="O3200" s="2">
        <f ca="1"/>
        <v>0.10354193701078691</v>
      </c>
      <c r="X3200" s="2">
        <f ca="1"/>
        <v>23.067288578512933</v>
      </c>
      <c r="AG3200" s="2">
        <f ca="1"/>
        <v>0.46098291145096115</v>
      </c>
      <c r="AH3200" s="2" t="str">
        <f ca="1"/>
        <v>Bad</v>
      </c>
    </row>
    <row r="3201" spans="2:34" x14ac:dyDescent="0.2">
      <c r="B3201" s="2">
        <f ca="1"/>
        <v>0.71894732551442608</v>
      </c>
      <c r="O3201" s="2">
        <f ca="1"/>
        <v>-0.1337583684755243</v>
      </c>
      <c r="X3201" s="2">
        <f ca="1"/>
        <v>52.69763720862575</v>
      </c>
      <c r="AG3201" s="2">
        <f ca="1"/>
        <v>0.22488953517854293</v>
      </c>
      <c r="AH3201" s="2" t="str">
        <f ca="1"/>
        <v>OK</v>
      </c>
    </row>
    <row r="3202" spans="2:34" x14ac:dyDescent="0.2">
      <c r="B3202" s="2">
        <f ca="1"/>
        <v>0.7123157903170203</v>
      </c>
      <c r="O3202" s="2">
        <f ca="1"/>
        <v>1.8005538149333302</v>
      </c>
      <c r="X3202" s="2">
        <f ca="1"/>
        <v>31.521765831344766</v>
      </c>
      <c r="AG3202" s="2">
        <f ca="1"/>
        <v>0.9722027972768319</v>
      </c>
      <c r="AH3202" s="2" t="str">
        <f ca="1"/>
        <v>Bad</v>
      </c>
    </row>
    <row r="3203" spans="2:34" x14ac:dyDescent="0.2">
      <c r="B3203" s="2">
        <f ca="1"/>
        <v>0.78804469964702029</v>
      </c>
      <c r="O3203" s="2">
        <f ca="1"/>
        <v>-1.665861971505848</v>
      </c>
      <c r="X3203" s="2">
        <f ca="1"/>
        <v>25.997486184507007</v>
      </c>
      <c r="AG3203" s="2">
        <f ca="1"/>
        <v>0.76646482425172602</v>
      </c>
      <c r="AH3203" s="2" t="str">
        <f ca="1"/>
        <v>Bad</v>
      </c>
    </row>
    <row r="3204" spans="2:34" x14ac:dyDescent="0.2">
      <c r="B3204" s="2">
        <f ca="1"/>
        <v>0.18905853724830091</v>
      </c>
      <c r="O3204" s="2">
        <f ca="1"/>
        <v>0.28135512554697684</v>
      </c>
      <c r="X3204" s="2">
        <f ca="1"/>
        <v>65.717881142107075</v>
      </c>
      <c r="AG3204" s="2">
        <f ca="1"/>
        <v>0.134245736290308</v>
      </c>
      <c r="AH3204" s="2" t="str">
        <f ca="1"/>
        <v>OK</v>
      </c>
    </row>
    <row r="3205" spans="2:34" x14ac:dyDescent="0.2">
      <c r="B3205" s="2">
        <f ca="1"/>
        <v>0.63388039880451608</v>
      </c>
      <c r="O3205" s="2">
        <f ca="1"/>
        <v>1.88647637309978</v>
      </c>
      <c r="X3205" s="2">
        <f ca="1"/>
        <v>32.938441905514694</v>
      </c>
      <c r="AG3205" s="2">
        <f ca="1"/>
        <v>0.33949838715774083</v>
      </c>
      <c r="AH3205" s="2" t="str">
        <f ca="1"/>
        <v>OK</v>
      </c>
    </row>
    <row r="3206" spans="2:34" x14ac:dyDescent="0.2">
      <c r="B3206" s="2">
        <f ca="1"/>
        <v>0.8892351830485492</v>
      </c>
      <c r="O3206" s="2">
        <f ca="1"/>
        <v>-0.20398216813483808</v>
      </c>
      <c r="X3206" s="2">
        <f ca="1"/>
        <v>68.332913206850606</v>
      </c>
      <c r="AG3206" s="2">
        <f ca="1"/>
        <v>0.71442356724393541</v>
      </c>
      <c r="AH3206" s="2" t="str">
        <f ca="1"/>
        <v>Bad</v>
      </c>
    </row>
    <row r="3207" spans="2:34" x14ac:dyDescent="0.2">
      <c r="B3207" s="2">
        <f ca="1"/>
        <v>0.29892268480601403</v>
      </c>
      <c r="O3207" s="2">
        <f ca="1"/>
        <v>1.3117742559248189</v>
      </c>
      <c r="X3207" s="2">
        <f ca="1"/>
        <v>48.580326302447659</v>
      </c>
      <c r="AG3207" s="2">
        <f ca="1"/>
        <v>0.44499882956763126</v>
      </c>
      <c r="AH3207" s="2" t="str">
        <f ca="1"/>
        <v>Bad</v>
      </c>
    </row>
    <row r="3208" spans="2:34" x14ac:dyDescent="0.2">
      <c r="B3208" s="2">
        <f ca="1"/>
        <v>0.87442153855119797</v>
      </c>
      <c r="O3208" s="2">
        <f ca="1"/>
        <v>1.8032042170839353</v>
      </c>
      <c r="X3208" s="2">
        <f ca="1"/>
        <v>40.60277386526846</v>
      </c>
      <c r="AG3208" s="2">
        <f ca="1"/>
        <v>0.24096278204974642</v>
      </c>
      <c r="AH3208" s="2" t="str">
        <f ca="1"/>
        <v>OK</v>
      </c>
    </row>
    <row r="3209" spans="2:34" x14ac:dyDescent="0.2">
      <c r="B3209" s="2">
        <f ca="1"/>
        <v>0.50421802805792448</v>
      </c>
      <c r="O3209" s="2">
        <f ca="1"/>
        <v>-0.26056738548411623</v>
      </c>
      <c r="X3209" s="2">
        <f ca="1"/>
        <v>44.105930435640055</v>
      </c>
      <c r="AG3209" s="2">
        <f ca="1"/>
        <v>0.56372633033865083</v>
      </c>
      <c r="AH3209" s="2" t="str">
        <f ca="1"/>
        <v>Bad</v>
      </c>
    </row>
    <row r="3210" spans="2:34" x14ac:dyDescent="0.2">
      <c r="B3210" s="2">
        <f ca="1"/>
        <v>0.70786257281347309</v>
      </c>
      <c r="O3210" s="2">
        <f ca="1"/>
        <v>0.51763248725897226</v>
      </c>
      <c r="X3210" s="2">
        <f ca="1"/>
        <v>32.373111729420359</v>
      </c>
      <c r="AG3210" s="2">
        <f ca="1"/>
        <v>0.39587510862137965</v>
      </c>
      <c r="AH3210" s="2" t="str">
        <f ca="1"/>
        <v>OK</v>
      </c>
    </row>
    <row r="3211" spans="2:34" x14ac:dyDescent="0.2">
      <c r="B3211" s="2">
        <f ca="1"/>
        <v>0.76945532333025013</v>
      </c>
      <c r="O3211" s="2">
        <f ca="1"/>
        <v>-0.19876815720606664</v>
      </c>
      <c r="X3211" s="2">
        <f ca="1"/>
        <v>42.327395260093247</v>
      </c>
      <c r="AG3211" s="2">
        <f ca="1"/>
        <v>0.7357974253916939</v>
      </c>
      <c r="AH3211" s="2" t="str">
        <f ca="1"/>
        <v>Bad</v>
      </c>
    </row>
    <row r="3212" spans="2:34" x14ac:dyDescent="0.2">
      <c r="B3212" s="2">
        <f ca="1"/>
        <v>5.8583010627771603E-2</v>
      </c>
      <c r="O3212" s="2">
        <f ca="1"/>
        <v>-0.1116890004783944</v>
      </c>
      <c r="X3212" s="2">
        <f ca="1"/>
        <v>30.405843279817649</v>
      </c>
      <c r="AG3212" s="2">
        <f ca="1"/>
        <v>0.24007418919382983</v>
      </c>
      <c r="AH3212" s="2" t="str">
        <f ca="1"/>
        <v>OK</v>
      </c>
    </row>
    <row r="3213" spans="2:34" x14ac:dyDescent="0.2">
      <c r="B3213" s="2">
        <f ca="1"/>
        <v>0.73233946470199007</v>
      </c>
      <c r="O3213" s="2">
        <f ca="1"/>
        <v>-0.88642754372162036</v>
      </c>
      <c r="X3213" s="2">
        <f ca="1"/>
        <v>40.000491410224186</v>
      </c>
      <c r="AG3213" s="2">
        <f ca="1"/>
        <v>0.71389498680614438</v>
      </c>
      <c r="AH3213" s="2" t="str">
        <f ca="1"/>
        <v>Bad</v>
      </c>
    </row>
    <row r="3214" spans="2:34" x14ac:dyDescent="0.2">
      <c r="B3214" s="2">
        <f ca="1"/>
        <v>0.30767540953842576</v>
      </c>
      <c r="O3214" s="2">
        <f ca="1"/>
        <v>-1.7141575927731509</v>
      </c>
      <c r="X3214" s="2">
        <f ca="1"/>
        <v>39.333018403319635</v>
      </c>
      <c r="AG3214" s="2">
        <f ca="1"/>
        <v>0.19454937228593105</v>
      </c>
      <c r="AH3214" s="2" t="str">
        <f ca="1"/>
        <v>OK</v>
      </c>
    </row>
    <row r="3215" spans="2:34" x14ac:dyDescent="0.2">
      <c r="B3215" s="2">
        <f ca="1"/>
        <v>3.0689732182962004E-2</v>
      </c>
      <c r="O3215" s="2">
        <f ca="1"/>
        <v>1.4030422682542567</v>
      </c>
      <c r="X3215" s="2">
        <f ca="1"/>
        <v>42.720478060069979</v>
      </c>
      <c r="AG3215" s="2">
        <f ca="1"/>
        <v>1.6976152877222983E-2</v>
      </c>
      <c r="AH3215" s="2" t="str">
        <f ca="1"/>
        <v>Good</v>
      </c>
    </row>
    <row r="3216" spans="2:34" x14ac:dyDescent="0.2">
      <c r="B3216" s="2">
        <f ca="1"/>
        <v>0.95266974750679734</v>
      </c>
      <c r="O3216" s="2">
        <f ca="1"/>
        <v>8.8325513583152493E-2</v>
      </c>
      <c r="X3216" s="2">
        <f ca="1"/>
        <v>49.40065958358997</v>
      </c>
      <c r="AG3216" s="2">
        <f ca="1"/>
        <v>0.25177324070012208</v>
      </c>
      <c r="AH3216" s="2" t="str">
        <f ca="1"/>
        <v>OK</v>
      </c>
    </row>
    <row r="3217" spans="2:34" x14ac:dyDescent="0.2">
      <c r="B3217" s="2">
        <f ca="1"/>
        <v>6.7418595028050587E-2</v>
      </c>
      <c r="O3217" s="2">
        <f ca="1"/>
        <v>0.47537556377934692</v>
      </c>
      <c r="X3217" s="2">
        <f ca="1"/>
        <v>59.190184711267221</v>
      </c>
      <c r="AG3217" s="2">
        <f ca="1"/>
        <v>0.64573314123186876</v>
      </c>
      <c r="AH3217" s="2" t="str">
        <f ca="1"/>
        <v>Bad</v>
      </c>
    </row>
    <row r="3218" spans="2:34" x14ac:dyDescent="0.2">
      <c r="B3218" s="2">
        <f ca="1"/>
        <v>0.70171643959213625</v>
      </c>
      <c r="O3218" s="2">
        <f ca="1"/>
        <v>1.0260137169537273</v>
      </c>
      <c r="X3218" s="2">
        <f ca="1"/>
        <v>41.314644846880128</v>
      </c>
      <c r="AG3218" s="2">
        <f ca="1"/>
        <v>0.40897756568619115</v>
      </c>
      <c r="AH3218" s="2" t="str">
        <f ca="1"/>
        <v>Bad</v>
      </c>
    </row>
    <row r="3219" spans="2:34" x14ac:dyDescent="0.2">
      <c r="B3219" s="2">
        <f ca="1"/>
        <v>0.81992086256925356</v>
      </c>
      <c r="O3219" s="2">
        <f ca="1"/>
        <v>-3.7862214183085018E-2</v>
      </c>
      <c r="X3219" s="2">
        <f ca="1"/>
        <v>52.192730652548804</v>
      </c>
      <c r="AG3219" s="2">
        <f ca="1"/>
        <v>2.7149366112071416E-2</v>
      </c>
      <c r="AH3219" s="2" t="str">
        <f ca="1"/>
        <v>Good</v>
      </c>
    </row>
    <row r="3220" spans="2:34" x14ac:dyDescent="0.2">
      <c r="B3220" s="2">
        <f ca="1"/>
        <v>0.7059885627174276</v>
      </c>
      <c r="O3220" s="2">
        <f ca="1"/>
        <v>-0.53531275764547837</v>
      </c>
      <c r="X3220" s="2">
        <f ca="1"/>
        <v>32.652398410953481</v>
      </c>
      <c r="AG3220" s="2">
        <f ca="1"/>
        <v>0.57720533088003934</v>
      </c>
      <c r="AH3220" s="2" t="str">
        <f ca="1"/>
        <v>Bad</v>
      </c>
    </row>
    <row r="3221" spans="2:34" x14ac:dyDescent="0.2">
      <c r="B3221" s="2">
        <f ca="1"/>
        <v>0.60064561506811898</v>
      </c>
      <c r="O3221" s="2">
        <f ca="1"/>
        <v>-0.20343478568732715</v>
      </c>
      <c r="X3221" s="2">
        <f ca="1"/>
        <v>31.232444520657147</v>
      </c>
      <c r="AG3221" s="2">
        <f ca="1"/>
        <v>0.93437646442932132</v>
      </c>
      <c r="AH3221" s="2" t="str">
        <f ca="1"/>
        <v>Bad</v>
      </c>
    </row>
    <row r="3222" spans="2:34" x14ac:dyDescent="0.2">
      <c r="B3222" s="2">
        <f ca="1"/>
        <v>0.26277272833094223</v>
      </c>
      <c r="O3222" s="2">
        <f ca="1"/>
        <v>1.4376290365508368</v>
      </c>
      <c r="X3222" s="2">
        <f ca="1"/>
        <v>53.652552839070097</v>
      </c>
      <c r="AG3222" s="2">
        <f ca="1"/>
        <v>0.10464850157810357</v>
      </c>
      <c r="AH3222" s="2" t="str">
        <f ca="1"/>
        <v>OK</v>
      </c>
    </row>
    <row r="3223" spans="2:34" x14ac:dyDescent="0.2">
      <c r="B3223" s="2">
        <f ca="1"/>
        <v>0.74458374231511115</v>
      </c>
      <c r="O3223" s="2">
        <f ca="1"/>
        <v>1.1328749400942142</v>
      </c>
      <c r="X3223" s="2">
        <f ca="1"/>
        <v>63.74271740091725</v>
      </c>
      <c r="AG3223" s="2">
        <f ca="1"/>
        <v>0.26291814687867965</v>
      </c>
      <c r="AH3223" s="2" t="str">
        <f ca="1"/>
        <v>OK</v>
      </c>
    </row>
    <row r="3224" spans="2:34" x14ac:dyDescent="0.2">
      <c r="B3224" s="2">
        <f ca="1"/>
        <v>0.70436425730671415</v>
      </c>
      <c r="O3224" s="2">
        <f ca="1"/>
        <v>1.576846796077638</v>
      </c>
      <c r="X3224" s="2">
        <f ca="1"/>
        <v>39.703663519841321</v>
      </c>
      <c r="AG3224" s="2">
        <f ca="1"/>
        <v>2.2954070927797776E-2</v>
      </c>
      <c r="AH3224" s="2" t="str">
        <f ca="1"/>
        <v>Good</v>
      </c>
    </row>
    <row r="3225" spans="2:34" x14ac:dyDescent="0.2">
      <c r="B3225" s="2">
        <f ca="1"/>
        <v>0.75574049957971012</v>
      </c>
      <c r="O3225" s="2">
        <f ca="1"/>
        <v>-0.565055504996825</v>
      </c>
      <c r="X3225" s="2">
        <f ca="1"/>
        <v>40.509980424527321</v>
      </c>
      <c r="AG3225" s="2">
        <f ca="1"/>
        <v>0.38649078601293696</v>
      </c>
      <c r="AH3225" s="2" t="str">
        <f ca="1"/>
        <v>OK</v>
      </c>
    </row>
    <row r="3226" spans="2:34" x14ac:dyDescent="0.2">
      <c r="B3226" s="2">
        <f ca="1"/>
        <v>0.52270797959851301</v>
      </c>
      <c r="O3226" s="2">
        <f ca="1"/>
        <v>-0.2582849327201221</v>
      </c>
      <c r="X3226" s="2">
        <f ca="1"/>
        <v>71.392851260461484</v>
      </c>
      <c r="AG3226" s="2">
        <f ca="1"/>
        <v>0.92413596803186748</v>
      </c>
      <c r="AH3226" s="2" t="str">
        <f ca="1"/>
        <v>Bad</v>
      </c>
    </row>
    <row r="3227" spans="2:34" x14ac:dyDescent="0.2">
      <c r="B3227" s="2">
        <f ca="1"/>
        <v>0.15344031107910228</v>
      </c>
      <c r="O3227" s="2">
        <f ca="1"/>
        <v>0.69470956177938892</v>
      </c>
      <c r="X3227" s="2">
        <f ca="1"/>
        <v>35.724338322346263</v>
      </c>
      <c r="AG3227" s="2">
        <f ca="1"/>
        <v>0.89635763119218326</v>
      </c>
      <c r="AH3227" s="2" t="str">
        <f ca="1"/>
        <v>Bad</v>
      </c>
    </row>
    <row r="3228" spans="2:34" x14ac:dyDescent="0.2">
      <c r="B3228" s="2">
        <f ca="1"/>
        <v>2.3582808268028055E-2</v>
      </c>
      <c r="O3228" s="2">
        <f ca="1"/>
        <v>0.33641287472829501</v>
      </c>
      <c r="X3228" s="2">
        <f ca="1"/>
        <v>48.291506980314544</v>
      </c>
      <c r="AG3228" s="2">
        <f ca="1"/>
        <v>4.8381289913037584E-3</v>
      </c>
      <c r="AH3228" s="2" t="str">
        <f ca="1"/>
        <v>Good</v>
      </c>
    </row>
    <row r="3229" spans="2:34" x14ac:dyDescent="0.2">
      <c r="B3229" s="2">
        <f ca="1"/>
        <v>0.2283334752013555</v>
      </c>
      <c r="O3229" s="2">
        <f ca="1"/>
        <v>-0.62567435692348439</v>
      </c>
      <c r="X3229" s="2">
        <f ca="1"/>
        <v>54.426621994867766</v>
      </c>
      <c r="AG3229" s="2">
        <f ca="1"/>
        <v>0.59888758398460795</v>
      </c>
      <c r="AH3229" s="2" t="str">
        <f ca="1"/>
        <v>Bad</v>
      </c>
    </row>
    <row r="3230" spans="2:34" x14ac:dyDescent="0.2">
      <c r="B3230" s="2">
        <f ca="1"/>
        <v>0.9901485514945445</v>
      </c>
      <c r="O3230" s="2">
        <f ca="1"/>
        <v>-0.16165549458363965</v>
      </c>
      <c r="X3230" s="2">
        <f ca="1"/>
        <v>47.789656157322042</v>
      </c>
      <c r="AG3230" s="2">
        <f ca="1"/>
        <v>0.54047384013507083</v>
      </c>
      <c r="AH3230" s="2" t="str">
        <f ca="1"/>
        <v>Bad</v>
      </c>
    </row>
    <row r="3231" spans="2:34" x14ac:dyDescent="0.2">
      <c r="B3231" s="2">
        <f ca="1"/>
        <v>0.44069916566591627</v>
      </c>
      <c r="O3231" s="2">
        <f ca="1"/>
        <v>1.7612685404250767</v>
      </c>
      <c r="X3231" s="2">
        <f ca="1"/>
        <v>43.241261662622968</v>
      </c>
      <c r="AG3231" s="2">
        <f ca="1"/>
        <v>0.57161217500330697</v>
      </c>
      <c r="AH3231" s="2" t="str">
        <f ca="1"/>
        <v>Bad</v>
      </c>
    </row>
    <row r="3232" spans="2:34" x14ac:dyDescent="0.2">
      <c r="B3232" s="2">
        <f ca="1"/>
        <v>6.9553212599543057E-2</v>
      </c>
      <c r="O3232" s="2">
        <f ca="1"/>
        <v>-4.6065088278993971E-2</v>
      </c>
      <c r="X3232" s="2">
        <f ca="1"/>
        <v>35.619411318942213</v>
      </c>
      <c r="AG3232" s="2">
        <f ca="1"/>
        <v>0.95338927863693668</v>
      </c>
      <c r="AH3232" s="2" t="str">
        <f ca="1"/>
        <v>Bad</v>
      </c>
    </row>
    <row r="3233" spans="2:34" x14ac:dyDescent="0.2">
      <c r="B3233" s="2">
        <f ca="1"/>
        <v>0.8910197916683984</v>
      </c>
      <c r="O3233" s="2">
        <f ca="1"/>
        <v>-2.3953851686787089</v>
      </c>
      <c r="X3233" s="2">
        <f ca="1"/>
        <v>52.799713763648441</v>
      </c>
      <c r="AG3233" s="2">
        <f ca="1"/>
        <v>0.45061643012924724</v>
      </c>
      <c r="AH3233" s="2" t="str">
        <f ca="1"/>
        <v>Bad</v>
      </c>
    </row>
    <row r="3234" spans="2:34" x14ac:dyDescent="0.2">
      <c r="B3234" s="2">
        <f ca="1"/>
        <v>7.1942108911888569E-2</v>
      </c>
      <c r="O3234" s="2">
        <f ca="1"/>
        <v>0.73066811175416779</v>
      </c>
      <c r="X3234" s="2">
        <f ca="1"/>
        <v>75.23315016755825</v>
      </c>
      <c r="AG3234" s="2">
        <f ca="1"/>
        <v>0.43633134468670787</v>
      </c>
      <c r="AH3234" s="2" t="str">
        <f ca="1"/>
        <v>Bad</v>
      </c>
    </row>
    <row r="3235" spans="2:34" x14ac:dyDescent="0.2">
      <c r="B3235" s="2">
        <f ca="1"/>
        <v>0.77937899402391353</v>
      </c>
      <c r="O3235" s="2">
        <f ca="1"/>
        <v>0.91696418009842973</v>
      </c>
      <c r="X3235" s="2">
        <f ca="1"/>
        <v>54.66796140360394</v>
      </c>
      <c r="AG3235" s="2">
        <f ca="1"/>
        <v>0.26300126276438451</v>
      </c>
      <c r="AH3235" s="2" t="str">
        <f ca="1"/>
        <v>OK</v>
      </c>
    </row>
    <row r="3236" spans="2:34" x14ac:dyDescent="0.2">
      <c r="B3236" s="2">
        <f ca="1"/>
        <v>0.8931329619811974</v>
      </c>
      <c r="O3236" s="2">
        <f ca="1"/>
        <v>0.10278760306062455</v>
      </c>
      <c r="X3236" s="2">
        <f ca="1"/>
        <v>62.639243832547855</v>
      </c>
      <c r="AG3236" s="2">
        <f ca="1"/>
        <v>8.2258551470959951E-2</v>
      </c>
      <c r="AH3236" s="2" t="str">
        <f ca="1"/>
        <v>OK</v>
      </c>
    </row>
    <row r="3237" spans="2:34" x14ac:dyDescent="0.2">
      <c r="B3237" s="2">
        <f ca="1"/>
        <v>0.64964429762202625</v>
      </c>
      <c r="O3237" s="2">
        <f ca="1"/>
        <v>0.92425534719774105</v>
      </c>
      <c r="X3237" s="2">
        <f ca="1"/>
        <v>43.236460954712221</v>
      </c>
      <c r="AG3237" s="2">
        <f ca="1"/>
        <v>0.5573276904455382</v>
      </c>
      <c r="AH3237" s="2" t="str">
        <f ca="1"/>
        <v>Bad</v>
      </c>
    </row>
    <row r="3238" spans="2:34" x14ac:dyDescent="0.2">
      <c r="B3238" s="2">
        <f ca="1"/>
        <v>0.89025900054267004</v>
      </c>
      <c r="O3238" s="2">
        <f ca="1"/>
        <v>0.959894355495853</v>
      </c>
      <c r="X3238" s="2">
        <f ca="1"/>
        <v>54.27542965075056</v>
      </c>
      <c r="AG3238" s="2">
        <f ca="1"/>
        <v>0.15858541500453138</v>
      </c>
      <c r="AH3238" s="2" t="str">
        <f ca="1"/>
        <v>OK</v>
      </c>
    </row>
    <row r="3239" spans="2:34" x14ac:dyDescent="0.2">
      <c r="B3239" s="2">
        <f ca="1"/>
        <v>8.373646747579877E-2</v>
      </c>
      <c r="O3239" s="2">
        <f ca="1"/>
        <v>1.6378651646591875</v>
      </c>
      <c r="X3239" s="2">
        <f ca="1"/>
        <v>45.051912919063774</v>
      </c>
      <c r="AG3239" s="2">
        <f ca="1"/>
        <v>0.84606052584280422</v>
      </c>
      <c r="AH3239" s="2" t="str">
        <f ca="1"/>
        <v>Bad</v>
      </c>
    </row>
    <row r="3240" spans="2:34" x14ac:dyDescent="0.2">
      <c r="B3240" s="2">
        <f ca="1"/>
        <v>0.2519812724297128</v>
      </c>
      <c r="O3240" s="2">
        <f ca="1"/>
        <v>-0.60706810473923545</v>
      </c>
      <c r="X3240" s="2">
        <f ca="1"/>
        <v>64.734609674303826</v>
      </c>
      <c r="AG3240" s="2">
        <f ca="1"/>
        <v>0.50610016892334686</v>
      </c>
      <c r="AH3240" s="2" t="str">
        <f ca="1"/>
        <v>Bad</v>
      </c>
    </row>
    <row r="3241" spans="2:34" x14ac:dyDescent="0.2">
      <c r="B3241" s="2">
        <f ca="1"/>
        <v>0.27643550619181068</v>
      </c>
      <c r="O3241" s="2">
        <f ca="1"/>
        <v>-1.874732159807013</v>
      </c>
      <c r="X3241" s="2">
        <f ca="1"/>
        <v>48.631121542496459</v>
      </c>
      <c r="AG3241" s="2">
        <f ca="1"/>
        <v>0.86921132675710022</v>
      </c>
      <c r="AH3241" s="2" t="str">
        <f ca="1"/>
        <v>Bad</v>
      </c>
    </row>
    <row r="3242" spans="2:34" x14ac:dyDescent="0.2">
      <c r="B3242" s="2">
        <f ca="1"/>
        <v>0.56724741597621642</v>
      </c>
      <c r="O3242" s="2">
        <f ca="1"/>
        <v>0.32070642855049941</v>
      </c>
      <c r="X3242" s="2">
        <f ca="1"/>
        <v>48.029003568794295</v>
      </c>
      <c r="AG3242" s="2">
        <f ca="1"/>
        <v>0.43023161325208603</v>
      </c>
      <c r="AH3242" s="2" t="str">
        <f ca="1"/>
        <v>Bad</v>
      </c>
    </row>
    <row r="3243" spans="2:34" x14ac:dyDescent="0.2">
      <c r="B3243" s="2">
        <f ca="1"/>
        <v>0.57390131562284585</v>
      </c>
      <c r="O3243" s="2">
        <f ca="1"/>
        <v>-1.0912239566471691</v>
      </c>
      <c r="X3243" s="2">
        <f ca="1"/>
        <v>64.55039734578699</v>
      </c>
      <c r="AG3243" s="2">
        <f ca="1"/>
        <v>0.51546076626921034</v>
      </c>
      <c r="AH3243" s="2" t="str">
        <f ca="1"/>
        <v>Bad</v>
      </c>
    </row>
    <row r="3244" spans="2:34" x14ac:dyDescent="0.2">
      <c r="B3244" s="2">
        <f ca="1"/>
        <v>0.11124371929860843</v>
      </c>
      <c r="O3244" s="2">
        <f ca="1"/>
        <v>-0.29196055624450457</v>
      </c>
      <c r="X3244" s="2">
        <f ca="1"/>
        <v>41.541466010067005</v>
      </c>
      <c r="AG3244" s="2">
        <f ca="1"/>
        <v>0.59983416573768356</v>
      </c>
      <c r="AH3244" s="2" t="str">
        <f ca="1"/>
        <v>Bad</v>
      </c>
    </row>
    <row r="3245" spans="2:34" x14ac:dyDescent="0.2">
      <c r="B3245" s="2">
        <f ca="1"/>
        <v>0.9789635305873059</v>
      </c>
      <c r="O3245" s="2">
        <f ca="1"/>
        <v>-7.3051591622715323E-2</v>
      </c>
      <c r="X3245" s="2">
        <f ca="1"/>
        <v>69.700450183134592</v>
      </c>
      <c r="AG3245" s="2">
        <f ca="1"/>
        <v>0.82926497450483483</v>
      </c>
      <c r="AH3245" s="2" t="str">
        <f ca="1"/>
        <v>Bad</v>
      </c>
    </row>
    <row r="3246" spans="2:34" x14ac:dyDescent="0.2">
      <c r="B3246" s="2">
        <f ca="1"/>
        <v>0.49472594600830733</v>
      </c>
      <c r="O3246" s="2">
        <f ca="1"/>
        <v>-0.78789495751424732</v>
      </c>
      <c r="X3246" s="2">
        <f ca="1"/>
        <v>32.526051997628926</v>
      </c>
      <c r="AG3246" s="2">
        <f ca="1"/>
        <v>8.8700421595939272E-2</v>
      </c>
      <c r="AH3246" s="2" t="str">
        <f ca="1"/>
        <v>OK</v>
      </c>
    </row>
    <row r="3247" spans="2:34" x14ac:dyDescent="0.2">
      <c r="B3247" s="2">
        <f ca="1"/>
        <v>0.2477956549562883</v>
      </c>
      <c r="O3247" s="2">
        <f ca="1"/>
        <v>0.79097809218898729</v>
      </c>
      <c r="X3247" s="2">
        <f ca="1"/>
        <v>75.725231068319687</v>
      </c>
      <c r="AG3247" s="2">
        <f ca="1"/>
        <v>0.55275941344237012</v>
      </c>
      <c r="AH3247" s="2" t="str">
        <f ca="1"/>
        <v>Bad</v>
      </c>
    </row>
    <row r="3248" spans="2:34" x14ac:dyDescent="0.2">
      <c r="B3248" s="2">
        <f ca="1"/>
        <v>9.7916456938124119E-2</v>
      </c>
      <c r="O3248" s="2">
        <f ca="1"/>
        <v>-2.6646362656658054E-2</v>
      </c>
      <c r="X3248" s="2">
        <f ca="1"/>
        <v>39.094579245252596</v>
      </c>
      <c r="AG3248" s="2">
        <f ca="1"/>
        <v>0.70064470328003714</v>
      </c>
      <c r="AH3248" s="2" t="str">
        <f ca="1"/>
        <v>Bad</v>
      </c>
    </row>
    <row r="3249" spans="2:34" x14ac:dyDescent="0.2">
      <c r="B3249" s="2">
        <f ca="1"/>
        <v>0.31151901550843442</v>
      </c>
      <c r="O3249" s="2">
        <f ca="1"/>
        <v>1.3676035932280151</v>
      </c>
      <c r="X3249" s="2">
        <f ca="1"/>
        <v>40.803214388661651</v>
      </c>
      <c r="AG3249" s="2">
        <f ca="1"/>
        <v>0.39568112591156135</v>
      </c>
      <c r="AH3249" s="2" t="str">
        <f ca="1"/>
        <v>OK</v>
      </c>
    </row>
    <row r="3250" spans="2:34" x14ac:dyDescent="0.2">
      <c r="B3250" s="2">
        <f ca="1"/>
        <v>4.5057030277336541E-2</v>
      </c>
      <c r="O3250" s="2">
        <f ca="1"/>
        <v>-2.0328993171445671</v>
      </c>
      <c r="X3250" s="2">
        <f ca="1"/>
        <v>65.993184531253789</v>
      </c>
      <c r="AG3250" s="2">
        <f ca="1"/>
        <v>0.19962776164017937</v>
      </c>
      <c r="AH3250" s="2" t="str">
        <f ca="1"/>
        <v>OK</v>
      </c>
    </row>
    <row r="3251" spans="2:34" x14ac:dyDescent="0.2">
      <c r="B3251" s="2">
        <f ca="1"/>
        <v>0.28932019715032142</v>
      </c>
      <c r="O3251" s="2">
        <f ca="1"/>
        <v>-0.86867113725427836</v>
      </c>
      <c r="X3251" s="2">
        <f ca="1"/>
        <v>52.278882302121055</v>
      </c>
      <c r="AG3251" s="2">
        <f ca="1"/>
        <v>0.65495743452706634</v>
      </c>
      <c r="AH3251" s="2" t="str">
        <f ca="1"/>
        <v>Bad</v>
      </c>
    </row>
    <row r="3252" spans="2:34" x14ac:dyDescent="0.2">
      <c r="B3252" s="2">
        <f ca="1"/>
        <v>0.16011963686954633</v>
      </c>
      <c r="O3252" s="2">
        <f ca="1"/>
        <v>-0.29028945690880287</v>
      </c>
      <c r="X3252" s="2">
        <f ca="1"/>
        <v>67.608264355730441</v>
      </c>
      <c r="AG3252" s="2">
        <f ca="1"/>
        <v>4.0264400372138631E-3</v>
      </c>
      <c r="AH3252" s="2" t="str">
        <f ca="1"/>
        <v>Good</v>
      </c>
    </row>
    <row r="3253" spans="2:34" x14ac:dyDescent="0.2">
      <c r="B3253" s="2">
        <f ca="1"/>
        <v>0.65569570854120074</v>
      </c>
      <c r="O3253" s="2">
        <f ca="1"/>
        <v>-1.4917410211176074</v>
      </c>
      <c r="X3253" s="2">
        <f ca="1"/>
        <v>58.340961183515077</v>
      </c>
      <c r="AG3253" s="2">
        <f ca="1"/>
        <v>0.41358575416050547</v>
      </c>
      <c r="AH3253" s="2" t="str">
        <f ca="1"/>
        <v>Bad</v>
      </c>
    </row>
    <row r="3254" spans="2:34" x14ac:dyDescent="0.2">
      <c r="B3254" s="2">
        <f ca="1"/>
        <v>0.15164280796379304</v>
      </c>
      <c r="O3254" s="2">
        <f ca="1"/>
        <v>0.89162020943075115</v>
      </c>
      <c r="X3254" s="2">
        <f ca="1"/>
        <v>33.538029019299245</v>
      </c>
      <c r="AG3254" s="2">
        <f ca="1"/>
        <v>0.68139800210003476</v>
      </c>
      <c r="AH3254" s="2" t="str">
        <f ca="1"/>
        <v>Bad</v>
      </c>
    </row>
    <row r="3255" spans="2:34" x14ac:dyDescent="0.2">
      <c r="B3255" s="2">
        <f ca="1"/>
        <v>0.87511257740347204</v>
      </c>
      <c r="O3255" s="2">
        <f ca="1"/>
        <v>-0.88881301676643754</v>
      </c>
      <c r="X3255" s="2">
        <f ca="1"/>
        <v>55.803578826316354</v>
      </c>
      <c r="AG3255" s="2">
        <f ca="1"/>
        <v>0.50095026235548334</v>
      </c>
      <c r="AH3255" s="2" t="str">
        <f ca="1"/>
        <v>Bad</v>
      </c>
    </row>
    <row r="3256" spans="2:34" x14ac:dyDescent="0.2">
      <c r="B3256" s="2">
        <f ca="1"/>
        <v>0.38683649140511123</v>
      </c>
      <c r="O3256" s="2">
        <f ca="1"/>
        <v>-0.88879704348645816</v>
      </c>
      <c r="X3256" s="2">
        <f ca="1"/>
        <v>51.156319777255121</v>
      </c>
      <c r="AG3256" s="2">
        <f ca="1"/>
        <v>0.34034634232301686</v>
      </c>
      <c r="AH3256" s="2" t="str">
        <f ca="1"/>
        <v>OK</v>
      </c>
    </row>
    <row r="3257" spans="2:34" x14ac:dyDescent="0.2">
      <c r="B3257" s="2">
        <f ca="1"/>
        <v>0.46252972595123598</v>
      </c>
      <c r="O3257" s="2">
        <f ca="1"/>
        <v>0.36646218775501022</v>
      </c>
      <c r="X3257" s="2">
        <f ca="1"/>
        <v>81.140659091633424</v>
      </c>
      <c r="AG3257" s="2">
        <f ca="1"/>
        <v>2.4716406181433115E-2</v>
      </c>
      <c r="AH3257" s="2" t="str">
        <f ca="1"/>
        <v>Good</v>
      </c>
    </row>
    <row r="3258" spans="2:34" x14ac:dyDescent="0.2">
      <c r="B3258" s="2">
        <f ca="1"/>
        <v>0.38744209281901631</v>
      </c>
      <c r="O3258" s="2">
        <f ca="1"/>
        <v>-0.75566609108010596</v>
      </c>
      <c r="X3258" s="2">
        <f ca="1"/>
        <v>36.610486126211782</v>
      </c>
      <c r="AG3258" s="2">
        <f ca="1"/>
        <v>4.4981455448475982E-2</v>
      </c>
      <c r="AH3258" s="2" t="str">
        <f ca="1"/>
        <v>Good</v>
      </c>
    </row>
    <row r="3259" spans="2:34" x14ac:dyDescent="0.2">
      <c r="B3259" s="2">
        <f ca="1"/>
        <v>0.21708088939821346</v>
      </c>
      <c r="O3259" s="2">
        <f ca="1"/>
        <v>-0.15383517363166685</v>
      </c>
      <c r="X3259" s="2">
        <f ca="1"/>
        <v>43.636894654008827</v>
      </c>
      <c r="AG3259" s="2">
        <f ca="1"/>
        <v>0.94393782603900833</v>
      </c>
      <c r="AH3259" s="2" t="str">
        <f ca="1"/>
        <v>Bad</v>
      </c>
    </row>
    <row r="3260" spans="2:34" x14ac:dyDescent="0.2">
      <c r="B3260" s="2">
        <f ca="1"/>
        <v>0.59847702799794567</v>
      </c>
      <c r="O3260" s="2">
        <f ca="1"/>
        <v>-0.72739249259937755</v>
      </c>
      <c r="X3260" s="2">
        <f ca="1"/>
        <v>42.02119304965634</v>
      </c>
      <c r="AG3260" s="2">
        <f ca="1"/>
        <v>0.86576546008422439</v>
      </c>
      <c r="AH3260" s="2" t="str">
        <f ca="1"/>
        <v>Bad</v>
      </c>
    </row>
    <row r="3261" spans="2:34" x14ac:dyDescent="0.2">
      <c r="B3261" s="2">
        <f ca="1"/>
        <v>0.72164003139872768</v>
      </c>
      <c r="O3261" s="2">
        <f ca="1"/>
        <v>-0.46205076866569134</v>
      </c>
      <c r="X3261" s="2">
        <f ca="1"/>
        <v>46.098705465767161</v>
      </c>
      <c r="AG3261" s="2">
        <f ca="1"/>
        <v>0.80535152391344855</v>
      </c>
      <c r="AH3261" s="2" t="str">
        <f ca="1"/>
        <v>Bad</v>
      </c>
    </row>
    <row r="3262" spans="2:34" x14ac:dyDescent="0.2">
      <c r="B3262" s="2">
        <f ca="1"/>
        <v>0.31902082133372911</v>
      </c>
      <c r="O3262" s="2">
        <f ca="1"/>
        <v>0.56597832245517521</v>
      </c>
      <c r="X3262" s="2">
        <f ca="1"/>
        <v>68.139574998591229</v>
      </c>
      <c r="AG3262" s="2">
        <f ca="1"/>
        <v>0.63389276852247822</v>
      </c>
      <c r="AH3262" s="2" t="str">
        <f ca="1"/>
        <v>Bad</v>
      </c>
    </row>
    <row r="3263" spans="2:34" x14ac:dyDescent="0.2">
      <c r="B3263" s="2">
        <f ca="1"/>
        <v>0.41809932332713085</v>
      </c>
      <c r="O3263" s="2">
        <f ca="1"/>
        <v>-0.14374913508882076</v>
      </c>
      <c r="X3263" s="2">
        <f ca="1"/>
        <v>69.741176822656826</v>
      </c>
      <c r="AG3263" s="2">
        <f ca="1"/>
        <v>0.82068211841102134</v>
      </c>
      <c r="AH3263" s="2" t="str">
        <f ca="1"/>
        <v>Bad</v>
      </c>
    </row>
    <row r="3264" spans="2:34" x14ac:dyDescent="0.2">
      <c r="B3264" s="2">
        <f ca="1"/>
        <v>0.38083709671861632</v>
      </c>
      <c r="O3264" s="2">
        <f ca="1"/>
        <v>-1.0534241703454321</v>
      </c>
      <c r="X3264" s="2">
        <f ca="1"/>
        <v>35.061692873285978</v>
      </c>
      <c r="AG3264" s="2">
        <f ca="1"/>
        <v>0.43984599175055727</v>
      </c>
      <c r="AH3264" s="2" t="str">
        <f ca="1"/>
        <v>Bad</v>
      </c>
    </row>
    <row r="3265" spans="2:34" x14ac:dyDescent="0.2">
      <c r="B3265" s="2">
        <f ca="1"/>
        <v>0.97355734369550606</v>
      </c>
      <c r="O3265" s="2">
        <f ca="1"/>
        <v>-0.88156119131550026</v>
      </c>
      <c r="X3265" s="2">
        <f ca="1"/>
        <v>63.806649286993597</v>
      </c>
      <c r="AG3265" s="2">
        <f ca="1"/>
        <v>0.31541818200070137</v>
      </c>
      <c r="AH3265" s="2" t="str">
        <f ca="1"/>
        <v>OK</v>
      </c>
    </row>
    <row r="3266" spans="2:34" x14ac:dyDescent="0.2">
      <c r="B3266" s="2">
        <f ca="1"/>
        <v>9.2272827222279252E-2</v>
      </c>
      <c r="O3266" s="2">
        <f ca="1"/>
        <v>1.8419022564619971</v>
      </c>
      <c r="X3266" s="2">
        <f ca="1"/>
        <v>46.758239135768093</v>
      </c>
      <c r="AG3266" s="2">
        <f ca="1"/>
        <v>0.84439238258965776</v>
      </c>
      <c r="AH3266" s="2" t="str">
        <f ca="1"/>
        <v>Bad</v>
      </c>
    </row>
    <row r="3267" spans="2:34" x14ac:dyDescent="0.2">
      <c r="B3267" s="2">
        <f ca="1"/>
        <v>0.12677809818085795</v>
      </c>
      <c r="O3267" s="2">
        <f ca="1"/>
        <v>-0.2070813230931379</v>
      </c>
      <c r="X3267" s="2">
        <f ca="1"/>
        <v>67.234094937379382</v>
      </c>
      <c r="AG3267" s="2">
        <f ca="1"/>
        <v>0.99797919136237589</v>
      </c>
      <c r="AH3267" s="2" t="str">
        <f ca="1"/>
        <v>Bad</v>
      </c>
    </row>
    <row r="3268" spans="2:34" x14ac:dyDescent="0.2">
      <c r="B3268" s="2">
        <f ca="1"/>
        <v>0.44257814042485255</v>
      </c>
      <c r="O3268" s="2">
        <f ca="1"/>
        <v>1.0226633374589338</v>
      </c>
      <c r="X3268" s="2">
        <f ca="1"/>
        <v>39.669360235795956</v>
      </c>
      <c r="AG3268" s="2">
        <f ca="1"/>
        <v>1.8732597226592596E-2</v>
      </c>
      <c r="AH3268" s="2" t="str">
        <f ca="1"/>
        <v>Good</v>
      </c>
    </row>
    <row r="3269" spans="2:34" x14ac:dyDescent="0.2">
      <c r="B3269" s="2">
        <f ca="1"/>
        <v>0.3505346821937787</v>
      </c>
      <c r="O3269" s="2">
        <f ca="1"/>
        <v>-0.14595510390836727</v>
      </c>
      <c r="X3269" s="2">
        <f ca="1"/>
        <v>59.49774977454102</v>
      </c>
      <c r="AG3269" s="2">
        <f ca="1"/>
        <v>0.54127409389289483</v>
      </c>
      <c r="AH3269" s="2" t="str">
        <f ca="1"/>
        <v>Bad</v>
      </c>
    </row>
    <row r="3270" spans="2:34" x14ac:dyDescent="0.2">
      <c r="B3270" s="2">
        <f ca="1"/>
        <v>0.11907453885151753</v>
      </c>
      <c r="O3270" s="2">
        <f ca="1"/>
        <v>-1.0417043627679277</v>
      </c>
      <c r="X3270" s="2">
        <f ca="1"/>
        <v>54.309056303177613</v>
      </c>
      <c r="AG3270" s="2">
        <f ca="1"/>
        <v>0.63024168832858574</v>
      </c>
      <c r="AH3270" s="2" t="str">
        <f ca="1"/>
        <v>Bad</v>
      </c>
    </row>
    <row r="3271" spans="2:34" x14ac:dyDescent="0.2">
      <c r="B3271" s="2">
        <f ca="1"/>
        <v>0.39118644405961445</v>
      </c>
      <c r="O3271" s="2">
        <f ca="1"/>
        <v>-0.2774434101051258</v>
      </c>
      <c r="X3271" s="2">
        <f ca="1"/>
        <v>52.681817841116867</v>
      </c>
      <c r="AG3271" s="2">
        <f ca="1"/>
        <v>0.38075678468690333</v>
      </c>
      <c r="AH3271" s="2" t="str">
        <f ca="1"/>
        <v>OK</v>
      </c>
    </row>
    <row r="3272" spans="2:34" x14ac:dyDescent="0.2">
      <c r="B3272" s="2">
        <f ca="1"/>
        <v>0.68796139041213822</v>
      </c>
      <c r="O3272" s="2">
        <f ca="1"/>
        <v>-1.2847804974609136</v>
      </c>
      <c r="X3272" s="2">
        <f ca="1"/>
        <v>34.855873139461764</v>
      </c>
      <c r="AG3272" s="2">
        <f ca="1"/>
        <v>0.4049020643930219</v>
      </c>
      <c r="AH3272" s="2" t="str">
        <f ca="1"/>
        <v>Bad</v>
      </c>
    </row>
    <row r="3273" spans="2:34" x14ac:dyDescent="0.2">
      <c r="B3273" s="2">
        <f ca="1"/>
        <v>0.44579773149989288</v>
      </c>
      <c r="O3273" s="2">
        <f ca="1"/>
        <v>-1.1047867233624857</v>
      </c>
      <c r="X3273" s="2">
        <f ca="1"/>
        <v>31.841991026277846</v>
      </c>
      <c r="AG3273" s="2">
        <f ca="1"/>
        <v>0.21875105302675801</v>
      </c>
      <c r="AH3273" s="2" t="str">
        <f ca="1"/>
        <v>OK</v>
      </c>
    </row>
    <row r="3274" spans="2:34" x14ac:dyDescent="0.2">
      <c r="B3274" s="2">
        <f ca="1"/>
        <v>0.72574765256587104</v>
      </c>
      <c r="O3274" s="2">
        <f ca="1"/>
        <v>1.8397013329569967</v>
      </c>
      <c r="X3274" s="2">
        <f ca="1"/>
        <v>31.631779537472731</v>
      </c>
      <c r="AG3274" s="2">
        <f ca="1"/>
        <v>0.87934949919092409</v>
      </c>
      <c r="AH3274" s="2" t="str">
        <f ca="1"/>
        <v>Bad</v>
      </c>
    </row>
    <row r="3275" spans="2:34" x14ac:dyDescent="0.2">
      <c r="B3275" s="2">
        <f ca="1"/>
        <v>0.22488588047506708</v>
      </c>
      <c r="O3275" s="2">
        <f ca="1"/>
        <v>-0.50013145294843786</v>
      </c>
      <c r="X3275" s="2">
        <f ca="1"/>
        <v>52.324448662262959</v>
      </c>
      <c r="AG3275" s="2">
        <f ca="1"/>
        <v>0.46175086464686665</v>
      </c>
      <c r="AH3275" s="2" t="str">
        <f ca="1"/>
        <v>Bad</v>
      </c>
    </row>
    <row r="3276" spans="2:34" x14ac:dyDescent="0.2">
      <c r="B3276" s="2">
        <f ca="1"/>
        <v>4.6734131772619092E-2</v>
      </c>
      <c r="O3276" s="2">
        <f ca="1"/>
        <v>-1.6347450544379791</v>
      </c>
      <c r="X3276" s="2">
        <f ca="1"/>
        <v>42.340030523578534</v>
      </c>
      <c r="AG3276" s="2">
        <f ca="1"/>
        <v>0.78543306516507405</v>
      </c>
      <c r="AH3276" s="2" t="str">
        <f ca="1"/>
        <v>Bad</v>
      </c>
    </row>
    <row r="3277" spans="2:34" x14ac:dyDescent="0.2">
      <c r="B3277" s="2">
        <f ca="1"/>
        <v>0.46290087912136579</v>
      </c>
      <c r="O3277" s="2">
        <f ca="1"/>
        <v>-1.9137805356590736</v>
      </c>
      <c r="X3277" s="2">
        <f ca="1"/>
        <v>40.956250390137242</v>
      </c>
      <c r="AG3277" s="2">
        <f ca="1"/>
        <v>0.39317263942879066</v>
      </c>
      <c r="AH3277" s="2" t="str">
        <f ca="1"/>
        <v>OK</v>
      </c>
    </row>
    <row r="3278" spans="2:34" x14ac:dyDescent="0.2">
      <c r="B3278" s="2">
        <f ca="1"/>
        <v>0.85017971984500273</v>
      </c>
      <c r="O3278" s="2">
        <f ca="1"/>
        <v>0.67459959981673878</v>
      </c>
      <c r="X3278" s="2">
        <f ca="1"/>
        <v>28.993185980948191</v>
      </c>
      <c r="AG3278" s="2">
        <f ca="1"/>
        <v>0.62342171731356877</v>
      </c>
      <c r="AH3278" s="2" t="str">
        <f ca="1"/>
        <v>Bad</v>
      </c>
    </row>
    <row r="3279" spans="2:34" x14ac:dyDescent="0.2">
      <c r="B3279" s="2">
        <f ca="1"/>
        <v>0.85989116048860437</v>
      </c>
      <c r="O3279" s="2">
        <f ca="1"/>
        <v>0.75695792670469808</v>
      </c>
      <c r="X3279" s="2">
        <f ca="1"/>
        <v>74.27550731502123</v>
      </c>
      <c r="AG3279" s="2">
        <f ca="1"/>
        <v>0.76838702503510437</v>
      </c>
      <c r="AH3279" s="2" t="str">
        <f ca="1"/>
        <v>Bad</v>
      </c>
    </row>
    <row r="3280" spans="2:34" x14ac:dyDescent="0.2">
      <c r="B3280" s="2">
        <f ca="1"/>
        <v>0.31629429058990022</v>
      </c>
      <c r="O3280" s="2">
        <f ca="1"/>
        <v>0.13195399144598818</v>
      </c>
      <c r="X3280" s="2">
        <f ca="1"/>
        <v>50.689278312318827</v>
      </c>
      <c r="AG3280" s="2">
        <f ca="1"/>
        <v>4.8184102791390737E-2</v>
      </c>
      <c r="AH3280" s="2" t="str">
        <f ca="1"/>
        <v>Good</v>
      </c>
    </row>
    <row r="3281" spans="2:34" x14ac:dyDescent="0.2">
      <c r="B3281" s="2">
        <f ca="1"/>
        <v>0.51582141942470683</v>
      </c>
      <c r="O3281" s="2">
        <f ca="1"/>
        <v>-1.7302499128730056</v>
      </c>
      <c r="X3281" s="2">
        <f ca="1"/>
        <v>33.7031874993665</v>
      </c>
      <c r="AG3281" s="2">
        <f ca="1"/>
        <v>0.83935067468806301</v>
      </c>
      <c r="AH3281" s="2" t="str">
        <f ca="1"/>
        <v>Bad</v>
      </c>
    </row>
    <row r="3282" spans="2:34" x14ac:dyDescent="0.2">
      <c r="B3282" s="2">
        <f ca="1"/>
        <v>0.99979932771245794</v>
      </c>
      <c r="O3282" s="2">
        <f ca="1"/>
        <v>-1.5063950898967351</v>
      </c>
      <c r="X3282" s="2">
        <f ca="1"/>
        <v>65.507474770718645</v>
      </c>
      <c r="AG3282" s="2">
        <f ca="1"/>
        <v>0.24612943214835714</v>
      </c>
      <c r="AH3282" s="2" t="str">
        <f ca="1"/>
        <v>OK</v>
      </c>
    </row>
    <row r="3283" spans="2:34" x14ac:dyDescent="0.2">
      <c r="B3283" s="2">
        <f ca="1"/>
        <v>0.91538752128254353</v>
      </c>
      <c r="O3283" s="2">
        <f ca="1"/>
        <v>1.1514576655088338</v>
      </c>
      <c r="X3283" s="2">
        <f ca="1"/>
        <v>44.332894013534357</v>
      </c>
      <c r="AG3283" s="2">
        <f ca="1"/>
        <v>8.3516988163595096E-2</v>
      </c>
      <c r="AH3283" s="2" t="str">
        <f ca="1"/>
        <v>OK</v>
      </c>
    </row>
    <row r="3284" spans="2:34" x14ac:dyDescent="0.2">
      <c r="B3284" s="2">
        <f ca="1"/>
        <v>0.59641374859698248</v>
      </c>
      <c r="O3284" s="2">
        <f ca="1"/>
        <v>-0.32680370144351689</v>
      </c>
      <c r="X3284" s="2">
        <f ca="1"/>
        <v>34.824767080337523</v>
      </c>
      <c r="AG3284" s="2">
        <f ca="1"/>
        <v>9.9428707641950886E-2</v>
      </c>
      <c r="AH3284" s="2" t="str">
        <f ca="1"/>
        <v>OK</v>
      </c>
    </row>
    <row r="3285" spans="2:34" x14ac:dyDescent="0.2">
      <c r="B3285" s="2">
        <f ca="1"/>
        <v>0.15749249158439849</v>
      </c>
      <c r="O3285" s="2">
        <f ca="1"/>
        <v>0.58889837125010858</v>
      </c>
      <c r="X3285" s="2">
        <f ca="1"/>
        <v>67.879541706390015</v>
      </c>
      <c r="AG3285" s="2">
        <f ca="1"/>
        <v>0.54376012784928074</v>
      </c>
      <c r="AH3285" s="2" t="str">
        <f ca="1"/>
        <v>Bad</v>
      </c>
    </row>
    <row r="3286" spans="2:34" x14ac:dyDescent="0.2">
      <c r="B3286" s="2">
        <f ca="1"/>
        <v>0.16683001089710947</v>
      </c>
      <c r="O3286" s="2">
        <f ca="1"/>
        <v>-2.2530187115166336</v>
      </c>
      <c r="X3286" s="2">
        <f ca="1"/>
        <v>21.975839954792615</v>
      </c>
      <c r="AG3286" s="2">
        <f ca="1"/>
        <v>0.18628541780628005</v>
      </c>
      <c r="AH3286" s="2" t="str">
        <f ca="1"/>
        <v>OK</v>
      </c>
    </row>
    <row r="3287" spans="2:34" x14ac:dyDescent="0.2">
      <c r="B3287" s="2">
        <f ca="1"/>
        <v>0.57780411307581403</v>
      </c>
      <c r="O3287" s="2">
        <f ca="1"/>
        <v>2.0508772280082508</v>
      </c>
      <c r="X3287" s="2">
        <f ca="1"/>
        <v>33.659842886704055</v>
      </c>
      <c r="AG3287" s="2">
        <f ca="1"/>
        <v>0.5016613307132094</v>
      </c>
      <c r="AH3287" s="2" t="str">
        <f ca="1"/>
        <v>Bad</v>
      </c>
    </row>
    <row r="3288" spans="2:34" x14ac:dyDescent="0.2">
      <c r="B3288" s="2">
        <f ca="1"/>
        <v>0.44174819110870978</v>
      </c>
      <c r="O3288" s="2">
        <f ca="1"/>
        <v>-0.10393741311431876</v>
      </c>
      <c r="X3288" s="2">
        <f ca="1"/>
        <v>62.636029233477608</v>
      </c>
      <c r="AG3288" s="2">
        <f ca="1"/>
        <v>2.6338103672147728E-3</v>
      </c>
      <c r="AH3288" s="2" t="str">
        <f ca="1"/>
        <v>Good</v>
      </c>
    </row>
    <row r="3289" spans="2:34" x14ac:dyDescent="0.2">
      <c r="B3289" s="2">
        <f ca="1"/>
        <v>0.91367418715748872</v>
      </c>
      <c r="O3289" s="2">
        <f ca="1"/>
        <v>1.4991803734063376</v>
      </c>
      <c r="X3289" s="2">
        <f ca="1"/>
        <v>54.117647876672244</v>
      </c>
      <c r="AG3289" s="2">
        <f ca="1"/>
        <v>0.67116825971345961</v>
      </c>
      <c r="AH3289" s="2" t="str">
        <f ca="1"/>
        <v>Bad</v>
      </c>
    </row>
    <row r="3290" spans="2:34" x14ac:dyDescent="0.2">
      <c r="B3290" s="2">
        <f ca="1"/>
        <v>0.89414073941436678</v>
      </c>
      <c r="O3290" s="2">
        <f ca="1"/>
        <v>-6.0850063382151653E-2</v>
      </c>
      <c r="X3290" s="2">
        <f ca="1"/>
        <v>53.198421602890342</v>
      </c>
      <c r="AG3290" s="2">
        <f ca="1"/>
        <v>0.67882857753966719</v>
      </c>
      <c r="AH3290" s="2" t="str">
        <f ca="1"/>
        <v>Bad</v>
      </c>
    </row>
    <row r="3291" spans="2:34" x14ac:dyDescent="0.2">
      <c r="B3291" s="2">
        <f ca="1"/>
        <v>0.18809636813396557</v>
      </c>
      <c r="O3291" s="2">
        <f ca="1"/>
        <v>-0.35097375496652528</v>
      </c>
      <c r="X3291" s="2">
        <f ca="1"/>
        <v>57.833951849189766</v>
      </c>
      <c r="AG3291" s="2">
        <f ca="1"/>
        <v>0.76752463252445979</v>
      </c>
      <c r="AH3291" s="2" t="str">
        <f ca="1"/>
        <v>Bad</v>
      </c>
    </row>
    <row r="3292" spans="2:34" x14ac:dyDescent="0.2">
      <c r="B3292" s="2">
        <f ca="1"/>
        <v>0.87248813949974946</v>
      </c>
      <c r="O3292" s="2">
        <f ca="1"/>
        <v>0.70006850005872212</v>
      </c>
      <c r="X3292" s="2">
        <f ca="1"/>
        <v>23.119953053682206</v>
      </c>
      <c r="AG3292" s="2">
        <f ca="1"/>
        <v>0.80422557239827674</v>
      </c>
      <c r="AH3292" s="2" t="str">
        <f ca="1"/>
        <v>Bad</v>
      </c>
    </row>
    <row r="3293" spans="2:34" x14ac:dyDescent="0.2">
      <c r="B3293" s="2">
        <f ca="1"/>
        <v>0.69591030764803596</v>
      </c>
      <c r="O3293" s="2">
        <f ca="1"/>
        <v>-0.34613404616046778</v>
      </c>
      <c r="X3293" s="2">
        <f ca="1"/>
        <v>37.820983301238577</v>
      </c>
      <c r="AG3293" s="2">
        <f ca="1"/>
        <v>0.60660366286849898</v>
      </c>
      <c r="AH3293" s="2" t="str">
        <f ca="1"/>
        <v>Bad</v>
      </c>
    </row>
    <row r="3294" spans="2:34" x14ac:dyDescent="0.2">
      <c r="B3294" s="2">
        <f ca="1"/>
        <v>0.37168796864362208</v>
      </c>
      <c r="O3294" s="2">
        <f ca="1"/>
        <v>0.9641367032860737</v>
      </c>
      <c r="X3294" s="2">
        <f ca="1"/>
        <v>48.35754419222858</v>
      </c>
      <c r="AG3294" s="2">
        <f ca="1"/>
        <v>0.93768166381909701</v>
      </c>
      <c r="AH3294" s="2" t="str">
        <f ca="1"/>
        <v>Bad</v>
      </c>
    </row>
    <row r="3295" spans="2:34" x14ac:dyDescent="0.2">
      <c r="B3295" s="2">
        <f ca="1"/>
        <v>0.48243859543038936</v>
      </c>
      <c r="O3295" s="2">
        <f ca="1"/>
        <v>0.95736430726515664</v>
      </c>
      <c r="X3295" s="2">
        <f ca="1"/>
        <v>106.00908246242574</v>
      </c>
      <c r="AG3295" s="2">
        <f ca="1"/>
        <v>0.43990924162555012</v>
      </c>
      <c r="AH3295" s="2" t="str">
        <f ca="1"/>
        <v>Bad</v>
      </c>
    </row>
    <row r="3296" spans="2:34" x14ac:dyDescent="0.2">
      <c r="B3296" s="2">
        <f ca="1"/>
        <v>0.91266618673159283</v>
      </c>
      <c r="O3296" s="2">
        <f ca="1"/>
        <v>-0.73908094003315095</v>
      </c>
      <c r="X3296" s="2">
        <f ca="1"/>
        <v>55.823051528969842</v>
      </c>
      <c r="AG3296" s="2">
        <f ca="1"/>
        <v>0.57400817000454496</v>
      </c>
      <c r="AH3296" s="2" t="str">
        <f ca="1"/>
        <v>Bad</v>
      </c>
    </row>
    <row r="3297" spans="2:34" x14ac:dyDescent="0.2">
      <c r="B3297" s="2">
        <f ca="1"/>
        <v>0.11297335145514564</v>
      </c>
      <c r="O3297" s="2">
        <f ca="1"/>
        <v>-0.37086191525654849</v>
      </c>
      <c r="X3297" s="2">
        <f ca="1"/>
        <v>67.292190383415658</v>
      </c>
      <c r="AG3297" s="2">
        <f ca="1"/>
        <v>0.10347533554138422</v>
      </c>
      <c r="AH3297" s="2" t="str">
        <f ca="1"/>
        <v>OK</v>
      </c>
    </row>
    <row r="3298" spans="2:34" x14ac:dyDescent="0.2">
      <c r="B3298" s="2">
        <f ca="1"/>
        <v>0.27975129318182801</v>
      </c>
      <c r="O3298" s="2">
        <f ca="1"/>
        <v>0.83370747879444407</v>
      </c>
      <c r="X3298" s="2">
        <f ca="1"/>
        <v>48.99364869329591</v>
      </c>
      <c r="AG3298" s="2">
        <f ca="1"/>
        <v>0.9352295015012182</v>
      </c>
      <c r="AH3298" s="2" t="str">
        <f ca="1"/>
        <v>Bad</v>
      </c>
    </row>
    <row r="3299" spans="2:34" x14ac:dyDescent="0.2">
      <c r="B3299" s="2">
        <f ca="1"/>
        <v>0.91207763728740132</v>
      </c>
      <c r="O3299" s="2">
        <f ca="1"/>
        <v>-1.4984733771625536</v>
      </c>
      <c r="X3299" s="2">
        <f ca="1"/>
        <v>58.342929280481698</v>
      </c>
      <c r="AG3299" s="2">
        <f ca="1"/>
        <v>0.7449156417385927</v>
      </c>
      <c r="AH3299" s="2" t="str">
        <f ca="1"/>
        <v>Bad</v>
      </c>
    </row>
    <row r="3300" spans="2:34" x14ac:dyDescent="0.2">
      <c r="B3300" s="2">
        <f ca="1"/>
        <v>0.69384392824912533</v>
      </c>
      <c r="O3300" s="2">
        <f ca="1"/>
        <v>-1.6836723036439758</v>
      </c>
      <c r="X3300" s="2">
        <f ca="1"/>
        <v>56.889849022586638</v>
      </c>
      <c r="AG3300" s="2">
        <f ca="1"/>
        <v>0.89078133410922811</v>
      </c>
      <c r="AH3300" s="2" t="str">
        <f ca="1"/>
        <v>Bad</v>
      </c>
    </row>
    <row r="3301" spans="2:34" x14ac:dyDescent="0.2">
      <c r="B3301" s="2">
        <f ca="1"/>
        <v>0.13422803265169581</v>
      </c>
      <c r="O3301" s="2">
        <f ca="1"/>
        <v>-0.14258548617461864</v>
      </c>
      <c r="X3301" s="2">
        <f ca="1"/>
        <v>84.233360571616757</v>
      </c>
      <c r="AG3301" s="2">
        <f ca="1"/>
        <v>0.11902198711752576</v>
      </c>
      <c r="AH3301" s="2" t="str">
        <f ca="1"/>
        <v>OK</v>
      </c>
    </row>
    <row r="3302" spans="2:34" x14ac:dyDescent="0.2">
      <c r="B3302" s="2">
        <f ca="1"/>
        <v>0.25124907589384815</v>
      </c>
      <c r="O3302" s="2">
        <f ca="1"/>
        <v>3.8659302821975371E-3</v>
      </c>
      <c r="X3302" s="2">
        <f ca="1"/>
        <v>60.869670075158879</v>
      </c>
      <c r="AG3302" s="2">
        <f ca="1"/>
        <v>0.35274210148910257</v>
      </c>
      <c r="AH3302" s="2" t="str">
        <f ca="1"/>
        <v>OK</v>
      </c>
    </row>
    <row r="3303" spans="2:34" x14ac:dyDescent="0.2">
      <c r="B3303" s="2">
        <f ca="1"/>
        <v>0.36651955902799793</v>
      </c>
      <c r="O3303" s="2">
        <f ca="1"/>
        <v>-0.67995822845717913</v>
      </c>
      <c r="X3303" s="2">
        <f ca="1"/>
        <v>71.019459856199774</v>
      </c>
      <c r="AG3303" s="2">
        <f ca="1"/>
        <v>0.26375332956344399</v>
      </c>
      <c r="AH3303" s="2" t="str">
        <f ca="1"/>
        <v>OK</v>
      </c>
    </row>
    <row r="3304" spans="2:34" x14ac:dyDescent="0.2">
      <c r="B3304" s="2">
        <f ca="1"/>
        <v>0.78202033986832609</v>
      </c>
      <c r="O3304" s="2">
        <f ca="1"/>
        <v>0.68793362196140573</v>
      </c>
      <c r="X3304" s="2">
        <f ca="1"/>
        <v>49.969427660566993</v>
      </c>
      <c r="AG3304" s="2">
        <f ca="1"/>
        <v>0.92047628174072749</v>
      </c>
      <c r="AH3304" s="2" t="str">
        <f ca="1"/>
        <v>Bad</v>
      </c>
    </row>
    <row r="3305" spans="2:34" x14ac:dyDescent="0.2">
      <c r="B3305" s="2">
        <f ca="1"/>
        <v>0.31682427226630461</v>
      </c>
      <c r="O3305" s="2">
        <f ca="1"/>
        <v>2.1033163568451108</v>
      </c>
      <c r="X3305" s="2">
        <f ca="1"/>
        <v>75.247287063197476</v>
      </c>
      <c r="AG3305" s="2">
        <f ca="1"/>
        <v>0.8526456758027734</v>
      </c>
      <c r="AH3305" s="2" t="str">
        <f ca="1"/>
        <v>Bad</v>
      </c>
    </row>
    <row r="3306" spans="2:34" x14ac:dyDescent="0.2">
      <c r="B3306" s="2">
        <f ca="1"/>
        <v>0.40351217756301883</v>
      </c>
      <c r="O3306" s="2">
        <f ca="1"/>
        <v>-0.45273905405852216</v>
      </c>
      <c r="X3306" s="2">
        <f ca="1"/>
        <v>30.958082562729178</v>
      </c>
      <c r="AG3306" s="2">
        <f ca="1"/>
        <v>0.2163897290872443</v>
      </c>
      <c r="AH3306" s="2" t="str">
        <f ca="1"/>
        <v>OK</v>
      </c>
    </row>
    <row r="3307" spans="2:34" x14ac:dyDescent="0.2">
      <c r="B3307" s="2">
        <f ca="1"/>
        <v>0.26696545364874713</v>
      </c>
      <c r="O3307" s="2">
        <f ca="1"/>
        <v>-0.31599715876010814</v>
      </c>
      <c r="X3307" s="2">
        <f ca="1"/>
        <v>62.762956965007682</v>
      </c>
      <c r="AG3307" s="2">
        <f ca="1"/>
        <v>0.48829278801121756</v>
      </c>
      <c r="AH3307" s="2" t="str">
        <f ca="1"/>
        <v>Bad</v>
      </c>
    </row>
    <row r="3308" spans="2:34" x14ac:dyDescent="0.2">
      <c r="B3308" s="2">
        <f ca="1"/>
        <v>0.97338195573987174</v>
      </c>
      <c r="O3308" s="2">
        <f ca="1"/>
        <v>1.6672829925446337</v>
      </c>
      <c r="X3308" s="2">
        <f ca="1"/>
        <v>46.830973058931804</v>
      </c>
      <c r="AG3308" s="2">
        <f ca="1"/>
        <v>0.94312996708008834</v>
      </c>
      <c r="AH3308" s="2" t="str">
        <f ca="1"/>
        <v>Bad</v>
      </c>
    </row>
    <row r="3309" spans="2:34" x14ac:dyDescent="0.2">
      <c r="B3309" s="2">
        <f ca="1"/>
        <v>9.1494992494334237E-3</v>
      </c>
      <c r="O3309" s="2">
        <f ca="1"/>
        <v>0.75366673669575956</v>
      </c>
      <c r="X3309" s="2">
        <f ca="1"/>
        <v>60.224064689177297</v>
      </c>
      <c r="AG3309" s="2">
        <f ca="1"/>
        <v>0.54535757315942823</v>
      </c>
      <c r="AH3309" s="2" t="str">
        <f ca="1"/>
        <v>Bad</v>
      </c>
    </row>
    <row r="3310" spans="2:34" x14ac:dyDescent="0.2">
      <c r="B3310" s="2">
        <f ca="1"/>
        <v>0.11519373411718048</v>
      </c>
      <c r="O3310" s="2">
        <f ca="1"/>
        <v>1.8214727165199212E-2</v>
      </c>
      <c r="X3310" s="2">
        <f ca="1"/>
        <v>69.086645129988469</v>
      </c>
      <c r="AG3310" s="2">
        <f ca="1"/>
        <v>0.10475669119327158</v>
      </c>
      <c r="AH3310" s="2" t="str">
        <f ca="1"/>
        <v>OK</v>
      </c>
    </row>
    <row r="3311" spans="2:34" x14ac:dyDescent="0.2">
      <c r="B3311" s="2">
        <f ca="1"/>
        <v>0.18862195095706502</v>
      </c>
      <c r="O3311" s="2">
        <f ca="1"/>
        <v>0.26695253266344365</v>
      </c>
      <c r="X3311" s="2">
        <f ca="1"/>
        <v>49.500639636942722</v>
      </c>
      <c r="AG3311" s="2">
        <f ca="1"/>
        <v>6.9285679352664609E-2</v>
      </c>
      <c r="AH3311" s="2" t="str">
        <f ca="1"/>
        <v>OK</v>
      </c>
    </row>
    <row r="3312" spans="2:34" x14ac:dyDescent="0.2">
      <c r="B3312" s="2">
        <f ca="1"/>
        <v>0.9984473019176745</v>
      </c>
      <c r="O3312" s="2">
        <f ca="1"/>
        <v>-0.53808994436333846</v>
      </c>
      <c r="X3312" s="2">
        <f ca="1"/>
        <v>53.56348659499352</v>
      </c>
      <c r="AG3312" s="2">
        <f ca="1"/>
        <v>0.52186149273776805</v>
      </c>
      <c r="AH3312" s="2" t="str">
        <f ca="1"/>
        <v>Bad</v>
      </c>
    </row>
    <row r="3313" spans="2:34" x14ac:dyDescent="0.2">
      <c r="B3313" s="2">
        <f ca="1"/>
        <v>0.90715955481185384</v>
      </c>
      <c r="O3313" s="2">
        <f ca="1"/>
        <v>1.2613415317224408</v>
      </c>
      <c r="X3313" s="2">
        <f ca="1"/>
        <v>64.898327641011036</v>
      </c>
      <c r="AG3313" s="2">
        <f ca="1"/>
        <v>8.0005333544646007E-2</v>
      </c>
      <c r="AH3313" s="2" t="str">
        <f ca="1"/>
        <v>OK</v>
      </c>
    </row>
    <row r="3314" spans="2:34" x14ac:dyDescent="0.2">
      <c r="B3314" s="2">
        <f ca="1"/>
        <v>0.50770723370331328</v>
      </c>
      <c r="O3314" s="2">
        <f ca="1"/>
        <v>0.7408745748278478</v>
      </c>
      <c r="X3314" s="2">
        <f ca="1"/>
        <v>27.354982036269398</v>
      </c>
      <c r="AG3314" s="2">
        <f ca="1"/>
        <v>0.27715744215749383</v>
      </c>
      <c r="AH3314" s="2" t="str">
        <f ca="1"/>
        <v>OK</v>
      </c>
    </row>
    <row r="3315" spans="2:34" x14ac:dyDescent="0.2">
      <c r="B3315" s="2">
        <f ca="1"/>
        <v>3.3233208247046564E-2</v>
      </c>
      <c r="O3315" s="2">
        <f ca="1"/>
        <v>-1.7043226116543597</v>
      </c>
      <c r="X3315" s="2">
        <f ca="1"/>
        <v>41.655160011629789</v>
      </c>
      <c r="AG3315" s="2">
        <f ca="1"/>
        <v>0.21883802441292599</v>
      </c>
      <c r="AH3315" s="2" t="str">
        <f ca="1"/>
        <v>OK</v>
      </c>
    </row>
    <row r="3316" spans="2:34" x14ac:dyDescent="0.2">
      <c r="B3316" s="2">
        <f ca="1"/>
        <v>8.9970243054245724E-2</v>
      </c>
      <c r="O3316" s="2">
        <f ca="1"/>
        <v>0.16089609089197995</v>
      </c>
      <c r="X3316" s="2">
        <f ca="1"/>
        <v>66.164423911810147</v>
      </c>
      <c r="AG3316" s="2">
        <f ca="1"/>
        <v>0.97785165831899135</v>
      </c>
      <c r="AH3316" s="2" t="str">
        <f ca="1"/>
        <v>Bad</v>
      </c>
    </row>
    <row r="3317" spans="2:34" x14ac:dyDescent="0.2">
      <c r="B3317" s="2">
        <f ca="1"/>
        <v>0.74087469397625094</v>
      </c>
      <c r="O3317" s="2">
        <f ca="1"/>
        <v>0.53639831733199339</v>
      </c>
      <c r="X3317" s="2">
        <f ca="1"/>
        <v>36.665786502522508</v>
      </c>
      <c r="AG3317" s="2">
        <f ca="1"/>
        <v>0.20521989623986259</v>
      </c>
      <c r="AH3317" s="2" t="str">
        <f ca="1"/>
        <v>OK</v>
      </c>
    </row>
    <row r="3318" spans="2:34" x14ac:dyDescent="0.2">
      <c r="B3318" s="2">
        <f ca="1"/>
        <v>0.1328279530798393</v>
      </c>
      <c r="O3318" s="2">
        <f ca="1"/>
        <v>-0.93076255387836504</v>
      </c>
      <c r="X3318" s="2">
        <f ca="1"/>
        <v>44.789897376635814</v>
      </c>
      <c r="AG3318" s="2">
        <f ca="1"/>
        <v>0.5330936921397138</v>
      </c>
      <c r="AH3318" s="2" t="str">
        <f ca="1"/>
        <v>Bad</v>
      </c>
    </row>
    <row r="3319" spans="2:34" x14ac:dyDescent="0.2">
      <c r="B3319" s="2">
        <f ca="1"/>
        <v>0.28700155244450309</v>
      </c>
      <c r="O3319" s="2">
        <f ca="1"/>
        <v>-0.62284308285459711</v>
      </c>
      <c r="X3319" s="2">
        <f ca="1"/>
        <v>29.915582781410187</v>
      </c>
      <c r="AG3319" s="2">
        <f ca="1"/>
        <v>0.97432375722319353</v>
      </c>
      <c r="AH3319" s="2" t="str">
        <f ca="1"/>
        <v>Bad</v>
      </c>
    </row>
    <row r="3320" spans="2:34" x14ac:dyDescent="0.2">
      <c r="B3320" s="2">
        <f ca="1"/>
        <v>7.7407385587895394E-3</v>
      </c>
      <c r="O3320" s="2">
        <f ca="1"/>
        <v>0.86860921637919686</v>
      </c>
      <c r="X3320" s="2">
        <f ca="1"/>
        <v>59.939754885246465</v>
      </c>
      <c r="AG3320" s="2">
        <f ca="1"/>
        <v>0.11046921616090621</v>
      </c>
      <c r="AH3320" s="2" t="str">
        <f ca="1"/>
        <v>OK</v>
      </c>
    </row>
    <row r="3321" spans="2:34" x14ac:dyDescent="0.2">
      <c r="B3321" s="2">
        <f ca="1"/>
        <v>4.4465904835172099E-2</v>
      </c>
      <c r="O3321" s="2">
        <f ca="1"/>
        <v>0.50528528936495265</v>
      </c>
      <c r="X3321" s="2">
        <f ca="1"/>
        <v>55.893605934176584</v>
      </c>
      <c r="AG3321" s="2">
        <f ca="1"/>
        <v>5.4735581811429679E-2</v>
      </c>
      <c r="AH3321" s="2" t="str">
        <f ca="1"/>
        <v>OK</v>
      </c>
    </row>
    <row r="3322" spans="2:34" x14ac:dyDescent="0.2">
      <c r="B3322" s="2">
        <f ca="1"/>
        <v>0.52275122702918297</v>
      </c>
      <c r="O3322" s="2">
        <f ca="1"/>
        <v>0.6313406009540885</v>
      </c>
      <c r="X3322" s="2">
        <f ca="1"/>
        <v>55.55594654047578</v>
      </c>
      <c r="AG3322" s="2">
        <f ca="1"/>
        <v>0.6184212528069557</v>
      </c>
      <c r="AH3322" s="2" t="str">
        <f ca="1"/>
        <v>Bad</v>
      </c>
    </row>
    <row r="3323" spans="2:34" x14ac:dyDescent="0.2">
      <c r="B3323" s="2">
        <f ca="1"/>
        <v>0.84670107314583931</v>
      </c>
      <c r="O3323" s="2">
        <f ca="1"/>
        <v>1.8414850346320646</v>
      </c>
      <c r="X3323" s="2">
        <f ca="1"/>
        <v>27.304589355872313</v>
      </c>
      <c r="AG3323" s="2">
        <f ca="1"/>
        <v>0.15384752788767697</v>
      </c>
      <c r="AH3323" s="2" t="str">
        <f ca="1"/>
        <v>OK</v>
      </c>
    </row>
    <row r="3324" spans="2:34" x14ac:dyDescent="0.2">
      <c r="B3324" s="2">
        <f ca="1"/>
        <v>0.36853233491026161</v>
      </c>
      <c r="O3324" s="2">
        <f ca="1"/>
        <v>-0.19158277188145459</v>
      </c>
      <c r="X3324" s="2">
        <f ca="1"/>
        <v>38.543389160495202</v>
      </c>
      <c r="AG3324" s="2">
        <f ca="1"/>
        <v>0.75230713476132216</v>
      </c>
      <c r="AH3324" s="2" t="str">
        <f ca="1"/>
        <v>Bad</v>
      </c>
    </row>
    <row r="3325" spans="2:34" x14ac:dyDescent="0.2">
      <c r="B3325" s="2">
        <f ca="1"/>
        <v>0.23183039992542054</v>
      </c>
      <c r="O3325" s="2">
        <f ca="1"/>
        <v>-0.18792716067208501</v>
      </c>
      <c r="X3325" s="2">
        <f ca="1"/>
        <v>47.68547764588611</v>
      </c>
      <c r="AG3325" s="2">
        <f ca="1"/>
        <v>0.16537558431941446</v>
      </c>
      <c r="AH3325" s="2" t="str">
        <f ca="1"/>
        <v>OK</v>
      </c>
    </row>
    <row r="3326" spans="2:34" x14ac:dyDescent="0.2">
      <c r="B3326" s="2">
        <f ca="1"/>
        <v>0.32077772550988959</v>
      </c>
      <c r="O3326" s="2">
        <f ca="1"/>
        <v>0.11461457763143912</v>
      </c>
      <c r="X3326" s="2">
        <f ca="1"/>
        <v>33.958898362191732</v>
      </c>
      <c r="AG3326" s="2">
        <f ca="1"/>
        <v>0.25997762622544451</v>
      </c>
      <c r="AH3326" s="2" t="str">
        <f ca="1"/>
        <v>OK</v>
      </c>
    </row>
    <row r="3327" spans="2:34" x14ac:dyDescent="0.2">
      <c r="B3327" s="2">
        <f ca="1"/>
        <v>0.44388814161180545</v>
      </c>
      <c r="O3327" s="2">
        <f ca="1"/>
        <v>-0.6237984908967884</v>
      </c>
      <c r="X3327" s="2">
        <f ca="1"/>
        <v>38.604780217138611</v>
      </c>
      <c r="AG3327" s="2">
        <f ca="1"/>
        <v>0.1067597734628325</v>
      </c>
      <c r="AH3327" s="2" t="str">
        <f ca="1"/>
        <v>OK</v>
      </c>
    </row>
    <row r="3328" spans="2:34" x14ac:dyDescent="0.2">
      <c r="B3328" s="2">
        <f ca="1"/>
        <v>0.50087655478362536</v>
      </c>
      <c r="O3328" s="2">
        <f ca="1"/>
        <v>-0.10078970693369849</v>
      </c>
      <c r="X3328" s="2">
        <f ca="1"/>
        <v>57.369800936227556</v>
      </c>
      <c r="AG3328" s="2">
        <f ca="1"/>
        <v>0.50630097318228739</v>
      </c>
      <c r="AH3328" s="2" t="str">
        <f ca="1"/>
        <v>Bad</v>
      </c>
    </row>
    <row r="3329" spans="2:34" x14ac:dyDescent="0.2">
      <c r="B3329" s="2">
        <f ca="1"/>
        <v>0.88937281912735333</v>
      </c>
      <c r="O3329" s="2">
        <f ca="1"/>
        <v>-0.91152544575536976</v>
      </c>
      <c r="X3329" s="2">
        <f ca="1"/>
        <v>44.509025445522326</v>
      </c>
      <c r="AG3329" s="2">
        <f ca="1"/>
        <v>0.80758613453423855</v>
      </c>
      <c r="AH3329" s="2" t="str">
        <f ca="1"/>
        <v>Bad</v>
      </c>
    </row>
    <row r="3330" spans="2:34" x14ac:dyDescent="0.2">
      <c r="B3330" s="2">
        <f ca="1"/>
        <v>0.74931708984954826</v>
      </c>
      <c r="O3330" s="2">
        <f ca="1"/>
        <v>1.2531631433341808</v>
      </c>
      <c r="X3330" s="2">
        <f ca="1"/>
        <v>35.774127685370807</v>
      </c>
      <c r="AG3330" s="2">
        <f ca="1"/>
        <v>1.7948233277827574E-2</v>
      </c>
      <c r="AH3330" s="2" t="str">
        <f ca="1"/>
        <v>Good</v>
      </c>
    </row>
    <row r="3331" spans="2:34" x14ac:dyDescent="0.2">
      <c r="B3331" s="2">
        <f ca="1"/>
        <v>0.85519762697377377</v>
      </c>
      <c r="O3331" s="2">
        <f ca="1"/>
        <v>-0.8388615919611101</v>
      </c>
      <c r="X3331" s="2">
        <f ca="1"/>
        <v>47.542510377439136</v>
      </c>
      <c r="AG3331" s="2">
        <f ca="1"/>
        <v>0.68839899259269433</v>
      </c>
      <c r="AH3331" s="2" t="str">
        <f ca="1"/>
        <v>Bad</v>
      </c>
    </row>
    <row r="3332" spans="2:34" x14ac:dyDescent="0.2">
      <c r="B3332" s="2">
        <f ca="1"/>
        <v>0.63962326532149949</v>
      </c>
      <c r="O3332" s="2">
        <f ca="1"/>
        <v>1.0602700530157616</v>
      </c>
      <c r="X3332" s="2">
        <f ca="1"/>
        <v>27.895511105437912</v>
      </c>
      <c r="AG3332" s="2">
        <f ca="1"/>
        <v>0.40155296593033651</v>
      </c>
      <c r="AH3332" s="2" t="str">
        <f ca="1"/>
        <v>Bad</v>
      </c>
    </row>
    <row r="3333" spans="2:34" x14ac:dyDescent="0.2">
      <c r="B3333" s="2">
        <f ca="1"/>
        <v>0.17035641304031346</v>
      </c>
      <c r="O3333" s="2">
        <f ca="1"/>
        <v>-1.4306342332116215</v>
      </c>
      <c r="X3333" s="2">
        <f ca="1"/>
        <v>65.837511863239001</v>
      </c>
      <c r="AG3333" s="2">
        <f ca="1"/>
        <v>0.18471084032513629</v>
      </c>
      <c r="AH3333" s="2" t="str">
        <f ca="1"/>
        <v>OK</v>
      </c>
    </row>
    <row r="3334" spans="2:34" x14ac:dyDescent="0.2">
      <c r="B3334" s="2">
        <f ca="1"/>
        <v>0.10974967181936202</v>
      </c>
      <c r="O3334" s="2">
        <f ca="1"/>
        <v>1.9836025794243697</v>
      </c>
      <c r="X3334" s="2">
        <f ca="1"/>
        <v>53.377847646230975</v>
      </c>
      <c r="AG3334" s="2">
        <f ca="1"/>
        <v>0.98329746528962092</v>
      </c>
      <c r="AH3334" s="2" t="str">
        <f ca="1"/>
        <v>Bad</v>
      </c>
    </row>
    <row r="3335" spans="2:34" x14ac:dyDescent="0.2">
      <c r="B3335" s="2">
        <f ca="1"/>
        <v>0.97836344743937542</v>
      </c>
      <c r="O3335" s="2">
        <f ca="1"/>
        <v>-0.4876522288147539</v>
      </c>
      <c r="X3335" s="2">
        <f ca="1"/>
        <v>29.41191978818976</v>
      </c>
      <c r="AG3335" s="2">
        <f ca="1"/>
        <v>0.80421023614214993</v>
      </c>
      <c r="AH3335" s="2" t="str">
        <f ca="1"/>
        <v>Bad</v>
      </c>
    </row>
    <row r="3336" spans="2:34" x14ac:dyDescent="0.2">
      <c r="B3336" s="2">
        <f ca="1"/>
        <v>0.10050647519549627</v>
      </c>
      <c r="O3336" s="2">
        <f ca="1"/>
        <v>-3.0482790484431175</v>
      </c>
      <c r="X3336" s="2">
        <f ca="1"/>
        <v>37.446680993824394</v>
      </c>
      <c r="AG3336" s="2">
        <f ca="1"/>
        <v>0.45176779757147756</v>
      </c>
      <c r="AH3336" s="2" t="str">
        <f ca="1"/>
        <v>Bad</v>
      </c>
    </row>
    <row r="3337" spans="2:34" x14ac:dyDescent="0.2">
      <c r="B3337" s="2">
        <f ca="1"/>
        <v>0.36304006778928954</v>
      </c>
      <c r="O3337" s="2">
        <f ca="1"/>
        <v>8.2338151913906199E-2</v>
      </c>
      <c r="X3337" s="2">
        <f ca="1"/>
        <v>61.551827031197071</v>
      </c>
      <c r="AG3337" s="2">
        <f ca="1"/>
        <v>0.87139420873165863</v>
      </c>
      <c r="AH3337" s="2" t="str">
        <f ca="1"/>
        <v>Bad</v>
      </c>
    </row>
    <row r="3338" spans="2:34" x14ac:dyDescent="0.2">
      <c r="B3338" s="2">
        <f ca="1"/>
        <v>6.2261605079811044E-2</v>
      </c>
      <c r="O3338" s="2">
        <f ca="1"/>
        <v>-1.2254133983524715</v>
      </c>
      <c r="X3338" s="2">
        <f ca="1"/>
        <v>65.30387578409993</v>
      </c>
      <c r="AG3338" s="2">
        <f ca="1"/>
        <v>0.43941194250071081</v>
      </c>
      <c r="AH3338" s="2" t="str">
        <f ca="1"/>
        <v>Bad</v>
      </c>
    </row>
    <row r="3339" spans="2:34" x14ac:dyDescent="0.2">
      <c r="B3339" s="2">
        <f ca="1"/>
        <v>0.74876923319275135</v>
      </c>
      <c r="O3339" s="2">
        <f ca="1"/>
        <v>-1.0790989816488712</v>
      </c>
      <c r="X3339" s="2">
        <f ca="1"/>
        <v>88.029116660561343</v>
      </c>
      <c r="AG3339" s="2">
        <f ca="1"/>
        <v>0.3920011300471038</v>
      </c>
      <c r="AH3339" s="2" t="str">
        <f ca="1"/>
        <v>OK</v>
      </c>
    </row>
    <row r="3340" spans="2:34" x14ac:dyDescent="0.2">
      <c r="B3340" s="2">
        <f ca="1"/>
        <v>0.79492784018215934</v>
      </c>
      <c r="O3340" s="2">
        <f ca="1"/>
        <v>1.6338771349451379E-3</v>
      </c>
      <c r="X3340" s="2">
        <f ca="1"/>
        <v>70.569257426153882</v>
      </c>
      <c r="AG3340" s="2">
        <f ca="1"/>
        <v>0.15457860229251219</v>
      </c>
      <c r="AH3340" s="2" t="str">
        <f ca="1"/>
        <v>OK</v>
      </c>
    </row>
    <row r="3341" spans="2:34" x14ac:dyDescent="0.2">
      <c r="B3341" s="2">
        <f ca="1"/>
        <v>0.98434545264025131</v>
      </c>
      <c r="O3341" s="2">
        <f ca="1"/>
        <v>-0.64907631172974034</v>
      </c>
      <c r="X3341" s="2">
        <f ca="1"/>
        <v>74.001969593236467</v>
      </c>
      <c r="AG3341" s="2">
        <f ca="1"/>
        <v>0.94525386679528256</v>
      </c>
      <c r="AH3341" s="2" t="str">
        <f ca="1"/>
        <v>Bad</v>
      </c>
    </row>
    <row r="3342" spans="2:34" x14ac:dyDescent="0.2">
      <c r="B3342" s="2">
        <f ca="1"/>
        <v>0.61595844758819118</v>
      </c>
      <c r="O3342" s="2">
        <f ca="1"/>
        <v>0.62471465025448858</v>
      </c>
      <c r="X3342" s="2">
        <f ca="1"/>
        <v>42.748816442044067</v>
      </c>
      <c r="AG3342" s="2">
        <f ca="1"/>
        <v>0.83707148475290705</v>
      </c>
      <c r="AH3342" s="2" t="str">
        <f ca="1"/>
        <v>Bad</v>
      </c>
    </row>
    <row r="3343" spans="2:34" x14ac:dyDescent="0.2">
      <c r="B3343" s="2">
        <f ca="1"/>
        <v>0.46253424518613073</v>
      </c>
      <c r="O3343" s="2">
        <f ca="1"/>
        <v>1.2907047524799846</v>
      </c>
      <c r="X3343" s="2">
        <f ca="1"/>
        <v>47.539641298658708</v>
      </c>
      <c r="AG3343" s="2">
        <f ca="1"/>
        <v>0.81022098969953671</v>
      </c>
      <c r="AH3343" s="2" t="str">
        <f ca="1"/>
        <v>Bad</v>
      </c>
    </row>
    <row r="3344" spans="2:34" x14ac:dyDescent="0.2">
      <c r="B3344" s="2">
        <f ca="1"/>
        <v>0.35842244081886854</v>
      </c>
      <c r="O3344" s="2">
        <f ca="1"/>
        <v>-1.2732227654520663</v>
      </c>
      <c r="X3344" s="2">
        <f ca="1"/>
        <v>53.321152955270776</v>
      </c>
      <c r="AG3344" s="2">
        <f ca="1"/>
        <v>0.15158612120048875</v>
      </c>
      <c r="AH3344" s="2" t="str">
        <f ca="1"/>
        <v>OK</v>
      </c>
    </row>
    <row r="3345" spans="2:34" x14ac:dyDescent="0.2">
      <c r="B3345" s="2">
        <f ca="1"/>
        <v>0.10369764228901479</v>
      </c>
      <c r="O3345" s="2">
        <f ca="1"/>
        <v>0.51847040190944049</v>
      </c>
      <c r="X3345" s="2">
        <f ca="1"/>
        <v>38.182334332034102</v>
      </c>
      <c r="AG3345" s="2">
        <f ca="1"/>
        <v>0.21880186971073434</v>
      </c>
      <c r="AH3345" s="2" t="str">
        <f ca="1"/>
        <v>OK</v>
      </c>
    </row>
    <row r="3346" spans="2:34" x14ac:dyDescent="0.2">
      <c r="B3346" s="2">
        <f ca="1"/>
        <v>0.92729281183642875</v>
      </c>
      <c r="O3346" s="2">
        <f ca="1"/>
        <v>2.0048952648934386</v>
      </c>
      <c r="X3346" s="2">
        <f ca="1"/>
        <v>69.202423351189339</v>
      </c>
      <c r="AG3346" s="2">
        <f ca="1"/>
        <v>0.20833824383356547</v>
      </c>
      <c r="AH3346" s="2" t="str">
        <f ca="1"/>
        <v>OK</v>
      </c>
    </row>
    <row r="3347" spans="2:34" x14ac:dyDescent="0.2">
      <c r="B3347" s="2">
        <f ca="1"/>
        <v>0.20592971951863337</v>
      </c>
      <c r="O3347" s="2">
        <f ca="1"/>
        <v>-0.50230926421188626</v>
      </c>
      <c r="X3347" s="2">
        <f ca="1"/>
        <v>24.468174365633175</v>
      </c>
      <c r="AG3347" s="2">
        <f ca="1"/>
        <v>0.23215028545288052</v>
      </c>
      <c r="AH3347" s="2" t="str">
        <f ca="1"/>
        <v>OK</v>
      </c>
    </row>
    <row r="3348" spans="2:34" x14ac:dyDescent="0.2">
      <c r="B3348" s="2">
        <f ca="1"/>
        <v>0.17713630741020303</v>
      </c>
      <c r="O3348" s="2">
        <f ca="1"/>
        <v>0.9386224754508331</v>
      </c>
      <c r="X3348" s="2">
        <f ca="1"/>
        <v>19.428919045707875</v>
      </c>
      <c r="AG3348" s="2">
        <f ca="1"/>
        <v>0.46750752966442444</v>
      </c>
      <c r="AH3348" s="2" t="str">
        <f ca="1"/>
        <v>Bad</v>
      </c>
    </row>
    <row r="3349" spans="2:34" x14ac:dyDescent="0.2">
      <c r="B3349" s="2">
        <f ca="1"/>
        <v>0.90124639688539232</v>
      </c>
      <c r="O3349" s="2">
        <f ca="1"/>
        <v>1.1065297988943648</v>
      </c>
      <c r="X3349" s="2">
        <f ca="1"/>
        <v>61.508208878577769</v>
      </c>
      <c r="AG3349" s="2">
        <f ca="1"/>
        <v>0.92544172313312356</v>
      </c>
      <c r="AH3349" s="2" t="str">
        <f ca="1"/>
        <v>Bad</v>
      </c>
    </row>
    <row r="3350" spans="2:34" x14ac:dyDescent="0.2">
      <c r="B3350" s="2">
        <f ca="1"/>
        <v>0.85310929362507504</v>
      </c>
      <c r="O3350" s="2">
        <f ca="1"/>
        <v>7.3663673155307988E-2</v>
      </c>
      <c r="X3350" s="2">
        <f ca="1"/>
        <v>44.562704846027039</v>
      </c>
      <c r="AG3350" s="2">
        <f ca="1"/>
        <v>0.5016388662226785</v>
      </c>
      <c r="AH3350" s="2" t="str">
        <f ca="1"/>
        <v>Bad</v>
      </c>
    </row>
    <row r="3351" spans="2:34" x14ac:dyDescent="0.2">
      <c r="B3351" s="2">
        <f ca="1"/>
        <v>0.70514425912246637</v>
      </c>
      <c r="O3351" s="2">
        <f ca="1"/>
        <v>4.415024922857569E-3</v>
      </c>
      <c r="X3351" s="2">
        <f ca="1"/>
        <v>55.297574942181249</v>
      </c>
      <c r="AG3351" s="2">
        <f ca="1"/>
        <v>2.1063158976193153E-2</v>
      </c>
      <c r="AH3351" s="2" t="str">
        <f ca="1"/>
        <v>Good</v>
      </c>
    </row>
    <row r="3352" spans="2:34" x14ac:dyDescent="0.2">
      <c r="B3352" s="2">
        <f ca="1"/>
        <v>0.74354845941382397</v>
      </c>
      <c r="O3352" s="2">
        <f ca="1"/>
        <v>-1.6911653093370955</v>
      </c>
      <c r="X3352" s="2">
        <f ca="1"/>
        <v>52.905663909181506</v>
      </c>
      <c r="AG3352" s="2">
        <f ca="1"/>
        <v>0.87201945430550976</v>
      </c>
      <c r="AH3352" s="2" t="str">
        <f ca="1"/>
        <v>Bad</v>
      </c>
    </row>
    <row r="3353" spans="2:34" x14ac:dyDescent="0.2">
      <c r="B3353" s="2">
        <f ca="1"/>
        <v>0.86400292586007477</v>
      </c>
      <c r="O3353" s="2">
        <f ca="1"/>
        <v>1.3981971360345504</v>
      </c>
      <c r="X3353" s="2">
        <f ca="1"/>
        <v>36.952316389386823</v>
      </c>
      <c r="AG3353" s="2">
        <f ca="1"/>
        <v>0.5208376598914175</v>
      </c>
      <c r="AH3353" s="2" t="str">
        <f ca="1"/>
        <v>Bad</v>
      </c>
    </row>
    <row r="3354" spans="2:34" x14ac:dyDescent="0.2">
      <c r="B3354" s="2">
        <f ca="1"/>
        <v>0.53354928784009914</v>
      </c>
      <c r="O3354" s="2">
        <f ca="1"/>
        <v>-0.45403888810206655</v>
      </c>
      <c r="X3354" s="2">
        <f ca="1"/>
        <v>42.808086196832271</v>
      </c>
      <c r="AG3354" s="2">
        <f ca="1"/>
        <v>0.89911559641969951</v>
      </c>
      <c r="AH3354" s="2" t="str">
        <f ca="1"/>
        <v>Bad</v>
      </c>
    </row>
    <row r="3355" spans="2:34" x14ac:dyDescent="0.2">
      <c r="B3355" s="2">
        <f ca="1"/>
        <v>0.54715216735573113</v>
      </c>
      <c r="O3355" s="2">
        <f ca="1"/>
        <v>-0.67322854125804277</v>
      </c>
      <c r="X3355" s="2">
        <f ca="1"/>
        <v>52.067226446504819</v>
      </c>
      <c r="AG3355" s="2">
        <f ca="1"/>
        <v>0.21207472571378538</v>
      </c>
      <c r="AH3355" s="2" t="str">
        <f ca="1"/>
        <v>OK</v>
      </c>
    </row>
    <row r="3356" spans="2:34" x14ac:dyDescent="0.2">
      <c r="B3356" s="2">
        <f ca="1"/>
        <v>0.97977249942556832</v>
      </c>
      <c r="O3356" s="2">
        <f ca="1"/>
        <v>-9.2924884735605909E-2</v>
      </c>
      <c r="X3356" s="2">
        <f ca="1"/>
        <v>28.951994313070472</v>
      </c>
      <c r="AG3356" s="2">
        <f ca="1"/>
        <v>7.0818942001739771E-2</v>
      </c>
      <c r="AH3356" s="2" t="str">
        <f ca="1"/>
        <v>OK</v>
      </c>
    </row>
    <row r="3357" spans="2:34" x14ac:dyDescent="0.2">
      <c r="B3357" s="2">
        <f ca="1"/>
        <v>0.54133372080161579</v>
      </c>
      <c r="O3357" s="2">
        <f ca="1"/>
        <v>-0.55267170214800998</v>
      </c>
      <c r="X3357" s="2">
        <f ca="1"/>
        <v>61.545896170974331</v>
      </c>
      <c r="AG3357" s="2">
        <f ca="1"/>
        <v>0.68210729455954588</v>
      </c>
      <c r="AH3357" s="2" t="str">
        <f ca="1"/>
        <v>Bad</v>
      </c>
    </row>
    <row r="3358" spans="2:34" x14ac:dyDescent="0.2">
      <c r="B3358" s="2">
        <f ca="1"/>
        <v>0.72499387554990857</v>
      </c>
      <c r="O3358" s="2">
        <f ca="1"/>
        <v>1.0332558872001183</v>
      </c>
      <c r="X3358" s="2">
        <f ca="1"/>
        <v>54.882575534153048</v>
      </c>
      <c r="AG3358" s="2">
        <f ca="1"/>
        <v>0.55744975012477749</v>
      </c>
      <c r="AH3358" s="2" t="str">
        <f ca="1"/>
        <v>Bad</v>
      </c>
    </row>
    <row r="3359" spans="2:34" x14ac:dyDescent="0.2">
      <c r="B3359" s="2">
        <f ca="1"/>
        <v>0.59927421920867774</v>
      </c>
      <c r="O3359" s="2">
        <f ca="1"/>
        <v>1.0368549637624134</v>
      </c>
      <c r="X3359" s="2">
        <f ca="1"/>
        <v>58.118649522238329</v>
      </c>
      <c r="AG3359" s="2">
        <f ca="1"/>
        <v>0.65764392346559264</v>
      </c>
      <c r="AH3359" s="2" t="str">
        <f ca="1"/>
        <v>Bad</v>
      </c>
    </row>
    <row r="3360" spans="2:34" x14ac:dyDescent="0.2">
      <c r="B3360" s="2">
        <f ca="1"/>
        <v>0.57250800228977994</v>
      </c>
      <c r="O3360" s="2">
        <f ca="1"/>
        <v>-1.3377678199204912</v>
      </c>
      <c r="X3360" s="2">
        <f ca="1"/>
        <v>43.011749454365322</v>
      </c>
      <c r="AG3360" s="2">
        <f ca="1"/>
        <v>7.5970172806716807E-2</v>
      </c>
      <c r="AH3360" s="2" t="str">
        <f ca="1"/>
        <v>OK</v>
      </c>
    </row>
    <row r="3361" spans="2:34" x14ac:dyDescent="0.2">
      <c r="B3361" s="2">
        <f ca="1"/>
        <v>0.57893862480604596</v>
      </c>
      <c r="O3361" s="2">
        <f ca="1"/>
        <v>-0.76472436958980872</v>
      </c>
      <c r="X3361" s="2">
        <f ca="1"/>
        <v>55.760264107150121</v>
      </c>
      <c r="AG3361" s="2">
        <f ca="1"/>
        <v>0.39644243159736026</v>
      </c>
      <c r="AH3361" s="2" t="str">
        <f ca="1"/>
        <v>OK</v>
      </c>
    </row>
    <row r="3362" spans="2:34" x14ac:dyDescent="0.2">
      <c r="B3362" s="2">
        <f ca="1"/>
        <v>0.8944054597476303</v>
      </c>
      <c r="O3362" s="2">
        <f ca="1"/>
        <v>-0.5805719077541337</v>
      </c>
      <c r="X3362" s="2">
        <f ca="1"/>
        <v>32.910796977151058</v>
      </c>
      <c r="AG3362" s="2">
        <f ca="1"/>
        <v>0.17536106970584098</v>
      </c>
      <c r="AH3362" s="2" t="str">
        <f ca="1"/>
        <v>OK</v>
      </c>
    </row>
    <row r="3363" spans="2:34" x14ac:dyDescent="0.2">
      <c r="B3363" s="2">
        <f ca="1"/>
        <v>0.29746329174660469</v>
      </c>
      <c r="O3363" s="2">
        <f ca="1"/>
        <v>-5.4204746488878623E-2</v>
      </c>
      <c r="X3363" s="2">
        <f ca="1"/>
        <v>42.168260334486625</v>
      </c>
      <c r="AG3363" s="2">
        <f ca="1"/>
        <v>0.95110315716051153</v>
      </c>
      <c r="AH3363" s="2" t="str">
        <f ca="1"/>
        <v>Bad</v>
      </c>
    </row>
    <row r="3364" spans="2:34" x14ac:dyDescent="0.2">
      <c r="B3364" s="2">
        <f ca="1"/>
        <v>0.24928138132066802</v>
      </c>
      <c r="O3364" s="2">
        <f ca="1"/>
        <v>0.25244809868170737</v>
      </c>
      <c r="X3364" s="2">
        <f ca="1"/>
        <v>41.659904310791347</v>
      </c>
      <c r="AG3364" s="2">
        <f ca="1"/>
        <v>0.36792235210995439</v>
      </c>
      <c r="AH3364" s="2" t="str">
        <f ca="1"/>
        <v>OK</v>
      </c>
    </row>
    <row r="3365" spans="2:34" x14ac:dyDescent="0.2">
      <c r="B3365" s="2">
        <f ca="1"/>
        <v>0.62803069345664175</v>
      </c>
      <c r="O3365" s="2">
        <f ca="1"/>
        <v>-0.10958064722087597</v>
      </c>
      <c r="X3365" s="2">
        <f ca="1"/>
        <v>65.347889674779637</v>
      </c>
      <c r="AG3365" s="2">
        <f ca="1"/>
        <v>8.9577027291009026E-2</v>
      </c>
      <c r="AH3365" s="2" t="str">
        <f ca="1"/>
        <v>OK</v>
      </c>
    </row>
    <row r="3366" spans="2:34" x14ac:dyDescent="0.2">
      <c r="B3366" s="2">
        <f ca="1"/>
        <v>0.72762896974102675</v>
      </c>
      <c r="O3366" s="2">
        <f ca="1"/>
        <v>0.68867781908607928</v>
      </c>
      <c r="X3366" s="2">
        <f ca="1"/>
        <v>37.762801914144561</v>
      </c>
      <c r="AG3366" s="2">
        <f ca="1"/>
        <v>0.68948775644620874</v>
      </c>
      <c r="AH3366" s="2" t="str">
        <f ca="1"/>
        <v>Bad</v>
      </c>
    </row>
    <row r="3367" spans="2:34" x14ac:dyDescent="0.2">
      <c r="B3367" s="2">
        <f ca="1"/>
        <v>0.36806140196914927</v>
      </c>
      <c r="O3367" s="2">
        <f ca="1"/>
        <v>0.72868410003668649</v>
      </c>
      <c r="X3367" s="2">
        <f ca="1"/>
        <v>51.308768249974115</v>
      </c>
      <c r="AG3367" s="2">
        <f ca="1"/>
        <v>0.28179883981050269</v>
      </c>
      <c r="AH3367" s="2" t="str">
        <f ca="1"/>
        <v>OK</v>
      </c>
    </row>
    <row r="3368" spans="2:34" x14ac:dyDescent="0.2">
      <c r="B3368" s="2">
        <f ca="1"/>
        <v>9.8143516383673912E-2</v>
      </c>
      <c r="O3368" s="2">
        <f ca="1"/>
        <v>0.37038381334839005</v>
      </c>
      <c r="X3368" s="2">
        <f ca="1"/>
        <v>70.482435296554115</v>
      </c>
      <c r="AG3368" s="2">
        <f ca="1"/>
        <v>0.13855111332905112</v>
      </c>
      <c r="AH3368" s="2" t="str">
        <f ca="1"/>
        <v>OK</v>
      </c>
    </row>
    <row r="3369" spans="2:34" x14ac:dyDescent="0.2">
      <c r="B3369" s="2">
        <f ca="1"/>
        <v>0.22870906976596839</v>
      </c>
      <c r="O3369" s="2">
        <f ca="1"/>
        <v>-0.40826433730396589</v>
      </c>
      <c r="X3369" s="2">
        <f ca="1"/>
        <v>74.45083719087107</v>
      </c>
      <c r="AG3369" s="2">
        <f ca="1"/>
        <v>0.52821783805207767</v>
      </c>
      <c r="AH3369" s="2" t="str">
        <f ca="1"/>
        <v>Bad</v>
      </c>
    </row>
    <row r="3370" spans="2:34" x14ac:dyDescent="0.2">
      <c r="B3370" s="2">
        <f ca="1"/>
        <v>0.60799635660747997</v>
      </c>
      <c r="O3370" s="2">
        <f ca="1"/>
        <v>0.61158613891652092</v>
      </c>
      <c r="X3370" s="2">
        <f ca="1"/>
        <v>74.073075286891083</v>
      </c>
      <c r="AG3370" s="2">
        <f ca="1"/>
        <v>0.16115539783108512</v>
      </c>
      <c r="AH3370" s="2" t="str">
        <f ca="1"/>
        <v>OK</v>
      </c>
    </row>
    <row r="3371" spans="2:34" x14ac:dyDescent="0.2">
      <c r="B3371" s="2">
        <f ca="1"/>
        <v>0.714040970592275</v>
      </c>
      <c r="O3371" s="2">
        <f ca="1"/>
        <v>-8.8175635708574673E-2</v>
      </c>
      <c r="X3371" s="2">
        <f ca="1"/>
        <v>36.389097711341755</v>
      </c>
      <c r="AG3371" s="2">
        <f ca="1"/>
        <v>0.69064656425845028</v>
      </c>
      <c r="AH3371" s="2" t="str">
        <f ca="1"/>
        <v>Bad</v>
      </c>
    </row>
    <row r="3372" spans="2:34" x14ac:dyDescent="0.2">
      <c r="B3372" s="2">
        <f ca="1"/>
        <v>0.43953929524206736</v>
      </c>
      <c r="O3372" s="2">
        <f ca="1"/>
        <v>-1.710731095259729</v>
      </c>
      <c r="X3372" s="2">
        <f ca="1"/>
        <v>42.33873827097576</v>
      </c>
      <c r="AG3372" s="2">
        <f ca="1"/>
        <v>0.33407817096635117</v>
      </c>
      <c r="AH3372" s="2" t="str">
        <f ca="1"/>
        <v>OK</v>
      </c>
    </row>
    <row r="3373" spans="2:34" x14ac:dyDescent="0.2">
      <c r="B3373" s="2">
        <f ca="1"/>
        <v>0.19251591942381485</v>
      </c>
      <c r="O3373" s="2">
        <f ca="1"/>
        <v>0.77377522898093476</v>
      </c>
      <c r="X3373" s="2">
        <f ca="1"/>
        <v>49.522315152653043</v>
      </c>
      <c r="AG3373" s="2">
        <f ca="1"/>
        <v>0.56925868283090164</v>
      </c>
      <c r="AH3373" s="2" t="str">
        <f ca="1"/>
        <v>Bad</v>
      </c>
    </row>
    <row r="3374" spans="2:34" x14ac:dyDescent="0.2">
      <c r="B3374" s="2">
        <f ca="1"/>
        <v>0.18355963890879812</v>
      </c>
      <c r="O3374" s="2">
        <f ca="1"/>
        <v>1.1022717552656331</v>
      </c>
      <c r="X3374" s="2">
        <f ca="1"/>
        <v>31.187064025294724</v>
      </c>
      <c r="AG3374" s="2">
        <f ca="1"/>
        <v>0.76285127777110628</v>
      </c>
      <c r="AH3374" s="2" t="str">
        <f ca="1"/>
        <v>Bad</v>
      </c>
    </row>
    <row r="3375" spans="2:34" x14ac:dyDescent="0.2">
      <c r="B3375" s="2">
        <f ca="1"/>
        <v>0.95476007861211643</v>
      </c>
      <c r="O3375" s="2">
        <f ca="1"/>
        <v>-1.1155744795275946</v>
      </c>
      <c r="X3375" s="2">
        <f ca="1"/>
        <v>64.597606031787691</v>
      </c>
      <c r="AG3375" s="2">
        <f ca="1"/>
        <v>0.64016277462004623</v>
      </c>
      <c r="AH3375" s="2" t="str">
        <f ca="1"/>
        <v>Bad</v>
      </c>
    </row>
    <row r="3376" spans="2:34" x14ac:dyDescent="0.2">
      <c r="B3376" s="2">
        <f ca="1"/>
        <v>3.777894561850359E-2</v>
      </c>
      <c r="O3376" s="2">
        <f ca="1"/>
        <v>-1.0432780873171303</v>
      </c>
      <c r="X3376" s="2">
        <f ca="1"/>
        <v>72.068714024768411</v>
      </c>
      <c r="AG3376" s="2">
        <f ca="1"/>
        <v>0.52232360042206882</v>
      </c>
      <c r="AH3376" s="2" t="str">
        <f ca="1"/>
        <v>Bad</v>
      </c>
    </row>
    <row r="3377" spans="2:34" x14ac:dyDescent="0.2">
      <c r="B3377" s="2">
        <f ca="1"/>
        <v>0.18643162593264884</v>
      </c>
      <c r="O3377" s="2">
        <f ca="1"/>
        <v>0.31483836182282904</v>
      </c>
      <c r="X3377" s="2">
        <f ca="1"/>
        <v>72.985560532505019</v>
      </c>
      <c r="AG3377" s="2">
        <f ca="1"/>
        <v>0.10700534356174485</v>
      </c>
      <c r="AH3377" s="2" t="str">
        <f ca="1"/>
        <v>OK</v>
      </c>
    </row>
    <row r="3378" spans="2:34" x14ac:dyDescent="0.2">
      <c r="B3378" s="2">
        <f ca="1"/>
        <v>0.36075235213812817</v>
      </c>
      <c r="O3378" s="2">
        <f ca="1"/>
        <v>1.2509945275641239</v>
      </c>
      <c r="X3378" s="2">
        <f ca="1"/>
        <v>44.858054568498304</v>
      </c>
      <c r="AG3378" s="2">
        <f ca="1"/>
        <v>0.19290785635363394</v>
      </c>
      <c r="AH3378" s="2" t="str">
        <f ca="1"/>
        <v>OK</v>
      </c>
    </row>
    <row r="3379" spans="2:34" x14ac:dyDescent="0.2">
      <c r="B3379" s="2">
        <f ca="1"/>
        <v>0.15013920057104002</v>
      </c>
      <c r="O3379" s="2">
        <f ca="1"/>
        <v>-1.0899522357747198</v>
      </c>
      <c r="X3379" s="2">
        <f ca="1"/>
        <v>34.173277554489268</v>
      </c>
      <c r="AG3379" s="2">
        <f ca="1"/>
        <v>0.38974105713756368</v>
      </c>
      <c r="AH3379" s="2" t="str">
        <f ca="1"/>
        <v>OK</v>
      </c>
    </row>
    <row r="3380" spans="2:34" x14ac:dyDescent="0.2">
      <c r="B3380" s="2">
        <f ca="1"/>
        <v>0.79863264578549797</v>
      </c>
      <c r="O3380" s="2">
        <f ca="1"/>
        <v>2.1146131439407232</v>
      </c>
      <c r="X3380" s="2">
        <f ca="1"/>
        <v>52.526032262212262</v>
      </c>
      <c r="AG3380" s="2">
        <f ca="1"/>
        <v>0.53391303453778671</v>
      </c>
      <c r="AH3380" s="2" t="str">
        <f ca="1"/>
        <v>Bad</v>
      </c>
    </row>
    <row r="3381" spans="2:34" x14ac:dyDescent="0.2">
      <c r="B3381" s="2">
        <f ca="1"/>
        <v>0.72259589909040001</v>
      </c>
      <c r="O3381" s="2">
        <f ca="1"/>
        <v>0.5246851211263629</v>
      </c>
      <c r="X3381" s="2">
        <f ca="1"/>
        <v>41.405761018773042</v>
      </c>
      <c r="AG3381" s="2">
        <f ca="1"/>
        <v>0.16046538170273572</v>
      </c>
      <c r="AH3381" s="2" t="str">
        <f ca="1"/>
        <v>OK</v>
      </c>
    </row>
    <row r="3382" spans="2:34" x14ac:dyDescent="0.2">
      <c r="B3382" s="2">
        <f ca="1"/>
        <v>0.49980271710260404</v>
      </c>
      <c r="O3382" s="2">
        <f ca="1"/>
        <v>-0.18797567670546861</v>
      </c>
      <c r="X3382" s="2">
        <f ca="1"/>
        <v>41.607054537211326</v>
      </c>
      <c r="AG3382" s="2">
        <f ca="1"/>
        <v>0.38141794346858382</v>
      </c>
      <c r="AH3382" s="2" t="str">
        <f ca="1"/>
        <v>OK</v>
      </c>
    </row>
    <row r="3383" spans="2:34" x14ac:dyDescent="0.2">
      <c r="B3383" s="2">
        <f ca="1"/>
        <v>0.95444799931432267</v>
      </c>
      <c r="O3383" s="2">
        <f ca="1"/>
        <v>-0.10708035074495334</v>
      </c>
      <c r="X3383" s="2">
        <f ca="1"/>
        <v>34.655911745994999</v>
      </c>
      <c r="AG3383" s="2">
        <f ca="1"/>
        <v>0.44458932074785729</v>
      </c>
      <c r="AH3383" s="2" t="str">
        <f ca="1"/>
        <v>Bad</v>
      </c>
    </row>
    <row r="3384" spans="2:34" x14ac:dyDescent="0.2">
      <c r="B3384" s="2">
        <f ca="1"/>
        <v>0.67042167023422539</v>
      </c>
      <c r="O3384" s="2">
        <f ca="1"/>
        <v>0.39100441915266898</v>
      </c>
      <c r="X3384" s="2">
        <f ca="1"/>
        <v>53.724689763401969</v>
      </c>
      <c r="AG3384" s="2">
        <f ca="1"/>
        <v>0.24956513229878152</v>
      </c>
      <c r="AH3384" s="2" t="str">
        <f ca="1"/>
        <v>OK</v>
      </c>
    </row>
    <row r="3385" spans="2:34" x14ac:dyDescent="0.2">
      <c r="B3385" s="2">
        <f ca="1"/>
        <v>0.15837155761597144</v>
      </c>
      <c r="O3385" s="2">
        <f ca="1"/>
        <v>-0.77357952578656575</v>
      </c>
      <c r="X3385" s="2">
        <f ca="1"/>
        <v>52.69739865272215</v>
      </c>
      <c r="AG3385" s="2">
        <f ca="1"/>
        <v>0.69495351245818004</v>
      </c>
      <c r="AH3385" s="2" t="str">
        <f ca="1"/>
        <v>Bad</v>
      </c>
    </row>
    <row r="3386" spans="2:34" x14ac:dyDescent="0.2">
      <c r="B3386" s="2">
        <f ca="1"/>
        <v>0.79132348081518233</v>
      </c>
      <c r="O3386" s="2">
        <f ca="1"/>
        <v>0.36520300514407561</v>
      </c>
      <c r="X3386" s="2">
        <f ca="1"/>
        <v>28.79004474369955</v>
      </c>
      <c r="AG3386" s="2">
        <f ca="1"/>
        <v>0.63331328763262418</v>
      </c>
      <c r="AH3386" s="2" t="str">
        <f ca="1"/>
        <v>Bad</v>
      </c>
    </row>
    <row r="3387" spans="2:34" x14ac:dyDescent="0.2">
      <c r="B3387" s="2">
        <f ca="1"/>
        <v>0.27431196435915495</v>
      </c>
      <c r="O3387" s="2">
        <f ca="1"/>
        <v>-1.2053396762683402</v>
      </c>
      <c r="X3387" s="2">
        <f ca="1"/>
        <v>22.19320902946825</v>
      </c>
      <c r="AG3387" s="2">
        <f ca="1"/>
        <v>0.57533843159736953</v>
      </c>
      <c r="AH3387" s="2" t="str">
        <f ca="1"/>
        <v>Bad</v>
      </c>
    </row>
    <row r="3388" spans="2:34" x14ac:dyDescent="0.2">
      <c r="B3388" s="2">
        <f ca="1"/>
        <v>1.1543609310080694E-3</v>
      </c>
      <c r="O3388" s="2">
        <f ca="1"/>
        <v>-1.2012704007231996</v>
      </c>
      <c r="X3388" s="2">
        <f ca="1"/>
        <v>63.917456301147197</v>
      </c>
      <c r="AG3388" s="2">
        <f ca="1"/>
        <v>8.5249555683234002E-2</v>
      </c>
      <c r="AH3388" s="2" t="str">
        <f ca="1"/>
        <v>OK</v>
      </c>
    </row>
    <row r="3389" spans="2:34" x14ac:dyDescent="0.2">
      <c r="B3389" s="2">
        <f ca="1"/>
        <v>0.9990693454163635</v>
      </c>
      <c r="O3389" s="2">
        <f ca="1"/>
        <v>0.10371505785402775</v>
      </c>
      <c r="X3389" s="2">
        <f ca="1"/>
        <v>27.940490214529493</v>
      </c>
      <c r="AG3389" s="2">
        <f ca="1"/>
        <v>0.53376532853756076</v>
      </c>
      <c r="AH3389" s="2" t="str">
        <f ca="1"/>
        <v>Bad</v>
      </c>
    </row>
    <row r="3390" spans="2:34" x14ac:dyDescent="0.2">
      <c r="B3390" s="2">
        <f ca="1"/>
        <v>0.38924350728909429</v>
      </c>
      <c r="O3390" s="2">
        <f ca="1"/>
        <v>0.83015066642492896</v>
      </c>
      <c r="X3390" s="2">
        <f ca="1"/>
        <v>32.471357684306746</v>
      </c>
      <c r="AG3390" s="2">
        <f ca="1"/>
        <v>0.81513884929691205</v>
      </c>
      <c r="AH3390" s="2" t="str">
        <f ca="1"/>
        <v>Bad</v>
      </c>
    </row>
    <row r="3391" spans="2:34" x14ac:dyDescent="0.2">
      <c r="B3391" s="2">
        <f ca="1"/>
        <v>0.32273768252959179</v>
      </c>
      <c r="O3391" s="2">
        <f ca="1"/>
        <v>-0.87723382712567355</v>
      </c>
      <c r="X3391" s="2">
        <f ca="1"/>
        <v>37.266212161180853</v>
      </c>
      <c r="AG3391" s="2">
        <f ca="1"/>
        <v>0.84892594286108114</v>
      </c>
      <c r="AH3391" s="2" t="str">
        <f ca="1"/>
        <v>Bad</v>
      </c>
    </row>
    <row r="3392" spans="2:34" x14ac:dyDescent="0.2">
      <c r="B3392" s="2">
        <f ca="1"/>
        <v>0.33583883859313124</v>
      </c>
      <c r="O3392" s="2">
        <f ca="1"/>
        <v>0.78261631477275773</v>
      </c>
      <c r="X3392" s="2">
        <f ca="1"/>
        <v>73.727425830784895</v>
      </c>
      <c r="AG3392" s="2">
        <f ca="1"/>
        <v>0.95146998632355828</v>
      </c>
      <c r="AH3392" s="2" t="str">
        <f ca="1"/>
        <v>Bad</v>
      </c>
    </row>
    <row r="3393" spans="2:34" x14ac:dyDescent="0.2">
      <c r="B3393" s="2">
        <f ca="1"/>
        <v>0.35378908106737117</v>
      </c>
      <c r="O3393" s="2">
        <f ca="1"/>
        <v>1.2818340695948038</v>
      </c>
      <c r="X3393" s="2">
        <f ca="1"/>
        <v>24.305991482544758</v>
      </c>
      <c r="AG3393" s="2">
        <f ca="1"/>
        <v>0.24186556090706413</v>
      </c>
      <c r="AH3393" s="2" t="str">
        <f ca="1"/>
        <v>OK</v>
      </c>
    </row>
    <row r="3394" spans="2:34" x14ac:dyDescent="0.2">
      <c r="B3394" s="2">
        <f ca="1"/>
        <v>0.69410568781745607</v>
      </c>
      <c r="O3394" s="2">
        <f ca="1"/>
        <v>0.39125400029669632</v>
      </c>
      <c r="X3394" s="2">
        <f ca="1"/>
        <v>58.027308914089261</v>
      </c>
      <c r="AG3394" s="2">
        <f ca="1"/>
        <v>0.2757731295813064</v>
      </c>
      <c r="AH3394" s="2" t="str">
        <f ca="1"/>
        <v>OK</v>
      </c>
    </row>
    <row r="3395" spans="2:34" x14ac:dyDescent="0.2">
      <c r="B3395" s="2">
        <f ca="1"/>
        <v>0.99654015618251623</v>
      </c>
      <c r="O3395" s="2">
        <f ca="1"/>
        <v>-0.37071819804034456</v>
      </c>
      <c r="X3395" s="2">
        <f ca="1"/>
        <v>36.427658959173776</v>
      </c>
      <c r="AG3395" s="2">
        <f ca="1"/>
        <v>8.8605406183601465E-2</v>
      </c>
      <c r="AH3395" s="2" t="str">
        <f ca="1"/>
        <v>OK</v>
      </c>
    </row>
    <row r="3396" spans="2:34" x14ac:dyDescent="0.2">
      <c r="B3396" s="2">
        <f ca="1"/>
        <v>0.28695536814394229</v>
      </c>
      <c r="O3396" s="2">
        <f ca="1"/>
        <v>-0.13889715149598594</v>
      </c>
      <c r="X3396" s="2">
        <f ca="1"/>
        <v>60.001193062033124</v>
      </c>
      <c r="AG3396" s="2">
        <f ca="1"/>
        <v>0.21797634690884671</v>
      </c>
      <c r="AH3396" s="2" t="str">
        <f ca="1"/>
        <v>OK</v>
      </c>
    </row>
    <row r="3397" spans="2:34" x14ac:dyDescent="0.2">
      <c r="B3397" s="2">
        <f ca="1"/>
        <v>0.79612202766160567</v>
      </c>
      <c r="O3397" s="2">
        <f ca="1"/>
        <v>0.25336107713345529</v>
      </c>
      <c r="X3397" s="2">
        <f ca="1"/>
        <v>48.537606900140034</v>
      </c>
      <c r="AG3397" s="2">
        <f ca="1"/>
        <v>0.20599326156623787</v>
      </c>
      <c r="AH3397" s="2" t="str">
        <f ca="1"/>
        <v>OK</v>
      </c>
    </row>
    <row r="3398" spans="2:34" x14ac:dyDescent="0.2">
      <c r="B3398" s="2">
        <f ca="1"/>
        <v>1.9606458927365011E-2</v>
      </c>
      <c r="O3398" s="2">
        <f ca="1"/>
        <v>-0.52933576742322375</v>
      </c>
      <c r="X3398" s="2">
        <f ca="1"/>
        <v>50.134871726249983</v>
      </c>
      <c r="AG3398" s="2">
        <f ca="1"/>
        <v>0.52381393202380466</v>
      </c>
      <c r="AH3398" s="2" t="str">
        <f ca="1"/>
        <v>Bad</v>
      </c>
    </row>
    <row r="3399" spans="2:34" x14ac:dyDescent="0.2">
      <c r="B3399" s="2">
        <f ca="1"/>
        <v>0.70124973472518914</v>
      </c>
      <c r="O3399" s="2">
        <f ca="1"/>
        <v>-0.49955873961986724</v>
      </c>
      <c r="X3399" s="2">
        <f ca="1"/>
        <v>43.258925746344694</v>
      </c>
      <c r="AG3399" s="2">
        <f ca="1"/>
        <v>0.68785266611147766</v>
      </c>
      <c r="AH3399" s="2" t="str">
        <f ca="1"/>
        <v>Bad</v>
      </c>
    </row>
    <row r="3400" spans="2:34" x14ac:dyDescent="0.2">
      <c r="B3400" s="2">
        <f ca="1"/>
        <v>0.78704283267565311</v>
      </c>
      <c r="O3400" s="2">
        <f ca="1"/>
        <v>1.3554150775752762</v>
      </c>
      <c r="X3400" s="2">
        <f ca="1"/>
        <v>34.714839453418314</v>
      </c>
      <c r="AG3400" s="2">
        <f ca="1"/>
        <v>0.24035687378101001</v>
      </c>
      <c r="AH3400" s="2" t="str">
        <f ca="1"/>
        <v>OK</v>
      </c>
    </row>
    <row r="3401" spans="2:34" x14ac:dyDescent="0.2">
      <c r="B3401" s="2">
        <f ca="1"/>
        <v>0.52488429294473349</v>
      </c>
      <c r="O3401" s="2">
        <f ca="1"/>
        <v>0.93687144573282122</v>
      </c>
      <c r="X3401" s="2">
        <f ca="1"/>
        <v>64.93175408954103</v>
      </c>
      <c r="AG3401" s="2">
        <f ca="1"/>
        <v>0.47566418007711819</v>
      </c>
      <c r="AH3401" s="2" t="str">
        <f ca="1"/>
        <v>Bad</v>
      </c>
    </row>
    <row r="3402" spans="2:34" x14ac:dyDescent="0.2">
      <c r="B3402" s="2">
        <f ca="1"/>
        <v>0.80519662475659026</v>
      </c>
      <c r="O3402" s="2">
        <f ca="1"/>
        <v>0.10076756934943677</v>
      </c>
      <c r="X3402" s="2">
        <f ca="1"/>
        <v>47.513980254326256</v>
      </c>
      <c r="AG3402" s="2">
        <f ca="1"/>
        <v>0.64950917310049427</v>
      </c>
      <c r="AH3402" s="2" t="str">
        <f ca="1"/>
        <v>Bad</v>
      </c>
    </row>
    <row r="3403" spans="2:34" x14ac:dyDescent="0.2">
      <c r="B3403" s="2">
        <f ca="1"/>
        <v>0.5284598306906414</v>
      </c>
      <c r="O3403" s="2">
        <f ca="1"/>
        <v>-0.15089309297264292</v>
      </c>
      <c r="X3403" s="2">
        <f ca="1"/>
        <v>36.916555786748617</v>
      </c>
      <c r="AG3403" s="2">
        <f ca="1"/>
        <v>0.82576926971443099</v>
      </c>
      <c r="AH3403" s="2" t="str">
        <f ca="1"/>
        <v>Bad</v>
      </c>
    </row>
    <row r="3404" spans="2:34" x14ac:dyDescent="0.2">
      <c r="B3404" s="2">
        <f ca="1"/>
        <v>0.58798342142129068</v>
      </c>
      <c r="O3404" s="2">
        <f ca="1"/>
        <v>0.55984182763782764</v>
      </c>
      <c r="X3404" s="2">
        <f ca="1"/>
        <v>63.370838276028195</v>
      </c>
      <c r="AG3404" s="2">
        <f ca="1"/>
        <v>0.75752171246738387</v>
      </c>
      <c r="AH3404" s="2" t="str">
        <f ca="1"/>
        <v>Bad</v>
      </c>
    </row>
    <row r="3405" spans="2:34" x14ac:dyDescent="0.2">
      <c r="B3405" s="2">
        <f ca="1"/>
        <v>0.10120953079288575</v>
      </c>
      <c r="O3405" s="2">
        <f ca="1"/>
        <v>-2.1347398081499018</v>
      </c>
      <c r="X3405" s="2">
        <f ca="1"/>
        <v>29.299194358797376</v>
      </c>
      <c r="AG3405" s="2">
        <f ca="1"/>
        <v>0.29302199425431441</v>
      </c>
      <c r="AH3405" s="2" t="str">
        <f ca="1"/>
        <v>OK</v>
      </c>
    </row>
    <row r="3406" spans="2:34" x14ac:dyDescent="0.2">
      <c r="B3406" s="2">
        <f ca="1"/>
        <v>0.58399130245442854</v>
      </c>
      <c r="O3406" s="2">
        <f ca="1"/>
        <v>-0.22256138851851714</v>
      </c>
      <c r="X3406" s="2">
        <f ca="1"/>
        <v>23.540383710173657</v>
      </c>
      <c r="AG3406" s="2">
        <f ca="1"/>
        <v>0.68118323953597915</v>
      </c>
      <c r="AH3406" s="2" t="str">
        <f ca="1"/>
        <v>Bad</v>
      </c>
    </row>
    <row r="3407" spans="2:34" x14ac:dyDescent="0.2">
      <c r="B3407" s="2">
        <f ca="1"/>
        <v>0.66477304894144917</v>
      </c>
      <c r="O3407" s="2">
        <f ca="1"/>
        <v>-0.78526383433578428</v>
      </c>
      <c r="X3407" s="2">
        <f ca="1"/>
        <v>27.20016322211621</v>
      </c>
      <c r="AG3407" s="2">
        <f ca="1"/>
        <v>0.20355586148265514</v>
      </c>
      <c r="AH3407" s="2" t="str">
        <f ca="1"/>
        <v>OK</v>
      </c>
    </row>
    <row r="3408" spans="2:34" x14ac:dyDescent="0.2">
      <c r="B3408" s="2">
        <f ca="1"/>
        <v>0.64266738343709284</v>
      </c>
      <c r="O3408" s="2">
        <f ca="1"/>
        <v>-1.2668110308855647</v>
      </c>
      <c r="X3408" s="2">
        <f ca="1"/>
        <v>83.076915146442175</v>
      </c>
      <c r="AG3408" s="2">
        <f ca="1"/>
        <v>8.9605933458323239E-3</v>
      </c>
      <c r="AH3408" s="2" t="str">
        <f ca="1"/>
        <v>Good</v>
      </c>
    </row>
    <row r="3409" spans="2:34" x14ac:dyDescent="0.2">
      <c r="B3409" s="2">
        <f ca="1"/>
        <v>0.91188397146848654</v>
      </c>
      <c r="O3409" s="2">
        <f ca="1"/>
        <v>-0.82405896054000327</v>
      </c>
      <c r="X3409" s="2">
        <f ca="1"/>
        <v>54.662296480308129</v>
      </c>
      <c r="AG3409" s="2">
        <f ca="1"/>
        <v>0.70455831443857786</v>
      </c>
      <c r="AH3409" s="2" t="str">
        <f ca="1"/>
        <v>Bad</v>
      </c>
    </row>
    <row r="3410" spans="2:34" x14ac:dyDescent="0.2">
      <c r="B3410" s="2">
        <f ca="1"/>
        <v>0.13462521718677634</v>
      </c>
      <c r="O3410" s="2">
        <f ca="1"/>
        <v>-2.2756960544760112</v>
      </c>
      <c r="X3410" s="2">
        <f ca="1"/>
        <v>68.226868313417668</v>
      </c>
      <c r="AG3410" s="2">
        <f ca="1"/>
        <v>0.37359041915917279</v>
      </c>
      <c r="AH3410" s="2" t="str">
        <f ca="1"/>
        <v>OK</v>
      </c>
    </row>
    <row r="3411" spans="2:34" x14ac:dyDescent="0.2">
      <c r="B3411" s="2">
        <f ca="1"/>
        <v>0.46641435004738807</v>
      </c>
      <c r="O3411" s="2">
        <f ca="1"/>
        <v>-1.4398744042730405</v>
      </c>
      <c r="X3411" s="2">
        <f ca="1"/>
        <v>77.524769987351362</v>
      </c>
      <c r="AG3411" s="2">
        <f ca="1"/>
        <v>0.94277396630771726</v>
      </c>
      <c r="AH3411" s="2" t="str">
        <f ca="1"/>
        <v>Bad</v>
      </c>
    </row>
    <row r="3412" spans="2:34" x14ac:dyDescent="0.2">
      <c r="B3412" s="2">
        <f ca="1"/>
        <v>0.46432286837131875</v>
      </c>
      <c r="O3412" s="2">
        <f ca="1"/>
        <v>-1.0705749399057392</v>
      </c>
      <c r="X3412" s="2">
        <f ca="1"/>
        <v>58.061915316863093</v>
      </c>
      <c r="AG3412" s="2">
        <f ca="1"/>
        <v>0.70990951064845764</v>
      </c>
      <c r="AH3412" s="2" t="str">
        <f ca="1"/>
        <v>Bad</v>
      </c>
    </row>
    <row r="3413" spans="2:34" x14ac:dyDescent="0.2">
      <c r="B3413" s="2">
        <f ca="1"/>
        <v>0.22249226109149189</v>
      </c>
      <c r="O3413" s="2">
        <f ca="1"/>
        <v>0.33491868560330529</v>
      </c>
      <c r="X3413" s="2">
        <f ca="1"/>
        <v>59.223361275196496</v>
      </c>
      <c r="AG3413" s="2">
        <f ca="1"/>
        <v>0.92235712700512607</v>
      </c>
      <c r="AH3413" s="2" t="str">
        <f ca="1"/>
        <v>Bad</v>
      </c>
    </row>
    <row r="3414" spans="2:34" x14ac:dyDescent="0.2">
      <c r="B3414" s="2">
        <f ca="1"/>
        <v>0.74368132846546287</v>
      </c>
      <c r="O3414" s="2">
        <f ca="1"/>
        <v>-1.6226168537693273</v>
      </c>
      <c r="X3414" s="2">
        <f ca="1"/>
        <v>23.547897684233238</v>
      </c>
      <c r="AG3414" s="2">
        <f ca="1"/>
        <v>0.11397002603783402</v>
      </c>
      <c r="AH3414" s="2" t="str">
        <f ca="1"/>
        <v>OK</v>
      </c>
    </row>
    <row r="3415" spans="2:34" x14ac:dyDescent="0.2">
      <c r="B3415" s="2">
        <f ca="1"/>
        <v>0.91271419902041417</v>
      </c>
      <c r="O3415" s="2">
        <f ca="1"/>
        <v>0.20245595445401912</v>
      </c>
      <c r="X3415" s="2">
        <f ca="1"/>
        <v>41.203133787002749</v>
      </c>
      <c r="AG3415" s="2">
        <f ca="1"/>
        <v>0.61696913754965865</v>
      </c>
      <c r="AH3415" s="2" t="str">
        <f ca="1"/>
        <v>Bad</v>
      </c>
    </row>
    <row r="3416" spans="2:34" x14ac:dyDescent="0.2">
      <c r="B3416" s="2">
        <f ca="1"/>
        <v>0.17358096937828771</v>
      </c>
      <c r="O3416" s="2">
        <f ca="1"/>
        <v>9.6737052592262534E-6</v>
      </c>
      <c r="X3416" s="2">
        <f ca="1"/>
        <v>88.725324875901478</v>
      </c>
      <c r="AG3416" s="2">
        <f ca="1"/>
        <v>0.74057054946567491</v>
      </c>
      <c r="AH3416" s="2" t="str">
        <f ca="1"/>
        <v>Bad</v>
      </c>
    </row>
    <row r="3417" spans="2:34" x14ac:dyDescent="0.2">
      <c r="B3417" s="2">
        <f ca="1"/>
        <v>0.44789301351966304</v>
      </c>
      <c r="O3417" s="2">
        <f ca="1"/>
        <v>0.8510919321679461</v>
      </c>
      <c r="X3417" s="2">
        <f ca="1"/>
        <v>82.991292520785564</v>
      </c>
      <c r="AG3417" s="2">
        <f ca="1"/>
        <v>0.80706157180598348</v>
      </c>
      <c r="AH3417" s="2" t="str">
        <f ca="1"/>
        <v>Bad</v>
      </c>
    </row>
    <row r="3418" spans="2:34" x14ac:dyDescent="0.2">
      <c r="B3418" s="2">
        <f ca="1"/>
        <v>3.4447120612162152E-3</v>
      </c>
      <c r="O3418" s="2">
        <f ca="1"/>
        <v>-1.1516348496409927</v>
      </c>
      <c r="X3418" s="2">
        <f ca="1"/>
        <v>58.182620116849186</v>
      </c>
      <c r="AG3418" s="2">
        <f ca="1"/>
        <v>0.34568479138169872</v>
      </c>
      <c r="AH3418" s="2" t="str">
        <f ca="1"/>
        <v>OK</v>
      </c>
    </row>
    <row r="3419" spans="2:34" x14ac:dyDescent="0.2">
      <c r="B3419" s="2">
        <f ca="1"/>
        <v>0.61816639113957317</v>
      </c>
      <c r="O3419" s="2">
        <f ca="1"/>
        <v>1.1127675927276157</v>
      </c>
      <c r="X3419" s="2">
        <f ca="1"/>
        <v>36.496274969514445</v>
      </c>
      <c r="AG3419" s="2">
        <f ca="1"/>
        <v>0.38141447704798592</v>
      </c>
      <c r="AH3419" s="2" t="str">
        <f ca="1"/>
        <v>OK</v>
      </c>
    </row>
    <row r="3420" spans="2:34" x14ac:dyDescent="0.2">
      <c r="B3420" s="2">
        <f ca="1"/>
        <v>4.8301053661746973E-2</v>
      </c>
      <c r="O3420" s="2">
        <f ca="1"/>
        <v>2.0301539595355615</v>
      </c>
      <c r="X3420" s="2">
        <f ca="1"/>
        <v>45.903132999595883</v>
      </c>
      <c r="AG3420" s="2">
        <f ca="1"/>
        <v>2.4387706983272972E-2</v>
      </c>
      <c r="AH3420" s="2" t="str">
        <f ca="1"/>
        <v>Good</v>
      </c>
    </row>
    <row r="3421" spans="2:34" x14ac:dyDescent="0.2">
      <c r="B3421" s="2">
        <f ca="1"/>
        <v>0.87856341241319713</v>
      </c>
      <c r="O3421" s="2">
        <f ca="1"/>
        <v>0.46292959285073115</v>
      </c>
      <c r="X3421" s="2">
        <f ca="1"/>
        <v>24.705682314785026</v>
      </c>
      <c r="AG3421" s="2">
        <f ca="1"/>
        <v>0.90571916649513495</v>
      </c>
      <c r="AH3421" s="2" t="str">
        <f ca="1"/>
        <v>Bad</v>
      </c>
    </row>
    <row r="3422" spans="2:34" x14ac:dyDescent="0.2">
      <c r="B3422" s="2">
        <f ca="1"/>
        <v>0.78572594904064941</v>
      </c>
      <c r="O3422" s="2">
        <f ca="1"/>
        <v>-0.17364276289701613</v>
      </c>
      <c r="X3422" s="2">
        <f ca="1"/>
        <v>58.631260395852962</v>
      </c>
      <c r="AG3422" s="2">
        <f ca="1"/>
        <v>0.19627688432728951</v>
      </c>
      <c r="AH3422" s="2" t="str">
        <f ca="1"/>
        <v>OK</v>
      </c>
    </row>
    <row r="3423" spans="2:34" x14ac:dyDescent="0.2">
      <c r="B3423" s="2">
        <f ca="1"/>
        <v>0.41187058574057334</v>
      </c>
      <c r="O3423" s="2">
        <f ca="1"/>
        <v>-1.0241158704978024</v>
      </c>
      <c r="X3423" s="2">
        <f ca="1"/>
        <v>73.519524971498583</v>
      </c>
      <c r="AG3423" s="2">
        <f ca="1"/>
        <v>0.91813646764008472</v>
      </c>
      <c r="AH3423" s="2" t="str">
        <f ca="1"/>
        <v>Bad</v>
      </c>
    </row>
    <row r="3424" spans="2:34" x14ac:dyDescent="0.2">
      <c r="B3424" s="2">
        <f ca="1"/>
        <v>0.40892646840977731</v>
      </c>
      <c r="O3424" s="2">
        <f ca="1"/>
        <v>-0.73382989896295725</v>
      </c>
      <c r="X3424" s="2">
        <f ca="1"/>
        <v>41.504415539759577</v>
      </c>
      <c r="AG3424" s="2">
        <f ca="1"/>
        <v>0.25566501835266542</v>
      </c>
      <c r="AH3424" s="2" t="str">
        <f ca="1"/>
        <v>OK</v>
      </c>
    </row>
    <row r="3425" spans="2:34" x14ac:dyDescent="0.2">
      <c r="B3425" s="2">
        <f ca="1"/>
        <v>0.52467524185377123</v>
      </c>
      <c r="O3425" s="2">
        <f ca="1"/>
        <v>1.9901608158115789</v>
      </c>
      <c r="X3425" s="2">
        <f ca="1"/>
        <v>42.652471814176216</v>
      </c>
      <c r="AG3425" s="2">
        <f ca="1"/>
        <v>0.28719156462325346</v>
      </c>
      <c r="AH3425" s="2" t="str">
        <f ca="1"/>
        <v>OK</v>
      </c>
    </row>
    <row r="3426" spans="2:34" x14ac:dyDescent="0.2">
      <c r="B3426" s="2">
        <f ca="1"/>
        <v>0.18279770115584215</v>
      </c>
      <c r="O3426" s="2">
        <f ca="1"/>
        <v>0.42966003300069688</v>
      </c>
      <c r="X3426" s="2">
        <f ca="1"/>
        <v>36.249679250135117</v>
      </c>
      <c r="AG3426" s="2">
        <f ca="1"/>
        <v>0.52050167035774653</v>
      </c>
      <c r="AH3426" s="2" t="str">
        <f ca="1"/>
        <v>Bad</v>
      </c>
    </row>
    <row r="3427" spans="2:34" x14ac:dyDescent="0.2">
      <c r="B3427" s="2">
        <f ca="1"/>
        <v>0.84435216994321594</v>
      </c>
      <c r="O3427" s="2">
        <f ca="1"/>
        <v>0.29292886526272111</v>
      </c>
      <c r="X3427" s="2">
        <f ca="1"/>
        <v>47.333847531169837</v>
      </c>
      <c r="AG3427" s="2">
        <f ca="1"/>
        <v>0.23616935434373043</v>
      </c>
      <c r="AH3427" s="2" t="str">
        <f ca="1"/>
        <v>OK</v>
      </c>
    </row>
    <row r="3428" spans="2:34" x14ac:dyDescent="0.2">
      <c r="B3428" s="2">
        <f ca="1"/>
        <v>0.59684133198818179</v>
      </c>
      <c r="O3428" s="2">
        <f ca="1"/>
        <v>-0.90987020697367571</v>
      </c>
      <c r="X3428" s="2">
        <f ca="1"/>
        <v>54.83267615819959</v>
      </c>
      <c r="AG3428" s="2">
        <f ca="1"/>
        <v>0.84362192395481528</v>
      </c>
      <c r="AH3428" s="2" t="str">
        <f ca="1"/>
        <v>Bad</v>
      </c>
    </row>
    <row r="3429" spans="2:34" x14ac:dyDescent="0.2">
      <c r="B3429" s="2">
        <f ca="1"/>
        <v>0.46313324483430973</v>
      </c>
      <c r="O3429" s="2">
        <f ca="1"/>
        <v>0.38027741587995201</v>
      </c>
      <c r="X3429" s="2">
        <f ca="1"/>
        <v>80.899331980884028</v>
      </c>
      <c r="AG3429" s="2">
        <f ca="1"/>
        <v>0.1335824464683415</v>
      </c>
      <c r="AH3429" s="2" t="str">
        <f ca="1"/>
        <v>OK</v>
      </c>
    </row>
    <row r="3430" spans="2:34" x14ac:dyDescent="0.2">
      <c r="B3430" s="2">
        <f ca="1"/>
        <v>0.21591220391582944</v>
      </c>
      <c r="O3430" s="2">
        <f ca="1"/>
        <v>1.5038632005561272</v>
      </c>
      <c r="X3430" s="2">
        <f ca="1"/>
        <v>38.462674709776373</v>
      </c>
      <c r="AG3430" s="2">
        <f ca="1"/>
        <v>0.90851630468575939</v>
      </c>
      <c r="AH3430" s="2" t="str">
        <f ca="1"/>
        <v>Bad</v>
      </c>
    </row>
    <row r="3431" spans="2:34" x14ac:dyDescent="0.2">
      <c r="B3431" s="2">
        <f ca="1"/>
        <v>0.56004568942519728</v>
      </c>
      <c r="O3431" s="2">
        <f ca="1"/>
        <v>-0.33830795680932252</v>
      </c>
      <c r="X3431" s="2">
        <f ca="1"/>
        <v>32.809808193879689</v>
      </c>
      <c r="AG3431" s="2">
        <f ca="1"/>
        <v>0.54723467422923933</v>
      </c>
      <c r="AH3431" s="2" t="str">
        <f ca="1"/>
        <v>Bad</v>
      </c>
    </row>
    <row r="3432" spans="2:34" x14ac:dyDescent="0.2">
      <c r="B3432" s="2">
        <f ca="1"/>
        <v>0.44305505095708453</v>
      </c>
      <c r="O3432" s="2">
        <f ca="1"/>
        <v>0.58617668356979735</v>
      </c>
      <c r="X3432" s="2">
        <f ca="1"/>
        <v>46.1584004234875</v>
      </c>
      <c r="AG3432" s="2">
        <f ca="1"/>
        <v>0.85749357479590915</v>
      </c>
      <c r="AH3432" s="2" t="str">
        <f ca="1"/>
        <v>Bad</v>
      </c>
    </row>
    <row r="3433" spans="2:34" x14ac:dyDescent="0.2">
      <c r="B3433" s="2">
        <f ca="1"/>
        <v>0.97338052889082349</v>
      </c>
      <c r="O3433" s="2">
        <f ca="1"/>
        <v>-1.4872670468702001</v>
      </c>
      <c r="X3433" s="2">
        <f ca="1"/>
        <v>57.057280030217299</v>
      </c>
      <c r="AG3433" s="2">
        <f ca="1"/>
        <v>0.68065462055855508</v>
      </c>
      <c r="AH3433" s="2" t="str">
        <f ca="1"/>
        <v>Bad</v>
      </c>
    </row>
    <row r="3434" spans="2:34" x14ac:dyDescent="0.2">
      <c r="B3434" s="2">
        <f ca="1"/>
        <v>0.1234518887168008</v>
      </c>
      <c r="O3434" s="2">
        <f ca="1"/>
        <v>-0.73680574763504325</v>
      </c>
      <c r="X3434" s="2">
        <f ca="1"/>
        <v>42.764323640876391</v>
      </c>
      <c r="AG3434" s="2">
        <f ca="1"/>
        <v>0.30419990200855018</v>
      </c>
      <c r="AH3434" s="2" t="str">
        <f ca="1"/>
        <v>OK</v>
      </c>
    </row>
    <row r="3435" spans="2:34" x14ac:dyDescent="0.2">
      <c r="B3435" s="2">
        <f ca="1"/>
        <v>0.71084202006449471</v>
      </c>
      <c r="O3435" s="2">
        <f ca="1"/>
        <v>-1.6976307167544946</v>
      </c>
      <c r="X3435" s="2">
        <f ca="1"/>
        <v>39.508414930915976</v>
      </c>
      <c r="AG3435" s="2">
        <f ca="1"/>
        <v>0.96888144280209465</v>
      </c>
      <c r="AH3435" s="2" t="str">
        <f ca="1"/>
        <v>Bad</v>
      </c>
    </row>
    <row r="3436" spans="2:34" x14ac:dyDescent="0.2">
      <c r="B3436" s="2">
        <f ca="1"/>
        <v>0.94769507561897259</v>
      </c>
      <c r="O3436" s="2">
        <f ca="1"/>
        <v>-0.74709699902779592</v>
      </c>
      <c r="X3436" s="2">
        <f ca="1"/>
        <v>26.09937271872186</v>
      </c>
      <c r="AG3436" s="2">
        <f ca="1"/>
        <v>0.17454628405116757</v>
      </c>
      <c r="AH3436" s="2" t="str">
        <f ca="1"/>
        <v>OK</v>
      </c>
    </row>
    <row r="3437" spans="2:34" x14ac:dyDescent="0.2">
      <c r="B3437" s="2">
        <f ca="1"/>
        <v>8.4745244071606995E-2</v>
      </c>
      <c r="O3437" s="2">
        <f ca="1"/>
        <v>-0.30472004781825257</v>
      </c>
      <c r="X3437" s="2">
        <f ca="1"/>
        <v>53.106881985764687</v>
      </c>
      <c r="AG3437" s="2">
        <f ca="1"/>
        <v>0.32557054554790099</v>
      </c>
      <c r="AH3437" s="2" t="str">
        <f ca="1"/>
        <v>OK</v>
      </c>
    </row>
    <row r="3438" spans="2:34" x14ac:dyDescent="0.2">
      <c r="B3438" s="2">
        <f ca="1"/>
        <v>0.36290566170126515</v>
      </c>
      <c r="O3438" s="2">
        <f ca="1"/>
        <v>-0.57344487093659613</v>
      </c>
      <c r="X3438" s="2">
        <f ca="1"/>
        <v>39.001553270443445</v>
      </c>
      <c r="AG3438" s="2">
        <f ca="1"/>
        <v>0.86809192855390593</v>
      </c>
      <c r="AH3438" s="2" t="str">
        <f ca="1"/>
        <v>Bad</v>
      </c>
    </row>
    <row r="3439" spans="2:34" x14ac:dyDescent="0.2">
      <c r="B3439" s="2">
        <f ca="1"/>
        <v>0.31125129317060396</v>
      </c>
      <c r="O3439" s="2">
        <f ca="1"/>
        <v>0.15869648512425705</v>
      </c>
      <c r="X3439" s="2">
        <f ca="1"/>
        <v>55.25458902024657</v>
      </c>
      <c r="AG3439" s="2">
        <f ca="1"/>
        <v>0.21653649425115118</v>
      </c>
      <c r="AH3439" s="2" t="str">
        <f ca="1"/>
        <v>OK</v>
      </c>
    </row>
    <row r="3440" spans="2:34" x14ac:dyDescent="0.2">
      <c r="B3440" s="2">
        <f ca="1"/>
        <v>0.93658185857764931</v>
      </c>
      <c r="O3440" s="2">
        <f ca="1"/>
        <v>4.0625468929422495E-2</v>
      </c>
      <c r="X3440" s="2">
        <f ca="1"/>
        <v>37.523859264096529</v>
      </c>
      <c r="AG3440" s="2">
        <f ca="1"/>
        <v>0.39508206530728507</v>
      </c>
      <c r="AH3440" s="2" t="str">
        <f ca="1"/>
        <v>OK</v>
      </c>
    </row>
    <row r="3441" spans="2:34" x14ac:dyDescent="0.2">
      <c r="B3441" s="2">
        <f ca="1"/>
        <v>0.94051743617423655</v>
      </c>
      <c r="O3441" s="2">
        <f ca="1"/>
        <v>1.2919625424819685</v>
      </c>
      <c r="X3441" s="2">
        <f ca="1"/>
        <v>49.39918459953256</v>
      </c>
      <c r="AG3441" s="2">
        <f ca="1"/>
        <v>0.15202450384493393</v>
      </c>
      <c r="AH3441" s="2" t="str">
        <f ca="1"/>
        <v>OK</v>
      </c>
    </row>
    <row r="3442" spans="2:34" x14ac:dyDescent="0.2">
      <c r="B3442" s="2">
        <f ca="1"/>
        <v>0.92142986021769735</v>
      </c>
      <c r="O3442" s="2">
        <f ca="1"/>
        <v>-1.4099310693490172</v>
      </c>
      <c r="X3442" s="2">
        <f ca="1"/>
        <v>40.700359067523024</v>
      </c>
      <c r="AG3442" s="2">
        <f ca="1"/>
        <v>0.62278432966692199</v>
      </c>
      <c r="AH3442" s="2" t="str">
        <f ca="1"/>
        <v>Bad</v>
      </c>
    </row>
    <row r="3443" spans="2:34" x14ac:dyDescent="0.2">
      <c r="B3443" s="2">
        <f ca="1"/>
        <v>0.65659991566666664</v>
      </c>
      <c r="O3443" s="2">
        <f ca="1"/>
        <v>-1.1844185044613493</v>
      </c>
      <c r="X3443" s="2">
        <f ca="1"/>
        <v>34.758706088337306</v>
      </c>
      <c r="AG3443" s="2">
        <f ca="1"/>
        <v>0.82796386749017192</v>
      </c>
      <c r="AH3443" s="2" t="str">
        <f ca="1"/>
        <v>Bad</v>
      </c>
    </row>
    <row r="3444" spans="2:34" x14ac:dyDescent="0.2">
      <c r="B3444" s="2">
        <f ca="1"/>
        <v>0.19345838443122987</v>
      </c>
      <c r="O3444" s="2">
        <f ca="1"/>
        <v>-0.61701286731945382</v>
      </c>
      <c r="X3444" s="2">
        <f ca="1"/>
        <v>38.473861215134221</v>
      </c>
      <c r="AG3444" s="2">
        <f ca="1"/>
        <v>0.21129657145481118</v>
      </c>
      <c r="AH3444" s="2" t="str">
        <f ca="1"/>
        <v>OK</v>
      </c>
    </row>
    <row r="3445" spans="2:34" x14ac:dyDescent="0.2">
      <c r="B3445" s="2">
        <f ca="1"/>
        <v>0.23535697898747632</v>
      </c>
      <c r="O3445" s="2">
        <f ca="1"/>
        <v>-0.64179119855079736</v>
      </c>
      <c r="X3445" s="2">
        <f ca="1"/>
        <v>27.774502357651617</v>
      </c>
      <c r="AG3445" s="2">
        <f ca="1"/>
        <v>0.35684681203259427</v>
      </c>
      <c r="AH3445" s="2" t="str">
        <f ca="1"/>
        <v>OK</v>
      </c>
    </row>
    <row r="3446" spans="2:34" x14ac:dyDescent="0.2">
      <c r="B3446" s="2">
        <f ca="1"/>
        <v>0.52912828690967539</v>
      </c>
      <c r="O3446" s="2">
        <f ca="1"/>
        <v>-1.1922045877212568</v>
      </c>
      <c r="X3446" s="2">
        <f ca="1"/>
        <v>34.865810211506805</v>
      </c>
      <c r="AG3446" s="2">
        <f ca="1"/>
        <v>0.45479610662076708</v>
      </c>
      <c r="AH3446" s="2" t="str">
        <f ca="1"/>
        <v>Bad</v>
      </c>
    </row>
    <row r="3447" spans="2:34" x14ac:dyDescent="0.2">
      <c r="B3447" s="2">
        <f ca="1"/>
        <v>0.15776563970463453</v>
      </c>
      <c r="O3447" s="2">
        <f ca="1"/>
        <v>-1.311522748712284</v>
      </c>
      <c r="X3447" s="2">
        <f ca="1"/>
        <v>40.521849453455225</v>
      </c>
      <c r="AG3447" s="2">
        <f ca="1"/>
        <v>0.16060039444941654</v>
      </c>
      <c r="AH3447" s="2" t="str">
        <f ca="1"/>
        <v>OK</v>
      </c>
    </row>
    <row r="3448" spans="2:34" x14ac:dyDescent="0.2">
      <c r="B3448" s="2">
        <f ca="1"/>
        <v>0.28981112777705986</v>
      </c>
      <c r="O3448" s="2">
        <f ca="1"/>
        <v>-1.3031737432680732</v>
      </c>
      <c r="X3448" s="2">
        <f ca="1"/>
        <v>77.184415006554474</v>
      </c>
      <c r="AG3448" s="2">
        <f ca="1"/>
        <v>0.6317061600092424</v>
      </c>
      <c r="AH3448" s="2" t="str">
        <f ca="1"/>
        <v>Bad</v>
      </c>
    </row>
    <row r="3449" spans="2:34" x14ac:dyDescent="0.2">
      <c r="B3449" s="2">
        <f ca="1"/>
        <v>8.7902913626520363E-2</v>
      </c>
      <c r="O3449" s="2">
        <f ca="1"/>
        <v>1.5413672144502872</v>
      </c>
      <c r="X3449" s="2">
        <f ca="1"/>
        <v>73.011454801676294</v>
      </c>
      <c r="AG3449" s="2">
        <f ca="1"/>
        <v>0.97504718167127979</v>
      </c>
      <c r="AH3449" s="2" t="str">
        <f ca="1"/>
        <v>Bad</v>
      </c>
    </row>
    <row r="3450" spans="2:34" x14ac:dyDescent="0.2">
      <c r="B3450" s="2">
        <f ca="1"/>
        <v>0.52426562052182279</v>
      </c>
      <c r="O3450" s="2">
        <f ca="1"/>
        <v>-0.36566365380298821</v>
      </c>
      <c r="X3450" s="2">
        <f ca="1"/>
        <v>39.065408625004636</v>
      </c>
      <c r="AG3450" s="2">
        <f ca="1"/>
        <v>6.2022458561791671E-2</v>
      </c>
      <c r="AH3450" s="2" t="str">
        <f ca="1"/>
        <v>OK</v>
      </c>
    </row>
    <row r="3451" spans="2:34" x14ac:dyDescent="0.2">
      <c r="B3451" s="2">
        <f ca="1"/>
        <v>0.30532680379975918</v>
      </c>
      <c r="O3451" s="2">
        <f ca="1"/>
        <v>-1.7095597293314555</v>
      </c>
      <c r="X3451" s="2">
        <f ca="1"/>
        <v>45.714386070377884</v>
      </c>
      <c r="AG3451" s="2">
        <f ca="1"/>
        <v>0.88778503378605267</v>
      </c>
      <c r="AH3451" s="2" t="str">
        <f ca="1"/>
        <v>Bad</v>
      </c>
    </row>
    <row r="3452" spans="2:34" x14ac:dyDescent="0.2">
      <c r="B3452" s="2">
        <f ca="1"/>
        <v>0.27239771795252277</v>
      </c>
      <c r="O3452" s="2">
        <f ca="1"/>
        <v>-0.95371845869126615</v>
      </c>
      <c r="X3452" s="2">
        <f ca="1"/>
        <v>49.705422112098915</v>
      </c>
      <c r="AG3452" s="2">
        <f ca="1"/>
        <v>6.4077746178361039E-2</v>
      </c>
      <c r="AH3452" s="2" t="str">
        <f ca="1"/>
        <v>OK</v>
      </c>
    </row>
    <row r="3453" spans="2:34" x14ac:dyDescent="0.2">
      <c r="B3453" s="2">
        <f ca="1"/>
        <v>0.54219268573140988</v>
      </c>
      <c r="O3453" s="2">
        <f ca="1"/>
        <v>-1.905336235739858</v>
      </c>
      <c r="X3453" s="2">
        <f ca="1"/>
        <v>26.557855021982959</v>
      </c>
      <c r="AG3453" s="2">
        <f ca="1"/>
        <v>4.1787402193486534E-2</v>
      </c>
      <c r="AH3453" s="2" t="str">
        <f ca="1"/>
        <v>Good</v>
      </c>
    </row>
    <row r="3454" spans="2:34" x14ac:dyDescent="0.2">
      <c r="B3454" s="2">
        <f ca="1"/>
        <v>8.5775688499443836E-2</v>
      </c>
      <c r="O3454" s="2">
        <f ca="1"/>
        <v>6.037223732359466E-3</v>
      </c>
      <c r="X3454" s="2">
        <f ca="1"/>
        <v>84.880368420012218</v>
      </c>
      <c r="AG3454" s="2">
        <f ca="1"/>
        <v>0.18314479902899272</v>
      </c>
      <c r="AH3454" s="2" t="str">
        <f ca="1"/>
        <v>OK</v>
      </c>
    </row>
    <row r="3455" spans="2:34" x14ac:dyDescent="0.2">
      <c r="B3455" s="2">
        <f ca="1"/>
        <v>0.90879945620656666</v>
      </c>
      <c r="O3455" s="2">
        <f ca="1"/>
        <v>-5.4492596967907004E-3</v>
      </c>
      <c r="X3455" s="2">
        <f ca="1"/>
        <v>26.861207106581698</v>
      </c>
      <c r="AG3455" s="2">
        <f ca="1"/>
        <v>0.52220292562877235</v>
      </c>
      <c r="AH3455" s="2" t="str">
        <f ca="1"/>
        <v>Bad</v>
      </c>
    </row>
    <row r="3456" spans="2:34" x14ac:dyDescent="0.2">
      <c r="B3456" s="2">
        <f ca="1"/>
        <v>0.88613743291746694</v>
      </c>
      <c r="O3456" s="2">
        <f ca="1"/>
        <v>-1.400222326978783</v>
      </c>
      <c r="X3456" s="2">
        <f ca="1"/>
        <v>38.976474381591082</v>
      </c>
      <c r="AG3456" s="2">
        <f ca="1"/>
        <v>0.93749998683535019</v>
      </c>
      <c r="AH3456" s="2" t="str">
        <f ca="1"/>
        <v>Bad</v>
      </c>
    </row>
    <row r="3457" spans="2:34" x14ac:dyDescent="0.2">
      <c r="B3457" s="2">
        <f ca="1"/>
        <v>0.96381537384601201</v>
      </c>
      <c r="O3457" s="2">
        <f ca="1"/>
        <v>-0.22220939510799956</v>
      </c>
      <c r="X3457" s="2">
        <f ca="1"/>
        <v>33.722134642123713</v>
      </c>
      <c r="AG3457" s="2">
        <f ca="1"/>
        <v>0.35241736785402322</v>
      </c>
      <c r="AH3457" s="2" t="str">
        <f ca="1"/>
        <v>OK</v>
      </c>
    </row>
    <row r="3458" spans="2:34" x14ac:dyDescent="0.2">
      <c r="B3458" s="2">
        <f ca="1"/>
        <v>0.77715866071052697</v>
      </c>
      <c r="O3458" s="2">
        <f ca="1"/>
        <v>-1.1380549784185658</v>
      </c>
      <c r="X3458" s="2">
        <f ca="1"/>
        <v>73.670395041109884</v>
      </c>
      <c r="AG3458" s="2">
        <f ca="1"/>
        <v>0.13689192798709526</v>
      </c>
      <c r="AH3458" s="2" t="str">
        <f ca="1"/>
        <v>OK</v>
      </c>
    </row>
    <row r="3459" spans="2:34" x14ac:dyDescent="0.2">
      <c r="B3459" s="2">
        <f ca="1"/>
        <v>0.41768002214805677</v>
      </c>
      <c r="O3459" s="2">
        <f ca="1"/>
        <v>0.63277696938545547</v>
      </c>
      <c r="X3459" s="2">
        <f ca="1"/>
        <v>57.71142379446519</v>
      </c>
      <c r="AG3459" s="2">
        <f ca="1"/>
        <v>0.27205500379484193</v>
      </c>
      <c r="AH3459" s="2" t="str">
        <f ca="1"/>
        <v>OK</v>
      </c>
    </row>
    <row r="3460" spans="2:34" x14ac:dyDescent="0.2">
      <c r="B3460" s="2">
        <f ca="1"/>
        <v>0.82317360472426415</v>
      </c>
      <c r="O3460" s="2">
        <f ca="1"/>
        <v>-0.26336859504379423</v>
      </c>
      <c r="X3460" s="2">
        <f ca="1"/>
        <v>57.874481650545242</v>
      </c>
      <c r="AG3460" s="2">
        <f ca="1"/>
        <v>0.32154842198970801</v>
      </c>
      <c r="AH3460" s="2" t="str">
        <f ca="1"/>
        <v>OK</v>
      </c>
    </row>
    <row r="3461" spans="2:34" x14ac:dyDescent="0.2">
      <c r="B3461" s="2">
        <f ca="1"/>
        <v>0.60968298552361411</v>
      </c>
      <c r="O3461" s="2">
        <f ca="1"/>
        <v>0.51609271728015205</v>
      </c>
      <c r="X3461" s="2">
        <f ca="1"/>
        <v>34.708317032303654</v>
      </c>
      <c r="AG3461" s="2">
        <f ca="1"/>
        <v>0.67184500420645943</v>
      </c>
      <c r="AH3461" s="2" t="str">
        <f ca="1"/>
        <v>Bad</v>
      </c>
    </row>
    <row r="3462" spans="2:34" x14ac:dyDescent="0.2">
      <c r="B3462" s="2">
        <f ca="1"/>
        <v>0.14281031368405461</v>
      </c>
      <c r="O3462" s="2">
        <f ca="1"/>
        <v>-0.52642574342570025</v>
      </c>
      <c r="X3462" s="2">
        <f ca="1"/>
        <v>41.828882345209088</v>
      </c>
      <c r="AG3462" s="2">
        <f ca="1"/>
        <v>0.61131830645454999</v>
      </c>
      <c r="AH3462" s="2" t="str">
        <f ca="1"/>
        <v>Bad</v>
      </c>
    </row>
    <row r="3463" spans="2:34" x14ac:dyDescent="0.2">
      <c r="B3463" s="2">
        <f ca="1"/>
        <v>0.92823097810101007</v>
      </c>
      <c r="O3463" s="2">
        <f ca="1"/>
        <v>1.1445778211324804</v>
      </c>
      <c r="X3463" s="2">
        <f ca="1"/>
        <v>37.653969241414202</v>
      </c>
      <c r="AG3463" s="2">
        <f ca="1"/>
        <v>9.6948001945383888E-2</v>
      </c>
      <c r="AH3463" s="2" t="str">
        <f ca="1"/>
        <v>OK</v>
      </c>
    </row>
    <row r="3464" spans="2:34" x14ac:dyDescent="0.2">
      <c r="B3464" s="2">
        <f ca="1"/>
        <v>0.61851186596995156</v>
      </c>
      <c r="O3464" s="2">
        <f ca="1"/>
        <v>0.50687964979365774</v>
      </c>
      <c r="X3464" s="2">
        <f ca="1"/>
        <v>56.057155962441463</v>
      </c>
      <c r="AG3464" s="2">
        <f ca="1"/>
        <v>0.8779372569202597</v>
      </c>
      <c r="AH3464" s="2" t="str">
        <f ca="1"/>
        <v>Bad</v>
      </c>
    </row>
    <row r="3465" spans="2:34" x14ac:dyDescent="0.2">
      <c r="B3465" s="2">
        <f ca="1"/>
        <v>0.41806752687749893</v>
      </c>
      <c r="O3465" s="2">
        <f ca="1"/>
        <v>0.21342138444431261</v>
      </c>
      <c r="X3465" s="2">
        <f ca="1"/>
        <v>33.904584611354089</v>
      </c>
      <c r="AG3465" s="2">
        <f ca="1"/>
        <v>5.625687241396915E-2</v>
      </c>
      <c r="AH3465" s="2" t="str">
        <f ca="1"/>
        <v>OK</v>
      </c>
    </row>
    <row r="3466" spans="2:34" x14ac:dyDescent="0.2">
      <c r="B3466" s="2">
        <f ca="1"/>
        <v>0.15271327951771196</v>
      </c>
      <c r="O3466" s="2">
        <f ca="1"/>
        <v>-1.5032878457678975</v>
      </c>
      <c r="X3466" s="2">
        <f ca="1"/>
        <v>44.999707457416577</v>
      </c>
      <c r="AG3466" s="2">
        <f ca="1"/>
        <v>4.1721117637842697E-2</v>
      </c>
      <c r="AH3466" s="2" t="str">
        <f ca="1"/>
        <v>Good</v>
      </c>
    </row>
    <row r="3467" spans="2:34" x14ac:dyDescent="0.2">
      <c r="B3467" s="2">
        <f ca="1"/>
        <v>0.51331235471099235</v>
      </c>
      <c r="O3467" s="2">
        <f ca="1"/>
        <v>-1.4965028010623325</v>
      </c>
      <c r="X3467" s="2">
        <f ca="1"/>
        <v>41.175402335117212</v>
      </c>
      <c r="AG3467" s="2">
        <f ca="1"/>
        <v>4.5382469146197479E-2</v>
      </c>
      <c r="AH3467" s="2" t="str">
        <f ca="1"/>
        <v>Good</v>
      </c>
    </row>
    <row r="3468" spans="2:34" x14ac:dyDescent="0.2">
      <c r="B3468" s="2">
        <f ca="1"/>
        <v>2.5031907348366911E-2</v>
      </c>
      <c r="O3468" s="2">
        <f ca="1"/>
        <v>-0.27839110218802088</v>
      </c>
      <c r="X3468" s="2">
        <f ca="1"/>
        <v>51.458860192714752</v>
      </c>
      <c r="AG3468" s="2">
        <f ca="1"/>
        <v>0.47713542760625915</v>
      </c>
      <c r="AH3468" s="2" t="str">
        <f ca="1"/>
        <v>Bad</v>
      </c>
    </row>
    <row r="3469" spans="2:34" x14ac:dyDescent="0.2">
      <c r="B3469" s="2">
        <f ca="1"/>
        <v>0.12749938944318373</v>
      </c>
      <c r="O3469" s="2">
        <f ca="1"/>
        <v>-1.9177719793778738</v>
      </c>
      <c r="X3469" s="2">
        <f ca="1"/>
        <v>28.873689709862038</v>
      </c>
      <c r="AG3469" s="2">
        <f ca="1"/>
        <v>0.47660914751978622</v>
      </c>
      <c r="AH3469" s="2" t="str">
        <f ca="1"/>
        <v>Bad</v>
      </c>
    </row>
    <row r="3470" spans="2:34" x14ac:dyDescent="0.2">
      <c r="B3470" s="2">
        <f ca="1"/>
        <v>0.88100979922142209</v>
      </c>
      <c r="O3470" s="2">
        <f ca="1"/>
        <v>1.4705333640292682</v>
      </c>
      <c r="X3470" s="2">
        <f ca="1"/>
        <v>95.239191816004308</v>
      </c>
      <c r="AG3470" s="2">
        <f ca="1"/>
        <v>0.43486330751876134</v>
      </c>
      <c r="AH3470" s="2" t="str">
        <f ca="1"/>
        <v>Bad</v>
      </c>
    </row>
    <row r="3471" spans="2:34" x14ac:dyDescent="0.2">
      <c r="B3471" s="2">
        <f ca="1"/>
        <v>0.51695959955550674</v>
      </c>
      <c r="O3471" s="2">
        <f ca="1"/>
        <v>-2.5535986232108421</v>
      </c>
      <c r="X3471" s="2">
        <f ca="1"/>
        <v>75.1281070507723</v>
      </c>
      <c r="AG3471" s="2">
        <f ca="1"/>
        <v>0.48400468478601733</v>
      </c>
      <c r="AH3471" s="2" t="str">
        <f ca="1"/>
        <v>Bad</v>
      </c>
    </row>
    <row r="3472" spans="2:34" x14ac:dyDescent="0.2">
      <c r="B3472" s="2">
        <f ca="1"/>
        <v>0.37791401820073878</v>
      </c>
      <c r="O3472" s="2">
        <f ca="1"/>
        <v>0.11990396604776417</v>
      </c>
      <c r="X3472" s="2">
        <f ca="1"/>
        <v>31.704206680127299</v>
      </c>
      <c r="AG3472" s="2">
        <f ca="1"/>
        <v>0.25097876566104582</v>
      </c>
      <c r="AH3472" s="2" t="str">
        <f ca="1"/>
        <v>OK</v>
      </c>
    </row>
    <row r="3473" spans="2:34" x14ac:dyDescent="0.2">
      <c r="B3473" s="2">
        <f ca="1"/>
        <v>0.58174117646190848</v>
      </c>
      <c r="O3473" s="2">
        <f ca="1"/>
        <v>-0.71544214850337196</v>
      </c>
      <c r="X3473" s="2">
        <f ca="1"/>
        <v>38.551963687914174</v>
      </c>
      <c r="AG3473" s="2">
        <f ca="1"/>
        <v>0.68577229434401943</v>
      </c>
      <c r="AH3473" s="2" t="str">
        <f ca="1"/>
        <v>Bad</v>
      </c>
    </row>
    <row r="3474" spans="2:34" x14ac:dyDescent="0.2">
      <c r="B3474" s="2">
        <f ca="1"/>
        <v>0.75296271781841617</v>
      </c>
      <c r="O3474" s="2">
        <f ca="1"/>
        <v>1.2343658265000372</v>
      </c>
      <c r="X3474" s="2">
        <f ca="1"/>
        <v>39.286092362516357</v>
      </c>
      <c r="AG3474" s="2">
        <f ca="1"/>
        <v>0.92892091560237278</v>
      </c>
      <c r="AH3474" s="2" t="str">
        <f ca="1"/>
        <v>Bad</v>
      </c>
    </row>
    <row r="3475" spans="2:34" x14ac:dyDescent="0.2">
      <c r="B3475" s="2">
        <f ca="1"/>
        <v>0.25863250496641532</v>
      </c>
      <c r="O3475" s="2">
        <f ca="1"/>
        <v>1.5055432791850238</v>
      </c>
      <c r="X3475" s="2">
        <f ca="1"/>
        <v>53.753653045679442</v>
      </c>
      <c r="AG3475" s="2">
        <f ca="1"/>
        <v>0.80943144391458</v>
      </c>
      <c r="AH3475" s="2" t="str">
        <f ca="1"/>
        <v>Bad</v>
      </c>
    </row>
    <row r="3476" spans="2:34" x14ac:dyDescent="0.2">
      <c r="B3476" s="2">
        <f ca="1"/>
        <v>0.55803884605075815</v>
      </c>
      <c r="O3476" s="2">
        <f ca="1"/>
        <v>0.76200979826557869</v>
      </c>
      <c r="X3476" s="2">
        <f ca="1"/>
        <v>40.775187865919442</v>
      </c>
      <c r="AG3476" s="2">
        <f ca="1"/>
        <v>2.2799146340299448E-2</v>
      </c>
      <c r="AH3476" s="2" t="str">
        <f ca="1"/>
        <v>Good</v>
      </c>
    </row>
    <row r="3477" spans="2:34" x14ac:dyDescent="0.2">
      <c r="B3477" s="2">
        <f ca="1"/>
        <v>0.16505681457845078</v>
      </c>
      <c r="O3477" s="2">
        <f ca="1"/>
        <v>0.95940217801345651</v>
      </c>
      <c r="X3477" s="2">
        <f ca="1"/>
        <v>48.804281929247267</v>
      </c>
      <c r="AG3477" s="2">
        <f ca="1"/>
        <v>0.24073104066172624</v>
      </c>
      <c r="AH3477" s="2" t="str">
        <f ca="1"/>
        <v>OK</v>
      </c>
    </row>
    <row r="3478" spans="2:34" x14ac:dyDescent="0.2">
      <c r="B3478" s="2">
        <f ca="1"/>
        <v>0.76698793185313607</v>
      </c>
      <c r="O3478" s="2">
        <f ca="1"/>
        <v>-0.75865647439668782</v>
      </c>
      <c r="X3478" s="2">
        <f ca="1"/>
        <v>50.011441670155968</v>
      </c>
      <c r="AG3478" s="2">
        <f ca="1"/>
        <v>0.46063012928059988</v>
      </c>
      <c r="AH3478" s="2" t="str">
        <f ca="1"/>
        <v>Bad</v>
      </c>
    </row>
    <row r="3479" spans="2:34" x14ac:dyDescent="0.2">
      <c r="B3479" s="2">
        <f ca="1"/>
        <v>0.55326073550247279</v>
      </c>
      <c r="O3479" s="2">
        <f ca="1"/>
        <v>-1.35205073456985</v>
      </c>
      <c r="X3479" s="2">
        <f ca="1"/>
        <v>75.947489701668218</v>
      </c>
      <c r="AG3479" s="2">
        <f ca="1"/>
        <v>0.92548381707955585</v>
      </c>
      <c r="AH3479" s="2" t="str">
        <f ca="1"/>
        <v>Bad</v>
      </c>
    </row>
    <row r="3480" spans="2:34" x14ac:dyDescent="0.2">
      <c r="B3480" s="2">
        <f ca="1"/>
        <v>0.70339941231627767</v>
      </c>
      <c r="O3480" s="2">
        <f ca="1"/>
        <v>-0.47904189481564913</v>
      </c>
      <c r="X3480" s="2">
        <f ca="1"/>
        <v>92.934140869559059</v>
      </c>
      <c r="AG3480" s="2">
        <f ca="1"/>
        <v>0.36596739095265218</v>
      </c>
      <c r="AH3480" s="2" t="str">
        <f ca="1"/>
        <v>OK</v>
      </c>
    </row>
    <row r="3481" spans="2:34" x14ac:dyDescent="0.2">
      <c r="B3481" s="2">
        <f ca="1"/>
        <v>0.35707726951171326</v>
      </c>
      <c r="O3481" s="2">
        <f ca="1"/>
        <v>0.13161555212146325</v>
      </c>
      <c r="X3481" s="2">
        <f ca="1"/>
        <v>36.332106239468168</v>
      </c>
      <c r="AG3481" s="2">
        <f ca="1"/>
        <v>1.0140925569486869E-2</v>
      </c>
      <c r="AH3481" s="2" t="str">
        <f ca="1"/>
        <v>Good</v>
      </c>
    </row>
    <row r="3482" spans="2:34" x14ac:dyDescent="0.2">
      <c r="B3482" s="2">
        <f ca="1"/>
        <v>0.75400890146237121</v>
      </c>
      <c r="O3482" s="2">
        <f ca="1"/>
        <v>1.2578280651417766</v>
      </c>
      <c r="X3482" s="2">
        <f ca="1"/>
        <v>26.754501733524773</v>
      </c>
      <c r="AG3482" s="2">
        <f ca="1"/>
        <v>0.65474621953950307</v>
      </c>
      <c r="AH3482" s="2" t="str">
        <f ca="1"/>
        <v>Bad</v>
      </c>
    </row>
    <row r="3483" spans="2:34" x14ac:dyDescent="0.2">
      <c r="B3483" s="2">
        <f ca="1"/>
        <v>0.71378248486331919</v>
      </c>
      <c r="O3483" s="2">
        <f ca="1"/>
        <v>-0.31312647824765438</v>
      </c>
      <c r="X3483" s="2">
        <f ca="1"/>
        <v>77.349339192404216</v>
      </c>
      <c r="AG3483" s="2">
        <f ca="1"/>
        <v>0.54253231572914884</v>
      </c>
      <c r="AH3483" s="2" t="str">
        <f ca="1"/>
        <v>Bad</v>
      </c>
    </row>
    <row r="3484" spans="2:34" x14ac:dyDescent="0.2">
      <c r="B3484" s="2">
        <f ca="1"/>
        <v>0.75208148471252723</v>
      </c>
      <c r="O3484" s="2">
        <f ca="1"/>
        <v>-0.20380174285231459</v>
      </c>
      <c r="X3484" s="2">
        <f ca="1"/>
        <v>47.034982764873554</v>
      </c>
      <c r="AG3484" s="2">
        <f ca="1"/>
        <v>0.19810166368891902</v>
      </c>
      <c r="AH3484" s="2" t="str">
        <f ca="1"/>
        <v>OK</v>
      </c>
    </row>
    <row r="3485" spans="2:34" x14ac:dyDescent="0.2">
      <c r="B3485" s="2">
        <f ca="1"/>
        <v>0.37602254018532144</v>
      </c>
      <c r="O3485" s="2">
        <f ca="1"/>
        <v>-0.77571769055566586</v>
      </c>
      <c r="X3485" s="2">
        <f ca="1"/>
        <v>69.079781995986323</v>
      </c>
      <c r="AG3485" s="2">
        <f ca="1"/>
        <v>0.53569699266927873</v>
      </c>
      <c r="AH3485" s="2" t="str">
        <f ca="1"/>
        <v>Bad</v>
      </c>
    </row>
    <row r="3486" spans="2:34" x14ac:dyDescent="0.2">
      <c r="B3486" s="2">
        <f ca="1"/>
        <v>0.52823067184378569</v>
      </c>
      <c r="O3486" s="2">
        <f ca="1"/>
        <v>3.8581208753451647E-2</v>
      </c>
      <c r="X3486" s="2">
        <f ca="1"/>
        <v>57.603009875019531</v>
      </c>
      <c r="AG3486" s="2">
        <f ca="1"/>
        <v>3.5060038395866799E-2</v>
      </c>
      <c r="AH3486" s="2" t="str">
        <f ca="1"/>
        <v>Good</v>
      </c>
    </row>
    <row r="3487" spans="2:34" x14ac:dyDescent="0.2">
      <c r="B3487" s="2">
        <f ca="1"/>
        <v>0.95530322758749531</v>
      </c>
      <c r="O3487" s="2">
        <f ca="1"/>
        <v>3.0601932800287831E-2</v>
      </c>
      <c r="X3487" s="2">
        <f ca="1"/>
        <v>53.920654929450968</v>
      </c>
      <c r="AG3487" s="2">
        <f ca="1"/>
        <v>0.19460574316639967</v>
      </c>
      <c r="AH3487" s="2" t="str">
        <f ca="1"/>
        <v>OK</v>
      </c>
    </row>
    <row r="3488" spans="2:34" x14ac:dyDescent="0.2">
      <c r="B3488" s="2">
        <f ca="1"/>
        <v>0.85459958257323243</v>
      </c>
      <c r="O3488" s="2">
        <f ca="1"/>
        <v>-0.21782020292645307</v>
      </c>
      <c r="X3488" s="2">
        <f ca="1"/>
        <v>39.554459149510357</v>
      </c>
      <c r="AG3488" s="2">
        <f ca="1"/>
        <v>0.94697549758570476</v>
      </c>
      <c r="AH3488" s="2" t="str">
        <f ca="1"/>
        <v>Bad</v>
      </c>
    </row>
    <row r="3489" spans="2:34" x14ac:dyDescent="0.2">
      <c r="B3489" s="2">
        <f ca="1"/>
        <v>0.64584768829569028</v>
      </c>
      <c r="O3489" s="2">
        <f ca="1"/>
        <v>0.16350327482103971</v>
      </c>
      <c r="X3489" s="2">
        <f ca="1"/>
        <v>76.328672386876505</v>
      </c>
      <c r="AG3489" s="2">
        <f ca="1"/>
        <v>0.75536545267818567</v>
      </c>
      <c r="AH3489" s="2" t="str">
        <f ca="1"/>
        <v>Bad</v>
      </c>
    </row>
    <row r="3490" spans="2:34" x14ac:dyDescent="0.2">
      <c r="B3490" s="2">
        <f ca="1"/>
        <v>0.62824081452137914</v>
      </c>
      <c r="O3490" s="2">
        <f ca="1"/>
        <v>0.76903720211546189</v>
      </c>
      <c r="X3490" s="2">
        <f ca="1"/>
        <v>50.39464946006003</v>
      </c>
      <c r="AG3490" s="2">
        <f ca="1"/>
        <v>0.85254958146522908</v>
      </c>
      <c r="AH3490" s="2" t="str">
        <f ca="1"/>
        <v>Bad</v>
      </c>
    </row>
    <row r="3491" spans="2:34" x14ac:dyDescent="0.2">
      <c r="B3491" s="2">
        <f ca="1"/>
        <v>0.71928585250219434</v>
      </c>
      <c r="O3491" s="2">
        <f ca="1"/>
        <v>0.74065876768862837</v>
      </c>
      <c r="X3491" s="2">
        <f ca="1"/>
        <v>53.983914158181186</v>
      </c>
      <c r="AG3491" s="2">
        <f ca="1"/>
        <v>0.53223500612401486</v>
      </c>
      <c r="AH3491" s="2" t="str">
        <f ca="1"/>
        <v>Bad</v>
      </c>
    </row>
    <row r="3492" spans="2:34" x14ac:dyDescent="0.2">
      <c r="B3492" s="2">
        <f ca="1"/>
        <v>0.58199564107378765</v>
      </c>
      <c r="O3492" s="2">
        <f ca="1"/>
        <v>-0.947102968101594</v>
      </c>
      <c r="X3492" s="2">
        <f ca="1"/>
        <v>48.618540064563632</v>
      </c>
      <c r="AG3492" s="2">
        <f ca="1"/>
        <v>0.37322641961404135</v>
      </c>
      <c r="AH3492" s="2" t="str">
        <f ca="1"/>
        <v>OK</v>
      </c>
    </row>
    <row r="3493" spans="2:34" x14ac:dyDescent="0.2">
      <c r="B3493" s="2">
        <f ca="1"/>
        <v>0.64061941891886498</v>
      </c>
      <c r="O3493" s="2">
        <f ca="1"/>
        <v>-0.33968712081960001</v>
      </c>
      <c r="X3493" s="2">
        <f ca="1"/>
        <v>75.32155271612838</v>
      </c>
      <c r="AG3493" s="2">
        <f ca="1"/>
        <v>0.9824318847255864</v>
      </c>
      <c r="AH3493" s="2" t="str">
        <f ca="1"/>
        <v>Bad</v>
      </c>
    </row>
    <row r="3494" spans="2:34" x14ac:dyDescent="0.2">
      <c r="B3494" s="2">
        <f ca="1"/>
        <v>0.92355045790963719</v>
      </c>
      <c r="O3494" s="2">
        <f ca="1"/>
        <v>1.1851763509891931</v>
      </c>
      <c r="X3494" s="2">
        <f ca="1"/>
        <v>70.104548685576546</v>
      </c>
      <c r="AG3494" s="2">
        <f ca="1"/>
        <v>0.77007877291054871</v>
      </c>
      <c r="AH3494" s="2" t="str">
        <f ca="1"/>
        <v>Bad</v>
      </c>
    </row>
    <row r="3495" spans="2:34" x14ac:dyDescent="0.2">
      <c r="B3495" s="2">
        <f ca="1"/>
        <v>0.14623438192716876</v>
      </c>
      <c r="O3495" s="2">
        <f ca="1"/>
        <v>0.88219904097125235</v>
      </c>
      <c r="X3495" s="2">
        <f ca="1"/>
        <v>41.70277634549425</v>
      </c>
      <c r="AG3495" s="2">
        <f ca="1"/>
        <v>0.73758343139665605</v>
      </c>
      <c r="AH3495" s="2" t="str">
        <f ca="1"/>
        <v>Bad</v>
      </c>
    </row>
    <row r="3496" spans="2:34" x14ac:dyDescent="0.2">
      <c r="B3496" s="2">
        <f ca="1"/>
        <v>0.91819509119549125</v>
      </c>
      <c r="O3496" s="2">
        <f ca="1"/>
        <v>0.61035146904354531</v>
      </c>
      <c r="X3496" s="2">
        <f ca="1"/>
        <v>49.175303830247266</v>
      </c>
      <c r="AG3496" s="2">
        <f ca="1"/>
        <v>0.87814059944009237</v>
      </c>
      <c r="AH3496" s="2" t="str">
        <f ca="1"/>
        <v>Bad</v>
      </c>
    </row>
    <row r="3497" spans="2:34" x14ac:dyDescent="0.2">
      <c r="B3497" s="2">
        <f ca="1"/>
        <v>8.8121055601481757E-2</v>
      </c>
      <c r="O3497" s="2">
        <f ca="1"/>
        <v>1.008019704805089</v>
      </c>
      <c r="X3497" s="2">
        <f ca="1"/>
        <v>37.033187710422673</v>
      </c>
      <c r="AG3497" s="2">
        <f ca="1"/>
        <v>0.71730830261857115</v>
      </c>
      <c r="AH3497" s="2" t="str">
        <f ca="1"/>
        <v>Bad</v>
      </c>
    </row>
    <row r="3498" spans="2:34" x14ac:dyDescent="0.2">
      <c r="B3498" s="2">
        <f ca="1"/>
        <v>0.98967896529038568</v>
      </c>
      <c r="O3498" s="2">
        <f ca="1"/>
        <v>2.2799424635124561</v>
      </c>
      <c r="X3498" s="2">
        <f ca="1"/>
        <v>60.388845595366107</v>
      </c>
      <c r="AG3498" s="2">
        <f ca="1"/>
        <v>0.61982771195053221</v>
      </c>
      <c r="AH3498" s="2" t="str">
        <f ca="1"/>
        <v>Bad</v>
      </c>
    </row>
    <row r="3499" spans="2:34" x14ac:dyDescent="0.2">
      <c r="B3499" s="2">
        <f ca="1"/>
        <v>0.19213451403126758</v>
      </c>
      <c r="O3499" s="2">
        <f ca="1"/>
        <v>0.19060757765585504</v>
      </c>
      <c r="X3499" s="2">
        <f ca="1"/>
        <v>32.948574181824732</v>
      </c>
      <c r="AG3499" s="2">
        <f ca="1"/>
        <v>0.60604247909162212</v>
      </c>
      <c r="AH3499" s="2" t="str">
        <f ca="1"/>
        <v>Bad</v>
      </c>
    </row>
    <row r="3500" spans="2:34" x14ac:dyDescent="0.2">
      <c r="B3500" s="2">
        <f ca="1"/>
        <v>0.35490532065571267</v>
      </c>
      <c r="O3500" s="2">
        <f ca="1"/>
        <v>1.6749088629879096</v>
      </c>
      <c r="X3500" s="2">
        <f ca="1"/>
        <v>71.941877281621984</v>
      </c>
      <c r="AG3500" s="2">
        <f ca="1"/>
        <v>0.41161778701548202</v>
      </c>
      <c r="AH3500" s="2" t="str">
        <f ca="1"/>
        <v>Bad</v>
      </c>
    </row>
    <row r="3501" spans="2:34" x14ac:dyDescent="0.2">
      <c r="B3501" s="2">
        <f ca="1"/>
        <v>0.14840611043312268</v>
      </c>
      <c r="O3501" s="2">
        <f ca="1"/>
        <v>-0.58223336075381737</v>
      </c>
      <c r="X3501" s="2">
        <f ca="1"/>
        <v>51.61359280799131</v>
      </c>
      <c r="AG3501" s="2">
        <f ca="1"/>
        <v>0.10471701559960356</v>
      </c>
      <c r="AH3501" s="2" t="str">
        <f ca="1"/>
        <v>OK</v>
      </c>
    </row>
    <row r="3502" spans="2:34" x14ac:dyDescent="0.2">
      <c r="B3502" s="2">
        <f ca="1"/>
        <v>0.74289004714859286</v>
      </c>
      <c r="O3502" s="2">
        <f ca="1"/>
        <v>-0.16599438464974461</v>
      </c>
      <c r="X3502" s="2">
        <f ca="1"/>
        <v>33.636609786050755</v>
      </c>
      <c r="AG3502" s="2">
        <f ca="1"/>
        <v>0.59582325686331972</v>
      </c>
      <c r="AH3502" s="2" t="str">
        <f ca="1"/>
        <v>Bad</v>
      </c>
    </row>
    <row r="3503" spans="2:34" x14ac:dyDescent="0.2">
      <c r="B3503" s="2">
        <f ca="1"/>
        <v>0.40433017876545541</v>
      </c>
      <c r="O3503" s="2">
        <f ca="1"/>
        <v>0.74196230098982541</v>
      </c>
      <c r="X3503" s="2">
        <f ca="1"/>
        <v>53.851859096404183</v>
      </c>
      <c r="AG3503" s="2">
        <f ca="1"/>
        <v>0.92587924971395363</v>
      </c>
      <c r="AH3503" s="2" t="str">
        <f ca="1"/>
        <v>Bad</v>
      </c>
    </row>
    <row r="3504" spans="2:34" x14ac:dyDescent="0.2">
      <c r="B3504" s="2">
        <f ca="1"/>
        <v>0.74350162323293056</v>
      </c>
      <c r="O3504" s="2">
        <f ca="1"/>
        <v>1.0954537083122429</v>
      </c>
      <c r="X3504" s="2">
        <f ca="1"/>
        <v>54.524891087890801</v>
      </c>
      <c r="AG3504" s="2">
        <f ca="1"/>
        <v>8.0088437098332133E-2</v>
      </c>
      <c r="AH3504" s="2" t="str">
        <f ca="1"/>
        <v>OK</v>
      </c>
    </row>
    <row r="3505" spans="2:34" x14ac:dyDescent="0.2">
      <c r="B3505" s="2">
        <f ca="1"/>
        <v>0.45293391200306621</v>
      </c>
      <c r="O3505" s="2">
        <f ca="1"/>
        <v>1.9607710846926929</v>
      </c>
      <c r="X3505" s="2">
        <f ca="1"/>
        <v>46.823396733291361</v>
      </c>
      <c r="AG3505" s="2">
        <f ca="1"/>
        <v>0.51675749736184562</v>
      </c>
      <c r="AH3505" s="2" t="str">
        <f ca="1"/>
        <v>Bad</v>
      </c>
    </row>
    <row r="3506" spans="2:34" x14ac:dyDescent="0.2">
      <c r="B3506" s="2">
        <f ca="1"/>
        <v>0.57293585231838851</v>
      </c>
      <c r="O3506" s="2">
        <f ca="1"/>
        <v>0.41308521332273423</v>
      </c>
      <c r="X3506" s="2">
        <f ca="1"/>
        <v>62.710525760034443</v>
      </c>
      <c r="AG3506" s="2">
        <f ca="1"/>
        <v>0.62948949290366962</v>
      </c>
      <c r="AH3506" s="2" t="str">
        <f ca="1"/>
        <v>Bad</v>
      </c>
    </row>
    <row r="3507" spans="2:34" x14ac:dyDescent="0.2">
      <c r="B3507" s="2">
        <f ca="1"/>
        <v>0.57042816680807928</v>
      </c>
      <c r="O3507" s="2">
        <f ca="1"/>
        <v>1.7187856350686976</v>
      </c>
      <c r="X3507" s="2">
        <f ca="1"/>
        <v>47.648562152242832</v>
      </c>
      <c r="AG3507" s="2">
        <f ca="1"/>
        <v>0.44988682292718041</v>
      </c>
      <c r="AH3507" s="2" t="str">
        <f ca="1"/>
        <v>Bad</v>
      </c>
    </row>
    <row r="3508" spans="2:34" x14ac:dyDescent="0.2">
      <c r="B3508" s="2">
        <f ca="1"/>
        <v>5.8066636411606698E-3</v>
      </c>
      <c r="O3508" s="2">
        <f ca="1"/>
        <v>0.89726535453718392</v>
      </c>
      <c r="X3508" s="2">
        <f ca="1"/>
        <v>47.883941554290203</v>
      </c>
      <c r="AG3508" s="2">
        <f ca="1"/>
        <v>0.92569575182618191</v>
      </c>
      <c r="AH3508" s="2" t="str">
        <f ca="1"/>
        <v>Bad</v>
      </c>
    </row>
    <row r="3509" spans="2:34" x14ac:dyDescent="0.2">
      <c r="B3509" s="2">
        <f ca="1"/>
        <v>0.59784618064787387</v>
      </c>
      <c r="O3509" s="2">
        <f ca="1"/>
        <v>1.0415276837743543</v>
      </c>
      <c r="X3509" s="2">
        <f ca="1"/>
        <v>68.822970392458231</v>
      </c>
      <c r="AG3509" s="2">
        <f ca="1"/>
        <v>2.9287088270737005E-2</v>
      </c>
      <c r="AH3509" s="2" t="str">
        <f ca="1"/>
        <v>Good</v>
      </c>
    </row>
    <row r="3510" spans="2:34" x14ac:dyDescent="0.2">
      <c r="B3510" s="2">
        <f ca="1"/>
        <v>0.93509104297091361</v>
      </c>
      <c r="O3510" s="2">
        <f ca="1"/>
        <v>-0.52340130407174978</v>
      </c>
      <c r="X3510" s="2">
        <f ca="1"/>
        <v>35.398087435588593</v>
      </c>
      <c r="AG3510" s="2">
        <f ca="1"/>
        <v>0.99618446326900711</v>
      </c>
      <c r="AH3510" s="2" t="str">
        <f ca="1"/>
        <v>Bad</v>
      </c>
    </row>
    <row r="3511" spans="2:34" x14ac:dyDescent="0.2">
      <c r="B3511" s="2">
        <f ca="1"/>
        <v>0.83268199438180535</v>
      </c>
      <c r="O3511" s="2">
        <f ca="1"/>
        <v>1.3016410432756456</v>
      </c>
      <c r="X3511" s="2">
        <f ca="1"/>
        <v>59.652194935581804</v>
      </c>
      <c r="AG3511" s="2">
        <f ca="1"/>
        <v>0.37450955045624013</v>
      </c>
      <c r="AH3511" s="2" t="str">
        <f ca="1"/>
        <v>OK</v>
      </c>
    </row>
    <row r="3512" spans="2:34" x14ac:dyDescent="0.2">
      <c r="B3512" s="2">
        <f ca="1"/>
        <v>0.43429000370158666</v>
      </c>
      <c r="O3512" s="2">
        <f ca="1"/>
        <v>0.53002805555077348</v>
      </c>
      <c r="X3512" s="2">
        <f ca="1"/>
        <v>80.007384230607926</v>
      </c>
      <c r="AG3512" s="2">
        <f ca="1"/>
        <v>0.57607952501980231</v>
      </c>
      <c r="AH3512" s="2" t="str">
        <f ca="1"/>
        <v>Bad</v>
      </c>
    </row>
    <row r="3513" spans="2:34" x14ac:dyDescent="0.2">
      <c r="B3513" s="2">
        <f ca="1"/>
        <v>0.16095919808779224</v>
      </c>
      <c r="O3513" s="2">
        <f ca="1"/>
        <v>-0.24801172920227535</v>
      </c>
      <c r="X3513" s="2">
        <f ca="1"/>
        <v>31.473350386390251</v>
      </c>
      <c r="AG3513" s="2">
        <f ca="1"/>
        <v>0.94514646346015052</v>
      </c>
      <c r="AH3513" s="2" t="str">
        <f ca="1"/>
        <v>Bad</v>
      </c>
    </row>
    <row r="3514" spans="2:34" x14ac:dyDescent="0.2">
      <c r="B3514" s="2">
        <f ca="1"/>
        <v>0.81339696347897794</v>
      </c>
      <c r="O3514" s="2">
        <f ca="1"/>
        <v>-1.6857632093902053</v>
      </c>
      <c r="X3514" s="2">
        <f ca="1"/>
        <v>46.898276766451623</v>
      </c>
      <c r="AG3514" s="2">
        <f ca="1"/>
        <v>0.2644923506115362</v>
      </c>
      <c r="AH3514" s="2" t="str">
        <f ca="1"/>
        <v>OK</v>
      </c>
    </row>
    <row r="3515" spans="2:34" x14ac:dyDescent="0.2">
      <c r="B3515" s="2">
        <f ca="1"/>
        <v>0.43540198595834756</v>
      </c>
      <c r="O3515" s="2">
        <f ca="1"/>
        <v>0.41930807209597276</v>
      </c>
      <c r="X3515" s="2">
        <f ca="1"/>
        <v>48.833444703427311</v>
      </c>
      <c r="AG3515" s="2">
        <f ca="1"/>
        <v>0.14394119751947265</v>
      </c>
      <c r="AH3515" s="2" t="str">
        <f ca="1"/>
        <v>OK</v>
      </c>
    </row>
    <row r="3516" spans="2:34" x14ac:dyDescent="0.2">
      <c r="B3516" s="2">
        <f ca="1"/>
        <v>0.28464275193106503</v>
      </c>
      <c r="O3516" s="2">
        <f ca="1"/>
        <v>0.73551438547681514</v>
      </c>
      <c r="X3516" s="2">
        <f ca="1"/>
        <v>49.886492939768885</v>
      </c>
      <c r="AG3516" s="2">
        <f ca="1"/>
        <v>0.75621847346528548</v>
      </c>
      <c r="AH3516" s="2" t="str">
        <f ca="1"/>
        <v>Bad</v>
      </c>
    </row>
    <row r="3517" spans="2:34" x14ac:dyDescent="0.2">
      <c r="B3517" s="2">
        <f ca="1"/>
        <v>0.16298469893535983</v>
      </c>
      <c r="O3517" s="2">
        <f ca="1"/>
        <v>-0.99029500869441223</v>
      </c>
      <c r="X3517" s="2">
        <f ca="1"/>
        <v>57.208143495814298</v>
      </c>
      <c r="AG3517" s="2">
        <f ca="1"/>
        <v>0.9212197097912791</v>
      </c>
      <c r="AH3517" s="2" t="str">
        <f ca="1"/>
        <v>Bad</v>
      </c>
    </row>
    <row r="3518" spans="2:34" x14ac:dyDescent="0.2">
      <c r="B3518" s="2">
        <f ca="1"/>
        <v>0.37751280999960812</v>
      </c>
      <c r="O3518" s="2">
        <f ca="1"/>
        <v>-1.1978541598674652</v>
      </c>
      <c r="X3518" s="2">
        <f ca="1"/>
        <v>76.975075642380602</v>
      </c>
      <c r="AG3518" s="2">
        <f ca="1"/>
        <v>0.84869739554817936</v>
      </c>
      <c r="AH3518" s="2" t="str">
        <f ca="1"/>
        <v>Bad</v>
      </c>
    </row>
    <row r="3519" spans="2:34" x14ac:dyDescent="0.2">
      <c r="B3519" s="2">
        <f ca="1"/>
        <v>0.89485128434372596</v>
      </c>
      <c r="O3519" s="2">
        <f ca="1"/>
        <v>1.2231996444829201</v>
      </c>
      <c r="X3519" s="2">
        <f ca="1"/>
        <v>75.97038656846432</v>
      </c>
      <c r="AG3519" s="2">
        <f ca="1"/>
        <v>0.92946912061552123</v>
      </c>
      <c r="AH3519" s="2" t="str">
        <f ca="1"/>
        <v>Bad</v>
      </c>
    </row>
    <row r="3520" spans="2:34" x14ac:dyDescent="0.2">
      <c r="B3520" s="2">
        <f ca="1"/>
        <v>0.80157515121284595</v>
      </c>
      <c r="O3520" s="2">
        <f ca="1"/>
        <v>2.9895420772436445</v>
      </c>
      <c r="X3520" s="2">
        <f ca="1"/>
        <v>40.69594805646895</v>
      </c>
      <c r="AG3520" s="2">
        <f ca="1"/>
        <v>0.94726364489748494</v>
      </c>
      <c r="AH3520" s="2" t="str">
        <f ca="1"/>
        <v>Bad</v>
      </c>
    </row>
    <row r="3521" spans="2:34" x14ac:dyDescent="0.2">
      <c r="B3521" s="2">
        <f ca="1"/>
        <v>0.40271535391016178</v>
      </c>
      <c r="O3521" s="2">
        <f ca="1"/>
        <v>-1.0112283377231741</v>
      </c>
      <c r="X3521" s="2">
        <f ca="1"/>
        <v>32.17054303571657</v>
      </c>
      <c r="AG3521" s="2">
        <f ca="1"/>
        <v>0.47909140953251939</v>
      </c>
      <c r="AH3521" s="2" t="str">
        <f ca="1"/>
        <v>Bad</v>
      </c>
    </row>
    <row r="3522" spans="2:34" x14ac:dyDescent="0.2">
      <c r="B3522" s="2">
        <f ca="1"/>
        <v>0.48756591515089109</v>
      </c>
      <c r="O3522" s="2">
        <f ca="1"/>
        <v>-0.85937770899383514</v>
      </c>
      <c r="X3522" s="2">
        <f ca="1"/>
        <v>49.128759808789482</v>
      </c>
      <c r="AG3522" s="2">
        <f ca="1"/>
        <v>0.75668446228840325</v>
      </c>
      <c r="AH3522" s="2" t="str">
        <f ca="1"/>
        <v>Bad</v>
      </c>
    </row>
    <row r="3523" spans="2:34" x14ac:dyDescent="0.2">
      <c r="B3523" s="2">
        <f ca="1"/>
        <v>0.96494835211914221</v>
      </c>
      <c r="O3523" s="2">
        <f ca="1"/>
        <v>-0.52409427374500306</v>
      </c>
      <c r="X3523" s="2">
        <f ca="1"/>
        <v>41.930880059610651</v>
      </c>
      <c r="AG3523" s="2">
        <f ca="1"/>
        <v>0.59909079559361733</v>
      </c>
      <c r="AH3523" s="2" t="str">
        <f ca="1"/>
        <v>Bad</v>
      </c>
    </row>
    <row r="3524" spans="2:34" x14ac:dyDescent="0.2">
      <c r="B3524" s="2">
        <f ca="1"/>
        <v>4.5516898037170073E-3</v>
      </c>
      <c r="O3524" s="2">
        <f ca="1"/>
        <v>0.13783657431388283</v>
      </c>
      <c r="X3524" s="2">
        <f ca="1"/>
        <v>67.527221554489245</v>
      </c>
      <c r="AG3524" s="2">
        <f ca="1"/>
        <v>5.571030848802927E-2</v>
      </c>
      <c r="AH3524" s="2" t="str">
        <f ca="1"/>
        <v>OK</v>
      </c>
    </row>
    <row r="3525" spans="2:34" x14ac:dyDescent="0.2">
      <c r="B3525" s="2">
        <f ca="1"/>
        <v>7.1043783246987458E-2</v>
      </c>
      <c r="O3525" s="2">
        <f ca="1"/>
        <v>-0.59307637193224993</v>
      </c>
      <c r="X3525" s="2">
        <f ca="1"/>
        <v>40.180854837601466</v>
      </c>
      <c r="AG3525" s="2">
        <f ca="1"/>
        <v>0.35894282567992719</v>
      </c>
      <c r="AH3525" s="2" t="str">
        <f ca="1"/>
        <v>OK</v>
      </c>
    </row>
    <row r="3526" spans="2:34" x14ac:dyDescent="0.2">
      <c r="B3526" s="2">
        <f ca="1"/>
        <v>0.52598584558063122</v>
      </c>
      <c r="O3526" s="2">
        <f ca="1"/>
        <v>0.1772408179278179</v>
      </c>
      <c r="X3526" s="2">
        <f ca="1"/>
        <v>29.732043358968873</v>
      </c>
      <c r="AG3526" s="2">
        <f ca="1"/>
        <v>0.70066793298789043</v>
      </c>
      <c r="AH3526" s="2" t="str">
        <f ca="1"/>
        <v>Bad</v>
      </c>
    </row>
    <row r="3527" spans="2:34" x14ac:dyDescent="0.2">
      <c r="B3527" s="2">
        <f ca="1"/>
        <v>0.44563111053285187</v>
      </c>
      <c r="O3527" s="2">
        <f ca="1"/>
        <v>-1.0438335396266964</v>
      </c>
      <c r="X3527" s="2">
        <f ca="1"/>
        <v>49.478413204980072</v>
      </c>
      <c r="AG3527" s="2">
        <f ca="1"/>
        <v>0.78410389160381833</v>
      </c>
      <c r="AH3527" s="2" t="str">
        <f ca="1"/>
        <v>Bad</v>
      </c>
    </row>
    <row r="3528" spans="2:34" x14ac:dyDescent="0.2">
      <c r="B3528" s="2">
        <f ca="1"/>
        <v>0.37442764789748639</v>
      </c>
      <c r="O3528" s="2">
        <f ca="1"/>
        <v>-1.1527001940175012</v>
      </c>
      <c r="X3528" s="2">
        <f ca="1"/>
        <v>83.680363060397895</v>
      </c>
      <c r="AG3528" s="2">
        <f ca="1"/>
        <v>0.85814513182587415</v>
      </c>
      <c r="AH3528" s="2" t="str">
        <f ca="1"/>
        <v>Bad</v>
      </c>
    </row>
    <row r="3529" spans="2:34" x14ac:dyDescent="0.2">
      <c r="B3529" s="2">
        <f ca="1"/>
        <v>0.8427124025437569</v>
      </c>
      <c r="O3529" s="2">
        <f ca="1"/>
        <v>-0.21456892084392626</v>
      </c>
      <c r="X3529" s="2">
        <f ca="1"/>
        <v>56.776358982380614</v>
      </c>
      <c r="AG3529" s="2">
        <f ca="1"/>
        <v>0.11156176097999282</v>
      </c>
      <c r="AH3529" s="2" t="str">
        <f ca="1"/>
        <v>OK</v>
      </c>
    </row>
    <row r="3530" spans="2:34" x14ac:dyDescent="0.2">
      <c r="B3530" s="2">
        <f ca="1"/>
        <v>6.8938779795205463E-2</v>
      </c>
      <c r="O3530" s="2">
        <f ca="1"/>
        <v>1.393765917577751</v>
      </c>
      <c r="X3530" s="2">
        <f ca="1"/>
        <v>44.52266279077562</v>
      </c>
      <c r="AG3530" s="2">
        <f ca="1"/>
        <v>0.76761909662838534</v>
      </c>
      <c r="AH3530" s="2" t="str">
        <f ca="1"/>
        <v>Bad</v>
      </c>
    </row>
    <row r="3531" spans="2:34" x14ac:dyDescent="0.2">
      <c r="B3531" s="2">
        <f ca="1"/>
        <v>0.84342505937914258</v>
      </c>
      <c r="O3531" s="2">
        <f ca="1"/>
        <v>-0.12371352017314288</v>
      </c>
      <c r="X3531" s="2">
        <f ca="1"/>
        <v>32.104547004633524</v>
      </c>
      <c r="AG3531" s="2">
        <f ca="1"/>
        <v>6.556676051306054E-3</v>
      </c>
      <c r="AH3531" s="2" t="str">
        <f ca="1"/>
        <v>Good</v>
      </c>
    </row>
    <row r="3532" spans="2:34" x14ac:dyDescent="0.2">
      <c r="B3532" s="2">
        <f ca="1"/>
        <v>0.45053789095057972</v>
      </c>
      <c r="O3532" s="2">
        <f ca="1"/>
        <v>-0.15405502323248546</v>
      </c>
      <c r="X3532" s="2">
        <f ca="1"/>
        <v>34.480918870807784</v>
      </c>
      <c r="AG3532" s="2">
        <f ca="1"/>
        <v>0.62850908157787888</v>
      </c>
      <c r="AH3532" s="2" t="str">
        <f ca="1"/>
        <v>Bad</v>
      </c>
    </row>
    <row r="3533" spans="2:34" x14ac:dyDescent="0.2">
      <c r="B3533" s="2">
        <f ca="1"/>
        <v>0.96145247102550124</v>
      </c>
      <c r="O3533" s="2">
        <f ca="1"/>
        <v>-0.65850807324635108</v>
      </c>
      <c r="X3533" s="2">
        <f ca="1"/>
        <v>55.9108282762136</v>
      </c>
      <c r="AG3533" s="2">
        <f ca="1"/>
        <v>0.88732995984493579</v>
      </c>
      <c r="AH3533" s="2" t="str">
        <f ca="1"/>
        <v>Bad</v>
      </c>
    </row>
    <row r="3534" spans="2:34" x14ac:dyDescent="0.2">
      <c r="B3534" s="2">
        <f ca="1"/>
        <v>0.8237633690652657</v>
      </c>
      <c r="O3534" s="2">
        <f ca="1"/>
        <v>1.8047108291018901</v>
      </c>
      <c r="X3534" s="2">
        <f ca="1"/>
        <v>51.212514444499803</v>
      </c>
      <c r="AG3534" s="2">
        <f ca="1"/>
        <v>0.22740786258118995</v>
      </c>
      <c r="AH3534" s="2" t="str">
        <f ca="1"/>
        <v>OK</v>
      </c>
    </row>
    <row r="3535" spans="2:34" x14ac:dyDescent="0.2">
      <c r="B3535" s="2">
        <f ca="1"/>
        <v>0.2862633150181777</v>
      </c>
      <c r="O3535" s="2">
        <f ca="1"/>
        <v>-1.3121132271705016</v>
      </c>
      <c r="X3535" s="2">
        <f ca="1"/>
        <v>72.644303510647916</v>
      </c>
      <c r="AG3535" s="2">
        <f ca="1"/>
        <v>0.34245480562693809</v>
      </c>
      <c r="AH3535" s="2" t="str">
        <f ca="1"/>
        <v>OK</v>
      </c>
    </row>
    <row r="3536" spans="2:34" x14ac:dyDescent="0.2">
      <c r="B3536" s="2">
        <f ca="1"/>
        <v>0.5400920268883993</v>
      </c>
      <c r="O3536" s="2">
        <f ca="1"/>
        <v>0.55644551128958031</v>
      </c>
      <c r="X3536" s="2">
        <f ca="1"/>
        <v>39.759663417689318</v>
      </c>
      <c r="AG3536" s="2">
        <f ca="1"/>
        <v>0.93551257133517796</v>
      </c>
      <c r="AH3536" s="2" t="str">
        <f ca="1"/>
        <v>Bad</v>
      </c>
    </row>
    <row r="3537" spans="2:34" x14ac:dyDescent="0.2">
      <c r="B3537" s="2">
        <f ca="1"/>
        <v>0.63015191728168185</v>
      </c>
      <c r="O3537" s="2">
        <f ca="1"/>
        <v>0.20910021299092463</v>
      </c>
      <c r="X3537" s="2">
        <f ca="1"/>
        <v>72.403654280183474</v>
      </c>
      <c r="AG3537" s="2">
        <f ca="1"/>
        <v>0.41738191080597242</v>
      </c>
      <c r="AH3537" s="2" t="str">
        <f ca="1"/>
        <v>Bad</v>
      </c>
    </row>
    <row r="3538" spans="2:34" x14ac:dyDescent="0.2">
      <c r="B3538" s="2">
        <f ca="1"/>
        <v>0.9023431696900035</v>
      </c>
      <c r="O3538" s="2">
        <f ca="1"/>
        <v>-1.0866245054874708</v>
      </c>
      <c r="X3538" s="2">
        <f ca="1"/>
        <v>58.263170186767077</v>
      </c>
      <c r="AG3538" s="2">
        <f ca="1"/>
        <v>5.6895448376052871E-2</v>
      </c>
      <c r="AH3538" s="2" t="str">
        <f ca="1"/>
        <v>OK</v>
      </c>
    </row>
    <row r="3539" spans="2:34" x14ac:dyDescent="0.2">
      <c r="B3539" s="2">
        <f ca="1"/>
        <v>0.59419685973137892</v>
      </c>
      <c r="O3539" s="2">
        <f ca="1"/>
        <v>0.49334397471142655</v>
      </c>
      <c r="X3539" s="2">
        <f ca="1"/>
        <v>37.958813710076384</v>
      </c>
      <c r="AG3539" s="2">
        <f ca="1"/>
        <v>0.40682440160893707</v>
      </c>
      <c r="AH3539" s="2" t="str">
        <f ca="1"/>
        <v>Bad</v>
      </c>
    </row>
    <row r="3540" spans="2:34" x14ac:dyDescent="0.2">
      <c r="B3540" s="2">
        <f ca="1"/>
        <v>1.6215469381721803E-3</v>
      </c>
      <c r="O3540" s="2">
        <f ca="1"/>
        <v>-0.37488655865839393</v>
      </c>
      <c r="X3540" s="2">
        <f ca="1"/>
        <v>40.544228340921165</v>
      </c>
      <c r="AG3540" s="2">
        <f ca="1"/>
        <v>0.79347225613789396</v>
      </c>
      <c r="AH3540" s="2" t="str">
        <f ca="1"/>
        <v>Bad</v>
      </c>
    </row>
    <row r="3541" spans="2:34" x14ac:dyDescent="0.2">
      <c r="B3541" s="2">
        <f ca="1"/>
        <v>0.75211593894587558</v>
      </c>
      <c r="O3541" s="2">
        <f ca="1"/>
        <v>-0.20692168863079544</v>
      </c>
      <c r="X3541" s="2">
        <f ca="1"/>
        <v>38.616453692097579</v>
      </c>
      <c r="AG3541" s="2">
        <f ca="1"/>
        <v>0.82917740925705985</v>
      </c>
      <c r="AH3541" s="2" t="str">
        <f ca="1"/>
        <v>Bad</v>
      </c>
    </row>
    <row r="3542" spans="2:34" x14ac:dyDescent="0.2">
      <c r="B3542" s="2">
        <f ca="1"/>
        <v>0.93066079713434813</v>
      </c>
      <c r="O3542" s="2">
        <f ca="1"/>
        <v>-0.77637033492020668</v>
      </c>
      <c r="X3542" s="2">
        <f ca="1"/>
        <v>31.071837345017954</v>
      </c>
      <c r="AG3542" s="2">
        <f ca="1"/>
        <v>0.21735382243005441</v>
      </c>
      <c r="AH3542" s="2" t="str">
        <f ca="1"/>
        <v>OK</v>
      </c>
    </row>
    <row r="3543" spans="2:34" x14ac:dyDescent="0.2">
      <c r="B3543" s="2">
        <f ca="1"/>
        <v>0.54551292571997112</v>
      </c>
      <c r="O3543" s="2">
        <f ca="1"/>
        <v>-5.3222528994686102E-2</v>
      </c>
      <c r="X3543" s="2">
        <f ca="1"/>
        <v>55.945600884803817</v>
      </c>
      <c r="AG3543" s="2">
        <f ca="1"/>
        <v>0.35733645912535006</v>
      </c>
      <c r="AH3543" s="2" t="str">
        <f ca="1"/>
        <v>OK</v>
      </c>
    </row>
    <row r="3544" spans="2:34" x14ac:dyDescent="0.2">
      <c r="B3544" s="2">
        <f ca="1"/>
        <v>7.935890050660066E-2</v>
      </c>
      <c r="O3544" s="2">
        <f ca="1"/>
        <v>1.6407720618706465</v>
      </c>
      <c r="X3544" s="2">
        <f ca="1"/>
        <v>45.215794035618266</v>
      </c>
      <c r="AG3544" s="2">
        <f ca="1"/>
        <v>0.90121514095682054</v>
      </c>
      <c r="AH3544" s="2" t="str">
        <f ca="1"/>
        <v>Bad</v>
      </c>
    </row>
    <row r="3545" spans="2:34" x14ac:dyDescent="0.2">
      <c r="B3545" s="2">
        <f ca="1"/>
        <v>0.36352577185632495</v>
      </c>
      <c r="O3545" s="2">
        <f ca="1"/>
        <v>1.6994239485117637</v>
      </c>
      <c r="X3545" s="2">
        <f ca="1"/>
        <v>59.479342560556667</v>
      </c>
      <c r="AG3545" s="2">
        <f ca="1"/>
        <v>0.3281657839486436</v>
      </c>
      <c r="AH3545" s="2" t="str">
        <f ca="1"/>
        <v>OK</v>
      </c>
    </row>
    <row r="3546" spans="2:34" x14ac:dyDescent="0.2">
      <c r="B3546" s="2">
        <f ca="1"/>
        <v>0.97696556935787093</v>
      </c>
      <c r="O3546" s="2">
        <f ca="1"/>
        <v>-2.932749321337198</v>
      </c>
      <c r="X3546" s="2">
        <f ca="1"/>
        <v>36.06097535783222</v>
      </c>
      <c r="AG3546" s="2">
        <f ca="1"/>
        <v>0.71430828004464275</v>
      </c>
      <c r="AH3546" s="2" t="str">
        <f ca="1"/>
        <v>Bad</v>
      </c>
    </row>
    <row r="3547" spans="2:34" x14ac:dyDescent="0.2">
      <c r="B3547" s="2">
        <f ca="1"/>
        <v>0.65429271126163213</v>
      </c>
      <c r="O3547" s="2">
        <f ca="1"/>
        <v>0.72378357679495897</v>
      </c>
      <c r="X3547" s="2">
        <f ca="1"/>
        <v>34.274323656463096</v>
      </c>
      <c r="AG3547" s="2">
        <f ca="1"/>
        <v>5.7901352182113675E-2</v>
      </c>
      <c r="AH3547" s="2" t="str">
        <f ca="1"/>
        <v>OK</v>
      </c>
    </row>
    <row r="3548" spans="2:34" x14ac:dyDescent="0.2">
      <c r="B3548" s="2">
        <f ca="1"/>
        <v>0.78269446341983384</v>
      </c>
      <c r="O3548" s="2">
        <f ca="1"/>
        <v>-0.13650416791357334</v>
      </c>
      <c r="X3548" s="2">
        <f ca="1"/>
        <v>69.752225408542344</v>
      </c>
      <c r="AG3548" s="2">
        <f ca="1"/>
        <v>0.78993336703831196</v>
      </c>
      <c r="AH3548" s="2" t="str">
        <f ca="1"/>
        <v>Bad</v>
      </c>
    </row>
    <row r="3549" spans="2:34" x14ac:dyDescent="0.2">
      <c r="B3549" s="2">
        <f ca="1"/>
        <v>9.3647585976722292E-2</v>
      </c>
      <c r="O3549" s="2">
        <f ca="1"/>
        <v>1.5363101052791182</v>
      </c>
      <c r="X3549" s="2">
        <f ca="1"/>
        <v>32.117460456697856</v>
      </c>
      <c r="AG3549" s="2">
        <f ca="1"/>
        <v>0.74483196733013246</v>
      </c>
      <c r="AH3549" s="2" t="str">
        <f ca="1"/>
        <v>Bad</v>
      </c>
    </row>
    <row r="3550" spans="2:34" x14ac:dyDescent="0.2">
      <c r="B3550" s="2">
        <f ca="1"/>
        <v>0.83547015171914163</v>
      </c>
      <c r="O3550" s="2">
        <f ca="1"/>
        <v>0.12309232084502314</v>
      </c>
      <c r="X3550" s="2">
        <f ca="1"/>
        <v>52.018472267502922</v>
      </c>
      <c r="AG3550" s="2">
        <f ca="1"/>
        <v>0.65038427612665028</v>
      </c>
      <c r="AH3550" s="2" t="str">
        <f ca="1"/>
        <v>Bad</v>
      </c>
    </row>
    <row r="3551" spans="2:34" x14ac:dyDescent="0.2">
      <c r="B3551" s="2">
        <f ca="1"/>
        <v>1.4195951618143354E-2</v>
      </c>
      <c r="O3551" s="2">
        <f ca="1"/>
        <v>-1.0055217952903968</v>
      </c>
      <c r="X3551" s="2">
        <f ca="1"/>
        <v>38.470668654189183</v>
      </c>
      <c r="AG3551" s="2">
        <f ca="1"/>
        <v>0.4505534777179645</v>
      </c>
      <c r="AH3551" s="2" t="str">
        <f ca="1"/>
        <v>Bad</v>
      </c>
    </row>
    <row r="3552" spans="2:34" x14ac:dyDescent="0.2">
      <c r="B3552" s="2">
        <f ca="1"/>
        <v>0.95577719155814611</v>
      </c>
      <c r="O3552" s="2">
        <f ca="1"/>
        <v>-0.54738407830545055</v>
      </c>
      <c r="X3552" s="2">
        <f ca="1"/>
        <v>81.280396557507601</v>
      </c>
      <c r="AG3552" s="2">
        <f ca="1"/>
        <v>0.13972641108135986</v>
      </c>
      <c r="AH3552" s="2" t="str">
        <f ca="1"/>
        <v>OK</v>
      </c>
    </row>
    <row r="3553" spans="2:34" x14ac:dyDescent="0.2">
      <c r="B3553" s="2">
        <f ca="1"/>
        <v>0.51222112873948156</v>
      </c>
      <c r="O3553" s="2">
        <f ca="1"/>
        <v>-0.36058471270443498</v>
      </c>
      <c r="X3553" s="2">
        <f ca="1"/>
        <v>44.715754336979302</v>
      </c>
      <c r="AG3553" s="2">
        <f ca="1"/>
        <v>0.36463524552991822</v>
      </c>
      <c r="AH3553" s="2" t="str">
        <f ca="1"/>
        <v>OK</v>
      </c>
    </row>
    <row r="3554" spans="2:34" x14ac:dyDescent="0.2">
      <c r="B3554" s="2">
        <f ca="1"/>
        <v>0.84122064697022947</v>
      </c>
      <c r="O3554" s="2">
        <f ca="1"/>
        <v>-0.99310922179279926</v>
      </c>
      <c r="X3554" s="2">
        <f ca="1"/>
        <v>28.1790738940872</v>
      </c>
      <c r="AG3554" s="2">
        <f ca="1"/>
        <v>0.29783774842029431</v>
      </c>
      <c r="AH3554" s="2" t="str">
        <f ca="1"/>
        <v>OK</v>
      </c>
    </row>
    <row r="3555" spans="2:34" x14ac:dyDescent="0.2">
      <c r="B3555" s="2">
        <f ca="1"/>
        <v>6.9586180214252336E-2</v>
      </c>
      <c r="O3555" s="2">
        <f ca="1"/>
        <v>-0.56361806103670309</v>
      </c>
      <c r="X3555" s="2">
        <f ca="1"/>
        <v>76.134241359108373</v>
      </c>
      <c r="AG3555" s="2">
        <f ca="1"/>
        <v>0.35700735317179233</v>
      </c>
      <c r="AH3555" s="2" t="str">
        <f ca="1"/>
        <v>OK</v>
      </c>
    </row>
    <row r="3556" spans="2:34" x14ac:dyDescent="0.2">
      <c r="B3556" s="2">
        <f ca="1"/>
        <v>0.28066323700407958</v>
      </c>
      <c r="O3556" s="2">
        <f ca="1"/>
        <v>0.84634248531781586</v>
      </c>
      <c r="X3556" s="2">
        <f ca="1"/>
        <v>47.498686962846975</v>
      </c>
      <c r="AG3556" s="2">
        <f ca="1"/>
        <v>8.4933611053783054E-2</v>
      </c>
      <c r="AH3556" s="2" t="str">
        <f ca="1"/>
        <v>OK</v>
      </c>
    </row>
    <row r="3557" spans="2:34" x14ac:dyDescent="0.2">
      <c r="B3557" s="2">
        <f ca="1"/>
        <v>0.16739793690324878</v>
      </c>
      <c r="O3557" s="2">
        <f ca="1"/>
        <v>-0.23581833585457918</v>
      </c>
      <c r="X3557" s="2">
        <f ca="1"/>
        <v>55.597229776727239</v>
      </c>
      <c r="AG3557" s="2">
        <f ca="1"/>
        <v>0.94173067061484717</v>
      </c>
      <c r="AH3557" s="2" t="str">
        <f ca="1"/>
        <v>Bad</v>
      </c>
    </row>
    <row r="3558" spans="2:34" x14ac:dyDescent="0.2">
      <c r="B3558" s="2">
        <f ca="1"/>
        <v>0.67683517783791447</v>
      </c>
      <c r="O3558" s="2">
        <f ca="1"/>
        <v>-1.0501313024648444</v>
      </c>
      <c r="X3558" s="2">
        <f ca="1"/>
        <v>70.194090566372793</v>
      </c>
      <c r="AG3558" s="2">
        <f ca="1"/>
        <v>0.53163148218342804</v>
      </c>
      <c r="AH3558" s="2" t="str">
        <f ca="1"/>
        <v>Bad</v>
      </c>
    </row>
    <row r="3559" spans="2:34" x14ac:dyDescent="0.2">
      <c r="B3559" s="2">
        <f ca="1"/>
        <v>0.84831737311684074</v>
      </c>
      <c r="O3559" s="2">
        <f ca="1"/>
        <v>-0.15051486206421408</v>
      </c>
      <c r="X3559" s="2">
        <f ca="1"/>
        <v>42.545767082405526</v>
      </c>
      <c r="AG3559" s="2">
        <f ca="1"/>
        <v>0.10055339909467387</v>
      </c>
      <c r="AH3559" s="2" t="str">
        <f ca="1"/>
        <v>OK</v>
      </c>
    </row>
    <row r="3560" spans="2:34" x14ac:dyDescent="0.2">
      <c r="B3560" s="2">
        <f ca="1"/>
        <v>0.12380614864585526</v>
      </c>
      <c r="O3560" s="2">
        <f ca="1"/>
        <v>1.5165862255150659</v>
      </c>
      <c r="X3560" s="2">
        <f ca="1"/>
        <v>40.267382864496483</v>
      </c>
      <c r="AG3560" s="2">
        <f ca="1"/>
        <v>0.2094355098316405</v>
      </c>
      <c r="AH3560" s="2" t="str">
        <f ca="1"/>
        <v>OK</v>
      </c>
    </row>
    <row r="3561" spans="2:34" x14ac:dyDescent="0.2">
      <c r="B3561" s="2">
        <f ca="1"/>
        <v>0.76835688197784879</v>
      </c>
      <c r="O3561" s="2">
        <f ca="1"/>
        <v>9.7832689731040451E-2</v>
      </c>
      <c r="X3561" s="2">
        <f ca="1"/>
        <v>38.400894753317772</v>
      </c>
      <c r="AG3561" s="2">
        <f ca="1"/>
        <v>0.22417549069746934</v>
      </c>
      <c r="AH3561" s="2" t="str">
        <f ca="1"/>
        <v>OK</v>
      </c>
    </row>
    <row r="3562" spans="2:34" x14ac:dyDescent="0.2">
      <c r="B3562" s="2">
        <f ca="1"/>
        <v>0.71531730883970579</v>
      </c>
      <c r="O3562" s="2">
        <f ca="1"/>
        <v>1.1957634669952411</v>
      </c>
      <c r="X3562" s="2">
        <f ca="1"/>
        <v>71.077798798536207</v>
      </c>
      <c r="AG3562" s="2">
        <f ca="1"/>
        <v>0.69375372329882956</v>
      </c>
      <c r="AH3562" s="2" t="str">
        <f ca="1"/>
        <v>Bad</v>
      </c>
    </row>
    <row r="3563" spans="2:34" x14ac:dyDescent="0.2">
      <c r="B3563" s="2">
        <f ca="1"/>
        <v>0.93347150553109315</v>
      </c>
      <c r="O3563" s="2">
        <f ca="1"/>
        <v>1.4359539399136398</v>
      </c>
      <c r="X3563" s="2">
        <f ca="1"/>
        <v>41.158897287668417</v>
      </c>
      <c r="AG3563" s="2">
        <f ca="1"/>
        <v>0.49829309890348239</v>
      </c>
      <c r="AH3563" s="2" t="str">
        <f ca="1"/>
        <v>Bad</v>
      </c>
    </row>
    <row r="3564" spans="2:34" x14ac:dyDescent="0.2">
      <c r="B3564" s="2">
        <f ca="1"/>
        <v>0.17028412611694854</v>
      </c>
      <c r="O3564" s="2">
        <f ca="1"/>
        <v>2.7916212750428557</v>
      </c>
      <c r="X3564" s="2">
        <f ca="1"/>
        <v>50.546122574303126</v>
      </c>
      <c r="AG3564" s="2">
        <f ca="1"/>
        <v>0.56793282266667067</v>
      </c>
      <c r="AH3564" s="2" t="str">
        <f ca="1"/>
        <v>Bad</v>
      </c>
    </row>
    <row r="3565" spans="2:34" x14ac:dyDescent="0.2">
      <c r="B3565" s="2">
        <f ca="1"/>
        <v>0.69725041814976585</v>
      </c>
      <c r="O3565" s="2">
        <f ca="1"/>
        <v>1.2806978862120562</v>
      </c>
      <c r="X3565" s="2">
        <f ca="1"/>
        <v>59.495082604483798</v>
      </c>
      <c r="AG3565" s="2">
        <f ca="1"/>
        <v>0.85076641388995555</v>
      </c>
      <c r="AH3565" s="2" t="str">
        <f ca="1"/>
        <v>Bad</v>
      </c>
    </row>
    <row r="3566" spans="2:34" x14ac:dyDescent="0.2">
      <c r="B3566" s="2">
        <f ca="1"/>
        <v>0.15757805192125174</v>
      </c>
      <c r="O3566" s="2">
        <f ca="1"/>
        <v>-1.482583201776601</v>
      </c>
      <c r="X3566" s="2">
        <f ca="1"/>
        <v>49.450346135976645</v>
      </c>
      <c r="AG3566" s="2">
        <f ca="1"/>
        <v>0.34874924795526474</v>
      </c>
      <c r="AH3566" s="2" t="str">
        <f ca="1"/>
        <v>OK</v>
      </c>
    </row>
    <row r="3567" spans="2:34" x14ac:dyDescent="0.2">
      <c r="B3567" s="2">
        <f ca="1"/>
        <v>0.7927526779846592</v>
      </c>
      <c r="O3567" s="2">
        <f ca="1"/>
        <v>-1.0400668752009221</v>
      </c>
      <c r="X3567" s="2">
        <f ca="1"/>
        <v>50.227623363086039</v>
      </c>
      <c r="AG3567" s="2">
        <f ca="1"/>
        <v>0.12017749373762321</v>
      </c>
      <c r="AH3567" s="2" t="str">
        <f ca="1"/>
        <v>OK</v>
      </c>
    </row>
    <row r="3568" spans="2:34" x14ac:dyDescent="0.2">
      <c r="B3568" s="2">
        <f ca="1"/>
        <v>0.60155336020141914</v>
      </c>
      <c r="O3568" s="2">
        <f ca="1"/>
        <v>-1.005296944531882</v>
      </c>
      <c r="X3568" s="2">
        <f ca="1"/>
        <v>40.045594537895049</v>
      </c>
      <c r="AG3568" s="2">
        <f ca="1"/>
        <v>0.68603997965390295</v>
      </c>
      <c r="AH3568" s="2" t="str">
        <f ca="1"/>
        <v>Bad</v>
      </c>
    </row>
    <row r="3569" spans="2:34" x14ac:dyDescent="0.2">
      <c r="B3569" s="2">
        <f ca="1"/>
        <v>0.35562951270450882</v>
      </c>
      <c r="O3569" s="2">
        <f ca="1"/>
        <v>-0.40749366342119608</v>
      </c>
      <c r="X3569" s="2">
        <f ca="1"/>
        <v>76.679157263688253</v>
      </c>
      <c r="AG3569" s="2">
        <f ca="1"/>
        <v>0.75113903959931649</v>
      </c>
      <c r="AH3569" s="2" t="str">
        <f ca="1"/>
        <v>Bad</v>
      </c>
    </row>
    <row r="3570" spans="2:34" x14ac:dyDescent="0.2">
      <c r="B3570" s="2">
        <f ca="1"/>
        <v>0.81103182498128135</v>
      </c>
      <c r="O3570" s="2">
        <f ca="1"/>
        <v>0.10357436974443418</v>
      </c>
      <c r="X3570" s="2">
        <f ca="1"/>
        <v>62.541289842657839</v>
      </c>
      <c r="AG3570" s="2">
        <f ca="1"/>
        <v>0.12934426913257191</v>
      </c>
      <c r="AH3570" s="2" t="str">
        <f ca="1"/>
        <v>OK</v>
      </c>
    </row>
    <row r="3571" spans="2:34" x14ac:dyDescent="0.2">
      <c r="B3571" s="2">
        <f ca="1"/>
        <v>0.45465828348320936</v>
      </c>
      <c r="O3571" s="2">
        <f ca="1"/>
        <v>-1.8492855614633497</v>
      </c>
      <c r="X3571" s="2">
        <f ca="1"/>
        <v>54.130516279267134</v>
      </c>
      <c r="AG3571" s="2">
        <f ca="1"/>
        <v>0.85076483481883458</v>
      </c>
      <c r="AH3571" s="2" t="str">
        <f ca="1"/>
        <v>Bad</v>
      </c>
    </row>
    <row r="3572" spans="2:34" x14ac:dyDescent="0.2">
      <c r="B3572" s="2">
        <f ca="1"/>
        <v>8.340291035634273E-2</v>
      </c>
      <c r="O3572" s="2">
        <f ca="1"/>
        <v>9.0553552043182536E-2</v>
      </c>
      <c r="X3572" s="2">
        <f ca="1"/>
        <v>57.131059081877275</v>
      </c>
      <c r="AG3572" s="2">
        <f ca="1"/>
        <v>0.94753337253641123</v>
      </c>
      <c r="AH3572" s="2" t="str">
        <f ca="1"/>
        <v>Bad</v>
      </c>
    </row>
    <row r="3573" spans="2:34" x14ac:dyDescent="0.2">
      <c r="B3573" s="2">
        <f ca="1"/>
        <v>0.25536650663681515</v>
      </c>
      <c r="O3573" s="2">
        <f ca="1"/>
        <v>7.0257648061529857E-2</v>
      </c>
      <c r="X3573" s="2">
        <f ca="1"/>
        <v>59.064559831716032</v>
      </c>
      <c r="AG3573" s="2">
        <f ca="1"/>
        <v>0.98225100286171974</v>
      </c>
      <c r="AH3573" s="2" t="str">
        <f ca="1"/>
        <v>Bad</v>
      </c>
    </row>
    <row r="3574" spans="2:34" x14ac:dyDescent="0.2">
      <c r="B3574" s="2">
        <f ca="1"/>
        <v>0.80190709273235017</v>
      </c>
      <c r="O3574" s="2">
        <f ca="1"/>
        <v>0.38483649335018344</v>
      </c>
      <c r="X3574" s="2">
        <f ca="1"/>
        <v>31.912773197863856</v>
      </c>
      <c r="AG3574" s="2">
        <f ca="1"/>
        <v>0.81814441438417251</v>
      </c>
      <c r="AH3574" s="2" t="str">
        <f ca="1"/>
        <v>Bad</v>
      </c>
    </row>
    <row r="3575" spans="2:34" x14ac:dyDescent="0.2">
      <c r="B3575" s="2">
        <f ca="1"/>
        <v>0.46484315200282289</v>
      </c>
      <c r="O3575" s="2">
        <f ca="1"/>
        <v>-1.4221795665823149</v>
      </c>
      <c r="X3575" s="2">
        <f ca="1"/>
        <v>57.416321088172523</v>
      </c>
      <c r="AG3575" s="2">
        <f ca="1"/>
        <v>0.96311626386936267</v>
      </c>
      <c r="AH3575" s="2" t="str">
        <f ca="1"/>
        <v>Bad</v>
      </c>
    </row>
    <row r="3576" spans="2:34" x14ac:dyDescent="0.2">
      <c r="B3576" s="2">
        <f ca="1"/>
        <v>0.88856537568873772</v>
      </c>
      <c r="O3576" s="2">
        <f ca="1"/>
        <v>-0.38820943148070791</v>
      </c>
      <c r="X3576" s="2">
        <f ca="1"/>
        <v>58.045317642701725</v>
      </c>
      <c r="AG3576" s="2">
        <f ca="1"/>
        <v>0.53656649696118786</v>
      </c>
      <c r="AH3576" s="2" t="str">
        <f ca="1"/>
        <v>Bad</v>
      </c>
    </row>
    <row r="3577" spans="2:34" x14ac:dyDescent="0.2">
      <c r="B3577" s="2">
        <f ca="1"/>
        <v>0.27296766776916837</v>
      </c>
      <c r="O3577" s="2">
        <f ca="1"/>
        <v>0.15464396056714275</v>
      </c>
      <c r="X3577" s="2">
        <f ca="1"/>
        <v>63.129299319968169</v>
      </c>
      <c r="AG3577" s="2">
        <f ca="1"/>
        <v>0.27292996318173546</v>
      </c>
      <c r="AH3577" s="2" t="str">
        <f ca="1"/>
        <v>OK</v>
      </c>
    </row>
    <row r="3578" spans="2:34" x14ac:dyDescent="0.2">
      <c r="B3578" s="2">
        <f ca="1"/>
        <v>6.9333177339532481E-2</v>
      </c>
      <c r="O3578" s="2">
        <f ca="1"/>
        <v>-0.75596059211706645</v>
      </c>
      <c r="X3578" s="2">
        <f ca="1"/>
        <v>53.523555922434632</v>
      </c>
      <c r="AG3578" s="2">
        <f ca="1"/>
        <v>0.46349021204287078</v>
      </c>
      <c r="AH3578" s="2" t="str">
        <f ca="1"/>
        <v>Bad</v>
      </c>
    </row>
    <row r="3579" spans="2:34" x14ac:dyDescent="0.2">
      <c r="B3579" s="2">
        <f ca="1"/>
        <v>0.81437480730316025</v>
      </c>
      <c r="O3579" s="2">
        <f ca="1"/>
        <v>0.16368924434377119</v>
      </c>
      <c r="X3579" s="2">
        <f ca="1"/>
        <v>30.618539833933852</v>
      </c>
      <c r="AG3579" s="2">
        <f ca="1"/>
        <v>0.90330420909252562</v>
      </c>
      <c r="AH3579" s="2" t="str">
        <f ca="1"/>
        <v>Bad</v>
      </c>
    </row>
    <row r="3580" spans="2:34" x14ac:dyDescent="0.2">
      <c r="B3580" s="2">
        <f ca="1"/>
        <v>0.83309468564744571</v>
      </c>
      <c r="O3580" s="2">
        <f ca="1"/>
        <v>1.4554227875253687E-2</v>
      </c>
      <c r="X3580" s="2">
        <f ca="1"/>
        <v>39.772912107591253</v>
      </c>
      <c r="AG3580" s="2">
        <f ca="1"/>
        <v>9.684083659455367E-2</v>
      </c>
      <c r="AH3580" s="2" t="str">
        <f ca="1"/>
        <v>OK</v>
      </c>
    </row>
    <row r="3581" spans="2:34" x14ac:dyDescent="0.2">
      <c r="B3581" s="2">
        <f ca="1"/>
        <v>0.11398258472330691</v>
      </c>
      <c r="O3581" s="2">
        <f ca="1"/>
        <v>-0.72857483983850768</v>
      </c>
      <c r="X3581" s="2">
        <f ca="1"/>
        <v>89.301313408443662</v>
      </c>
      <c r="AG3581" s="2">
        <f ca="1"/>
        <v>0.24323683554951869</v>
      </c>
      <c r="AH3581" s="2" t="str">
        <f ca="1"/>
        <v>OK</v>
      </c>
    </row>
    <row r="3582" spans="2:34" x14ac:dyDescent="0.2">
      <c r="B3582" s="2">
        <f ca="1"/>
        <v>0.75579950148544994</v>
      </c>
      <c r="O3582" s="2">
        <f ca="1"/>
        <v>-0.32809235627983535</v>
      </c>
      <c r="X3582" s="2">
        <f ca="1"/>
        <v>27.328137115308433</v>
      </c>
      <c r="AG3582" s="2">
        <f ca="1"/>
        <v>0.91074651228414738</v>
      </c>
      <c r="AH3582" s="2" t="str">
        <f ca="1"/>
        <v>Bad</v>
      </c>
    </row>
    <row r="3583" spans="2:34" x14ac:dyDescent="0.2">
      <c r="B3583" s="2">
        <f ca="1"/>
        <v>8.8579718723709178E-3</v>
      </c>
      <c r="O3583" s="2">
        <f ca="1"/>
        <v>0.81479110893462858</v>
      </c>
      <c r="X3583" s="2">
        <f ca="1"/>
        <v>48.316158540726818</v>
      </c>
      <c r="AG3583" s="2">
        <f ca="1"/>
        <v>0.36308819005433346</v>
      </c>
      <c r="AH3583" s="2" t="str">
        <f ca="1"/>
        <v>OK</v>
      </c>
    </row>
    <row r="3584" spans="2:34" x14ac:dyDescent="0.2">
      <c r="B3584" s="2">
        <f ca="1"/>
        <v>0.18139877674522009</v>
      </c>
      <c r="O3584" s="2">
        <f ca="1"/>
        <v>0.6545383828222513</v>
      </c>
      <c r="X3584" s="2">
        <f ca="1"/>
        <v>54.288208917162009</v>
      </c>
      <c r="AG3584" s="2">
        <f ca="1"/>
        <v>0.37892905206977145</v>
      </c>
      <c r="AH3584" s="2" t="str">
        <f ca="1"/>
        <v>OK</v>
      </c>
    </row>
    <row r="3585" spans="2:34" x14ac:dyDescent="0.2">
      <c r="B3585" s="2">
        <f ca="1"/>
        <v>0.97288674991025914</v>
      </c>
      <c r="O3585" s="2">
        <f ca="1"/>
        <v>0.52585700325674078</v>
      </c>
      <c r="X3585" s="2">
        <f ca="1"/>
        <v>29.768604160015787</v>
      </c>
      <c r="AG3585" s="2">
        <f ca="1"/>
        <v>0.21432602348686092</v>
      </c>
      <c r="AH3585" s="2" t="str">
        <f ca="1"/>
        <v>OK</v>
      </c>
    </row>
    <row r="3586" spans="2:34" x14ac:dyDescent="0.2">
      <c r="B3586" s="2">
        <f ca="1"/>
        <v>0.61924478707428898</v>
      </c>
      <c r="O3586" s="2">
        <f ca="1"/>
        <v>1.1266572288176742</v>
      </c>
      <c r="X3586" s="2">
        <f ca="1"/>
        <v>37.793548850490104</v>
      </c>
      <c r="AG3586" s="2">
        <f ca="1"/>
        <v>0.42319442864651502</v>
      </c>
      <c r="AH3586" s="2" t="str">
        <f ca="1"/>
        <v>Bad</v>
      </c>
    </row>
    <row r="3587" spans="2:34" x14ac:dyDescent="0.2">
      <c r="B3587" s="2">
        <f ca="1"/>
        <v>0.22741461846877775</v>
      </c>
      <c r="O3587" s="2">
        <f ca="1"/>
        <v>0.16314154399326539</v>
      </c>
      <c r="X3587" s="2">
        <f ca="1"/>
        <v>52.383167779909357</v>
      </c>
      <c r="AG3587" s="2">
        <f ca="1"/>
        <v>0.83422381877112417</v>
      </c>
      <c r="AH3587" s="2" t="str">
        <f ca="1"/>
        <v>Bad</v>
      </c>
    </row>
    <row r="3588" spans="2:34" x14ac:dyDescent="0.2">
      <c r="B3588" s="2">
        <f ca="1"/>
        <v>0.23900152725113255</v>
      </c>
      <c r="O3588" s="2">
        <f ca="1"/>
        <v>-0.5508078160758364</v>
      </c>
      <c r="X3588" s="2">
        <f ca="1"/>
        <v>33.737078391795428</v>
      </c>
      <c r="AG3588" s="2">
        <f ca="1"/>
        <v>9.177300186719628E-2</v>
      </c>
      <c r="AH3588" s="2" t="str">
        <f ca="1"/>
        <v>OK</v>
      </c>
    </row>
    <row r="3589" spans="2:34" x14ac:dyDescent="0.2">
      <c r="B3589" s="2">
        <f ca="1"/>
        <v>4.8612755491931114E-2</v>
      </c>
      <c r="O3589" s="2">
        <f ca="1"/>
        <v>-1.2772758506163089</v>
      </c>
      <c r="X3589" s="2">
        <f ca="1"/>
        <v>37.293624908828043</v>
      </c>
      <c r="AG3589" s="2">
        <f ca="1"/>
        <v>0.33613699487946369</v>
      </c>
      <c r="AH3589" s="2" t="str">
        <f ca="1"/>
        <v>OK</v>
      </c>
    </row>
    <row r="3590" spans="2:34" x14ac:dyDescent="0.2">
      <c r="B3590" s="2">
        <f ca="1"/>
        <v>0.36642090864826971</v>
      </c>
      <c r="O3590" s="2">
        <f ca="1"/>
        <v>-0.77027741221073986</v>
      </c>
      <c r="X3590" s="2">
        <f ca="1"/>
        <v>32.457976397667963</v>
      </c>
      <c r="AG3590" s="2">
        <f ca="1"/>
        <v>0.25104308728287061</v>
      </c>
      <c r="AH3590" s="2" t="str">
        <f ca="1"/>
        <v>OK</v>
      </c>
    </row>
    <row r="3591" spans="2:34" x14ac:dyDescent="0.2">
      <c r="B3591" s="2">
        <f ca="1"/>
        <v>0.30859368460930958</v>
      </c>
      <c r="O3591" s="2">
        <f ca="1"/>
        <v>-1.3509768920387324</v>
      </c>
      <c r="X3591" s="2">
        <f ca="1"/>
        <v>36.096943497920464</v>
      </c>
      <c r="AG3591" s="2">
        <f ca="1"/>
        <v>0.67406813230832019</v>
      </c>
      <c r="AH3591" s="2" t="str">
        <f ca="1"/>
        <v>Bad</v>
      </c>
    </row>
    <row r="3592" spans="2:34" x14ac:dyDescent="0.2">
      <c r="B3592" s="2">
        <f ca="1"/>
        <v>0.75382362049397722</v>
      </c>
      <c r="O3592" s="2">
        <f ca="1"/>
        <v>0.36752341602499466</v>
      </c>
      <c r="X3592" s="2">
        <f ca="1"/>
        <v>62.539096318241633</v>
      </c>
      <c r="AG3592" s="2">
        <f ca="1"/>
        <v>0.38696354316859694</v>
      </c>
      <c r="AH3592" s="2" t="str">
        <f ca="1"/>
        <v>OK</v>
      </c>
    </row>
    <row r="3593" spans="2:34" x14ac:dyDescent="0.2">
      <c r="B3593" s="2">
        <f ca="1"/>
        <v>0.46838675113765471</v>
      </c>
      <c r="O3593" s="2">
        <f ca="1"/>
        <v>0.15240367511139252</v>
      </c>
      <c r="X3593" s="2">
        <f ca="1"/>
        <v>62.435230855668337</v>
      </c>
      <c r="AG3593" s="2">
        <f ca="1"/>
        <v>0.49579947397557111</v>
      </c>
      <c r="AH3593" s="2" t="str">
        <f ca="1"/>
        <v>Bad</v>
      </c>
    </row>
    <row r="3594" spans="2:34" x14ac:dyDescent="0.2">
      <c r="B3594" s="2">
        <f ca="1"/>
        <v>0.68974043155588083</v>
      </c>
      <c r="O3594" s="2">
        <f ca="1"/>
        <v>-0.21992902443496321</v>
      </c>
      <c r="X3594" s="2">
        <f ca="1"/>
        <v>60.614255931161274</v>
      </c>
      <c r="AG3594" s="2">
        <f ca="1"/>
        <v>0.49936182653213468</v>
      </c>
      <c r="AH3594" s="2" t="str">
        <f ca="1"/>
        <v>Bad</v>
      </c>
    </row>
    <row r="3595" spans="2:34" x14ac:dyDescent="0.2">
      <c r="B3595" s="2">
        <f ca="1"/>
        <v>0.19507024080257018</v>
      </c>
      <c r="O3595" s="2">
        <f ca="1"/>
        <v>1.3895456591739623</v>
      </c>
      <c r="X3595" s="2">
        <f ca="1"/>
        <v>47.978807689096527</v>
      </c>
      <c r="AG3595" s="2">
        <f ca="1"/>
        <v>9.3119332949011202E-2</v>
      </c>
      <c r="AH3595" s="2" t="str">
        <f ca="1"/>
        <v>OK</v>
      </c>
    </row>
    <row r="3596" spans="2:34" x14ac:dyDescent="0.2">
      <c r="B3596" s="2">
        <f ca="1"/>
        <v>0.76885005785424765</v>
      </c>
      <c r="O3596" s="2">
        <f ca="1"/>
        <v>-0.59661298006426855</v>
      </c>
      <c r="X3596" s="2">
        <f ca="1"/>
        <v>64.007650986597071</v>
      </c>
      <c r="AG3596" s="2">
        <f ca="1"/>
        <v>0.50731539288694028</v>
      </c>
      <c r="AH3596" s="2" t="str">
        <f ca="1"/>
        <v>Bad</v>
      </c>
    </row>
    <row r="3597" spans="2:34" x14ac:dyDescent="0.2">
      <c r="B3597" s="2">
        <f ca="1"/>
        <v>8.9567185310164277E-2</v>
      </c>
      <c r="O3597" s="2">
        <f ca="1"/>
        <v>0.48676027911500197</v>
      </c>
      <c r="X3597" s="2">
        <f ca="1"/>
        <v>65.843283923415385</v>
      </c>
      <c r="AG3597" s="2">
        <f ca="1"/>
        <v>0.75937716679246625</v>
      </c>
      <c r="AH3597" s="2" t="str">
        <f ca="1"/>
        <v>Bad</v>
      </c>
    </row>
    <row r="3598" spans="2:34" x14ac:dyDescent="0.2">
      <c r="B3598" s="2">
        <f ca="1"/>
        <v>0.49068600825030284</v>
      </c>
      <c r="O3598" s="2">
        <f ca="1"/>
        <v>-0.79351231211105822</v>
      </c>
      <c r="X3598" s="2">
        <f ca="1"/>
        <v>43.608926887226403</v>
      </c>
      <c r="AG3598" s="2">
        <f ca="1"/>
        <v>0.49598894560426654</v>
      </c>
      <c r="AH3598" s="2" t="str">
        <f ca="1"/>
        <v>Bad</v>
      </c>
    </row>
    <row r="3599" spans="2:34" x14ac:dyDescent="0.2">
      <c r="B3599" s="2">
        <f ca="1"/>
        <v>0.7069250120371251</v>
      </c>
      <c r="O3599" s="2">
        <f ca="1"/>
        <v>-0.73050660175665549</v>
      </c>
      <c r="X3599" s="2">
        <f ca="1"/>
        <v>74.402877278269926</v>
      </c>
      <c r="AG3599" s="2">
        <f ca="1"/>
        <v>0.58070484081546381</v>
      </c>
      <c r="AH3599" s="2" t="str">
        <f ca="1"/>
        <v>Bad</v>
      </c>
    </row>
    <row r="3600" spans="2:34" x14ac:dyDescent="0.2">
      <c r="B3600" s="2">
        <f ca="1"/>
        <v>0.56990131795942123</v>
      </c>
      <c r="O3600" s="2">
        <f ca="1"/>
        <v>-1.0298478055213773</v>
      </c>
      <c r="X3600" s="2">
        <f ca="1"/>
        <v>78.046817258167323</v>
      </c>
      <c r="AG3600" s="2">
        <f ca="1"/>
        <v>1.2959305523186915E-2</v>
      </c>
      <c r="AH3600" s="2" t="str">
        <f ca="1"/>
        <v>Good</v>
      </c>
    </row>
    <row r="3601" spans="2:34" x14ac:dyDescent="0.2">
      <c r="B3601" s="2">
        <f ca="1"/>
        <v>9.7463451705857018E-2</v>
      </c>
      <c r="O3601" s="2">
        <f ca="1"/>
        <v>1.1252227821279341</v>
      </c>
      <c r="X3601" s="2">
        <f ca="1"/>
        <v>39.674681691680803</v>
      </c>
      <c r="AG3601" s="2">
        <f ca="1"/>
        <v>6.7850858924895618E-2</v>
      </c>
      <c r="AH3601" s="2" t="str">
        <f ca="1"/>
        <v>OK</v>
      </c>
    </row>
    <row r="3602" spans="2:34" x14ac:dyDescent="0.2">
      <c r="B3602" s="2">
        <f ca="1"/>
        <v>0.13528002366561576</v>
      </c>
      <c r="O3602" s="2">
        <f ca="1"/>
        <v>1.0452621488083316</v>
      </c>
      <c r="X3602" s="2">
        <f ca="1"/>
        <v>50.706326474252833</v>
      </c>
      <c r="AG3602" s="2">
        <f ca="1"/>
        <v>0.51181193360337351</v>
      </c>
      <c r="AH3602" s="2" t="str">
        <f ca="1"/>
        <v>Bad</v>
      </c>
    </row>
    <row r="3603" spans="2:34" x14ac:dyDescent="0.2">
      <c r="B3603" s="2">
        <f ca="1"/>
        <v>0.29426886494092375</v>
      </c>
      <c r="O3603" s="2">
        <f ca="1"/>
        <v>0.42895351008871185</v>
      </c>
      <c r="X3603" s="2">
        <f ca="1"/>
        <v>81.711255502318139</v>
      </c>
      <c r="AG3603" s="2">
        <f ca="1"/>
        <v>0.1927510713995384</v>
      </c>
      <c r="AH3603" s="2" t="str">
        <f ca="1"/>
        <v>OK</v>
      </c>
    </row>
    <row r="3604" spans="2:34" x14ac:dyDescent="0.2">
      <c r="B3604" s="2">
        <f ca="1"/>
        <v>3.7445458636147233E-2</v>
      </c>
      <c r="O3604" s="2">
        <f ca="1"/>
        <v>1.0382504370332892</v>
      </c>
      <c r="X3604" s="2">
        <f ca="1"/>
        <v>46.946235099054043</v>
      </c>
      <c r="AG3604" s="2">
        <f ca="1"/>
        <v>0.22379939301878915</v>
      </c>
      <c r="AH3604" s="2" t="str">
        <f ca="1"/>
        <v>OK</v>
      </c>
    </row>
    <row r="3605" spans="2:34" x14ac:dyDescent="0.2">
      <c r="B3605" s="2">
        <f ca="1"/>
        <v>0.67388602667378694</v>
      </c>
      <c r="O3605" s="2">
        <f ca="1"/>
        <v>8.2202836371264687E-2</v>
      </c>
      <c r="X3605" s="2">
        <f ca="1"/>
        <v>38.500168998259994</v>
      </c>
      <c r="AG3605" s="2">
        <f ca="1"/>
        <v>0.71379697470483827</v>
      </c>
      <c r="AH3605" s="2" t="str">
        <f ca="1"/>
        <v>Bad</v>
      </c>
    </row>
    <row r="3606" spans="2:34" x14ac:dyDescent="0.2">
      <c r="B3606" s="2">
        <f ca="1"/>
        <v>0.21716377678236043</v>
      </c>
      <c r="O3606" s="2">
        <f ca="1"/>
        <v>1.8420401180358326</v>
      </c>
      <c r="X3606" s="2">
        <f ca="1"/>
        <v>46.948933734838675</v>
      </c>
      <c r="AG3606" s="2">
        <f ca="1"/>
        <v>0.35825173330290827</v>
      </c>
      <c r="AH3606" s="2" t="str">
        <f ca="1"/>
        <v>OK</v>
      </c>
    </row>
    <row r="3607" spans="2:34" x14ac:dyDescent="0.2">
      <c r="B3607" s="2">
        <f ca="1"/>
        <v>0.91527855167107086</v>
      </c>
      <c r="O3607" s="2">
        <f ca="1"/>
        <v>1.7980583483253219</v>
      </c>
      <c r="X3607" s="2">
        <f ca="1"/>
        <v>28.093549835352075</v>
      </c>
      <c r="AG3607" s="2">
        <f ca="1"/>
        <v>0.84157462640464975</v>
      </c>
      <c r="AH3607" s="2" t="str">
        <f ca="1"/>
        <v>Bad</v>
      </c>
    </row>
    <row r="3608" spans="2:34" x14ac:dyDescent="0.2">
      <c r="B3608" s="2">
        <f ca="1"/>
        <v>0.74312230347208996</v>
      </c>
      <c r="O3608" s="2">
        <f ca="1"/>
        <v>-0.14444906760246892</v>
      </c>
      <c r="X3608" s="2">
        <f ca="1"/>
        <v>32.374619658389193</v>
      </c>
      <c r="AG3608" s="2">
        <f ca="1"/>
        <v>0.9246128960440041</v>
      </c>
      <c r="AH3608" s="2" t="str">
        <f ca="1"/>
        <v>Bad</v>
      </c>
    </row>
    <row r="3609" spans="2:34" x14ac:dyDescent="0.2">
      <c r="B3609" s="2">
        <f ca="1"/>
        <v>0.67329735079599429</v>
      </c>
      <c r="O3609" s="2">
        <f ca="1"/>
        <v>-0.79220393034700676</v>
      </c>
      <c r="X3609" s="2">
        <f ca="1"/>
        <v>47.950939886176904</v>
      </c>
      <c r="AG3609" s="2">
        <f ca="1"/>
        <v>0.73025298267144767</v>
      </c>
      <c r="AH3609" s="2" t="str">
        <f ca="1"/>
        <v>Bad</v>
      </c>
    </row>
    <row r="3610" spans="2:34" x14ac:dyDescent="0.2">
      <c r="B3610" s="2">
        <f ca="1"/>
        <v>0.64434226820618345</v>
      </c>
      <c r="O3610" s="2">
        <f ca="1"/>
        <v>-0.62550210056818789</v>
      </c>
      <c r="X3610" s="2">
        <f ca="1"/>
        <v>46.088265619986956</v>
      </c>
      <c r="AG3610" s="2">
        <f ca="1"/>
        <v>0.12532280379285754</v>
      </c>
      <c r="AH3610" s="2" t="str">
        <f ca="1"/>
        <v>OK</v>
      </c>
    </row>
    <row r="3611" spans="2:34" x14ac:dyDescent="0.2">
      <c r="B3611" s="2">
        <f ca="1"/>
        <v>0.2327915735266799</v>
      </c>
      <c r="O3611" s="2">
        <f ca="1"/>
        <v>1.1155751729532364</v>
      </c>
      <c r="X3611" s="2">
        <f ca="1"/>
        <v>45.986340897056337</v>
      </c>
      <c r="AG3611" s="2">
        <f ca="1"/>
        <v>0.88017852159362486</v>
      </c>
      <c r="AH3611" s="2" t="str">
        <f ca="1"/>
        <v>Bad</v>
      </c>
    </row>
    <row r="3612" spans="2:34" x14ac:dyDescent="0.2">
      <c r="B3612" s="2">
        <f ca="1"/>
        <v>0.14679700621514358</v>
      </c>
      <c r="O3612" s="2">
        <f ca="1"/>
        <v>1.0855413153687929</v>
      </c>
      <c r="X3612" s="2">
        <f ca="1"/>
        <v>42.573868312581943</v>
      </c>
      <c r="AG3612" s="2">
        <f ca="1"/>
        <v>0.1130402332732614</v>
      </c>
      <c r="AH3612" s="2" t="str">
        <f ca="1"/>
        <v>OK</v>
      </c>
    </row>
    <row r="3613" spans="2:34" x14ac:dyDescent="0.2">
      <c r="B3613" s="2">
        <f ca="1"/>
        <v>0.77120967083742542</v>
      </c>
      <c r="O3613" s="2">
        <f ca="1"/>
        <v>-1.4876883316778056</v>
      </c>
      <c r="X3613" s="2">
        <f ca="1"/>
        <v>84.768714831556338</v>
      </c>
      <c r="AG3613" s="2">
        <f ca="1"/>
        <v>0.54891508835578473</v>
      </c>
      <c r="AH3613" s="2" t="str">
        <f ca="1"/>
        <v>Bad</v>
      </c>
    </row>
    <row r="3614" spans="2:34" x14ac:dyDescent="0.2">
      <c r="B3614" s="2">
        <f ca="1"/>
        <v>0.78713897195813232</v>
      </c>
      <c r="O3614" s="2">
        <f ca="1"/>
        <v>-1.4953155796156241</v>
      </c>
      <c r="X3614" s="2">
        <f ca="1"/>
        <v>51.687671798922224</v>
      </c>
      <c r="AG3614" s="2">
        <f ca="1"/>
        <v>0.67892253723849638</v>
      </c>
      <c r="AH3614" s="2" t="str">
        <f ca="1"/>
        <v>Bad</v>
      </c>
    </row>
    <row r="3615" spans="2:34" x14ac:dyDescent="0.2">
      <c r="B3615" s="2">
        <f ca="1"/>
        <v>0.4568501841538577</v>
      </c>
      <c r="O3615" s="2">
        <f ca="1"/>
        <v>0.98788465537134051</v>
      </c>
      <c r="X3615" s="2">
        <f ca="1"/>
        <v>37.028128222400973</v>
      </c>
      <c r="AG3615" s="2">
        <f ca="1"/>
        <v>0.90104417727239206</v>
      </c>
      <c r="AH3615" s="2" t="str">
        <f ca="1"/>
        <v>Bad</v>
      </c>
    </row>
    <row r="3616" spans="2:34" x14ac:dyDescent="0.2">
      <c r="B3616" s="2">
        <f ca="1"/>
        <v>0.73101201967192053</v>
      </c>
      <c r="O3616" s="2">
        <f ca="1"/>
        <v>0.88659711508178451</v>
      </c>
      <c r="X3616" s="2">
        <f ca="1"/>
        <v>73.055114942625522</v>
      </c>
      <c r="AG3616" s="2">
        <f ca="1"/>
        <v>0.22441829613746567</v>
      </c>
      <c r="AH3616" s="2" t="str">
        <f ca="1"/>
        <v>OK</v>
      </c>
    </row>
    <row r="3617" spans="2:34" x14ac:dyDescent="0.2">
      <c r="B3617" s="2">
        <f ca="1"/>
        <v>0.93909521315727629</v>
      </c>
      <c r="O3617" s="2">
        <f ca="1"/>
        <v>-1.194619912641268</v>
      </c>
      <c r="X3617" s="2">
        <f ca="1"/>
        <v>41.047781301755492</v>
      </c>
      <c r="AG3617" s="2">
        <f ca="1"/>
        <v>0.96072898523352146</v>
      </c>
      <c r="AH3617" s="2" t="str">
        <f ca="1"/>
        <v>Bad</v>
      </c>
    </row>
    <row r="3618" spans="2:34" x14ac:dyDescent="0.2">
      <c r="B3618" s="2">
        <f ca="1"/>
        <v>0.17143348020324112</v>
      </c>
      <c r="O3618" s="2">
        <f ca="1"/>
        <v>0.80210156168497959</v>
      </c>
      <c r="X3618" s="2">
        <f ca="1"/>
        <v>54.798034383244854</v>
      </c>
      <c r="AG3618" s="2">
        <f ca="1"/>
        <v>8.68479130481985E-2</v>
      </c>
      <c r="AH3618" s="2" t="str">
        <f ca="1"/>
        <v>OK</v>
      </c>
    </row>
    <row r="3619" spans="2:34" x14ac:dyDescent="0.2">
      <c r="B3619" s="2">
        <f ca="1"/>
        <v>0.75588496385965764</v>
      </c>
      <c r="O3619" s="2">
        <f ca="1"/>
        <v>-1.7967468260560262</v>
      </c>
      <c r="X3619" s="2">
        <f ca="1"/>
        <v>83.833284501414454</v>
      </c>
      <c r="AG3619" s="2">
        <f ca="1"/>
        <v>4.9290113379032885E-2</v>
      </c>
      <c r="AH3619" s="2" t="str">
        <f ca="1"/>
        <v>Good</v>
      </c>
    </row>
    <row r="3620" spans="2:34" x14ac:dyDescent="0.2">
      <c r="B3620" s="2">
        <f ca="1"/>
        <v>0.40533347570033107</v>
      </c>
      <c r="O3620" s="2">
        <f ca="1"/>
        <v>0.96105217344441018</v>
      </c>
      <c r="X3620" s="2">
        <f ca="1"/>
        <v>46.40138727964667</v>
      </c>
      <c r="AG3620" s="2">
        <f ca="1"/>
        <v>0.43757182240937698</v>
      </c>
      <c r="AH3620" s="2" t="str">
        <f ca="1"/>
        <v>Bad</v>
      </c>
    </row>
    <row r="3621" spans="2:34" x14ac:dyDescent="0.2">
      <c r="B3621" s="2">
        <f ca="1"/>
        <v>0.76125772756629884</v>
      </c>
      <c r="O3621" s="2">
        <f ca="1"/>
        <v>1.6279829714522736</v>
      </c>
      <c r="X3621" s="2">
        <f ca="1"/>
        <v>31.638676418597036</v>
      </c>
      <c r="AG3621" s="2">
        <f ca="1"/>
        <v>0.25179017706306062</v>
      </c>
      <c r="AH3621" s="2" t="str">
        <f ca="1"/>
        <v>OK</v>
      </c>
    </row>
    <row r="3622" spans="2:34" x14ac:dyDescent="0.2">
      <c r="B3622" s="2">
        <f ca="1"/>
        <v>0.71315532450376096</v>
      </c>
      <c r="O3622" s="2">
        <f ca="1"/>
        <v>-0.2867711984277489</v>
      </c>
      <c r="X3622" s="2">
        <f ca="1"/>
        <v>58.075632502779769</v>
      </c>
      <c r="AG3622" s="2">
        <f ca="1"/>
        <v>0.57394263157474512</v>
      </c>
      <c r="AH3622" s="2" t="str">
        <f ca="1"/>
        <v>Bad</v>
      </c>
    </row>
    <row r="3623" spans="2:34" x14ac:dyDescent="0.2">
      <c r="B3623" s="2">
        <f ca="1"/>
        <v>0.60566538218063415</v>
      </c>
      <c r="O3623" s="2">
        <f ca="1"/>
        <v>-0.52480878668672115</v>
      </c>
      <c r="X3623" s="2">
        <f ca="1"/>
        <v>35.832984034917217</v>
      </c>
      <c r="AG3623" s="2">
        <f ca="1"/>
        <v>0.72204364942867971</v>
      </c>
      <c r="AH3623" s="2" t="str">
        <f ca="1"/>
        <v>Bad</v>
      </c>
    </row>
    <row r="3624" spans="2:34" x14ac:dyDescent="0.2">
      <c r="B3624" s="2">
        <f ca="1"/>
        <v>0.25506520340654437</v>
      </c>
      <c r="O3624" s="2">
        <f ca="1"/>
        <v>-0.26934483863987035</v>
      </c>
      <c r="X3624" s="2">
        <f ca="1"/>
        <v>47.744874571665989</v>
      </c>
      <c r="AG3624" s="2">
        <f ca="1"/>
        <v>0.76048522668278662</v>
      </c>
      <c r="AH3624" s="2" t="str">
        <f ca="1"/>
        <v>Bad</v>
      </c>
    </row>
    <row r="3625" spans="2:34" x14ac:dyDescent="0.2">
      <c r="B3625" s="2">
        <f ca="1"/>
        <v>0.11370369212596221</v>
      </c>
      <c r="O3625" s="2">
        <f ca="1"/>
        <v>0.58949671634735479</v>
      </c>
      <c r="X3625" s="2">
        <f ca="1"/>
        <v>42.031133437475006</v>
      </c>
      <c r="AG3625" s="2">
        <f ca="1"/>
        <v>0.26304856596040871</v>
      </c>
      <c r="AH3625" s="2" t="str">
        <f ca="1"/>
        <v>OK</v>
      </c>
    </row>
    <row r="3626" spans="2:34" x14ac:dyDescent="0.2">
      <c r="B3626" s="2">
        <f ca="1"/>
        <v>0.80576511228694403</v>
      </c>
      <c r="O3626" s="2">
        <f ca="1"/>
        <v>-0.60877956129631783</v>
      </c>
      <c r="X3626" s="2">
        <f ca="1"/>
        <v>25.636218552958667</v>
      </c>
      <c r="AG3626" s="2">
        <f ca="1"/>
        <v>0.10345971670695131</v>
      </c>
      <c r="AH3626" s="2" t="str">
        <f ca="1"/>
        <v>OK</v>
      </c>
    </row>
    <row r="3627" spans="2:34" x14ac:dyDescent="0.2">
      <c r="B3627" s="2">
        <f ca="1"/>
        <v>0.78746252628428537</v>
      </c>
      <c r="O3627" s="2">
        <f ca="1"/>
        <v>-0.82694497852224491</v>
      </c>
      <c r="X3627" s="2">
        <f ca="1"/>
        <v>52.727249905362513</v>
      </c>
      <c r="AG3627" s="2">
        <f ca="1"/>
        <v>0.53366008910432905</v>
      </c>
      <c r="AH3627" s="2" t="str">
        <f ca="1"/>
        <v>Bad</v>
      </c>
    </row>
    <row r="3628" spans="2:34" x14ac:dyDescent="0.2">
      <c r="B3628" s="2">
        <f ca="1"/>
        <v>0.35103985370040891</v>
      </c>
      <c r="O3628" s="2">
        <f ca="1"/>
        <v>0.23398941773009854</v>
      </c>
      <c r="X3628" s="2">
        <f ca="1"/>
        <v>41.411757863483302</v>
      </c>
      <c r="AG3628" s="2">
        <f ca="1"/>
        <v>0.20790781247533174</v>
      </c>
      <c r="AH3628" s="2" t="str">
        <f ca="1"/>
        <v>OK</v>
      </c>
    </row>
    <row r="3629" spans="2:34" x14ac:dyDescent="0.2">
      <c r="B3629" s="2">
        <f ca="1"/>
        <v>0.52495540096774174</v>
      </c>
      <c r="O3629" s="2">
        <f ca="1"/>
        <v>-1.9475489725142803</v>
      </c>
      <c r="X3629" s="2">
        <f ca="1"/>
        <v>58.289233101690918</v>
      </c>
      <c r="AG3629" s="2">
        <f ca="1"/>
        <v>0.1375269863595443</v>
      </c>
      <c r="AH3629" s="2" t="str">
        <f ca="1"/>
        <v>OK</v>
      </c>
    </row>
    <row r="3630" spans="2:34" x14ac:dyDescent="0.2">
      <c r="B3630" s="2">
        <f ca="1"/>
        <v>0.78275006713397555</v>
      </c>
      <c r="O3630" s="2">
        <f ca="1"/>
        <v>-0.6890881315981372</v>
      </c>
      <c r="X3630" s="2">
        <f ca="1"/>
        <v>71.42601731338479</v>
      </c>
      <c r="AG3630" s="2">
        <f ca="1"/>
        <v>0.66397723104285267</v>
      </c>
      <c r="AH3630" s="2" t="str">
        <f ca="1"/>
        <v>Bad</v>
      </c>
    </row>
    <row r="3631" spans="2:34" x14ac:dyDescent="0.2">
      <c r="B3631" s="2">
        <f ca="1"/>
        <v>0.39808470811589602</v>
      </c>
      <c r="O3631" s="2">
        <f ca="1"/>
        <v>-1.6175797966487235</v>
      </c>
      <c r="X3631" s="2">
        <f ca="1"/>
        <v>58.288729969783475</v>
      </c>
      <c r="AG3631" s="2">
        <f ca="1"/>
        <v>0.77279765309336468</v>
      </c>
      <c r="AH3631" s="2" t="str">
        <f ca="1"/>
        <v>Bad</v>
      </c>
    </row>
    <row r="3632" spans="2:34" x14ac:dyDescent="0.2">
      <c r="B3632" s="2">
        <f ca="1"/>
        <v>0.20467285697197402</v>
      </c>
      <c r="O3632" s="2">
        <f ca="1"/>
        <v>0.95000725625143534</v>
      </c>
      <c r="X3632" s="2">
        <f ca="1"/>
        <v>40.401667281133619</v>
      </c>
      <c r="AG3632" s="2">
        <f ca="1"/>
        <v>0.46120272557966158</v>
      </c>
      <c r="AH3632" s="2" t="str">
        <f ca="1"/>
        <v>Bad</v>
      </c>
    </row>
    <row r="3633" spans="2:34" x14ac:dyDescent="0.2">
      <c r="B3633" s="2">
        <f ca="1"/>
        <v>0.73701450491227072</v>
      </c>
      <c r="O3633" s="2">
        <f ca="1"/>
        <v>-1.4624450881469084</v>
      </c>
      <c r="X3633" s="2">
        <f ca="1"/>
        <v>40.911610423841005</v>
      </c>
      <c r="AG3633" s="2">
        <f ca="1"/>
        <v>4.5405326555826742E-2</v>
      </c>
      <c r="AH3633" s="2" t="str">
        <f ca="1"/>
        <v>Good</v>
      </c>
    </row>
    <row r="3634" spans="2:34" x14ac:dyDescent="0.2">
      <c r="B3634" s="2">
        <f ca="1"/>
        <v>0.3138277601240167</v>
      </c>
      <c r="O3634" s="2">
        <f ca="1"/>
        <v>1.3278156428805676</v>
      </c>
      <c r="X3634" s="2">
        <f ca="1"/>
        <v>68.701685909929111</v>
      </c>
      <c r="AG3634" s="2">
        <f ca="1"/>
        <v>0.72473864062204307</v>
      </c>
      <c r="AH3634" s="2" t="str">
        <f ca="1"/>
        <v>Bad</v>
      </c>
    </row>
    <row r="3635" spans="2:34" x14ac:dyDescent="0.2">
      <c r="B3635" s="2">
        <f ca="1"/>
        <v>0.99650997844318612</v>
      </c>
      <c r="O3635" s="2">
        <f ca="1"/>
        <v>0.70842371064381948</v>
      </c>
      <c r="X3635" s="2">
        <f ca="1"/>
        <v>46.78467819168204</v>
      </c>
      <c r="AG3635" s="2">
        <f ca="1"/>
        <v>0.73768025024081507</v>
      </c>
      <c r="AH3635" s="2" t="str">
        <f ca="1"/>
        <v>Bad</v>
      </c>
    </row>
    <row r="3636" spans="2:34" x14ac:dyDescent="0.2">
      <c r="B3636" s="2">
        <f ca="1"/>
        <v>0.72015574192400567</v>
      </c>
      <c r="O3636" s="2">
        <f ca="1"/>
        <v>0.44231934444587967</v>
      </c>
      <c r="X3636" s="2">
        <f ca="1"/>
        <v>27.86086233611233</v>
      </c>
      <c r="AG3636" s="2">
        <f ca="1"/>
        <v>0.37263301998864562</v>
      </c>
      <c r="AH3636" s="2" t="str">
        <f ca="1"/>
        <v>OK</v>
      </c>
    </row>
    <row r="3637" spans="2:34" x14ac:dyDescent="0.2">
      <c r="B3637" s="2">
        <f ca="1"/>
        <v>0.51815809982685401</v>
      </c>
      <c r="O3637" s="2">
        <f ca="1"/>
        <v>-0.24416916309874623</v>
      </c>
      <c r="X3637" s="2">
        <f ca="1"/>
        <v>81.620437121154879</v>
      </c>
      <c r="AG3637" s="2">
        <f ca="1"/>
        <v>0.65916731835102227</v>
      </c>
      <c r="AH3637" s="2" t="str">
        <f ca="1"/>
        <v>Bad</v>
      </c>
    </row>
    <row r="3638" spans="2:34" x14ac:dyDescent="0.2">
      <c r="B3638" s="2">
        <f ca="1"/>
        <v>0.60081726801294799</v>
      </c>
      <c r="O3638" s="2">
        <f ca="1"/>
        <v>1.5779928092272242</v>
      </c>
      <c r="X3638" s="2">
        <f ca="1"/>
        <v>36.751715570445228</v>
      </c>
      <c r="AG3638" s="2">
        <f ca="1"/>
        <v>0.10162549013720357</v>
      </c>
      <c r="AH3638" s="2" t="str">
        <f ca="1"/>
        <v>OK</v>
      </c>
    </row>
    <row r="3639" spans="2:34" x14ac:dyDescent="0.2">
      <c r="B3639" s="2">
        <f ca="1"/>
        <v>0.21883900890632613</v>
      </c>
      <c r="O3639" s="2">
        <f ca="1"/>
        <v>1.1141956619377249</v>
      </c>
      <c r="X3639" s="2">
        <f ca="1"/>
        <v>73.044813220449313</v>
      </c>
      <c r="AG3639" s="2">
        <f ca="1"/>
        <v>0.57848732761152544</v>
      </c>
      <c r="AH3639" s="2" t="str">
        <f ca="1"/>
        <v>Bad</v>
      </c>
    </row>
    <row r="3640" spans="2:34" x14ac:dyDescent="0.2">
      <c r="B3640" s="2">
        <f ca="1"/>
        <v>0.31570163355003156</v>
      </c>
      <c r="O3640" s="2">
        <f ca="1"/>
        <v>-1.2948037614769901</v>
      </c>
      <c r="X3640" s="2">
        <f ca="1"/>
        <v>39.676654462300561</v>
      </c>
      <c r="AG3640" s="2">
        <f ca="1"/>
        <v>0.99960564720231848</v>
      </c>
      <c r="AH3640" s="2" t="str">
        <f ca="1"/>
        <v>Bad</v>
      </c>
    </row>
    <row r="3641" spans="2:34" x14ac:dyDescent="0.2">
      <c r="B3641" s="2">
        <f ca="1"/>
        <v>0.48242648894271589</v>
      </c>
      <c r="O3641" s="2">
        <f ca="1"/>
        <v>-2.2802854485460911</v>
      </c>
      <c r="X3641" s="2">
        <f ca="1"/>
        <v>35.306741287803604</v>
      </c>
      <c r="AG3641" s="2">
        <f ca="1"/>
        <v>0.7206117911763239</v>
      </c>
      <c r="AH3641" s="2" t="str">
        <f ca="1"/>
        <v>Bad</v>
      </c>
    </row>
    <row r="3642" spans="2:34" x14ac:dyDescent="0.2">
      <c r="B3642" s="2">
        <f ca="1"/>
        <v>0.77648097717666587</v>
      </c>
      <c r="O3642" s="2">
        <f ca="1"/>
        <v>1.8455275319312969</v>
      </c>
      <c r="X3642" s="2">
        <f ca="1"/>
        <v>70.646796533846469</v>
      </c>
      <c r="AG3642" s="2">
        <f ca="1"/>
        <v>0.4146855525085904</v>
      </c>
      <c r="AH3642" s="2" t="str">
        <f ca="1"/>
        <v>Bad</v>
      </c>
    </row>
    <row r="3643" spans="2:34" x14ac:dyDescent="0.2">
      <c r="B3643" s="2">
        <f ca="1"/>
        <v>0.62712451354363985</v>
      </c>
      <c r="O3643" s="2">
        <f ca="1"/>
        <v>1.3278801494370904</v>
      </c>
      <c r="X3643" s="2">
        <f ca="1"/>
        <v>33.471763848776071</v>
      </c>
      <c r="AG3643" s="2">
        <f ca="1"/>
        <v>0.51768828918018106</v>
      </c>
      <c r="AH3643" s="2" t="str">
        <f ca="1"/>
        <v>Bad</v>
      </c>
    </row>
    <row r="3644" spans="2:34" x14ac:dyDescent="0.2">
      <c r="B3644" s="2">
        <f ca="1"/>
        <v>0.14220674382040777</v>
      </c>
      <c r="O3644" s="2">
        <f ca="1"/>
        <v>-1.3074166674361887</v>
      </c>
      <c r="X3644" s="2">
        <f ca="1"/>
        <v>34.267484934925839</v>
      </c>
      <c r="AG3644" s="2">
        <f ca="1"/>
        <v>0.43771898214872906</v>
      </c>
      <c r="AH3644" s="2" t="str">
        <f ca="1"/>
        <v>Bad</v>
      </c>
    </row>
    <row r="3645" spans="2:34" x14ac:dyDescent="0.2">
      <c r="B3645" s="2">
        <f ca="1"/>
        <v>0.33627629312709661</v>
      </c>
      <c r="O3645" s="2">
        <f ca="1"/>
        <v>-0.69367873561982885</v>
      </c>
      <c r="X3645" s="2">
        <f ca="1"/>
        <v>69.275189632285716</v>
      </c>
      <c r="AG3645" s="2">
        <f ca="1"/>
        <v>0.97287678562745006</v>
      </c>
      <c r="AH3645" s="2" t="str">
        <f ca="1"/>
        <v>Bad</v>
      </c>
    </row>
    <row r="3646" spans="2:34" x14ac:dyDescent="0.2">
      <c r="B3646" s="2">
        <f ca="1"/>
        <v>0.29352928746441198</v>
      </c>
      <c r="O3646" s="2">
        <f ca="1"/>
        <v>-0.25490000471947599</v>
      </c>
      <c r="X3646" s="2">
        <f ca="1"/>
        <v>39.583831903771014</v>
      </c>
      <c r="AG3646" s="2">
        <f ca="1"/>
        <v>2.9903025250381798E-2</v>
      </c>
      <c r="AH3646" s="2" t="str">
        <f ca="1"/>
        <v>Good</v>
      </c>
    </row>
    <row r="3647" spans="2:34" x14ac:dyDescent="0.2">
      <c r="B3647" s="2">
        <f ca="1"/>
        <v>0.54607085406774836</v>
      </c>
      <c r="O3647" s="2">
        <f ca="1"/>
        <v>0.36505108388569874</v>
      </c>
      <c r="X3647" s="2">
        <f ca="1"/>
        <v>58.645062420320144</v>
      </c>
      <c r="AG3647" s="2">
        <f ca="1"/>
        <v>0.91448438530524601</v>
      </c>
      <c r="AH3647" s="2" t="str">
        <f ca="1"/>
        <v>Bad</v>
      </c>
    </row>
    <row r="3648" spans="2:34" x14ac:dyDescent="0.2">
      <c r="B3648" s="2">
        <f ca="1"/>
        <v>0.85248711090478646</v>
      </c>
      <c r="O3648" s="2">
        <f ca="1"/>
        <v>0.12514062214427982</v>
      </c>
      <c r="X3648" s="2">
        <f ca="1"/>
        <v>58.72800897346724</v>
      </c>
      <c r="AG3648" s="2">
        <f ca="1"/>
        <v>0.45466648235354601</v>
      </c>
      <c r="AH3648" s="2" t="str">
        <f ca="1"/>
        <v>Bad</v>
      </c>
    </row>
    <row r="3649" spans="2:34" x14ac:dyDescent="0.2">
      <c r="B3649" s="2">
        <f ca="1"/>
        <v>0.38859441642198544</v>
      </c>
      <c r="O3649" s="2">
        <f ca="1"/>
        <v>1.5215133706596349</v>
      </c>
      <c r="X3649" s="2">
        <f ca="1"/>
        <v>42.256210943755157</v>
      </c>
      <c r="AG3649" s="2">
        <f ca="1"/>
        <v>0.38522723354270072</v>
      </c>
      <c r="AH3649" s="2" t="str">
        <f ca="1"/>
        <v>OK</v>
      </c>
    </row>
    <row r="3650" spans="2:34" x14ac:dyDescent="0.2">
      <c r="B3650" s="2">
        <f ca="1"/>
        <v>0.86863571363339642</v>
      </c>
      <c r="O3650" s="2">
        <f ca="1"/>
        <v>-0.1697507649317116</v>
      </c>
      <c r="X3650" s="2">
        <f ca="1"/>
        <v>56.685183036212038</v>
      </c>
      <c r="AG3650" s="2">
        <f ca="1"/>
        <v>2.803986579464568E-2</v>
      </c>
      <c r="AH3650" s="2" t="str">
        <f ca="1"/>
        <v>Good</v>
      </c>
    </row>
    <row r="3651" spans="2:34" x14ac:dyDescent="0.2">
      <c r="B3651" s="2">
        <f ca="1"/>
        <v>0.65458272951712093</v>
      </c>
      <c r="O3651" s="2">
        <f ca="1"/>
        <v>0.94396777674523347</v>
      </c>
      <c r="X3651" s="2">
        <f ca="1"/>
        <v>39.36333514399491</v>
      </c>
      <c r="AG3651" s="2">
        <f ca="1"/>
        <v>0.2197368074533137</v>
      </c>
      <c r="AH3651" s="2" t="str">
        <f ca="1"/>
        <v>OK</v>
      </c>
    </row>
    <row r="3652" spans="2:34" x14ac:dyDescent="0.2">
      <c r="B3652" s="2">
        <f ca="1"/>
        <v>0.81354624008414977</v>
      </c>
      <c r="O3652" s="2">
        <f ca="1"/>
        <v>0.90314333599105956</v>
      </c>
      <c r="X3652" s="2">
        <f ca="1"/>
        <v>35.606445153335486</v>
      </c>
      <c r="AG3652" s="2">
        <f ca="1"/>
        <v>0.13449417358189297</v>
      </c>
      <c r="AH3652" s="2" t="str">
        <f ca="1"/>
        <v>OK</v>
      </c>
    </row>
    <row r="3653" spans="2:34" x14ac:dyDescent="0.2">
      <c r="B3653" s="2">
        <f ca="1"/>
        <v>0.65790339689928512</v>
      </c>
      <c r="O3653" s="2">
        <f ca="1"/>
        <v>-0.11650797018415811</v>
      </c>
      <c r="X3653" s="2">
        <f ca="1"/>
        <v>51.406689618386395</v>
      </c>
      <c r="AG3653" s="2">
        <f ca="1"/>
        <v>5.1035317384954482E-2</v>
      </c>
      <c r="AH3653" s="2" t="str">
        <f ca="1"/>
        <v>OK</v>
      </c>
    </row>
    <row r="3654" spans="2:34" x14ac:dyDescent="0.2">
      <c r="B3654" s="2">
        <f ca="1"/>
        <v>0.36726357693498679</v>
      </c>
      <c r="O3654" s="2">
        <f ca="1"/>
        <v>0.75554068638668692</v>
      </c>
      <c r="X3654" s="2">
        <f ca="1"/>
        <v>31.101164268371782</v>
      </c>
      <c r="AG3654" s="2">
        <f ca="1"/>
        <v>0.66003262726482692</v>
      </c>
      <c r="AH3654" s="2" t="str">
        <f ca="1"/>
        <v>Bad</v>
      </c>
    </row>
    <row r="3655" spans="2:34" x14ac:dyDescent="0.2">
      <c r="B3655" s="2">
        <f ca="1"/>
        <v>0.83711196210671757</v>
      </c>
      <c r="O3655" s="2">
        <f ca="1"/>
        <v>0.38582393886267008</v>
      </c>
      <c r="X3655" s="2">
        <f ca="1"/>
        <v>42.046419367934874</v>
      </c>
      <c r="AG3655" s="2">
        <f ca="1"/>
        <v>0.45576186371052496</v>
      </c>
      <c r="AH3655" s="2" t="str">
        <f ca="1"/>
        <v>Bad</v>
      </c>
    </row>
    <row r="3656" spans="2:34" x14ac:dyDescent="0.2">
      <c r="B3656" s="2">
        <f ca="1"/>
        <v>0.18196084984026339</v>
      </c>
      <c r="O3656" s="2">
        <f ca="1"/>
        <v>-8.1244739675390601E-2</v>
      </c>
      <c r="X3656" s="2">
        <f ca="1"/>
        <v>27.061384923018196</v>
      </c>
      <c r="AG3656" s="2">
        <f ca="1"/>
        <v>0.5595437693663412</v>
      </c>
      <c r="AH3656" s="2" t="str">
        <f ca="1"/>
        <v>Bad</v>
      </c>
    </row>
    <row r="3657" spans="2:34" x14ac:dyDescent="0.2">
      <c r="B3657" s="2">
        <f ca="1"/>
        <v>0.64912570175972983</v>
      </c>
      <c r="O3657" s="2">
        <f ca="1"/>
        <v>-0.62981615413898995</v>
      </c>
      <c r="X3657" s="2">
        <f ca="1"/>
        <v>39.489307857110191</v>
      </c>
      <c r="AG3657" s="2">
        <f ca="1"/>
        <v>0.81593324658396194</v>
      </c>
      <c r="AH3657" s="2" t="str">
        <f ca="1"/>
        <v>Bad</v>
      </c>
    </row>
    <row r="3658" spans="2:34" x14ac:dyDescent="0.2">
      <c r="B3658" s="2">
        <f ca="1"/>
        <v>0.35923208381591132</v>
      </c>
      <c r="O3658" s="2">
        <f ca="1"/>
        <v>-0.48537580014193954</v>
      </c>
      <c r="X3658" s="2">
        <f ca="1"/>
        <v>49.649215362206789</v>
      </c>
      <c r="AG3658" s="2">
        <f ca="1"/>
        <v>0.96865888234544273</v>
      </c>
      <c r="AH3658" s="2" t="str">
        <f ca="1"/>
        <v>Bad</v>
      </c>
    </row>
    <row r="3659" spans="2:34" x14ac:dyDescent="0.2">
      <c r="B3659" s="2">
        <f ca="1"/>
        <v>0.26377274382912708</v>
      </c>
      <c r="O3659" s="2">
        <f ca="1"/>
        <v>1.1946012363659556E-2</v>
      </c>
      <c r="X3659" s="2">
        <f ca="1"/>
        <v>51.717699878715131</v>
      </c>
      <c r="AG3659" s="2">
        <f ca="1"/>
        <v>0.45830304289246859</v>
      </c>
      <c r="AH3659" s="2" t="str">
        <f ca="1"/>
        <v>Bad</v>
      </c>
    </row>
    <row r="3660" spans="2:34" x14ac:dyDescent="0.2">
      <c r="B3660" s="2">
        <f ca="1"/>
        <v>0.93757793790829447</v>
      </c>
      <c r="O3660" s="2">
        <f ca="1"/>
        <v>1.3557576146046784</v>
      </c>
      <c r="X3660" s="2">
        <f ca="1"/>
        <v>47.686596388874861</v>
      </c>
      <c r="AG3660" s="2">
        <f ca="1"/>
        <v>0.61455278515521861</v>
      </c>
      <c r="AH3660" s="2" t="str">
        <f ca="1"/>
        <v>Bad</v>
      </c>
    </row>
    <row r="3661" spans="2:34" x14ac:dyDescent="0.2">
      <c r="B3661" s="2">
        <f ca="1"/>
        <v>0.3999315407376336</v>
      </c>
      <c r="O3661" s="2">
        <f ca="1"/>
        <v>-0.78061834666975738</v>
      </c>
      <c r="X3661" s="2">
        <f ca="1"/>
        <v>53.436099491385974</v>
      </c>
      <c r="AG3661" s="2">
        <f ca="1"/>
        <v>0.92818680793975461</v>
      </c>
      <c r="AH3661" s="2" t="str">
        <f ca="1"/>
        <v>Bad</v>
      </c>
    </row>
    <row r="3662" spans="2:34" x14ac:dyDescent="0.2">
      <c r="B3662" s="2">
        <f ca="1"/>
        <v>0.11094160940362929</v>
      </c>
      <c r="O3662" s="2">
        <f ca="1"/>
        <v>-1.5094009391296539</v>
      </c>
      <c r="X3662" s="2">
        <f ca="1"/>
        <v>22.235384366439735</v>
      </c>
      <c r="AG3662" s="2">
        <f ca="1"/>
        <v>0.14395365438562857</v>
      </c>
      <c r="AH3662" s="2" t="str">
        <f ca="1"/>
        <v>OK</v>
      </c>
    </row>
    <row r="3663" spans="2:34" x14ac:dyDescent="0.2">
      <c r="B3663" s="2">
        <f ca="1"/>
        <v>0.18293103361443963</v>
      </c>
      <c r="O3663" s="2">
        <f ca="1"/>
        <v>0.86816460094278824</v>
      </c>
      <c r="X3663" s="2">
        <f ca="1"/>
        <v>64.202992306871977</v>
      </c>
      <c r="AG3663" s="2">
        <f ca="1"/>
        <v>0.31420827007486785</v>
      </c>
      <c r="AH3663" s="2" t="str">
        <f ca="1"/>
        <v>OK</v>
      </c>
    </row>
    <row r="3664" spans="2:34" x14ac:dyDescent="0.2">
      <c r="B3664" s="2">
        <f ca="1"/>
        <v>3.482381995532613E-2</v>
      </c>
      <c r="O3664" s="2">
        <f ca="1"/>
        <v>0.42740652284375408</v>
      </c>
      <c r="X3664" s="2">
        <f ca="1"/>
        <v>108.31051374548373</v>
      </c>
      <c r="AG3664" s="2">
        <f ca="1"/>
        <v>0.7435105305638503</v>
      </c>
      <c r="AH3664" s="2" t="str">
        <f ca="1"/>
        <v>Bad</v>
      </c>
    </row>
    <row r="3665" spans="2:34" x14ac:dyDescent="0.2">
      <c r="B3665" s="2">
        <f ca="1"/>
        <v>0.95608564025813192</v>
      </c>
      <c r="O3665" s="2">
        <f ca="1"/>
        <v>-2.0672301809180009</v>
      </c>
      <c r="X3665" s="2">
        <f ca="1"/>
        <v>68.64940853768195</v>
      </c>
      <c r="AG3665" s="2">
        <f ca="1"/>
        <v>0.41735263455977867</v>
      </c>
      <c r="AH3665" s="2" t="str">
        <f ca="1"/>
        <v>Bad</v>
      </c>
    </row>
    <row r="3666" spans="2:34" x14ac:dyDescent="0.2">
      <c r="B3666" s="2">
        <f ca="1"/>
        <v>8.1427571823727174E-2</v>
      </c>
      <c r="O3666" s="2">
        <f ca="1"/>
        <v>8.9075222562445391E-2</v>
      </c>
      <c r="X3666" s="2">
        <f ca="1"/>
        <v>17.57108937276772</v>
      </c>
      <c r="AG3666" s="2">
        <f ca="1"/>
        <v>0.96236757748974178</v>
      </c>
      <c r="AH3666" s="2" t="str">
        <f ca="1"/>
        <v>Bad</v>
      </c>
    </row>
    <row r="3667" spans="2:34" x14ac:dyDescent="0.2">
      <c r="B3667" s="2">
        <f ca="1"/>
        <v>0.55840545063627833</v>
      </c>
      <c r="O3667" s="2">
        <f ca="1"/>
        <v>0.25066543900127192</v>
      </c>
      <c r="X3667" s="2">
        <f ca="1"/>
        <v>24.905622225160187</v>
      </c>
      <c r="AG3667" s="2">
        <f ca="1"/>
        <v>0.14074468034023235</v>
      </c>
      <c r="AH3667" s="2" t="str">
        <f ca="1"/>
        <v>OK</v>
      </c>
    </row>
    <row r="3668" spans="2:34" x14ac:dyDescent="0.2">
      <c r="B3668" s="2">
        <f ca="1"/>
        <v>0.7593941541466005</v>
      </c>
      <c r="O3668" s="2">
        <f ca="1"/>
        <v>1.236186388965878</v>
      </c>
      <c r="X3668" s="2">
        <f ca="1"/>
        <v>72.58616313037129</v>
      </c>
      <c r="AG3668" s="2">
        <f ca="1"/>
        <v>0.10389833880680377</v>
      </c>
      <c r="AH3668" s="2" t="str">
        <f ca="1"/>
        <v>OK</v>
      </c>
    </row>
    <row r="3669" spans="2:34" x14ac:dyDescent="0.2">
      <c r="B3669" s="2">
        <f ca="1"/>
        <v>0.26537973089376687</v>
      </c>
      <c r="O3669" s="2">
        <f ca="1"/>
        <v>1.4023612636245328</v>
      </c>
      <c r="X3669" s="2">
        <f ca="1"/>
        <v>40.329443798920934</v>
      </c>
      <c r="AG3669" s="2">
        <f ca="1"/>
        <v>0.67474900874322308</v>
      </c>
      <c r="AH3669" s="2" t="str">
        <f ca="1"/>
        <v>Bad</v>
      </c>
    </row>
    <row r="3670" spans="2:34" x14ac:dyDescent="0.2">
      <c r="B3670" s="2">
        <f ca="1"/>
        <v>3.0948848551111796E-2</v>
      </c>
      <c r="O3670" s="2">
        <f ca="1"/>
        <v>0.22671385271226827</v>
      </c>
      <c r="X3670" s="2">
        <f ca="1"/>
        <v>49.072835682199397</v>
      </c>
      <c r="AG3670" s="2">
        <f ca="1"/>
        <v>0.40596493134649392</v>
      </c>
      <c r="AH3670" s="2" t="str">
        <f ca="1"/>
        <v>Bad</v>
      </c>
    </row>
    <row r="3671" spans="2:34" x14ac:dyDescent="0.2">
      <c r="B3671" s="2">
        <f ca="1"/>
        <v>2.8058226811595199E-2</v>
      </c>
      <c r="O3671" s="2">
        <f ca="1"/>
        <v>-0.12667310412765906</v>
      </c>
      <c r="X3671" s="2">
        <f ca="1"/>
        <v>49.101909374528418</v>
      </c>
      <c r="AG3671" s="2">
        <f ca="1"/>
        <v>0.11991316896833748</v>
      </c>
      <c r="AH3671" s="2" t="str">
        <f ca="1"/>
        <v>OK</v>
      </c>
    </row>
    <row r="3672" spans="2:34" x14ac:dyDescent="0.2">
      <c r="B3672" s="2">
        <f ca="1"/>
        <v>0.46729056388203105</v>
      </c>
      <c r="O3672" s="2">
        <f ca="1"/>
        <v>0.92110974468490781</v>
      </c>
      <c r="X3672" s="2">
        <f ca="1"/>
        <v>54.078406567970497</v>
      </c>
      <c r="AG3672" s="2">
        <f ca="1"/>
        <v>3.4141306897710333E-2</v>
      </c>
      <c r="AH3672" s="2" t="str">
        <f ca="1"/>
        <v>Good</v>
      </c>
    </row>
    <row r="3673" spans="2:34" x14ac:dyDescent="0.2">
      <c r="B3673" s="2">
        <f ca="1"/>
        <v>0.80664681309384179</v>
      </c>
      <c r="O3673" s="2">
        <f ca="1"/>
        <v>1.2118416080464176</v>
      </c>
      <c r="X3673" s="2">
        <f ca="1"/>
        <v>45.055595739970407</v>
      </c>
      <c r="AG3673" s="2">
        <f ca="1"/>
        <v>0.33567741442374088</v>
      </c>
      <c r="AH3673" s="2" t="str">
        <f ca="1"/>
        <v>OK</v>
      </c>
    </row>
    <row r="3674" spans="2:34" x14ac:dyDescent="0.2">
      <c r="B3674" s="2">
        <f ca="1"/>
        <v>0.68494233040092878</v>
      </c>
      <c r="O3674" s="2">
        <f ca="1"/>
        <v>3.4052000221955862E-2</v>
      </c>
      <c r="X3674" s="2">
        <f ca="1"/>
        <v>35.126370336769909</v>
      </c>
      <c r="AG3674" s="2">
        <f ca="1"/>
        <v>0.83311285077670072</v>
      </c>
      <c r="AH3674" s="2" t="str">
        <f ca="1"/>
        <v>Bad</v>
      </c>
    </row>
    <row r="3675" spans="2:34" x14ac:dyDescent="0.2">
      <c r="B3675" s="2">
        <f ca="1"/>
        <v>0.72719603370233488</v>
      </c>
      <c r="O3675" s="2">
        <f ca="1"/>
        <v>1.0653500703980956</v>
      </c>
      <c r="X3675" s="2">
        <f ca="1"/>
        <v>47.614089293968121</v>
      </c>
      <c r="AG3675" s="2">
        <f ca="1"/>
        <v>0.35362273585814186</v>
      </c>
      <c r="AH3675" s="2" t="str">
        <f ca="1"/>
        <v>OK</v>
      </c>
    </row>
    <row r="3676" spans="2:34" x14ac:dyDescent="0.2">
      <c r="B3676" s="2">
        <f ca="1"/>
        <v>0.87594740202301047</v>
      </c>
      <c r="O3676" s="2">
        <f ca="1"/>
        <v>1.6304571231951692</v>
      </c>
      <c r="X3676" s="2">
        <f ca="1"/>
        <v>49.516236938631579</v>
      </c>
      <c r="AG3676" s="2">
        <f ca="1"/>
        <v>0.26032572371995988</v>
      </c>
      <c r="AH3676" s="2" t="str">
        <f ca="1"/>
        <v>OK</v>
      </c>
    </row>
    <row r="3677" spans="2:34" x14ac:dyDescent="0.2">
      <c r="B3677" s="2">
        <f ca="1"/>
        <v>0.50004670063144041</v>
      </c>
      <c r="O3677" s="2">
        <f ca="1"/>
        <v>1.2850882649034252</v>
      </c>
      <c r="X3677" s="2">
        <f ca="1"/>
        <v>34.709233232253013</v>
      </c>
      <c r="AG3677" s="2">
        <f ca="1"/>
        <v>2.0113476482790604E-2</v>
      </c>
      <c r="AH3677" s="2" t="str">
        <f ca="1"/>
        <v>Good</v>
      </c>
    </row>
    <row r="3678" spans="2:34" x14ac:dyDescent="0.2">
      <c r="B3678" s="2">
        <f ca="1"/>
        <v>0.52297137127478455</v>
      </c>
      <c r="O3678" s="2">
        <f ca="1"/>
        <v>4.1931102095829537E-2</v>
      </c>
      <c r="X3678" s="2">
        <f ca="1"/>
        <v>50.592208759099861</v>
      </c>
      <c r="AG3678" s="2">
        <f ca="1"/>
        <v>0.60064105332033124</v>
      </c>
      <c r="AH3678" s="2" t="str">
        <f ca="1"/>
        <v>Bad</v>
      </c>
    </row>
    <row r="3679" spans="2:34" x14ac:dyDescent="0.2">
      <c r="B3679" s="2">
        <f ca="1"/>
        <v>6.8914644114229429E-2</v>
      </c>
      <c r="O3679" s="2">
        <f ca="1"/>
        <v>-0.30787743989586336</v>
      </c>
      <c r="X3679" s="2">
        <f ca="1"/>
        <v>32.714101234655381</v>
      </c>
      <c r="AG3679" s="2">
        <f ca="1"/>
        <v>0.31732147881953487</v>
      </c>
      <c r="AH3679" s="2" t="str">
        <f ca="1"/>
        <v>OK</v>
      </c>
    </row>
    <row r="3680" spans="2:34" x14ac:dyDescent="0.2">
      <c r="B3680" s="2">
        <f ca="1"/>
        <v>5.6585789685326127E-2</v>
      </c>
      <c r="O3680" s="2">
        <f ca="1"/>
        <v>1.1435227368268059</v>
      </c>
      <c r="X3680" s="2">
        <f ca="1"/>
        <v>53.60575297774723</v>
      </c>
      <c r="AG3680" s="2">
        <f ca="1"/>
        <v>0.57394418080506115</v>
      </c>
      <c r="AH3680" s="2" t="str">
        <f ca="1"/>
        <v>Bad</v>
      </c>
    </row>
    <row r="3681" spans="2:34" x14ac:dyDescent="0.2">
      <c r="B3681" s="2">
        <f ca="1"/>
        <v>0.29829079043029649</v>
      </c>
      <c r="O3681" s="2">
        <f ca="1"/>
        <v>0.77459330478282729</v>
      </c>
      <c r="X3681" s="2">
        <f ca="1"/>
        <v>36.339559059842642</v>
      </c>
      <c r="AG3681" s="2">
        <f ca="1"/>
        <v>0.54519746024772364</v>
      </c>
      <c r="AH3681" s="2" t="str">
        <f ca="1"/>
        <v>Bad</v>
      </c>
    </row>
    <row r="3682" spans="2:34" x14ac:dyDescent="0.2">
      <c r="B3682" s="2">
        <f ca="1"/>
        <v>0.76949300492156336</v>
      </c>
      <c r="O3682" s="2">
        <f ca="1"/>
        <v>-1.357515539903652</v>
      </c>
      <c r="X3682" s="2">
        <f ca="1"/>
        <v>46.84014678644872</v>
      </c>
      <c r="AG3682" s="2">
        <f ca="1"/>
        <v>0.94186905310201419</v>
      </c>
      <c r="AH3682" s="2" t="str">
        <f ca="1"/>
        <v>Bad</v>
      </c>
    </row>
    <row r="3683" spans="2:34" x14ac:dyDescent="0.2">
      <c r="B3683" s="2">
        <f ca="1"/>
        <v>0.14795452384649876</v>
      </c>
      <c r="O3683" s="2">
        <f ca="1"/>
        <v>-1.0298527707758411</v>
      </c>
      <c r="X3683" s="2">
        <f ca="1"/>
        <v>36.109064591315203</v>
      </c>
      <c r="AG3683" s="2">
        <f ca="1"/>
        <v>0.14429873613984867</v>
      </c>
      <c r="AH3683" s="2" t="str">
        <f ca="1"/>
        <v>OK</v>
      </c>
    </row>
    <row r="3684" spans="2:34" x14ac:dyDescent="0.2">
      <c r="B3684" s="2">
        <f ca="1"/>
        <v>0.62231991317252056</v>
      </c>
      <c r="O3684" s="2">
        <f ca="1"/>
        <v>0.63040191523298361</v>
      </c>
      <c r="X3684" s="2">
        <f ca="1"/>
        <v>33.64126914161573</v>
      </c>
      <c r="AG3684" s="2">
        <f ca="1"/>
        <v>0.85529676345866235</v>
      </c>
      <c r="AH3684" s="2" t="str">
        <f ca="1"/>
        <v>Bad</v>
      </c>
    </row>
    <row r="3685" spans="2:34" x14ac:dyDescent="0.2">
      <c r="B3685" s="2">
        <f ca="1"/>
        <v>0.60411646407372444</v>
      </c>
      <c r="O3685" s="2">
        <f ca="1"/>
        <v>0.75362285110037386</v>
      </c>
      <c r="X3685" s="2">
        <f ca="1"/>
        <v>52.041801888419471</v>
      </c>
      <c r="AG3685" s="2">
        <f ca="1"/>
        <v>0.31226848366093951</v>
      </c>
      <c r="AH3685" s="2" t="str">
        <f ca="1"/>
        <v>OK</v>
      </c>
    </row>
    <row r="3686" spans="2:34" x14ac:dyDescent="0.2">
      <c r="B3686" s="2">
        <f ca="1"/>
        <v>0.23904224080525815</v>
      </c>
      <c r="O3686" s="2">
        <f ca="1"/>
        <v>-3.4075223316489656E-2</v>
      </c>
      <c r="X3686" s="2">
        <f ca="1"/>
        <v>40.20078363925191</v>
      </c>
      <c r="AG3686" s="2">
        <f ca="1"/>
        <v>0.4552260812452511</v>
      </c>
      <c r="AH3686" s="2" t="str">
        <f ca="1"/>
        <v>Bad</v>
      </c>
    </row>
    <row r="3687" spans="2:34" x14ac:dyDescent="0.2">
      <c r="B3687" s="2">
        <f ca="1"/>
        <v>0.11987410092214956</v>
      </c>
      <c r="O3687" s="2">
        <f ca="1"/>
        <v>1.1666687365660167</v>
      </c>
      <c r="X3687" s="2">
        <f ca="1"/>
        <v>54.105580817082419</v>
      </c>
      <c r="AG3687" s="2">
        <f ca="1"/>
        <v>0.45336990731451898</v>
      </c>
      <c r="AH3687" s="2" t="str">
        <f ca="1"/>
        <v>Bad</v>
      </c>
    </row>
    <row r="3688" spans="2:34" x14ac:dyDescent="0.2">
      <c r="B3688" s="2">
        <f ca="1"/>
        <v>0.57994520105667235</v>
      </c>
      <c r="O3688" s="2">
        <f ca="1"/>
        <v>-0.56349952179174134</v>
      </c>
      <c r="X3688" s="2">
        <f ca="1"/>
        <v>22.767486466364648</v>
      </c>
      <c r="AG3688" s="2">
        <f ca="1"/>
        <v>0.47670457117215026</v>
      </c>
      <c r="AH3688" s="2" t="str">
        <f ca="1"/>
        <v>Bad</v>
      </c>
    </row>
    <row r="3689" spans="2:34" x14ac:dyDescent="0.2">
      <c r="B3689" s="2">
        <f ca="1"/>
        <v>0.74364108855695665</v>
      </c>
      <c r="O3689" s="2">
        <f ca="1"/>
        <v>-0.40278495354770949</v>
      </c>
      <c r="X3689" s="2">
        <f ca="1"/>
        <v>38.046681489058621</v>
      </c>
      <c r="AG3689" s="2">
        <f ca="1"/>
        <v>0.99087507383847262</v>
      </c>
      <c r="AH3689" s="2" t="str">
        <f ca="1"/>
        <v>Bad</v>
      </c>
    </row>
    <row r="3690" spans="2:34" x14ac:dyDescent="0.2">
      <c r="B3690" s="2">
        <f ca="1"/>
        <v>0.16164709117263465</v>
      </c>
      <c r="O3690" s="2">
        <f ca="1"/>
        <v>-0.86743009426005069</v>
      </c>
      <c r="X3690" s="2">
        <f ca="1"/>
        <v>23.111233211772092</v>
      </c>
      <c r="AG3690" s="2">
        <f ca="1"/>
        <v>0.62124561330395678</v>
      </c>
      <c r="AH3690" s="2" t="str">
        <f ca="1"/>
        <v>Bad</v>
      </c>
    </row>
    <row r="3691" spans="2:34" x14ac:dyDescent="0.2">
      <c r="B3691" s="2">
        <f ca="1"/>
        <v>0.31644203148464944</v>
      </c>
      <c r="O3691" s="2">
        <f ca="1"/>
        <v>3.4623635829269001E-2</v>
      </c>
      <c r="X3691" s="2">
        <f ca="1"/>
        <v>50.598111814114745</v>
      </c>
      <c r="AG3691" s="2">
        <f ca="1"/>
        <v>0.99430498376088261</v>
      </c>
      <c r="AH3691" s="2" t="str">
        <f ca="1"/>
        <v>Bad</v>
      </c>
    </row>
    <row r="3692" spans="2:34" x14ac:dyDescent="0.2">
      <c r="B3692" s="2">
        <f ca="1"/>
        <v>0.42826308075298569</v>
      </c>
      <c r="O3692" s="2">
        <f ca="1"/>
        <v>-2.1183737579525697</v>
      </c>
      <c r="X3692" s="2">
        <f ca="1"/>
        <v>55.735883684518974</v>
      </c>
      <c r="AG3692" s="2">
        <f ca="1"/>
        <v>9.5179041385312413E-2</v>
      </c>
      <c r="AH3692" s="2" t="str">
        <f ca="1"/>
        <v>OK</v>
      </c>
    </row>
    <row r="3693" spans="2:34" x14ac:dyDescent="0.2">
      <c r="B3693" s="2">
        <f ca="1"/>
        <v>0.50753271225106888</v>
      </c>
      <c r="O3693" s="2">
        <f ca="1"/>
        <v>-1.0622344085687963</v>
      </c>
      <c r="X3693" s="2">
        <f ca="1"/>
        <v>70.451809540886444</v>
      </c>
      <c r="AG3693" s="2">
        <f ca="1"/>
        <v>0.67177716599689541</v>
      </c>
      <c r="AH3693" s="2" t="str">
        <f ca="1"/>
        <v>Bad</v>
      </c>
    </row>
    <row r="3694" spans="2:34" x14ac:dyDescent="0.2">
      <c r="B3694" s="2">
        <f ca="1"/>
        <v>0.53293043270335283</v>
      </c>
      <c r="O3694" s="2">
        <f ca="1"/>
        <v>-0.82749259081209903</v>
      </c>
      <c r="X3694" s="2">
        <f ca="1"/>
        <v>38.912073877945744</v>
      </c>
      <c r="AG3694" s="2">
        <f ca="1"/>
        <v>0.12981866540801246</v>
      </c>
      <c r="AH3694" s="2" t="str">
        <f ca="1"/>
        <v>OK</v>
      </c>
    </row>
    <row r="3695" spans="2:34" x14ac:dyDescent="0.2">
      <c r="B3695" s="2">
        <f ca="1"/>
        <v>0.49725240886138145</v>
      </c>
      <c r="O3695" s="2">
        <f ca="1"/>
        <v>-0.9665881699890474</v>
      </c>
      <c r="X3695" s="2">
        <f ca="1"/>
        <v>68.115445232697155</v>
      </c>
      <c r="AG3695" s="2">
        <f ca="1"/>
        <v>0.91056644042017854</v>
      </c>
      <c r="AH3695" s="2" t="str">
        <f ca="1"/>
        <v>Bad</v>
      </c>
    </row>
    <row r="3696" spans="2:34" x14ac:dyDescent="0.2">
      <c r="B3696" s="2">
        <f ca="1"/>
        <v>0.99706600661120981</v>
      </c>
      <c r="O3696" s="2">
        <f ca="1"/>
        <v>0.14747763853417609</v>
      </c>
      <c r="X3696" s="2">
        <f ca="1"/>
        <v>34.377079447464197</v>
      </c>
      <c r="AG3696" s="2">
        <f ca="1"/>
        <v>0.4563300476973895</v>
      </c>
      <c r="AH3696" s="2" t="str">
        <f ca="1"/>
        <v>Bad</v>
      </c>
    </row>
    <row r="3697" spans="2:34" x14ac:dyDescent="0.2">
      <c r="B3697" s="2">
        <f ca="1"/>
        <v>0.70149019139632873</v>
      </c>
      <c r="O3697" s="2">
        <f ca="1"/>
        <v>1.4981369799993611</v>
      </c>
      <c r="X3697" s="2">
        <f ca="1"/>
        <v>59.306762773011656</v>
      </c>
      <c r="AG3697" s="2">
        <f ca="1"/>
        <v>0.78492946117711382</v>
      </c>
      <c r="AH3697" s="2" t="str">
        <f ca="1"/>
        <v>Bad</v>
      </c>
    </row>
    <row r="3698" spans="2:34" x14ac:dyDescent="0.2">
      <c r="B3698" s="2">
        <f ca="1"/>
        <v>0.24468485802548967</v>
      </c>
      <c r="O3698" s="2">
        <f ca="1"/>
        <v>-1.6956213984989073</v>
      </c>
      <c r="X3698" s="2">
        <f ca="1"/>
        <v>71.867474857246748</v>
      </c>
      <c r="AG3698" s="2">
        <f ca="1"/>
        <v>0.76184658757481816</v>
      </c>
      <c r="AH3698" s="2" t="str">
        <f ca="1"/>
        <v>Bad</v>
      </c>
    </row>
    <row r="3699" spans="2:34" x14ac:dyDescent="0.2">
      <c r="B3699" s="2">
        <f ca="1"/>
        <v>0.67847043783211691</v>
      </c>
      <c r="O3699" s="2">
        <f ca="1"/>
        <v>-8.6256810188127503E-2</v>
      </c>
      <c r="X3699" s="2">
        <f ca="1"/>
        <v>31.536140746925465</v>
      </c>
      <c r="AG3699" s="2">
        <f ca="1"/>
        <v>0.26190428513408182</v>
      </c>
      <c r="AH3699" s="2" t="str">
        <f ca="1"/>
        <v>OK</v>
      </c>
    </row>
    <row r="3700" spans="2:34" x14ac:dyDescent="0.2">
      <c r="B3700" s="2">
        <f ca="1"/>
        <v>0.61253149183833977</v>
      </c>
      <c r="O3700" s="2">
        <f ca="1"/>
        <v>1.3047300610251393</v>
      </c>
      <c r="X3700" s="2">
        <f ca="1"/>
        <v>42.244407762660998</v>
      </c>
      <c r="AG3700" s="2">
        <f ca="1"/>
        <v>0.97420839782592838</v>
      </c>
      <c r="AH3700" s="2" t="str">
        <f ca="1"/>
        <v>Bad</v>
      </c>
    </row>
    <row r="3701" spans="2:34" x14ac:dyDescent="0.2">
      <c r="B3701" s="2">
        <f ca="1"/>
        <v>0.27167607206806776</v>
      </c>
      <c r="O3701" s="2">
        <f ca="1"/>
        <v>-0.81560188274796153</v>
      </c>
      <c r="X3701" s="2">
        <f ca="1"/>
        <v>49.777072111661965</v>
      </c>
      <c r="AG3701" s="2">
        <f ca="1"/>
        <v>0.4695610073702603</v>
      </c>
      <c r="AH3701" s="2" t="str">
        <f ca="1"/>
        <v>Bad</v>
      </c>
    </row>
    <row r="3702" spans="2:34" x14ac:dyDescent="0.2">
      <c r="B3702" s="2">
        <f ca="1"/>
        <v>0.83782758350335662</v>
      </c>
      <c r="O3702" s="2">
        <f ca="1"/>
        <v>0.96502132114125883</v>
      </c>
      <c r="X3702" s="2">
        <f ca="1"/>
        <v>47.060425402026603</v>
      </c>
      <c r="AG3702" s="2">
        <f ca="1"/>
        <v>0.76149085446436593</v>
      </c>
      <c r="AH3702" s="2" t="str">
        <f ca="1"/>
        <v>Bad</v>
      </c>
    </row>
    <row r="3703" spans="2:34" x14ac:dyDescent="0.2">
      <c r="B3703" s="2">
        <f ca="1"/>
        <v>0.27752093891429275</v>
      </c>
      <c r="O3703" s="2">
        <f ca="1"/>
        <v>0.39879863589614106</v>
      </c>
      <c r="X3703" s="2">
        <f ca="1"/>
        <v>54.226375264162606</v>
      </c>
      <c r="AG3703" s="2">
        <f ca="1"/>
        <v>0.52484918092483923</v>
      </c>
      <c r="AH3703" s="2" t="str">
        <f ca="1"/>
        <v>Bad</v>
      </c>
    </row>
    <row r="3704" spans="2:34" x14ac:dyDescent="0.2">
      <c r="B3704" s="2">
        <f ca="1"/>
        <v>0.95000647106708369</v>
      </c>
      <c r="O3704" s="2">
        <f ca="1"/>
        <v>0.19455654134234968</v>
      </c>
      <c r="X3704" s="2">
        <f ca="1"/>
        <v>51.282621649718052</v>
      </c>
      <c r="AG3704" s="2">
        <f ca="1"/>
        <v>0.26341153462465949</v>
      </c>
      <c r="AH3704" s="2" t="str">
        <f ca="1"/>
        <v>OK</v>
      </c>
    </row>
    <row r="3705" spans="2:34" x14ac:dyDescent="0.2">
      <c r="B3705" s="2">
        <f ca="1"/>
        <v>0.45886785977623723</v>
      </c>
      <c r="O3705" s="2">
        <f ca="1"/>
        <v>0.60756769911028685</v>
      </c>
      <c r="X3705" s="2">
        <f ca="1"/>
        <v>67.880215629783976</v>
      </c>
      <c r="AG3705" s="2">
        <f ca="1"/>
        <v>0.99811813612638289</v>
      </c>
      <c r="AH3705" s="2" t="str">
        <f ca="1"/>
        <v>Bad</v>
      </c>
    </row>
    <row r="3706" spans="2:34" x14ac:dyDescent="0.2">
      <c r="B3706" s="2">
        <f ca="1"/>
        <v>0.7278641189973134</v>
      </c>
      <c r="O3706" s="2">
        <f ca="1"/>
        <v>0.81348805769992605</v>
      </c>
      <c r="X3706" s="2">
        <f ca="1"/>
        <v>46.340694374455481</v>
      </c>
      <c r="AG3706" s="2">
        <f ca="1"/>
        <v>0.1151566851778516</v>
      </c>
      <c r="AH3706" s="2" t="str">
        <f ca="1"/>
        <v>OK</v>
      </c>
    </row>
    <row r="3707" spans="2:34" x14ac:dyDescent="0.2">
      <c r="B3707" s="2">
        <f ca="1"/>
        <v>0.21386604772518947</v>
      </c>
      <c r="O3707" s="2">
        <f ca="1"/>
        <v>0.74575444469403307</v>
      </c>
      <c r="X3707" s="2">
        <f ca="1"/>
        <v>52.849872152105291</v>
      </c>
      <c r="AG3707" s="2">
        <f ca="1"/>
        <v>0.64641529593203662</v>
      </c>
      <c r="AH3707" s="2" t="str">
        <f ca="1"/>
        <v>Bad</v>
      </c>
    </row>
    <row r="3708" spans="2:34" x14ac:dyDescent="0.2">
      <c r="B3708" s="2">
        <f ca="1"/>
        <v>0.61882176623243534</v>
      </c>
      <c r="O3708" s="2">
        <f ca="1"/>
        <v>0.99501045814862288</v>
      </c>
      <c r="X3708" s="2">
        <f ca="1"/>
        <v>48.714116616577677</v>
      </c>
      <c r="AG3708" s="2">
        <f ca="1"/>
        <v>0.78888842956858274</v>
      </c>
      <c r="AH3708" s="2" t="str">
        <f ca="1"/>
        <v>Bad</v>
      </c>
    </row>
    <row r="3709" spans="2:34" x14ac:dyDescent="0.2">
      <c r="B3709" s="2">
        <f ca="1"/>
        <v>0.10119632917389998</v>
      </c>
      <c r="O3709" s="2">
        <f ca="1"/>
        <v>-1.6776093468858539</v>
      </c>
      <c r="X3709" s="2">
        <f ca="1"/>
        <v>23.992814711546782</v>
      </c>
      <c r="AG3709" s="2">
        <f ca="1"/>
        <v>0.35432277862513351</v>
      </c>
      <c r="AH3709" s="2" t="str">
        <f ca="1"/>
        <v>OK</v>
      </c>
    </row>
    <row r="3710" spans="2:34" x14ac:dyDescent="0.2">
      <c r="B3710" s="2">
        <f ca="1"/>
        <v>0.28032052126530393</v>
      </c>
      <c r="O3710" s="2">
        <f ca="1"/>
        <v>-0.32973600366450218</v>
      </c>
      <c r="X3710" s="2">
        <f ca="1"/>
        <v>34.139274691287646</v>
      </c>
      <c r="AG3710" s="2">
        <f ca="1"/>
        <v>0.49292850068398497</v>
      </c>
      <c r="AH3710" s="2" t="str">
        <f ca="1"/>
        <v>Bad</v>
      </c>
    </row>
    <row r="3711" spans="2:34" x14ac:dyDescent="0.2">
      <c r="B3711" s="2">
        <f ca="1"/>
        <v>0.47147492630331556</v>
      </c>
      <c r="O3711" s="2">
        <f ca="1"/>
        <v>-0.4592993347220713</v>
      </c>
      <c r="X3711" s="2">
        <f ca="1"/>
        <v>62.441202318708321</v>
      </c>
      <c r="AG3711" s="2">
        <f ca="1"/>
        <v>0.84917266981339989</v>
      </c>
      <c r="AH3711" s="2" t="str">
        <f ca="1"/>
        <v>Bad</v>
      </c>
    </row>
    <row r="3712" spans="2:34" x14ac:dyDescent="0.2">
      <c r="B3712" s="2">
        <f ca="1"/>
        <v>0.97400477211439274</v>
      </c>
      <c r="O3712" s="2">
        <f ca="1"/>
        <v>7.7456716414243953E-2</v>
      </c>
      <c r="X3712" s="2">
        <f ca="1"/>
        <v>89.546465222139474</v>
      </c>
      <c r="AG3712" s="2">
        <f ca="1"/>
        <v>0.86893651577877029</v>
      </c>
      <c r="AH3712" s="2" t="str">
        <f ca="1"/>
        <v>Bad</v>
      </c>
    </row>
    <row r="3713" spans="2:34" x14ac:dyDescent="0.2">
      <c r="B3713" s="2">
        <f ca="1"/>
        <v>0.64588556502719774</v>
      </c>
      <c r="O3713" s="2">
        <f ca="1"/>
        <v>-0.14977877165029682</v>
      </c>
      <c r="X3713" s="2">
        <f ca="1"/>
        <v>37.722845081767716</v>
      </c>
      <c r="AG3713" s="2">
        <f ca="1"/>
        <v>5.6236796665141808E-2</v>
      </c>
      <c r="AH3713" s="2" t="str">
        <f ca="1"/>
        <v>OK</v>
      </c>
    </row>
    <row r="3714" spans="2:34" x14ac:dyDescent="0.2">
      <c r="B3714" s="2">
        <f ca="1"/>
        <v>0.29383079678032109</v>
      </c>
      <c r="O3714" s="2">
        <f ca="1"/>
        <v>-1.6606667700020326</v>
      </c>
      <c r="X3714" s="2">
        <f ca="1"/>
        <v>61.094271429689336</v>
      </c>
      <c r="AG3714" s="2">
        <f ca="1"/>
        <v>0.4238017044766047</v>
      </c>
      <c r="AH3714" s="2" t="str">
        <f ca="1"/>
        <v>Bad</v>
      </c>
    </row>
    <row r="3715" spans="2:34" x14ac:dyDescent="0.2">
      <c r="B3715" s="2">
        <f ca="1"/>
        <v>0.18177109275586445</v>
      </c>
      <c r="O3715" s="2">
        <f ca="1"/>
        <v>0.11648781354083067</v>
      </c>
      <c r="X3715" s="2">
        <f ca="1"/>
        <v>67.383651574765096</v>
      </c>
      <c r="AG3715" s="2">
        <f ca="1"/>
        <v>0.21371779107544397</v>
      </c>
      <c r="AH3715" s="2" t="str">
        <f ca="1"/>
        <v>OK</v>
      </c>
    </row>
    <row r="3716" spans="2:34" x14ac:dyDescent="0.2">
      <c r="B3716" s="2">
        <f ca="1"/>
        <v>0.92298504209227628</v>
      </c>
      <c r="O3716" s="2">
        <f ca="1"/>
        <v>0.2828126484852479</v>
      </c>
      <c r="X3716" s="2">
        <f ca="1"/>
        <v>55.080401585781154</v>
      </c>
      <c r="AG3716" s="2">
        <f ca="1"/>
        <v>0.3497576021374893</v>
      </c>
      <c r="AH3716" s="2" t="str">
        <f ca="1"/>
        <v>OK</v>
      </c>
    </row>
    <row r="3717" spans="2:34" x14ac:dyDescent="0.2">
      <c r="B3717" s="2">
        <f ca="1"/>
        <v>0.73084723580771294</v>
      </c>
      <c r="O3717" s="2">
        <f ca="1"/>
        <v>0.52956707509893175</v>
      </c>
      <c r="X3717" s="2">
        <f ca="1"/>
        <v>63.243920189167959</v>
      </c>
      <c r="AG3717" s="2">
        <f ca="1"/>
        <v>0.23042225578713582</v>
      </c>
      <c r="AH3717" s="2" t="str">
        <f ca="1"/>
        <v>OK</v>
      </c>
    </row>
    <row r="3718" spans="2:34" x14ac:dyDescent="0.2">
      <c r="B3718" s="2">
        <f ca="1"/>
        <v>3.1444771059664367E-2</v>
      </c>
      <c r="O3718" s="2">
        <f ca="1"/>
        <v>-0.77775176484359032</v>
      </c>
      <c r="X3718" s="2">
        <f ca="1"/>
        <v>42.796211612032451</v>
      </c>
      <c r="AG3718" s="2">
        <f ca="1"/>
        <v>0.83362077813100277</v>
      </c>
      <c r="AH3718" s="2" t="str">
        <f ca="1"/>
        <v>Bad</v>
      </c>
    </row>
    <row r="3719" spans="2:34" x14ac:dyDescent="0.2">
      <c r="B3719" s="2">
        <f ca="1"/>
        <v>1.6302568888453273E-2</v>
      </c>
      <c r="O3719" s="2">
        <f ca="1"/>
        <v>-2.2632698711950603</v>
      </c>
      <c r="X3719" s="2">
        <f ca="1"/>
        <v>59.403075601707769</v>
      </c>
      <c r="AG3719" s="2">
        <f ca="1"/>
        <v>0.8015958319191463</v>
      </c>
      <c r="AH3719" s="2" t="str">
        <f ca="1"/>
        <v>Bad</v>
      </c>
    </row>
    <row r="3720" spans="2:34" x14ac:dyDescent="0.2">
      <c r="B3720" s="2">
        <f ca="1"/>
        <v>8.7331991933634612E-2</v>
      </c>
      <c r="O3720" s="2">
        <f ca="1"/>
        <v>-1.515597291642196</v>
      </c>
      <c r="X3720" s="2">
        <f ca="1"/>
        <v>45.929507034619817</v>
      </c>
      <c r="AG3720" s="2">
        <f ca="1"/>
        <v>8.0842832493426275E-2</v>
      </c>
      <c r="AH3720" s="2" t="str">
        <f ca="1"/>
        <v>OK</v>
      </c>
    </row>
    <row r="3721" spans="2:34" x14ac:dyDescent="0.2">
      <c r="B3721" s="2">
        <f ca="1"/>
        <v>0.94219410398068049</v>
      </c>
      <c r="O3721" s="2">
        <f ca="1"/>
        <v>0.41968518866186011</v>
      </c>
      <c r="X3721" s="2">
        <f ca="1"/>
        <v>26.616407242773796</v>
      </c>
      <c r="AG3721" s="2">
        <f ca="1"/>
        <v>0.49824674728526874</v>
      </c>
      <c r="AH3721" s="2" t="str">
        <f ca="1"/>
        <v>Bad</v>
      </c>
    </row>
    <row r="3722" spans="2:34" x14ac:dyDescent="0.2">
      <c r="B3722" s="2">
        <f ca="1"/>
        <v>0.30227172269384828</v>
      </c>
      <c r="O3722" s="2">
        <f ca="1"/>
        <v>1.5403210526576732</v>
      </c>
      <c r="X3722" s="2">
        <f ca="1"/>
        <v>77.660280408455009</v>
      </c>
      <c r="AG3722" s="2">
        <f ca="1"/>
        <v>0.27483064840324722</v>
      </c>
      <c r="AH3722" s="2" t="str">
        <f ca="1"/>
        <v>OK</v>
      </c>
    </row>
    <row r="3723" spans="2:34" x14ac:dyDescent="0.2">
      <c r="B3723" s="2">
        <f ca="1"/>
        <v>0.43532163004813373</v>
      </c>
      <c r="O3723" s="2">
        <f ca="1"/>
        <v>0.25804270683669611</v>
      </c>
      <c r="X3723" s="2">
        <f ca="1"/>
        <v>75.479212182688954</v>
      </c>
      <c r="AG3723" s="2">
        <f ca="1"/>
        <v>5.1468468327362071E-2</v>
      </c>
      <c r="AH3723" s="2" t="str">
        <f ca="1"/>
        <v>OK</v>
      </c>
    </row>
    <row r="3724" spans="2:34" x14ac:dyDescent="0.2">
      <c r="B3724" s="2">
        <f ca="1"/>
        <v>0.90823761619687771</v>
      </c>
      <c r="O3724" s="2">
        <f ca="1"/>
        <v>-0.67881790860845836</v>
      </c>
      <c r="X3724" s="2">
        <f ca="1"/>
        <v>52.793825512981876</v>
      </c>
      <c r="AG3724" s="2">
        <f ca="1"/>
        <v>0.7728946072843752</v>
      </c>
      <c r="AH3724" s="2" t="str">
        <f ca="1"/>
        <v>Bad</v>
      </c>
    </row>
    <row r="3725" spans="2:34" x14ac:dyDescent="0.2">
      <c r="B3725" s="2">
        <f ca="1"/>
        <v>0.74524978680974008</v>
      </c>
      <c r="O3725" s="2">
        <f ca="1"/>
        <v>2.5972150395121973</v>
      </c>
      <c r="X3725" s="2">
        <f ca="1"/>
        <v>26.421572865653275</v>
      </c>
      <c r="AG3725" s="2">
        <f ca="1"/>
        <v>0.55827019075228734</v>
      </c>
      <c r="AH3725" s="2" t="str">
        <f ca="1"/>
        <v>Bad</v>
      </c>
    </row>
    <row r="3726" spans="2:34" x14ac:dyDescent="0.2">
      <c r="B3726" s="2">
        <f ca="1"/>
        <v>0.10773233456216658</v>
      </c>
      <c r="O3726" s="2">
        <f ca="1"/>
        <v>-0.56021483520046389</v>
      </c>
      <c r="X3726" s="2">
        <f ca="1"/>
        <v>60.498678576630979</v>
      </c>
      <c r="AG3726" s="2">
        <f ca="1"/>
        <v>0.16995664106112529</v>
      </c>
      <c r="AH3726" s="2" t="str">
        <f ca="1"/>
        <v>OK</v>
      </c>
    </row>
    <row r="3727" spans="2:34" x14ac:dyDescent="0.2">
      <c r="B3727" s="2">
        <f ca="1"/>
        <v>0.65637722042108559</v>
      </c>
      <c r="O3727" s="2">
        <f ca="1"/>
        <v>-0.13019391702807145</v>
      </c>
      <c r="X3727" s="2">
        <f ca="1"/>
        <v>72.38011413316211</v>
      </c>
      <c r="AG3727" s="2">
        <f ca="1"/>
        <v>0.48287415607774564</v>
      </c>
      <c r="AH3727" s="2" t="str">
        <f ca="1"/>
        <v>Bad</v>
      </c>
    </row>
    <row r="3728" spans="2:34" x14ac:dyDescent="0.2">
      <c r="B3728" s="2">
        <f ca="1"/>
        <v>7.6773991010443687E-3</v>
      </c>
      <c r="O3728" s="2">
        <f ca="1"/>
        <v>-2.3635877503462095E-2</v>
      </c>
      <c r="X3728" s="2">
        <f ca="1"/>
        <v>78.691799275485423</v>
      </c>
      <c r="AG3728" s="2">
        <f ca="1"/>
        <v>0.75370928923755209</v>
      </c>
      <c r="AH3728" s="2" t="str">
        <f ca="1"/>
        <v>Bad</v>
      </c>
    </row>
    <row r="3729" spans="2:34" x14ac:dyDescent="0.2">
      <c r="B3729" s="2">
        <f ca="1"/>
        <v>0.46418670341820212</v>
      </c>
      <c r="O3729" s="2">
        <f ca="1"/>
        <v>0.60950645049790908</v>
      </c>
      <c r="X3729" s="2">
        <f ca="1"/>
        <v>31.566329643324231</v>
      </c>
      <c r="AG3729" s="2">
        <f ca="1"/>
        <v>1.3363593669008189E-2</v>
      </c>
      <c r="AH3729" s="2" t="str">
        <f ca="1"/>
        <v>Good</v>
      </c>
    </row>
    <row r="3730" spans="2:34" x14ac:dyDescent="0.2">
      <c r="B3730" s="2">
        <f ca="1"/>
        <v>0.93734238642612233</v>
      </c>
      <c r="O3730" s="2">
        <f ca="1"/>
        <v>-0.3953140233622145</v>
      </c>
      <c r="X3730" s="2">
        <f ca="1"/>
        <v>36.555279356491035</v>
      </c>
      <c r="AG3730" s="2">
        <f ca="1"/>
        <v>0.5495408693334487</v>
      </c>
      <c r="AH3730" s="2" t="str">
        <f ca="1"/>
        <v>Bad</v>
      </c>
    </row>
    <row r="3731" spans="2:34" x14ac:dyDescent="0.2">
      <c r="B3731" s="2">
        <f ca="1"/>
        <v>0.60996644978588899</v>
      </c>
      <c r="O3731" s="2">
        <f ca="1"/>
        <v>0.2922580777341483</v>
      </c>
      <c r="X3731" s="2">
        <f ca="1"/>
        <v>38.109167294801537</v>
      </c>
      <c r="AG3731" s="2">
        <f ca="1"/>
        <v>0.73120307503318993</v>
      </c>
      <c r="AH3731" s="2" t="str">
        <f ca="1"/>
        <v>Bad</v>
      </c>
    </row>
    <row r="3732" spans="2:34" x14ac:dyDescent="0.2">
      <c r="B3732" s="2">
        <f ca="1"/>
        <v>0.27703278964628009</v>
      </c>
      <c r="O3732" s="2">
        <f ca="1"/>
        <v>3.0187047658465076E-2</v>
      </c>
      <c r="X3732" s="2">
        <f ca="1"/>
        <v>72.065313152818575</v>
      </c>
      <c r="AG3732" s="2">
        <f ca="1"/>
        <v>0.9802190401842128</v>
      </c>
      <c r="AH3732" s="2" t="str">
        <f ca="1"/>
        <v>Bad</v>
      </c>
    </row>
    <row r="3733" spans="2:34" x14ac:dyDescent="0.2">
      <c r="B3733" s="2">
        <f ca="1"/>
        <v>0.30096986473488463</v>
      </c>
      <c r="O3733" s="2">
        <f ca="1"/>
        <v>1.3055323801396717</v>
      </c>
      <c r="X3733" s="2">
        <f ca="1"/>
        <v>25.380668558370637</v>
      </c>
      <c r="AG3733" s="2">
        <f ca="1"/>
        <v>0.67817151569099976</v>
      </c>
      <c r="AH3733" s="2" t="str">
        <f ca="1"/>
        <v>Bad</v>
      </c>
    </row>
    <row r="3734" spans="2:34" x14ac:dyDescent="0.2">
      <c r="B3734" s="2">
        <f ca="1"/>
        <v>0.21848142831981221</v>
      </c>
      <c r="O3734" s="2">
        <f ca="1"/>
        <v>4.5091641031530461E-2</v>
      </c>
      <c r="X3734" s="2">
        <f ca="1"/>
        <v>49.845488075987987</v>
      </c>
      <c r="AG3734" s="2">
        <f ca="1"/>
        <v>0.67897292689451105</v>
      </c>
      <c r="AH3734" s="2" t="str">
        <f ca="1"/>
        <v>Bad</v>
      </c>
    </row>
    <row r="3735" spans="2:34" x14ac:dyDescent="0.2">
      <c r="B3735" s="2">
        <f ca="1"/>
        <v>0.99226470237082331</v>
      </c>
      <c r="O3735" s="2">
        <f ca="1"/>
        <v>-1.5436785377896858</v>
      </c>
      <c r="X3735" s="2">
        <f ca="1"/>
        <v>52.218329106214789</v>
      </c>
      <c r="AG3735" s="2">
        <f ca="1"/>
        <v>9.2632196805235933E-2</v>
      </c>
      <c r="AH3735" s="2" t="str">
        <f ca="1"/>
        <v>OK</v>
      </c>
    </row>
    <row r="3736" spans="2:34" x14ac:dyDescent="0.2">
      <c r="B3736" s="2">
        <f ca="1"/>
        <v>0.9159206229282324</v>
      </c>
      <c r="O3736" s="2">
        <f ca="1"/>
        <v>0.27624467110902906</v>
      </c>
      <c r="X3736" s="2">
        <f ca="1"/>
        <v>57.003101214743225</v>
      </c>
      <c r="AG3736" s="2">
        <f ca="1"/>
        <v>0.22255288850262667</v>
      </c>
      <c r="AH3736" s="2" t="str">
        <f ca="1"/>
        <v>OK</v>
      </c>
    </row>
    <row r="3737" spans="2:34" x14ac:dyDescent="0.2">
      <c r="B3737" s="2">
        <f ca="1"/>
        <v>0.50850099584154962</v>
      </c>
      <c r="O3737" s="2">
        <f ca="1"/>
        <v>0.87125012532145552</v>
      </c>
      <c r="X3737" s="2">
        <f ca="1"/>
        <v>59.479987063705508</v>
      </c>
      <c r="AG3737" s="2">
        <f ca="1"/>
        <v>0.42404917126711683</v>
      </c>
      <c r="AH3737" s="2" t="str">
        <f ca="1"/>
        <v>Bad</v>
      </c>
    </row>
    <row r="3738" spans="2:34" x14ac:dyDescent="0.2">
      <c r="B3738" s="2">
        <f ca="1"/>
        <v>0.37895662298855615</v>
      </c>
      <c r="O3738" s="2">
        <f ca="1"/>
        <v>0.32866906095549908</v>
      </c>
      <c r="X3738" s="2">
        <f ca="1"/>
        <v>48.89792274265946</v>
      </c>
      <c r="AG3738" s="2">
        <f ca="1"/>
        <v>0.72900860157541936</v>
      </c>
      <c r="AH3738" s="2" t="str">
        <f ca="1"/>
        <v>Bad</v>
      </c>
    </row>
    <row r="3739" spans="2:34" x14ac:dyDescent="0.2">
      <c r="B3739" s="2">
        <f ca="1"/>
        <v>0.24586951147069636</v>
      </c>
      <c r="O3739" s="2">
        <f ca="1"/>
        <v>-2.3502820341223538</v>
      </c>
      <c r="X3739" s="2">
        <f ca="1"/>
        <v>51.244477973179016</v>
      </c>
      <c r="AG3739" s="2">
        <f ca="1"/>
        <v>0.59568367499138919</v>
      </c>
      <c r="AH3739" s="2" t="str">
        <f ca="1"/>
        <v>Bad</v>
      </c>
    </row>
    <row r="3740" spans="2:34" x14ac:dyDescent="0.2">
      <c r="B3740" s="2">
        <f ca="1"/>
        <v>0.97895875748396155</v>
      </c>
      <c r="O3740" s="2">
        <f ca="1"/>
        <v>0.83243017637119909</v>
      </c>
      <c r="X3740" s="2">
        <f ca="1"/>
        <v>44.717584194621971</v>
      </c>
      <c r="AG3740" s="2">
        <f ca="1"/>
        <v>0.10396036768336692</v>
      </c>
      <c r="AH3740" s="2" t="str">
        <f ca="1"/>
        <v>OK</v>
      </c>
    </row>
    <row r="3741" spans="2:34" x14ac:dyDescent="0.2">
      <c r="B3741" s="2">
        <f ca="1"/>
        <v>0.65881429656099399</v>
      </c>
      <c r="O3741" s="2">
        <f ca="1"/>
        <v>1.5552325229437864</v>
      </c>
      <c r="X3741" s="2">
        <f ca="1"/>
        <v>54.797065951225584</v>
      </c>
      <c r="AG3741" s="2">
        <f ca="1"/>
        <v>0.90140101127601224</v>
      </c>
      <c r="AH3741" s="2" t="str">
        <f ca="1"/>
        <v>Bad</v>
      </c>
    </row>
    <row r="3742" spans="2:34" x14ac:dyDescent="0.2">
      <c r="B3742" s="2">
        <f ca="1"/>
        <v>0.66411977778237752</v>
      </c>
      <c r="O3742" s="2">
        <f ca="1"/>
        <v>0.3157747082594794</v>
      </c>
      <c r="X3742" s="2">
        <f ca="1"/>
        <v>89.406455639775757</v>
      </c>
      <c r="AG3742" s="2">
        <f ca="1"/>
        <v>0.20380239547094781</v>
      </c>
      <c r="AH3742" s="2" t="str">
        <f ca="1"/>
        <v>OK</v>
      </c>
    </row>
    <row r="3743" spans="2:34" x14ac:dyDescent="0.2">
      <c r="B3743" s="2">
        <f ca="1"/>
        <v>0.36950845001038601</v>
      </c>
      <c r="O3743" s="2">
        <f ca="1"/>
        <v>-2.1281561420417225</v>
      </c>
      <c r="X3743" s="2">
        <f ca="1"/>
        <v>27.77567665796046</v>
      </c>
      <c r="AG3743" s="2">
        <f ca="1"/>
        <v>0.59402927491143687</v>
      </c>
      <c r="AH3743" s="2" t="str">
        <f ca="1"/>
        <v>Bad</v>
      </c>
    </row>
    <row r="3744" spans="2:34" x14ac:dyDescent="0.2">
      <c r="B3744" s="2">
        <f ca="1"/>
        <v>0.16420585203286531</v>
      </c>
      <c r="O3744" s="2">
        <f ca="1"/>
        <v>0.4639465790203065</v>
      </c>
      <c r="X3744" s="2">
        <f ca="1"/>
        <v>30.449740317332676</v>
      </c>
      <c r="AG3744" s="2">
        <f ca="1"/>
        <v>0.65708433516314302</v>
      </c>
      <c r="AH3744" s="2" t="str">
        <f ca="1"/>
        <v>Bad</v>
      </c>
    </row>
    <row r="3745" spans="2:34" x14ac:dyDescent="0.2">
      <c r="B3745" s="2">
        <f ca="1"/>
        <v>0.89469455659399388</v>
      </c>
      <c r="O3745" s="2">
        <f ca="1"/>
        <v>-1.2535661176395014</v>
      </c>
      <c r="X3745" s="2">
        <f ca="1"/>
        <v>35.224987974268856</v>
      </c>
      <c r="AG3745" s="2">
        <f ca="1"/>
        <v>0.77773929090038973</v>
      </c>
      <c r="AH3745" s="2" t="str">
        <f ca="1"/>
        <v>Bad</v>
      </c>
    </row>
    <row r="3746" spans="2:34" x14ac:dyDescent="0.2">
      <c r="B3746" s="2">
        <f ca="1"/>
        <v>0.28709021615842611</v>
      </c>
      <c r="O3746" s="2">
        <f ca="1"/>
        <v>9.9354688202950056E-2</v>
      </c>
      <c r="X3746" s="2">
        <f ca="1"/>
        <v>48.452734707470597</v>
      </c>
      <c r="AG3746" s="2">
        <f ca="1"/>
        <v>0.9573741022559652</v>
      </c>
      <c r="AH3746" s="2" t="str">
        <f ca="1"/>
        <v>Bad</v>
      </c>
    </row>
    <row r="3747" spans="2:34" x14ac:dyDescent="0.2">
      <c r="B3747" s="2">
        <f ca="1"/>
        <v>0.11696085800582567</v>
      </c>
      <c r="O3747" s="2">
        <f ca="1"/>
        <v>0.2488720350419982</v>
      </c>
      <c r="X3747" s="2">
        <f ca="1"/>
        <v>61.147020707652764</v>
      </c>
      <c r="AG3747" s="2">
        <f ca="1"/>
        <v>0.79657768394585737</v>
      </c>
      <c r="AH3747" s="2" t="str">
        <f ca="1"/>
        <v>Bad</v>
      </c>
    </row>
    <row r="3748" spans="2:34" x14ac:dyDescent="0.2">
      <c r="B3748" s="2">
        <f ca="1"/>
        <v>0.93117492904870658</v>
      </c>
      <c r="O3748" s="2">
        <f ca="1"/>
        <v>2.135550286300075</v>
      </c>
      <c r="X3748" s="2">
        <f ca="1"/>
        <v>70.076728433109551</v>
      </c>
      <c r="AG3748" s="2">
        <f ca="1"/>
        <v>0.17554271298093216</v>
      </c>
      <c r="AH3748" s="2" t="str">
        <f ca="1"/>
        <v>OK</v>
      </c>
    </row>
    <row r="3749" spans="2:34" x14ac:dyDescent="0.2">
      <c r="B3749" s="2">
        <f ca="1"/>
        <v>0.86388866313267521</v>
      </c>
      <c r="O3749" s="2">
        <f ca="1"/>
        <v>-0.6455331244710798</v>
      </c>
      <c r="X3749" s="2">
        <f ca="1"/>
        <v>59.950191258854552</v>
      </c>
      <c r="AG3749" s="2">
        <f ca="1"/>
        <v>0.30889620809851759</v>
      </c>
      <c r="AH3749" s="2" t="str">
        <f ca="1"/>
        <v>OK</v>
      </c>
    </row>
    <row r="3750" spans="2:34" x14ac:dyDescent="0.2">
      <c r="B3750" s="2">
        <f ca="1"/>
        <v>0.78838359719105289</v>
      </c>
      <c r="O3750" s="2">
        <f ca="1"/>
        <v>0.52803339435371721</v>
      </c>
      <c r="X3750" s="2">
        <f ca="1"/>
        <v>42.076283762695269</v>
      </c>
      <c r="AG3750" s="2">
        <f ca="1"/>
        <v>0.2938302688961798</v>
      </c>
      <c r="AH3750" s="2" t="str">
        <f ca="1"/>
        <v>OK</v>
      </c>
    </row>
    <row r="3751" spans="2:34" x14ac:dyDescent="0.2">
      <c r="B3751" s="2">
        <f ca="1"/>
        <v>0.11201214160705542</v>
      </c>
      <c r="O3751" s="2">
        <f ca="1"/>
        <v>-0.53179563446267308</v>
      </c>
      <c r="X3751" s="2">
        <f ca="1"/>
        <v>26.890098761129757</v>
      </c>
      <c r="AG3751" s="2">
        <f ca="1"/>
        <v>0.79770589278907211</v>
      </c>
      <c r="AH3751" s="2" t="str">
        <f ca="1"/>
        <v>Bad</v>
      </c>
    </row>
    <row r="3752" spans="2:34" x14ac:dyDescent="0.2">
      <c r="B3752" s="2">
        <f ca="1"/>
        <v>0.81191085270062691</v>
      </c>
      <c r="O3752" s="2">
        <f ca="1"/>
        <v>-0.22799606660262506</v>
      </c>
      <c r="X3752" s="2">
        <f ca="1"/>
        <v>44.017817784757668</v>
      </c>
      <c r="AG3752" s="2">
        <f ca="1"/>
        <v>0.18577875066329774</v>
      </c>
      <c r="AH3752" s="2" t="str">
        <f ca="1"/>
        <v>OK</v>
      </c>
    </row>
    <row r="3753" spans="2:34" x14ac:dyDescent="0.2">
      <c r="B3753" s="2">
        <f ca="1"/>
        <v>0.61583498747616461</v>
      </c>
      <c r="O3753" s="2">
        <f ca="1"/>
        <v>2.0236360675572433E-2</v>
      </c>
      <c r="X3753" s="2">
        <f ca="1"/>
        <v>34.980235115182253</v>
      </c>
      <c r="AG3753" s="2">
        <f ca="1"/>
        <v>0.34915973610280893</v>
      </c>
      <c r="AH3753" s="2" t="str">
        <f ca="1"/>
        <v>OK</v>
      </c>
    </row>
    <row r="3754" spans="2:34" x14ac:dyDescent="0.2">
      <c r="B3754" s="2">
        <f ca="1"/>
        <v>0.30529693158358784</v>
      </c>
      <c r="O3754" s="2">
        <f ca="1"/>
        <v>0.43129114301846305</v>
      </c>
      <c r="X3754" s="2">
        <f ca="1"/>
        <v>45.917164757135261</v>
      </c>
      <c r="AG3754" s="2">
        <f ca="1"/>
        <v>0.2537721579261869</v>
      </c>
      <c r="AH3754" s="2" t="str">
        <f ca="1"/>
        <v>OK</v>
      </c>
    </row>
    <row r="3755" spans="2:34" x14ac:dyDescent="0.2">
      <c r="B3755" s="2">
        <f ca="1"/>
        <v>0.80433880216378206</v>
      </c>
      <c r="O3755" s="2">
        <f ca="1"/>
        <v>0.74361445569907914</v>
      </c>
      <c r="X3755" s="2">
        <f ca="1"/>
        <v>80.081952340475127</v>
      </c>
      <c r="AG3755" s="2">
        <f ca="1"/>
        <v>0.47336136216493774</v>
      </c>
      <c r="AH3755" s="2" t="str">
        <f ca="1"/>
        <v>Bad</v>
      </c>
    </row>
    <row r="3756" spans="2:34" x14ac:dyDescent="0.2">
      <c r="B3756" s="2">
        <f ca="1"/>
        <v>0.36845940918820386</v>
      </c>
      <c r="O3756" s="2">
        <f ca="1"/>
        <v>0.35581837663050336</v>
      </c>
      <c r="X3756" s="2">
        <f ca="1"/>
        <v>39.536411325118642</v>
      </c>
      <c r="AG3756" s="2">
        <f ca="1"/>
        <v>0.99111734437014443</v>
      </c>
      <c r="AH3756" s="2" t="str">
        <f ca="1"/>
        <v>Bad</v>
      </c>
    </row>
    <row r="3757" spans="2:34" x14ac:dyDescent="0.2">
      <c r="B3757" s="2">
        <f ca="1"/>
        <v>0.13297298712065775</v>
      </c>
      <c r="O3757" s="2">
        <f ca="1"/>
        <v>-1.8654030360144078</v>
      </c>
      <c r="X3757" s="2">
        <f ca="1"/>
        <v>28.769711610421147</v>
      </c>
      <c r="AG3757" s="2">
        <f ca="1"/>
        <v>0.25815782209564886</v>
      </c>
      <c r="AH3757" s="2" t="str">
        <f ca="1"/>
        <v>OK</v>
      </c>
    </row>
    <row r="3758" spans="2:34" x14ac:dyDescent="0.2">
      <c r="B3758" s="2">
        <f ca="1"/>
        <v>0.67580086180373322</v>
      </c>
      <c r="O3758" s="2">
        <f ca="1"/>
        <v>0.43677758912147402</v>
      </c>
      <c r="X3758" s="2">
        <f ca="1"/>
        <v>64.345006199666969</v>
      </c>
      <c r="AG3758" s="2">
        <f ca="1"/>
        <v>0.5658213668746952</v>
      </c>
      <c r="AH3758" s="2" t="str">
        <f ca="1"/>
        <v>Bad</v>
      </c>
    </row>
    <row r="3759" spans="2:34" x14ac:dyDescent="0.2">
      <c r="B3759" s="2">
        <f ca="1"/>
        <v>0.487854187321209</v>
      </c>
      <c r="O3759" s="2">
        <f ca="1"/>
        <v>5.1458406649666652E-2</v>
      </c>
      <c r="X3759" s="2">
        <f ca="1"/>
        <v>49.42859809426988</v>
      </c>
      <c r="AG3759" s="2">
        <f ca="1"/>
        <v>0.29138615336599405</v>
      </c>
      <c r="AH3759" s="2" t="str">
        <f ca="1"/>
        <v>OK</v>
      </c>
    </row>
    <row r="3760" spans="2:34" x14ac:dyDescent="0.2">
      <c r="B3760" s="2">
        <f ca="1"/>
        <v>0.80254633870706726</v>
      </c>
      <c r="O3760" s="2">
        <f ca="1"/>
        <v>0.10839353365017197</v>
      </c>
      <c r="X3760" s="2">
        <f ca="1"/>
        <v>58.758306629644139</v>
      </c>
      <c r="AG3760" s="2">
        <f ca="1"/>
        <v>0.13566999077420649</v>
      </c>
      <c r="AH3760" s="2" t="str">
        <f ca="1"/>
        <v>OK</v>
      </c>
    </row>
    <row r="3761" spans="2:34" x14ac:dyDescent="0.2">
      <c r="B3761" s="2">
        <f ca="1"/>
        <v>0.52352382877280834</v>
      </c>
      <c r="O3761" s="2">
        <f ca="1"/>
        <v>0.80267211514653847</v>
      </c>
      <c r="X3761" s="2">
        <f ca="1"/>
        <v>36.574142281895504</v>
      </c>
      <c r="AG3761" s="2">
        <f ca="1"/>
        <v>0.48619263689107384</v>
      </c>
      <c r="AH3761" s="2" t="str">
        <f ca="1"/>
        <v>Bad</v>
      </c>
    </row>
    <row r="3762" spans="2:34" x14ac:dyDescent="0.2">
      <c r="B3762" s="2">
        <f ca="1"/>
        <v>0.46033172117483923</v>
      </c>
      <c r="O3762" s="2">
        <f ca="1"/>
        <v>-0.16661145711193914</v>
      </c>
      <c r="X3762" s="2">
        <f ca="1"/>
        <v>83.77368898171494</v>
      </c>
      <c r="AG3762" s="2">
        <f ca="1"/>
        <v>0.69139954725547925</v>
      </c>
      <c r="AH3762" s="2" t="str">
        <f ca="1"/>
        <v>Bad</v>
      </c>
    </row>
    <row r="3763" spans="2:34" x14ac:dyDescent="0.2">
      <c r="B3763" s="2">
        <f ca="1"/>
        <v>0.11341556907217187</v>
      </c>
      <c r="O3763" s="2">
        <f ca="1"/>
        <v>2.1763368808984973</v>
      </c>
      <c r="X3763" s="2">
        <f ca="1"/>
        <v>59.876010973289951</v>
      </c>
      <c r="AG3763" s="2">
        <f ca="1"/>
        <v>0.8095673706185742</v>
      </c>
      <c r="AH3763" s="2" t="str">
        <f ca="1"/>
        <v>Bad</v>
      </c>
    </row>
    <row r="3764" spans="2:34" x14ac:dyDescent="0.2">
      <c r="B3764" s="2">
        <f ca="1"/>
        <v>0.28873828851083272</v>
      </c>
      <c r="O3764" s="2">
        <f ca="1"/>
        <v>0.88953415384981005</v>
      </c>
      <c r="X3764" s="2">
        <f ca="1"/>
        <v>51.674086787825061</v>
      </c>
      <c r="AG3764" s="2">
        <f ca="1"/>
        <v>0.61856659473641851</v>
      </c>
      <c r="AH3764" s="2" t="str">
        <f ca="1"/>
        <v>Bad</v>
      </c>
    </row>
    <row r="3765" spans="2:34" x14ac:dyDescent="0.2">
      <c r="B3765" s="2">
        <f ca="1"/>
        <v>4.3149399931345478E-2</v>
      </c>
      <c r="O3765" s="2">
        <f ca="1"/>
        <v>0.35132137149036896</v>
      </c>
      <c r="X3765" s="2">
        <f ca="1"/>
        <v>39.79183572128521</v>
      </c>
      <c r="AG3765" s="2">
        <f ca="1"/>
        <v>0.28405559760438992</v>
      </c>
      <c r="AH3765" s="2" t="str">
        <f ca="1"/>
        <v>OK</v>
      </c>
    </row>
    <row r="3766" spans="2:34" x14ac:dyDescent="0.2">
      <c r="B3766" s="2">
        <f ca="1"/>
        <v>0.58050776146292349</v>
      </c>
      <c r="O3766" s="2">
        <f ca="1"/>
        <v>-0.70225829779539239</v>
      </c>
      <c r="X3766" s="2">
        <f ca="1"/>
        <v>47.363824605349393</v>
      </c>
      <c r="AG3766" s="2">
        <f ca="1"/>
        <v>0.57399089398989345</v>
      </c>
      <c r="AH3766" s="2" t="str">
        <f ca="1"/>
        <v>Bad</v>
      </c>
    </row>
    <row r="3767" spans="2:34" x14ac:dyDescent="0.2">
      <c r="B3767" s="2">
        <f ca="1"/>
        <v>3.1182686062744214E-2</v>
      </c>
      <c r="O3767" s="2">
        <f ca="1"/>
        <v>0.90397867937142373</v>
      </c>
      <c r="X3767" s="2">
        <f ca="1"/>
        <v>45.950217710417583</v>
      </c>
      <c r="AG3767" s="2">
        <f ca="1"/>
        <v>0.82545208276266968</v>
      </c>
      <c r="AH3767" s="2" t="str">
        <f ca="1"/>
        <v>Bad</v>
      </c>
    </row>
    <row r="3768" spans="2:34" x14ac:dyDescent="0.2">
      <c r="B3768" s="2">
        <f ca="1"/>
        <v>0.96990056971579874</v>
      </c>
      <c r="O3768" s="2">
        <f ca="1"/>
        <v>-0.69078572850012543</v>
      </c>
      <c r="X3768" s="2">
        <f ca="1"/>
        <v>43.207716250898336</v>
      </c>
      <c r="AG3768" s="2">
        <f ca="1"/>
        <v>0.85827712428591973</v>
      </c>
      <c r="AH3768" s="2" t="str">
        <f ca="1"/>
        <v>Bad</v>
      </c>
    </row>
    <row r="3769" spans="2:34" x14ac:dyDescent="0.2">
      <c r="B3769" s="2">
        <f ca="1"/>
        <v>0.99089173233139838</v>
      </c>
      <c r="O3769" s="2">
        <f ca="1"/>
        <v>0.98367824743470922</v>
      </c>
      <c r="X3769" s="2">
        <f ca="1"/>
        <v>52.82155983692553</v>
      </c>
      <c r="AG3769" s="2">
        <f ca="1"/>
        <v>0.987627520321539</v>
      </c>
      <c r="AH3769" s="2" t="str">
        <f ca="1"/>
        <v>Bad</v>
      </c>
    </row>
    <row r="3770" spans="2:34" x14ac:dyDescent="0.2">
      <c r="B3770" s="2">
        <f ca="1"/>
        <v>0.30928561322731807</v>
      </c>
      <c r="O3770" s="2">
        <f ca="1"/>
        <v>-5.9287486047370268E-2</v>
      </c>
      <c r="X3770" s="2">
        <f ca="1"/>
        <v>25.813280218106847</v>
      </c>
      <c r="AG3770" s="2">
        <f ca="1"/>
        <v>0.21156698701265753</v>
      </c>
      <c r="AH3770" s="2" t="str">
        <f ca="1"/>
        <v>OK</v>
      </c>
    </row>
    <row r="3771" spans="2:34" x14ac:dyDescent="0.2">
      <c r="B3771" s="2">
        <f ca="1"/>
        <v>0.47909652843169326</v>
      </c>
      <c r="O3771" s="2">
        <f ca="1"/>
        <v>-5.5064142746413948E-2</v>
      </c>
      <c r="X3771" s="2">
        <f ca="1"/>
        <v>28.358502700769826</v>
      </c>
      <c r="AG3771" s="2">
        <f ca="1"/>
        <v>4.1695949905084628E-2</v>
      </c>
      <c r="AH3771" s="2" t="str">
        <f ca="1"/>
        <v>Good</v>
      </c>
    </row>
    <row r="3772" spans="2:34" x14ac:dyDescent="0.2">
      <c r="B3772" s="2">
        <f ca="1"/>
        <v>0.9874482530997597</v>
      </c>
      <c r="O3772" s="2">
        <f ca="1"/>
        <v>6.7584266970986448E-2</v>
      </c>
      <c r="X3772" s="2">
        <f ca="1"/>
        <v>41.777773820829992</v>
      </c>
      <c r="AG3772" s="2">
        <f ca="1"/>
        <v>0.65203085103995773</v>
      </c>
      <c r="AH3772" s="2" t="str">
        <f ca="1"/>
        <v>Bad</v>
      </c>
    </row>
    <row r="3773" spans="2:34" x14ac:dyDescent="0.2">
      <c r="B3773" s="2">
        <f ca="1"/>
        <v>0.69960378660540301</v>
      </c>
      <c r="O3773" s="2">
        <f ca="1"/>
        <v>1.4500340853116747</v>
      </c>
      <c r="X3773" s="2">
        <f ca="1"/>
        <v>81.009782761848967</v>
      </c>
      <c r="AG3773" s="2">
        <f ca="1"/>
        <v>0.69933100939892912</v>
      </c>
      <c r="AH3773" s="2" t="str">
        <f ca="1"/>
        <v>Bad</v>
      </c>
    </row>
    <row r="3774" spans="2:34" x14ac:dyDescent="0.2">
      <c r="B3774" s="2">
        <f ca="1"/>
        <v>0.9799414980170964</v>
      </c>
      <c r="O3774" s="2">
        <f ca="1"/>
        <v>0.87797530429516901</v>
      </c>
      <c r="X3774" s="2">
        <f ca="1"/>
        <v>51.574645824472292</v>
      </c>
      <c r="AG3774" s="2">
        <f ca="1"/>
        <v>0.73300052349645473</v>
      </c>
      <c r="AH3774" s="2" t="str">
        <f ca="1"/>
        <v>Bad</v>
      </c>
    </row>
    <row r="3775" spans="2:34" x14ac:dyDescent="0.2">
      <c r="B3775" s="2">
        <f ca="1"/>
        <v>0.98358915121976809</v>
      </c>
      <c r="O3775" s="2">
        <f ca="1"/>
        <v>-0.50338381172137237</v>
      </c>
      <c r="X3775" s="2">
        <f ca="1"/>
        <v>61.847742097978873</v>
      </c>
      <c r="AG3775" s="2">
        <f ca="1"/>
        <v>0.61012660494651261</v>
      </c>
      <c r="AH3775" s="2" t="str">
        <f ca="1"/>
        <v>Bad</v>
      </c>
    </row>
    <row r="3776" spans="2:34" x14ac:dyDescent="0.2">
      <c r="B3776" s="2">
        <f ca="1"/>
        <v>0.12549195906883437</v>
      </c>
      <c r="O3776" s="2">
        <f ca="1"/>
        <v>-0.36379422063116873</v>
      </c>
      <c r="X3776" s="2">
        <f ca="1"/>
        <v>50.151198726397645</v>
      </c>
      <c r="AG3776" s="2">
        <f ca="1"/>
        <v>0.97745314996674448</v>
      </c>
      <c r="AH3776" s="2" t="str">
        <f ca="1"/>
        <v>Bad</v>
      </c>
    </row>
    <row r="3777" spans="2:34" x14ac:dyDescent="0.2">
      <c r="B3777" s="2">
        <f ca="1"/>
        <v>0.79897403762967723</v>
      </c>
      <c r="O3777" s="2">
        <f ca="1"/>
        <v>-0.33721175948814563</v>
      </c>
      <c r="X3777" s="2">
        <f ca="1"/>
        <v>60.034922839249774</v>
      </c>
      <c r="AG3777" s="2">
        <f ca="1"/>
        <v>0.74388710850126216</v>
      </c>
      <c r="AH3777" s="2" t="str">
        <f ca="1"/>
        <v>Bad</v>
      </c>
    </row>
    <row r="3778" spans="2:34" x14ac:dyDescent="0.2">
      <c r="B3778" s="2">
        <f ca="1"/>
        <v>0.72971708450034756</v>
      </c>
      <c r="O3778" s="2">
        <f ca="1"/>
        <v>-0.21511854659469093</v>
      </c>
      <c r="X3778" s="2">
        <f ca="1"/>
        <v>44.346436162651301</v>
      </c>
      <c r="AG3778" s="2">
        <f ca="1"/>
        <v>0.16785784964453532</v>
      </c>
      <c r="AH3778" s="2" t="str">
        <f ca="1"/>
        <v>OK</v>
      </c>
    </row>
    <row r="3779" spans="2:34" x14ac:dyDescent="0.2">
      <c r="B3779" s="2">
        <f ca="1"/>
        <v>0.65734327451144203</v>
      </c>
      <c r="O3779" s="2">
        <f ca="1"/>
        <v>-0.61579997083549187</v>
      </c>
      <c r="X3779" s="2">
        <f ca="1"/>
        <v>59.379628253906404</v>
      </c>
      <c r="AG3779" s="2">
        <f ca="1"/>
        <v>0.57190459147107431</v>
      </c>
      <c r="AH3779" s="2" t="str">
        <f ca="1"/>
        <v>Bad</v>
      </c>
    </row>
    <row r="3780" spans="2:34" x14ac:dyDescent="0.2">
      <c r="B3780" s="2">
        <f ca="1"/>
        <v>0.75642815027859189</v>
      </c>
      <c r="O3780" s="2">
        <f ca="1"/>
        <v>1.0860216426007823</v>
      </c>
      <c r="X3780" s="2">
        <f ca="1"/>
        <v>68.640059127075773</v>
      </c>
      <c r="AG3780" s="2">
        <f ca="1"/>
        <v>0.80565769471193027</v>
      </c>
      <c r="AH3780" s="2" t="str">
        <f ca="1"/>
        <v>Bad</v>
      </c>
    </row>
    <row r="3781" spans="2:34" x14ac:dyDescent="0.2">
      <c r="B3781" s="2">
        <f ca="1"/>
        <v>3.5654245255238859E-2</v>
      </c>
      <c r="O3781" s="2">
        <f ca="1"/>
        <v>-0.49501760081531387</v>
      </c>
      <c r="X3781" s="2">
        <f ca="1"/>
        <v>44.493608147620677</v>
      </c>
      <c r="AG3781" s="2">
        <f ca="1"/>
        <v>0.66418556379243854</v>
      </c>
      <c r="AH3781" s="2" t="str">
        <f ca="1"/>
        <v>Bad</v>
      </c>
    </row>
    <row r="3782" spans="2:34" x14ac:dyDescent="0.2">
      <c r="B3782" s="2">
        <f ca="1"/>
        <v>0.1882611279080435</v>
      </c>
      <c r="O3782" s="2">
        <f ca="1"/>
        <v>-1.4930948273460258</v>
      </c>
      <c r="X3782" s="2">
        <f ca="1"/>
        <v>34.087941126668895</v>
      </c>
      <c r="AG3782" s="2">
        <f ca="1"/>
        <v>0.20085660797929439</v>
      </c>
      <c r="AH3782" s="2" t="str">
        <f ca="1"/>
        <v>OK</v>
      </c>
    </row>
    <row r="3783" spans="2:34" x14ac:dyDescent="0.2">
      <c r="B3783" s="2">
        <f ca="1"/>
        <v>0.11976443411122695</v>
      </c>
      <c r="O3783" s="2">
        <f ca="1"/>
        <v>0.52065959278198792</v>
      </c>
      <c r="X3783" s="2">
        <f ca="1"/>
        <v>38.322353926745542</v>
      </c>
      <c r="AG3783" s="2">
        <f ca="1"/>
        <v>0.53732321511396508</v>
      </c>
      <c r="AH3783" s="2" t="str">
        <f ca="1"/>
        <v>Bad</v>
      </c>
    </row>
    <row r="3784" spans="2:34" x14ac:dyDescent="0.2">
      <c r="B3784" s="2">
        <f ca="1"/>
        <v>1.8238004556703213E-2</v>
      </c>
      <c r="O3784" s="2">
        <f ca="1"/>
        <v>-0.69298105173523761</v>
      </c>
      <c r="X3784" s="2">
        <f ca="1"/>
        <v>41.511609970480407</v>
      </c>
      <c r="AG3784" s="2">
        <f ca="1"/>
        <v>0.90955162309766546</v>
      </c>
      <c r="AH3784" s="2" t="str">
        <f ca="1"/>
        <v>Bad</v>
      </c>
    </row>
    <row r="3785" spans="2:34" x14ac:dyDescent="0.2">
      <c r="B3785" s="2">
        <f ca="1"/>
        <v>0.72970919565529124</v>
      </c>
      <c r="O3785" s="2">
        <f ca="1"/>
        <v>-0.154074621092404</v>
      </c>
      <c r="X3785" s="2">
        <f ca="1"/>
        <v>76.854652268193306</v>
      </c>
      <c r="AG3785" s="2">
        <f ca="1"/>
        <v>0.57449801043700055</v>
      </c>
      <c r="AH3785" s="2" t="str">
        <f ca="1"/>
        <v>Bad</v>
      </c>
    </row>
    <row r="3786" spans="2:34" x14ac:dyDescent="0.2">
      <c r="B3786" s="2">
        <f ca="1"/>
        <v>0.26459944982920525</v>
      </c>
      <c r="O3786" s="2">
        <f ca="1"/>
        <v>1.4597779716480601</v>
      </c>
      <c r="X3786" s="2">
        <f ca="1"/>
        <v>63.600834672580298</v>
      </c>
      <c r="AG3786" s="2">
        <f ca="1"/>
        <v>0.84863688694970141</v>
      </c>
      <c r="AH3786" s="2" t="str">
        <f ca="1"/>
        <v>Bad</v>
      </c>
    </row>
    <row r="3787" spans="2:34" x14ac:dyDescent="0.2">
      <c r="B3787" s="2">
        <f ca="1"/>
        <v>0.95473176623999212</v>
      </c>
      <c r="O3787" s="2">
        <f ca="1"/>
        <v>-1.3846152475644824</v>
      </c>
      <c r="X3787" s="2">
        <f ca="1"/>
        <v>47.713565930880392</v>
      </c>
      <c r="AG3787" s="2">
        <f ca="1"/>
        <v>6.3130367611768934E-2</v>
      </c>
      <c r="AH3787" s="2" t="str">
        <f ca="1"/>
        <v>OK</v>
      </c>
    </row>
    <row r="3788" spans="2:34" x14ac:dyDescent="0.2">
      <c r="B3788" s="2">
        <f ca="1"/>
        <v>0.37255657734082948</v>
      </c>
      <c r="O3788" s="2">
        <f ca="1"/>
        <v>-4.2032789140082315E-2</v>
      </c>
      <c r="X3788" s="2">
        <f ca="1"/>
        <v>53.948488262471621</v>
      </c>
      <c r="AG3788" s="2">
        <f ca="1"/>
        <v>0.93154302350400742</v>
      </c>
      <c r="AH3788" s="2" t="str">
        <f ca="1"/>
        <v>Bad</v>
      </c>
    </row>
    <row r="3789" spans="2:34" x14ac:dyDescent="0.2">
      <c r="B3789" s="2">
        <f ca="1"/>
        <v>0.89111232219108549</v>
      </c>
      <c r="O3789" s="2">
        <f ca="1"/>
        <v>-1.6213283735414776</v>
      </c>
      <c r="X3789" s="2">
        <f ca="1"/>
        <v>57.164278509175176</v>
      </c>
      <c r="AG3789" s="2">
        <f ca="1"/>
        <v>0.6348084364645441</v>
      </c>
      <c r="AH3789" s="2" t="str">
        <f ca="1"/>
        <v>Bad</v>
      </c>
    </row>
    <row r="3790" spans="2:34" x14ac:dyDescent="0.2">
      <c r="B3790" s="2">
        <f ca="1"/>
        <v>0.51027449030878036</v>
      </c>
      <c r="O3790" s="2">
        <f ca="1"/>
        <v>1.0060729107074333</v>
      </c>
      <c r="X3790" s="2">
        <f ca="1"/>
        <v>32.556748039944054</v>
      </c>
      <c r="AG3790" s="2">
        <f ca="1"/>
        <v>0.54006154491612479</v>
      </c>
      <c r="AH3790" s="2" t="str">
        <f ca="1"/>
        <v>Bad</v>
      </c>
    </row>
    <row r="3791" spans="2:34" x14ac:dyDescent="0.2">
      <c r="B3791" s="2">
        <f ca="1"/>
        <v>0.82073842364237026</v>
      </c>
      <c r="O3791" s="2">
        <f ca="1"/>
        <v>0.34060918496257764</v>
      </c>
      <c r="X3791" s="2">
        <f ca="1"/>
        <v>67.99846369378227</v>
      </c>
      <c r="AG3791" s="2">
        <f ca="1"/>
        <v>0.39491718638912898</v>
      </c>
      <c r="AH3791" s="2" t="str">
        <f ca="1"/>
        <v>OK</v>
      </c>
    </row>
    <row r="3792" spans="2:34" x14ac:dyDescent="0.2">
      <c r="B3792" s="2">
        <f ca="1"/>
        <v>6.107841596888397E-2</v>
      </c>
      <c r="O3792" s="2">
        <f ca="1"/>
        <v>0.73243702435259073</v>
      </c>
      <c r="X3792" s="2">
        <f ca="1"/>
        <v>52.644727093583576</v>
      </c>
      <c r="AG3792" s="2">
        <f ca="1"/>
        <v>0.53722763803667539</v>
      </c>
      <c r="AH3792" s="2" t="str">
        <f ca="1"/>
        <v>Bad</v>
      </c>
    </row>
    <row r="3793" spans="2:34" x14ac:dyDescent="0.2">
      <c r="B3793" s="2">
        <f ca="1"/>
        <v>0.74668300495535456</v>
      </c>
      <c r="O3793" s="2">
        <f ca="1"/>
        <v>1.5275486096544427E-2</v>
      </c>
      <c r="X3793" s="2">
        <f ca="1"/>
        <v>61.592461225471943</v>
      </c>
      <c r="AG3793" s="2">
        <f ca="1"/>
        <v>0.86811867702120482</v>
      </c>
      <c r="AH3793" s="2" t="str">
        <f ca="1"/>
        <v>Bad</v>
      </c>
    </row>
    <row r="3794" spans="2:34" x14ac:dyDescent="0.2">
      <c r="B3794" s="2">
        <f ca="1"/>
        <v>0.93656186325887703</v>
      </c>
      <c r="O3794" s="2">
        <f ca="1"/>
        <v>1.8417608017600942</v>
      </c>
      <c r="X3794" s="2">
        <f ca="1"/>
        <v>36.04103901272105</v>
      </c>
      <c r="AG3794" s="2">
        <f ca="1"/>
        <v>0.33684037222902896</v>
      </c>
      <c r="AH3794" s="2" t="str">
        <f ca="1"/>
        <v>OK</v>
      </c>
    </row>
    <row r="3795" spans="2:34" x14ac:dyDescent="0.2">
      <c r="B3795" s="2">
        <f ca="1"/>
        <v>0.98175445879369461</v>
      </c>
      <c r="O3795" s="2">
        <f ca="1"/>
        <v>-2.5877749491813922</v>
      </c>
      <c r="X3795" s="2">
        <f ca="1"/>
        <v>31.536203734622287</v>
      </c>
      <c r="AG3795" s="2">
        <f ca="1"/>
        <v>0.39583717572371935</v>
      </c>
      <c r="AH3795" s="2" t="str">
        <f ca="1"/>
        <v>OK</v>
      </c>
    </row>
    <row r="3796" spans="2:34" x14ac:dyDescent="0.2">
      <c r="B3796" s="2">
        <f ca="1"/>
        <v>0.63473593472995238</v>
      </c>
      <c r="O3796" s="2">
        <f ca="1"/>
        <v>1.5450786030758152</v>
      </c>
      <c r="X3796" s="2">
        <f ca="1"/>
        <v>46.130234561420771</v>
      </c>
      <c r="AG3796" s="2">
        <f ca="1"/>
        <v>1.573067326430766E-2</v>
      </c>
      <c r="AH3796" s="2" t="str">
        <f ca="1"/>
        <v>Good</v>
      </c>
    </row>
    <row r="3797" spans="2:34" x14ac:dyDescent="0.2">
      <c r="B3797" s="2">
        <f ca="1"/>
        <v>0.48723154378541067</v>
      </c>
      <c r="O3797" s="2">
        <f ca="1"/>
        <v>3.6032684356840365E-2</v>
      </c>
      <c r="X3797" s="2">
        <f ca="1"/>
        <v>56.58775092204997</v>
      </c>
      <c r="AG3797" s="2">
        <f ca="1"/>
        <v>0.99837017658520977</v>
      </c>
      <c r="AH3797" s="2" t="str">
        <f ca="1"/>
        <v>Bad</v>
      </c>
    </row>
    <row r="3798" spans="2:34" x14ac:dyDescent="0.2">
      <c r="B3798" s="2">
        <f ca="1"/>
        <v>0.90227816085012003</v>
      </c>
      <c r="O3798" s="2">
        <f ca="1"/>
        <v>0.25111451110433125</v>
      </c>
      <c r="X3798" s="2">
        <f ca="1"/>
        <v>54.573307464467945</v>
      </c>
      <c r="AG3798" s="2">
        <f ca="1"/>
        <v>0.81919676973508349</v>
      </c>
      <c r="AH3798" s="2" t="str">
        <f ca="1"/>
        <v>Bad</v>
      </c>
    </row>
    <row r="3799" spans="2:34" x14ac:dyDescent="0.2">
      <c r="B3799" s="2">
        <f ca="1"/>
        <v>0.51047751603227831</v>
      </c>
      <c r="O3799" s="2">
        <f ca="1"/>
        <v>0.70985963125704976</v>
      </c>
      <c r="X3799" s="2">
        <f ca="1"/>
        <v>41.730177328764967</v>
      </c>
      <c r="AG3799" s="2">
        <f ca="1"/>
        <v>0.36612814875053057</v>
      </c>
      <c r="AH3799" s="2" t="str">
        <f ca="1"/>
        <v>OK</v>
      </c>
    </row>
    <row r="3800" spans="2:34" x14ac:dyDescent="0.2">
      <c r="B3800" s="2">
        <f ca="1"/>
        <v>0.96655071542159621</v>
      </c>
      <c r="O3800" s="2">
        <f ca="1"/>
        <v>0.36390251848222543</v>
      </c>
      <c r="X3800" s="2">
        <f ca="1"/>
        <v>54.221479449615309</v>
      </c>
      <c r="AG3800" s="2">
        <f ca="1"/>
        <v>0.8285079876311594</v>
      </c>
      <c r="AH3800" s="2" t="str">
        <f ca="1"/>
        <v>Bad</v>
      </c>
    </row>
    <row r="3801" spans="2:34" x14ac:dyDescent="0.2">
      <c r="B3801" s="2">
        <f ca="1"/>
        <v>0.63124575301554353</v>
      </c>
      <c r="O3801" s="2">
        <f ca="1"/>
        <v>-0.66647151730156873</v>
      </c>
      <c r="X3801" s="2">
        <f ca="1"/>
        <v>76.569195225862686</v>
      </c>
      <c r="AG3801" s="2">
        <f ca="1"/>
        <v>0.95358390647270608</v>
      </c>
      <c r="AH3801" s="2" t="str">
        <f ca="1"/>
        <v>Bad</v>
      </c>
    </row>
    <row r="3802" spans="2:34" x14ac:dyDescent="0.2">
      <c r="B3802" s="2">
        <f ca="1"/>
        <v>0.32236138586101259</v>
      </c>
      <c r="O3802" s="2">
        <f ca="1"/>
        <v>0.48117563436165406</v>
      </c>
      <c r="X3802" s="2">
        <f ca="1"/>
        <v>38.922145425190038</v>
      </c>
      <c r="AG3802" s="2">
        <f ca="1"/>
        <v>0.14240797759727175</v>
      </c>
      <c r="AH3802" s="2" t="str">
        <f ca="1"/>
        <v>OK</v>
      </c>
    </row>
    <row r="3803" spans="2:34" x14ac:dyDescent="0.2">
      <c r="B3803" s="2">
        <f ca="1"/>
        <v>0.529137719214543</v>
      </c>
      <c r="O3803" s="2">
        <f ca="1"/>
        <v>0.59945673235679409</v>
      </c>
      <c r="X3803" s="2">
        <f ca="1"/>
        <v>77.091697768860087</v>
      </c>
      <c r="AG3803" s="2">
        <f ca="1"/>
        <v>9.4165851227430153E-3</v>
      </c>
      <c r="AH3803" s="2" t="str">
        <f ca="1"/>
        <v>Good</v>
      </c>
    </row>
    <row r="3804" spans="2:34" x14ac:dyDescent="0.2">
      <c r="B3804" s="2">
        <f ca="1"/>
        <v>0.73718502253386387</v>
      </c>
      <c r="O3804" s="2">
        <f ca="1"/>
        <v>0.17803226938935143</v>
      </c>
      <c r="X3804" s="2">
        <f ca="1"/>
        <v>28.912255189590439</v>
      </c>
      <c r="AG3804" s="2">
        <f ca="1"/>
        <v>3.865358024265797E-3</v>
      </c>
      <c r="AH3804" s="2" t="str">
        <f ca="1"/>
        <v>Good</v>
      </c>
    </row>
    <row r="3805" spans="2:34" x14ac:dyDescent="0.2">
      <c r="B3805" s="2">
        <f ca="1"/>
        <v>0.29162831524009403</v>
      </c>
      <c r="O3805" s="2">
        <f ca="1"/>
        <v>-0.26797875321308839</v>
      </c>
      <c r="X3805" s="2">
        <f ca="1"/>
        <v>58.387045599386909</v>
      </c>
      <c r="AG3805" s="2">
        <f ca="1"/>
        <v>6.2398159929693886E-2</v>
      </c>
      <c r="AH3805" s="2" t="str">
        <f ca="1"/>
        <v>OK</v>
      </c>
    </row>
    <row r="3806" spans="2:34" x14ac:dyDescent="0.2">
      <c r="B3806" s="2">
        <f ca="1"/>
        <v>2.2361135069790539E-2</v>
      </c>
      <c r="O3806" s="2">
        <f ca="1"/>
        <v>1.9157049953277483</v>
      </c>
      <c r="X3806" s="2">
        <f ca="1"/>
        <v>41.878843451639263</v>
      </c>
      <c r="AG3806" s="2">
        <f ca="1"/>
        <v>0.36588399649621661</v>
      </c>
      <c r="AH3806" s="2" t="str">
        <f ca="1"/>
        <v>OK</v>
      </c>
    </row>
    <row r="3807" spans="2:34" x14ac:dyDescent="0.2">
      <c r="B3807" s="2">
        <f ca="1"/>
        <v>0.24345263264295824</v>
      </c>
      <c r="O3807" s="2">
        <f ca="1"/>
        <v>-0.71803283843334775</v>
      </c>
      <c r="X3807" s="2">
        <f ca="1"/>
        <v>28.300293472692072</v>
      </c>
      <c r="AG3807" s="2">
        <f ca="1"/>
        <v>5.6239259854477419E-2</v>
      </c>
      <c r="AH3807" s="2" t="str">
        <f ca="1"/>
        <v>OK</v>
      </c>
    </row>
    <row r="3808" spans="2:34" x14ac:dyDescent="0.2">
      <c r="B3808" s="2">
        <f ca="1"/>
        <v>0.42170948158845101</v>
      </c>
      <c r="O3808" s="2">
        <f ca="1"/>
        <v>-0.68725760201593844</v>
      </c>
      <c r="X3808" s="2">
        <f ca="1"/>
        <v>53.290071252699256</v>
      </c>
      <c r="AG3808" s="2">
        <f ca="1"/>
        <v>0.26685980109104723</v>
      </c>
      <c r="AH3808" s="2" t="str">
        <f ca="1"/>
        <v>OK</v>
      </c>
    </row>
    <row r="3809" spans="2:34" x14ac:dyDescent="0.2">
      <c r="B3809" s="2">
        <f ca="1"/>
        <v>0.87680267824153346</v>
      </c>
      <c r="O3809" s="2">
        <f ca="1"/>
        <v>0.27296950850434165</v>
      </c>
      <c r="X3809" s="2">
        <f ca="1"/>
        <v>49.080251650255704</v>
      </c>
      <c r="AG3809" s="2">
        <f ca="1"/>
        <v>0.32207961082409575</v>
      </c>
      <c r="AH3809" s="2" t="str">
        <f ca="1"/>
        <v>OK</v>
      </c>
    </row>
    <row r="3810" spans="2:34" x14ac:dyDescent="0.2">
      <c r="B3810" s="2">
        <f ca="1"/>
        <v>0.93379916049280909</v>
      </c>
      <c r="O3810" s="2">
        <f ca="1"/>
        <v>-0.68788039686708979</v>
      </c>
      <c r="X3810" s="2">
        <f ca="1"/>
        <v>71.708260408754995</v>
      </c>
      <c r="AG3810" s="2">
        <f ca="1"/>
        <v>0.16820953682485129</v>
      </c>
      <c r="AH3810" s="2" t="str">
        <f ca="1"/>
        <v>OK</v>
      </c>
    </row>
    <row r="3811" spans="2:34" x14ac:dyDescent="0.2">
      <c r="B3811" s="2">
        <f ca="1"/>
        <v>0.16385424880275168</v>
      </c>
      <c r="O3811" s="2">
        <f ca="1"/>
        <v>1.2847956992484835</v>
      </c>
      <c r="X3811" s="2">
        <f ca="1"/>
        <v>53.936299828120568</v>
      </c>
      <c r="AG3811" s="2">
        <f ca="1"/>
        <v>0.93131455512497063</v>
      </c>
      <c r="AH3811" s="2" t="str">
        <f ca="1"/>
        <v>Bad</v>
      </c>
    </row>
    <row r="3812" spans="2:34" x14ac:dyDescent="0.2">
      <c r="B3812" s="2">
        <f ca="1"/>
        <v>0.55495476355632634</v>
      </c>
      <c r="O3812" s="2">
        <f ca="1"/>
        <v>-0.85926400203802711</v>
      </c>
      <c r="X3812" s="2">
        <f ca="1"/>
        <v>43.66830429331776</v>
      </c>
      <c r="AG3812" s="2">
        <f ca="1"/>
        <v>0.47805703423283874</v>
      </c>
      <c r="AH3812" s="2" t="str">
        <f ca="1"/>
        <v>Bad</v>
      </c>
    </row>
    <row r="3813" spans="2:34" x14ac:dyDescent="0.2">
      <c r="B3813" s="2">
        <f ca="1"/>
        <v>0.29356101040018645</v>
      </c>
      <c r="O3813" s="2">
        <f ca="1"/>
        <v>0.48856813421268269</v>
      </c>
      <c r="X3813" s="2">
        <f ca="1"/>
        <v>75.575698853764891</v>
      </c>
      <c r="AG3813" s="2">
        <f ca="1"/>
        <v>0.57346784610558776</v>
      </c>
      <c r="AH3813" s="2" t="str">
        <f ca="1"/>
        <v>Bad</v>
      </c>
    </row>
    <row r="3814" spans="2:34" x14ac:dyDescent="0.2">
      <c r="B3814" s="2">
        <f ca="1"/>
        <v>0.63833396531299136</v>
      </c>
      <c r="O3814" s="2">
        <f ca="1"/>
        <v>0.88590723841924301</v>
      </c>
      <c r="X3814" s="2">
        <f ca="1"/>
        <v>35.3527221707647</v>
      </c>
      <c r="AG3814" s="2">
        <f ca="1"/>
        <v>0.58804816603310228</v>
      </c>
      <c r="AH3814" s="2" t="str">
        <f ca="1"/>
        <v>Bad</v>
      </c>
    </row>
    <row r="3815" spans="2:34" x14ac:dyDescent="0.2">
      <c r="B3815" s="2">
        <f ca="1"/>
        <v>0.29996851156598736</v>
      </c>
      <c r="O3815" s="2">
        <f ca="1"/>
        <v>0.4121078888593831</v>
      </c>
      <c r="X3815" s="2">
        <f ca="1"/>
        <v>62.940733101424051</v>
      </c>
      <c r="AG3815" s="2">
        <f ca="1"/>
        <v>0.89061296407036528</v>
      </c>
      <c r="AH3815" s="2" t="str">
        <f ca="1"/>
        <v>Bad</v>
      </c>
    </row>
    <row r="3816" spans="2:34" x14ac:dyDescent="0.2">
      <c r="B3816" s="2">
        <f ca="1"/>
        <v>0.33476061596047502</v>
      </c>
      <c r="O3816" s="2">
        <f ca="1"/>
        <v>0.94451034793741151</v>
      </c>
      <c r="X3816" s="2">
        <f ca="1"/>
        <v>36.968683399539628</v>
      </c>
      <c r="AG3816" s="2">
        <f ca="1"/>
        <v>0.41033945481189016</v>
      </c>
      <c r="AH3816" s="2" t="str">
        <f ca="1"/>
        <v>Bad</v>
      </c>
    </row>
    <row r="3817" spans="2:34" x14ac:dyDescent="0.2">
      <c r="B3817" s="2">
        <f ca="1"/>
        <v>0.52848813241535431</v>
      </c>
      <c r="O3817" s="2">
        <f ca="1"/>
        <v>1.3466272052557515</v>
      </c>
      <c r="X3817" s="2">
        <f ca="1"/>
        <v>40.244309791153121</v>
      </c>
      <c r="AG3817" s="2">
        <f ca="1"/>
        <v>0.81456019980330052</v>
      </c>
      <c r="AH3817" s="2" t="str">
        <f ca="1"/>
        <v>Bad</v>
      </c>
    </row>
    <row r="3818" spans="2:34" x14ac:dyDescent="0.2">
      <c r="B3818" s="2">
        <f ca="1"/>
        <v>0.9740294127290825</v>
      </c>
      <c r="O3818" s="2">
        <f ca="1"/>
        <v>-0.54156301462842749</v>
      </c>
      <c r="X3818" s="2">
        <f ca="1"/>
        <v>34.504673911255196</v>
      </c>
      <c r="AG3818" s="2">
        <f ca="1"/>
        <v>0.18594332603242814</v>
      </c>
      <c r="AH3818" s="2" t="str">
        <f ca="1"/>
        <v>OK</v>
      </c>
    </row>
    <row r="3819" spans="2:34" x14ac:dyDescent="0.2">
      <c r="B3819" s="2">
        <f ca="1"/>
        <v>0.30776655061128655</v>
      </c>
      <c r="O3819" s="2">
        <f ca="1"/>
        <v>0.42003521206663608</v>
      </c>
      <c r="X3819" s="2">
        <f ca="1"/>
        <v>50.664748541100451</v>
      </c>
      <c r="AG3819" s="2">
        <f ca="1"/>
        <v>0.60683881626019032</v>
      </c>
      <c r="AH3819" s="2" t="str">
        <f ca="1"/>
        <v>Bad</v>
      </c>
    </row>
    <row r="3820" spans="2:34" x14ac:dyDescent="0.2">
      <c r="B3820" s="2">
        <f ca="1"/>
        <v>0.2415197499806887</v>
      </c>
      <c r="O3820" s="2">
        <f ca="1"/>
        <v>-0.23025186873942094</v>
      </c>
      <c r="X3820" s="2">
        <f ca="1"/>
        <v>38.069992842467975</v>
      </c>
      <c r="AG3820" s="2">
        <f ca="1"/>
        <v>0.10013110269301073</v>
      </c>
      <c r="AH3820" s="2" t="str">
        <f ca="1"/>
        <v>OK</v>
      </c>
    </row>
    <row r="3821" spans="2:34" x14ac:dyDescent="0.2">
      <c r="B3821" s="2">
        <f ca="1"/>
        <v>0.61386251935175928</v>
      </c>
      <c r="O3821" s="2">
        <f ca="1"/>
        <v>-0.83834076302146854</v>
      </c>
      <c r="X3821" s="2">
        <f ca="1"/>
        <v>65.86221202037882</v>
      </c>
      <c r="AG3821" s="2">
        <f ca="1"/>
        <v>0.31176946574527431</v>
      </c>
      <c r="AH3821" s="2" t="str">
        <f ca="1"/>
        <v>OK</v>
      </c>
    </row>
    <row r="3822" spans="2:34" x14ac:dyDescent="0.2">
      <c r="B3822" s="2">
        <f ca="1"/>
        <v>4.7945682876268991E-2</v>
      </c>
      <c r="O3822" s="2">
        <f ca="1"/>
        <v>-0.57646606512320175</v>
      </c>
      <c r="X3822" s="2">
        <f ca="1"/>
        <v>33.138149352967218</v>
      </c>
      <c r="AG3822" s="2">
        <f ca="1"/>
        <v>0.80822423284645062</v>
      </c>
      <c r="AH3822" s="2" t="str">
        <f ca="1"/>
        <v>Bad</v>
      </c>
    </row>
    <row r="3823" spans="2:34" x14ac:dyDescent="0.2">
      <c r="B3823" s="2">
        <f ca="1"/>
        <v>0.47959522334153926</v>
      </c>
      <c r="O3823" s="2">
        <f ca="1"/>
        <v>0.64256246346592882</v>
      </c>
      <c r="X3823" s="2">
        <f ca="1"/>
        <v>45.154926463083754</v>
      </c>
      <c r="AG3823" s="2">
        <f ca="1"/>
        <v>0.55790546453120693</v>
      </c>
      <c r="AH3823" s="2" t="str">
        <f ca="1"/>
        <v>Bad</v>
      </c>
    </row>
    <row r="3824" spans="2:34" x14ac:dyDescent="0.2">
      <c r="B3824" s="2">
        <f ca="1"/>
        <v>0.78324979205774681</v>
      </c>
      <c r="O3824" s="2">
        <f ca="1"/>
        <v>1.2893879769941168</v>
      </c>
      <c r="X3824" s="2">
        <f ca="1"/>
        <v>51.709284459550574</v>
      </c>
      <c r="AG3824" s="2">
        <f ca="1"/>
        <v>0.59018976178428084</v>
      </c>
      <c r="AH3824" s="2" t="str">
        <f ca="1"/>
        <v>Bad</v>
      </c>
    </row>
    <row r="3825" spans="2:34" x14ac:dyDescent="0.2">
      <c r="B3825" s="2">
        <f ca="1"/>
        <v>0.36464086735778101</v>
      </c>
      <c r="O3825" s="2">
        <f ca="1"/>
        <v>-0.6292730138560777</v>
      </c>
      <c r="X3825" s="2">
        <f ca="1"/>
        <v>53.849628797790658</v>
      </c>
      <c r="AG3825" s="2">
        <f ca="1"/>
        <v>0.89374155486039131</v>
      </c>
      <c r="AH3825" s="2" t="str">
        <f ca="1"/>
        <v>Bad</v>
      </c>
    </row>
    <row r="3826" spans="2:34" x14ac:dyDescent="0.2">
      <c r="B3826" s="2">
        <f ca="1"/>
        <v>0.92856326970648784</v>
      </c>
      <c r="O3826" s="2">
        <f ca="1"/>
        <v>-0.75891278603635715</v>
      </c>
      <c r="X3826" s="2">
        <f ca="1"/>
        <v>51.625189672718562</v>
      </c>
      <c r="AG3826" s="2">
        <f ca="1"/>
        <v>0.7566163859971915</v>
      </c>
      <c r="AH3826" s="2" t="str">
        <f ca="1"/>
        <v>Bad</v>
      </c>
    </row>
    <row r="3827" spans="2:34" x14ac:dyDescent="0.2">
      <c r="B3827" s="2">
        <f ca="1"/>
        <v>0.44588535692311804</v>
      </c>
      <c r="O3827" s="2">
        <f ca="1"/>
        <v>-0.5760369922944174</v>
      </c>
      <c r="X3827" s="2">
        <f ca="1"/>
        <v>49.229230736311045</v>
      </c>
      <c r="AG3827" s="2">
        <f ca="1"/>
        <v>0.64066972564278002</v>
      </c>
      <c r="AH3827" s="2" t="str">
        <f ca="1"/>
        <v>Bad</v>
      </c>
    </row>
    <row r="3828" spans="2:34" x14ac:dyDescent="0.2">
      <c r="B3828" s="2">
        <f ca="1"/>
        <v>0.15400511798909777</v>
      </c>
      <c r="O3828" s="2">
        <f ca="1"/>
        <v>-1.5793425577671965</v>
      </c>
      <c r="X3828" s="2">
        <f ca="1"/>
        <v>26.306979820857748</v>
      </c>
      <c r="AG3828" s="2">
        <f ca="1"/>
        <v>0.66432166185275365</v>
      </c>
      <c r="AH3828" s="2" t="str">
        <f ca="1"/>
        <v>Bad</v>
      </c>
    </row>
    <row r="3829" spans="2:34" x14ac:dyDescent="0.2">
      <c r="B3829" s="2">
        <f ca="1"/>
        <v>0.48073627775482919</v>
      </c>
      <c r="O3829" s="2">
        <f ca="1"/>
        <v>1.8673687059263948</v>
      </c>
      <c r="X3829" s="2">
        <f ca="1"/>
        <v>99.075179981267866</v>
      </c>
      <c r="AG3829" s="2">
        <f ca="1"/>
        <v>0.36942061537857107</v>
      </c>
      <c r="AH3829" s="2" t="str">
        <f ca="1"/>
        <v>OK</v>
      </c>
    </row>
    <row r="3830" spans="2:34" x14ac:dyDescent="0.2">
      <c r="B3830" s="2">
        <f ca="1"/>
        <v>0.17433957606308859</v>
      </c>
      <c r="O3830" s="2">
        <f ca="1"/>
        <v>0.31469920559649933</v>
      </c>
      <c r="X3830" s="2">
        <f ca="1"/>
        <v>32.359333312960743</v>
      </c>
      <c r="AG3830" s="2">
        <f ca="1"/>
        <v>0.44434916757042653</v>
      </c>
      <c r="AH3830" s="2" t="str">
        <f ca="1"/>
        <v>Bad</v>
      </c>
    </row>
    <row r="3831" spans="2:34" x14ac:dyDescent="0.2">
      <c r="B3831" s="2">
        <f ca="1"/>
        <v>0.46570024162270651</v>
      </c>
      <c r="O3831" s="2">
        <f ca="1"/>
        <v>-1.2532790176283948</v>
      </c>
      <c r="X3831" s="2">
        <f ca="1"/>
        <v>76.038622006956999</v>
      </c>
      <c r="AG3831" s="2">
        <f ca="1"/>
        <v>0.11098247769137548</v>
      </c>
      <c r="AH3831" s="2" t="str">
        <f ca="1"/>
        <v>OK</v>
      </c>
    </row>
    <row r="3832" spans="2:34" x14ac:dyDescent="0.2">
      <c r="B3832" s="2">
        <f ca="1"/>
        <v>0.31544447944601339</v>
      </c>
      <c r="O3832" s="2">
        <f ca="1"/>
        <v>3.2471960263993718E-3</v>
      </c>
      <c r="X3832" s="2">
        <f ca="1"/>
        <v>50.008743519435086</v>
      </c>
      <c r="AG3832" s="2">
        <f ca="1"/>
        <v>0.7126752077707037</v>
      </c>
      <c r="AH3832" s="2" t="str">
        <f ca="1"/>
        <v>Bad</v>
      </c>
    </row>
    <row r="3833" spans="2:34" x14ac:dyDescent="0.2">
      <c r="B3833" s="2">
        <f ca="1"/>
        <v>0.95365676676108579</v>
      </c>
      <c r="O3833" s="2">
        <f ca="1"/>
        <v>3.4643497245880375</v>
      </c>
      <c r="X3833" s="2">
        <f ca="1"/>
        <v>49.21360760383007</v>
      </c>
      <c r="AG3833" s="2">
        <f ca="1"/>
        <v>0.39338489116540387</v>
      </c>
      <c r="AH3833" s="2" t="str">
        <f ca="1"/>
        <v>OK</v>
      </c>
    </row>
    <row r="3834" spans="2:34" x14ac:dyDescent="0.2">
      <c r="B3834" s="2">
        <f ca="1"/>
        <v>3.9849208647528167E-2</v>
      </c>
      <c r="O3834" s="2">
        <f ca="1"/>
        <v>-0.81525068056018291</v>
      </c>
      <c r="X3834" s="2">
        <f ca="1"/>
        <v>64.621271692142571</v>
      </c>
      <c r="AG3834" s="2">
        <f ca="1"/>
        <v>0.28624956088694375</v>
      </c>
      <c r="AH3834" s="2" t="str">
        <f ca="1"/>
        <v>OK</v>
      </c>
    </row>
    <row r="3835" spans="2:34" x14ac:dyDescent="0.2">
      <c r="B3835" s="2">
        <f ca="1"/>
        <v>0.99776518086192389</v>
      </c>
      <c r="O3835" s="2">
        <f ca="1"/>
        <v>-0.56901723398668469</v>
      </c>
      <c r="X3835" s="2">
        <f ca="1"/>
        <v>34.291776075883178</v>
      </c>
      <c r="AG3835" s="2">
        <f ca="1"/>
        <v>0.47835287341088994</v>
      </c>
      <c r="AH3835" s="2" t="str">
        <f ca="1"/>
        <v>Bad</v>
      </c>
    </row>
    <row r="3836" spans="2:34" x14ac:dyDescent="0.2">
      <c r="B3836" s="2">
        <f ca="1"/>
        <v>0.21567425575325827</v>
      </c>
      <c r="O3836" s="2">
        <f ca="1"/>
        <v>0.63240336634865379</v>
      </c>
      <c r="X3836" s="2">
        <f ca="1"/>
        <v>33.477394160524831</v>
      </c>
      <c r="AG3836" s="2">
        <f ca="1"/>
        <v>0.22512881607617952</v>
      </c>
      <c r="AH3836" s="2" t="str">
        <f ca="1"/>
        <v>OK</v>
      </c>
    </row>
    <row r="3837" spans="2:34" x14ac:dyDescent="0.2">
      <c r="B3837" s="2">
        <f ca="1"/>
        <v>0.4351636291571872</v>
      </c>
      <c r="O3837" s="2">
        <f ca="1"/>
        <v>-1.3795986790731036</v>
      </c>
      <c r="X3837" s="2">
        <f ca="1"/>
        <v>48.741078754146152</v>
      </c>
      <c r="AG3837" s="2">
        <f ca="1"/>
        <v>0.17649915079408607</v>
      </c>
      <c r="AH3837" s="2" t="str">
        <f ca="1"/>
        <v>OK</v>
      </c>
    </row>
    <row r="3838" spans="2:34" x14ac:dyDescent="0.2">
      <c r="B3838" s="2">
        <f ca="1"/>
        <v>0.7775026827277729</v>
      </c>
      <c r="O3838" s="2">
        <f ca="1"/>
        <v>0.73338485895349836</v>
      </c>
      <c r="X3838" s="2">
        <f ca="1"/>
        <v>29.108382077065965</v>
      </c>
      <c r="AG3838" s="2">
        <f ca="1"/>
        <v>0.89926392840010139</v>
      </c>
      <c r="AH3838" s="2" t="str">
        <f ca="1"/>
        <v>Bad</v>
      </c>
    </row>
    <row r="3839" spans="2:34" x14ac:dyDescent="0.2">
      <c r="B3839" s="2">
        <f ca="1"/>
        <v>0.83552465221975902</v>
      </c>
      <c r="O3839" s="2">
        <f ca="1"/>
        <v>-0.29276454176081418</v>
      </c>
      <c r="X3839" s="2">
        <f ca="1"/>
        <v>26.473421227804835</v>
      </c>
      <c r="AG3839" s="2">
        <f ca="1"/>
        <v>0.99484318553111217</v>
      </c>
      <c r="AH3839" s="2" t="str">
        <f ca="1"/>
        <v>Bad</v>
      </c>
    </row>
    <row r="3840" spans="2:34" x14ac:dyDescent="0.2">
      <c r="B3840" s="2">
        <f ca="1"/>
        <v>0.82357827289832608</v>
      </c>
      <c r="O3840" s="2">
        <f ca="1"/>
        <v>0.7477071674203265</v>
      </c>
      <c r="X3840" s="2">
        <f ca="1"/>
        <v>53.640092472672343</v>
      </c>
      <c r="AG3840" s="2">
        <f ca="1"/>
        <v>0.33269301971614285</v>
      </c>
      <c r="AH3840" s="2" t="str">
        <f ca="1"/>
        <v>OK</v>
      </c>
    </row>
    <row r="3841" spans="2:34" x14ac:dyDescent="0.2">
      <c r="B3841" s="2">
        <f ca="1"/>
        <v>0.22714194831357815</v>
      </c>
      <c r="O3841" s="2">
        <f ca="1"/>
        <v>2.0441111987472387</v>
      </c>
      <c r="X3841" s="2">
        <f ca="1"/>
        <v>50.084595200155078</v>
      </c>
      <c r="AG3841" s="2">
        <f ca="1"/>
        <v>0.23953273217952686</v>
      </c>
      <c r="AH3841" s="2" t="str">
        <f ca="1"/>
        <v>OK</v>
      </c>
    </row>
    <row r="3842" spans="2:34" x14ac:dyDescent="0.2">
      <c r="B3842" s="2">
        <f ca="1"/>
        <v>0.33716602777242843</v>
      </c>
      <c r="O3842" s="2">
        <f ca="1"/>
        <v>-1.2294537739404385</v>
      </c>
      <c r="X3842" s="2">
        <f ca="1"/>
        <v>64.4523443052082</v>
      </c>
      <c r="AG3842" s="2">
        <f ca="1"/>
        <v>0.45989304808885301</v>
      </c>
      <c r="AH3842" s="2" t="str">
        <f ca="1"/>
        <v>Bad</v>
      </c>
    </row>
    <row r="3843" spans="2:34" x14ac:dyDescent="0.2">
      <c r="B3843" s="2">
        <f ca="1"/>
        <v>0.31387415321965473</v>
      </c>
      <c r="O3843" s="2">
        <f ca="1"/>
        <v>-0.36435829101495409</v>
      </c>
      <c r="X3843" s="2">
        <f ca="1"/>
        <v>38.027258902358824</v>
      </c>
      <c r="AG3843" s="2">
        <f ca="1"/>
        <v>0.38909050069629281</v>
      </c>
      <c r="AH3843" s="2" t="str">
        <f ca="1"/>
        <v>OK</v>
      </c>
    </row>
    <row r="3844" spans="2:34" x14ac:dyDescent="0.2">
      <c r="B3844" s="2">
        <f ca="1"/>
        <v>0.80726561490977988</v>
      </c>
      <c r="O3844" s="2">
        <f ca="1"/>
        <v>1.3241107223405961</v>
      </c>
      <c r="X3844" s="2">
        <f ca="1"/>
        <v>47.49985159181152</v>
      </c>
      <c r="AG3844" s="2">
        <f ca="1"/>
        <v>0.61356501657282081</v>
      </c>
      <c r="AH3844" s="2" t="str">
        <f ca="1"/>
        <v>Bad</v>
      </c>
    </row>
    <row r="3845" spans="2:34" x14ac:dyDescent="0.2">
      <c r="B3845" s="2">
        <f ca="1"/>
        <v>0.37937808418775165</v>
      </c>
      <c r="O3845" s="2">
        <f ca="1"/>
        <v>1.3584634600086665</v>
      </c>
      <c r="X3845" s="2">
        <f ca="1"/>
        <v>45.500234143273033</v>
      </c>
      <c r="AG3845" s="2">
        <f ca="1"/>
        <v>0.92851972838900299</v>
      </c>
      <c r="AH3845" s="2" t="str">
        <f ca="1"/>
        <v>Bad</v>
      </c>
    </row>
    <row r="3846" spans="2:34" x14ac:dyDescent="0.2">
      <c r="B3846" s="2">
        <f ca="1"/>
        <v>0.96140282255961296</v>
      </c>
      <c r="O3846" s="2">
        <f ca="1"/>
        <v>3.078413189051048</v>
      </c>
      <c r="X3846" s="2">
        <f ca="1"/>
        <v>48.395030235045127</v>
      </c>
      <c r="AG3846" s="2">
        <f ca="1"/>
        <v>0.99404474739330184</v>
      </c>
      <c r="AH3846" s="2" t="str">
        <f ca="1"/>
        <v>Bad</v>
      </c>
    </row>
    <row r="3847" spans="2:34" x14ac:dyDescent="0.2">
      <c r="B3847" s="2">
        <f ca="1"/>
        <v>0.36746636645257813</v>
      </c>
      <c r="O3847" s="2">
        <f ca="1"/>
        <v>-1.2119059532999885</v>
      </c>
      <c r="X3847" s="2">
        <f ca="1"/>
        <v>28.876854496598575</v>
      </c>
      <c r="AG3847" s="2">
        <f ca="1"/>
        <v>4.4824057264170492E-2</v>
      </c>
      <c r="AH3847" s="2" t="str">
        <f ca="1"/>
        <v>Good</v>
      </c>
    </row>
    <row r="3848" spans="2:34" x14ac:dyDescent="0.2">
      <c r="B3848" s="2">
        <f ca="1"/>
        <v>0.95179372909054338</v>
      </c>
      <c r="O3848" s="2">
        <f ca="1"/>
        <v>1.834787355005508</v>
      </c>
      <c r="X3848" s="2">
        <f ca="1"/>
        <v>51.8832551798005</v>
      </c>
      <c r="AG3848" s="2">
        <f ca="1"/>
        <v>0.74502797948439259</v>
      </c>
      <c r="AH3848" s="2" t="str">
        <f ca="1"/>
        <v>Bad</v>
      </c>
    </row>
    <row r="3849" spans="2:34" x14ac:dyDescent="0.2">
      <c r="B3849" s="2">
        <f ca="1"/>
        <v>0.10828916773466712</v>
      </c>
      <c r="O3849" s="2">
        <f ca="1"/>
        <v>0.99000251321727195</v>
      </c>
      <c r="X3849" s="2">
        <f ca="1"/>
        <v>76.652340230604025</v>
      </c>
      <c r="AG3849" s="2">
        <f ca="1"/>
        <v>0.6202914224979077</v>
      </c>
      <c r="AH3849" s="2" t="str">
        <f ca="1"/>
        <v>Bad</v>
      </c>
    </row>
    <row r="3850" spans="2:34" x14ac:dyDescent="0.2">
      <c r="B3850" s="2">
        <f ca="1"/>
        <v>3.7094765376318062E-2</v>
      </c>
      <c r="O3850" s="2">
        <f ca="1"/>
        <v>-0.35370892685711336</v>
      </c>
      <c r="X3850" s="2">
        <f ca="1"/>
        <v>52.136746378679426</v>
      </c>
      <c r="AG3850" s="2">
        <f ca="1"/>
        <v>0.66025262453120614</v>
      </c>
      <c r="AH3850" s="2" t="str">
        <f ca="1"/>
        <v>Bad</v>
      </c>
    </row>
    <row r="3851" spans="2:34" x14ac:dyDescent="0.2">
      <c r="B3851" s="2">
        <f ca="1"/>
        <v>0.75822142322535102</v>
      </c>
      <c r="O3851" s="2">
        <f ca="1"/>
        <v>0.93614501068785627</v>
      </c>
      <c r="X3851" s="2">
        <f ca="1"/>
        <v>50.605296998149925</v>
      </c>
      <c r="AG3851" s="2">
        <f ca="1"/>
        <v>0.7539711788349146</v>
      </c>
      <c r="AH3851" s="2" t="str">
        <f ca="1"/>
        <v>Bad</v>
      </c>
    </row>
    <row r="3852" spans="2:34" x14ac:dyDescent="0.2">
      <c r="B3852" s="2">
        <f ca="1"/>
        <v>0.32111093973321747</v>
      </c>
      <c r="O3852" s="2">
        <f ca="1"/>
        <v>-0.13819793398878916</v>
      </c>
      <c r="X3852" s="2">
        <f ca="1"/>
        <v>46.512651031846239</v>
      </c>
      <c r="AG3852" s="2">
        <f ca="1"/>
        <v>0.61984144844720634</v>
      </c>
      <c r="AH3852" s="2" t="str">
        <f ca="1"/>
        <v>Bad</v>
      </c>
    </row>
    <row r="3853" spans="2:34" x14ac:dyDescent="0.2">
      <c r="B3853" s="2">
        <f ca="1"/>
        <v>0.25931243650942726</v>
      </c>
      <c r="O3853" s="2">
        <f ca="1"/>
        <v>-0.3760340792696874</v>
      </c>
      <c r="X3853" s="2">
        <f ca="1"/>
        <v>46.060381758944942</v>
      </c>
      <c r="AG3853" s="2">
        <f ca="1"/>
        <v>0.2285712360045995</v>
      </c>
      <c r="AH3853" s="2" t="str">
        <f ca="1"/>
        <v>OK</v>
      </c>
    </row>
    <row r="3854" spans="2:34" x14ac:dyDescent="0.2">
      <c r="B3854" s="2">
        <f ca="1"/>
        <v>0.71167233984253442</v>
      </c>
      <c r="O3854" s="2">
        <f ca="1"/>
        <v>0.21943938291116763</v>
      </c>
      <c r="X3854" s="2">
        <f ca="1"/>
        <v>51.278458047373547</v>
      </c>
      <c r="AG3854" s="2">
        <f ca="1"/>
        <v>0.40368587578156867</v>
      </c>
      <c r="AH3854" s="2" t="str">
        <f ca="1"/>
        <v>Bad</v>
      </c>
    </row>
    <row r="3855" spans="2:34" x14ac:dyDescent="0.2">
      <c r="B3855" s="2">
        <f ca="1"/>
        <v>0.7345962302072786</v>
      </c>
      <c r="O3855" s="2">
        <f ca="1"/>
        <v>-1.7600192535853434</v>
      </c>
      <c r="X3855" s="2">
        <f ca="1"/>
        <v>33.20895097302629</v>
      </c>
      <c r="AG3855" s="2">
        <f ca="1"/>
        <v>0.63708766857546095</v>
      </c>
      <c r="AH3855" s="2" t="str">
        <f ca="1"/>
        <v>Bad</v>
      </c>
    </row>
    <row r="3856" spans="2:34" x14ac:dyDescent="0.2">
      <c r="B3856" s="2">
        <f ca="1"/>
        <v>0.78563296786526582</v>
      </c>
      <c r="O3856" s="2">
        <f ca="1"/>
        <v>0.69069401328086488</v>
      </c>
      <c r="X3856" s="2">
        <f ca="1"/>
        <v>41.17165632283119</v>
      </c>
      <c r="AG3856" s="2">
        <f ca="1"/>
        <v>0.30257157519705835</v>
      </c>
      <c r="AH3856" s="2" t="str">
        <f ca="1"/>
        <v>OK</v>
      </c>
    </row>
    <row r="3857" spans="2:34" x14ac:dyDescent="0.2">
      <c r="B3857" s="2">
        <f ca="1"/>
        <v>0.72294070080320805</v>
      </c>
      <c r="O3857" s="2">
        <f ca="1"/>
        <v>-0.98758668895003976</v>
      </c>
      <c r="X3857" s="2">
        <f ca="1"/>
        <v>49.514467723117122</v>
      </c>
      <c r="AG3857" s="2">
        <f ca="1"/>
        <v>0.63271559518537468</v>
      </c>
      <c r="AH3857" s="2" t="str">
        <f ca="1"/>
        <v>Bad</v>
      </c>
    </row>
    <row r="3858" spans="2:34" x14ac:dyDescent="0.2">
      <c r="B3858" s="2">
        <f ca="1"/>
        <v>0.25620034411227421</v>
      </c>
      <c r="O3858" s="2">
        <f ca="1"/>
        <v>0.23702533150745039</v>
      </c>
      <c r="X3858" s="2">
        <f ca="1"/>
        <v>45.231114947213882</v>
      </c>
      <c r="AG3858" s="2">
        <f ca="1"/>
        <v>0.44978948651501738</v>
      </c>
      <c r="AH3858" s="2" t="str">
        <f ca="1"/>
        <v>Bad</v>
      </c>
    </row>
    <row r="3859" spans="2:34" x14ac:dyDescent="0.2">
      <c r="B3859" s="2">
        <f ca="1"/>
        <v>0.98228754945357832</v>
      </c>
      <c r="O3859" s="2">
        <f ca="1"/>
        <v>0.86870221548205517</v>
      </c>
      <c r="X3859" s="2">
        <f ca="1"/>
        <v>57.036632976644711</v>
      </c>
      <c r="AG3859" s="2">
        <f ca="1"/>
        <v>0.52294074922756817</v>
      </c>
      <c r="AH3859" s="2" t="str">
        <f ca="1"/>
        <v>Bad</v>
      </c>
    </row>
    <row r="3860" spans="2:34" x14ac:dyDescent="0.2">
      <c r="B3860" s="2">
        <f ca="1"/>
        <v>0.21551161600002877</v>
      </c>
      <c r="O3860" s="2">
        <f ca="1"/>
        <v>-4.0737668561279715E-2</v>
      </c>
      <c r="X3860" s="2">
        <f ca="1"/>
        <v>45.740597019246948</v>
      </c>
      <c r="AG3860" s="2">
        <f ca="1"/>
        <v>0.40156270424596019</v>
      </c>
      <c r="AH3860" s="2" t="str">
        <f ca="1"/>
        <v>Bad</v>
      </c>
    </row>
    <row r="3861" spans="2:34" x14ac:dyDescent="0.2">
      <c r="B3861" s="2">
        <f ca="1"/>
        <v>7.6945768323970487E-2</v>
      </c>
      <c r="O3861" s="2">
        <f ca="1"/>
        <v>0.17359886792755613</v>
      </c>
      <c r="X3861" s="2">
        <f ca="1"/>
        <v>62.63438055501679</v>
      </c>
      <c r="AG3861" s="2">
        <f ca="1"/>
        <v>0.80252823317470923</v>
      </c>
      <c r="AH3861" s="2" t="str">
        <f ca="1"/>
        <v>Bad</v>
      </c>
    </row>
    <row r="3862" spans="2:34" x14ac:dyDescent="0.2">
      <c r="B3862" s="2">
        <f ca="1"/>
        <v>0.91860429617355632</v>
      </c>
      <c r="O3862" s="2">
        <f ca="1"/>
        <v>-0.53632161731910832</v>
      </c>
      <c r="X3862" s="2">
        <f ca="1"/>
        <v>56.615052103771568</v>
      </c>
      <c r="AG3862" s="2">
        <f ca="1"/>
        <v>0.13083985866508629</v>
      </c>
      <c r="AH3862" s="2" t="str">
        <f ca="1"/>
        <v>OK</v>
      </c>
    </row>
    <row r="3863" spans="2:34" x14ac:dyDescent="0.2">
      <c r="B3863" s="2">
        <f ca="1"/>
        <v>0.71676096570147618</v>
      </c>
      <c r="O3863" s="2">
        <f ca="1"/>
        <v>0.89952067770098543</v>
      </c>
      <c r="X3863" s="2">
        <f ca="1"/>
        <v>69.010426172094057</v>
      </c>
      <c r="AG3863" s="2">
        <f ca="1"/>
        <v>0.99453549350318338</v>
      </c>
      <c r="AH3863" s="2" t="str">
        <f ca="1"/>
        <v>Bad</v>
      </c>
    </row>
    <row r="3864" spans="2:34" x14ac:dyDescent="0.2">
      <c r="B3864" s="2">
        <f ca="1"/>
        <v>0.44131158964967976</v>
      </c>
      <c r="O3864" s="2">
        <f ca="1"/>
        <v>0.24701151681241246</v>
      </c>
      <c r="X3864" s="2">
        <f ca="1"/>
        <v>47.712571821020106</v>
      </c>
      <c r="AG3864" s="2">
        <f ca="1"/>
        <v>0.15050051477732151</v>
      </c>
      <c r="AH3864" s="2" t="str">
        <f ca="1"/>
        <v>OK</v>
      </c>
    </row>
    <row r="3865" spans="2:34" x14ac:dyDescent="0.2">
      <c r="B3865" s="2">
        <f ca="1"/>
        <v>0.3769133315183546</v>
      </c>
      <c r="O3865" s="2">
        <f ca="1"/>
        <v>0.51202654154264682</v>
      </c>
      <c r="X3865" s="2">
        <f ca="1"/>
        <v>55.269526225649244</v>
      </c>
      <c r="AG3865" s="2">
        <f ca="1"/>
        <v>0.97911823615616522</v>
      </c>
      <c r="AH3865" s="2" t="str">
        <f ca="1"/>
        <v>Bad</v>
      </c>
    </row>
    <row r="3866" spans="2:34" x14ac:dyDescent="0.2">
      <c r="B3866" s="2">
        <f ca="1"/>
        <v>0.94857876243462202</v>
      </c>
      <c r="O3866" s="2">
        <f ca="1"/>
        <v>0.92293913375493919</v>
      </c>
      <c r="X3866" s="2">
        <f ca="1"/>
        <v>41.65953144995585</v>
      </c>
      <c r="AG3866" s="2">
        <f ca="1"/>
        <v>0.60843574532950306</v>
      </c>
      <c r="AH3866" s="2" t="str">
        <f ca="1"/>
        <v>Bad</v>
      </c>
    </row>
    <row r="3867" spans="2:34" x14ac:dyDescent="0.2">
      <c r="B3867" s="2">
        <f ca="1"/>
        <v>9.3052932203791405E-2</v>
      </c>
      <c r="O3867" s="2">
        <f ca="1"/>
        <v>-0.19983829695948793</v>
      </c>
      <c r="X3867" s="2">
        <f ca="1"/>
        <v>30.579368319359528</v>
      </c>
      <c r="AG3867" s="2">
        <f ca="1"/>
        <v>0.97567871774548953</v>
      </c>
      <c r="AH3867" s="2" t="str">
        <f ca="1"/>
        <v>Bad</v>
      </c>
    </row>
    <row r="3868" spans="2:34" x14ac:dyDescent="0.2">
      <c r="B3868" s="2">
        <f ca="1"/>
        <v>0.83984148919803325</v>
      </c>
      <c r="O3868" s="2">
        <f ca="1"/>
        <v>-1.3516659490190841</v>
      </c>
      <c r="X3868" s="2">
        <f ca="1"/>
        <v>83.057815660957857</v>
      </c>
      <c r="AG3868" s="2">
        <f ca="1"/>
        <v>0.21008041846134451</v>
      </c>
      <c r="AH3868" s="2" t="str">
        <f ca="1"/>
        <v>OK</v>
      </c>
    </row>
    <row r="3869" spans="2:34" x14ac:dyDescent="0.2">
      <c r="B3869" s="2">
        <f ca="1"/>
        <v>0.38252101698210561</v>
      </c>
      <c r="O3869" s="2">
        <f ca="1"/>
        <v>1.6731225583415972</v>
      </c>
      <c r="X3869" s="2">
        <f ca="1"/>
        <v>52.307690643839273</v>
      </c>
      <c r="AG3869" s="2">
        <f ca="1"/>
        <v>0.17169364203060322</v>
      </c>
      <c r="AH3869" s="2" t="str">
        <f ca="1"/>
        <v>OK</v>
      </c>
    </row>
    <row r="3870" spans="2:34" x14ac:dyDescent="0.2">
      <c r="B3870" s="2">
        <f ca="1"/>
        <v>0.14419522151173858</v>
      </c>
      <c r="O3870" s="2">
        <f ca="1"/>
        <v>0.98075496057066569</v>
      </c>
      <c r="X3870" s="2">
        <f ca="1"/>
        <v>36.148614184644224</v>
      </c>
      <c r="AG3870" s="2">
        <f ca="1"/>
        <v>0.68377351940198894</v>
      </c>
      <c r="AH3870" s="2" t="str">
        <f ca="1"/>
        <v>Bad</v>
      </c>
    </row>
    <row r="3871" spans="2:34" x14ac:dyDescent="0.2">
      <c r="B3871" s="2">
        <f ca="1"/>
        <v>0.23337153263576704</v>
      </c>
      <c r="O3871" s="2">
        <f ca="1"/>
        <v>1.3650420761095923</v>
      </c>
      <c r="X3871" s="2">
        <f ca="1"/>
        <v>44.89180254147179</v>
      </c>
      <c r="AG3871" s="2">
        <f ca="1"/>
        <v>4.327288422032316E-2</v>
      </c>
      <c r="AH3871" s="2" t="str">
        <f ca="1"/>
        <v>Good</v>
      </c>
    </row>
    <row r="3872" spans="2:34" x14ac:dyDescent="0.2">
      <c r="B3872" s="2">
        <f ca="1"/>
        <v>0.86095581596319271</v>
      </c>
      <c r="O3872" s="2">
        <f ca="1"/>
        <v>-0.68973091952474541</v>
      </c>
      <c r="X3872" s="2">
        <f ca="1"/>
        <v>26.481208122339289</v>
      </c>
      <c r="AG3872" s="2">
        <f ca="1"/>
        <v>0.1695816387915885</v>
      </c>
      <c r="AH3872" s="2" t="str">
        <f ca="1"/>
        <v>OK</v>
      </c>
    </row>
    <row r="3873" spans="2:34" x14ac:dyDescent="0.2">
      <c r="B3873" s="2">
        <f ca="1"/>
        <v>0.72506148493941147</v>
      </c>
      <c r="O3873" s="2">
        <f ca="1"/>
        <v>-0.16822101310849974</v>
      </c>
      <c r="X3873" s="2">
        <f ca="1"/>
        <v>64.191459367802835</v>
      </c>
      <c r="AG3873" s="2">
        <f ca="1"/>
        <v>0.30052406604015869</v>
      </c>
      <c r="AH3873" s="2" t="str">
        <f ca="1"/>
        <v>OK</v>
      </c>
    </row>
    <row r="3874" spans="2:34" x14ac:dyDescent="0.2">
      <c r="B3874" s="2">
        <f ca="1"/>
        <v>0.82175275976877615</v>
      </c>
      <c r="O3874" s="2">
        <f ca="1"/>
        <v>-0.12548262824076969</v>
      </c>
      <c r="X3874" s="2">
        <f ca="1"/>
        <v>43.696103732683</v>
      </c>
      <c r="AG3874" s="2">
        <f ca="1"/>
        <v>0.71260198590558899</v>
      </c>
      <c r="AH3874" s="2" t="str">
        <f ca="1"/>
        <v>Bad</v>
      </c>
    </row>
    <row r="3875" spans="2:34" x14ac:dyDescent="0.2">
      <c r="B3875" s="2">
        <f ca="1"/>
        <v>0.10910760614140158</v>
      </c>
      <c r="O3875" s="2">
        <f ca="1"/>
        <v>9.4656740676745413E-2</v>
      </c>
      <c r="X3875" s="2">
        <f ca="1"/>
        <v>56.169673391686445</v>
      </c>
      <c r="AG3875" s="2">
        <f ca="1"/>
        <v>0.27949180713985688</v>
      </c>
      <c r="AH3875" s="2" t="str">
        <f ca="1"/>
        <v>OK</v>
      </c>
    </row>
    <row r="3876" spans="2:34" x14ac:dyDescent="0.2">
      <c r="B3876" s="2">
        <f ca="1"/>
        <v>0.37029819482261095</v>
      </c>
      <c r="O3876" s="2">
        <f ca="1"/>
        <v>-0.93164179148296167</v>
      </c>
      <c r="X3876" s="2">
        <f ca="1"/>
        <v>67.405110326851258</v>
      </c>
      <c r="AG3876" s="2">
        <f ca="1"/>
        <v>0.96666684433496886</v>
      </c>
      <c r="AH3876" s="2" t="str">
        <f ca="1"/>
        <v>Bad</v>
      </c>
    </row>
    <row r="3877" spans="2:34" x14ac:dyDescent="0.2">
      <c r="B3877" s="2">
        <f ca="1"/>
        <v>0.31734920607574835</v>
      </c>
      <c r="O3877" s="2">
        <f ca="1"/>
        <v>-0.23517085456110179</v>
      </c>
      <c r="X3877" s="2">
        <f ca="1"/>
        <v>33.63737292346147</v>
      </c>
      <c r="AG3877" s="2">
        <f ca="1"/>
        <v>0.47003085154287882</v>
      </c>
      <c r="AH3877" s="2" t="str">
        <f ca="1"/>
        <v>Bad</v>
      </c>
    </row>
    <row r="3878" spans="2:34" x14ac:dyDescent="0.2">
      <c r="B3878" s="2">
        <f ca="1"/>
        <v>0.98528975363222937</v>
      </c>
      <c r="O3878" s="2">
        <f ca="1"/>
        <v>1.1501921632369767</v>
      </c>
      <c r="X3878" s="2">
        <f ca="1"/>
        <v>50.008386369292396</v>
      </c>
      <c r="AG3878" s="2">
        <f ca="1"/>
        <v>0.68610950175181062</v>
      </c>
      <c r="AH3878" s="2" t="str">
        <f ca="1"/>
        <v>Bad</v>
      </c>
    </row>
    <row r="3879" spans="2:34" x14ac:dyDescent="0.2">
      <c r="B3879" s="2">
        <f ca="1"/>
        <v>0.43609506136636011</v>
      </c>
      <c r="O3879" s="2">
        <f ca="1"/>
        <v>-0.40328207894898754</v>
      </c>
      <c r="X3879" s="2">
        <f ca="1"/>
        <v>47.47694930947101</v>
      </c>
      <c r="AG3879" s="2">
        <f ca="1"/>
        <v>0.52235507590211006</v>
      </c>
      <c r="AH3879" s="2" t="str">
        <f ca="1"/>
        <v>Bad</v>
      </c>
    </row>
    <row r="3880" spans="2:34" x14ac:dyDescent="0.2">
      <c r="B3880" s="2">
        <f ca="1"/>
        <v>0.8086570232655359</v>
      </c>
      <c r="O3880" s="2">
        <f ca="1"/>
        <v>0.53493334247285995</v>
      </c>
      <c r="X3880" s="2">
        <f ca="1"/>
        <v>36.653891358013396</v>
      </c>
      <c r="AG3880" s="2">
        <f ca="1"/>
        <v>0.77861814290110387</v>
      </c>
      <c r="AH3880" s="2" t="str">
        <f ca="1"/>
        <v>Bad</v>
      </c>
    </row>
    <row r="3881" spans="2:34" x14ac:dyDescent="0.2">
      <c r="B3881" s="2">
        <f ca="1"/>
        <v>0.58702605195305346</v>
      </c>
      <c r="O3881" s="2">
        <f ca="1"/>
        <v>-1.7704945700557095</v>
      </c>
      <c r="X3881" s="2">
        <f ca="1"/>
        <v>83.052510420224735</v>
      </c>
      <c r="AG3881" s="2">
        <f ca="1"/>
        <v>0.69613961672184055</v>
      </c>
      <c r="AH3881" s="2" t="str">
        <f ca="1"/>
        <v>Bad</v>
      </c>
    </row>
    <row r="3882" spans="2:34" x14ac:dyDescent="0.2">
      <c r="B3882" s="2">
        <f ca="1"/>
        <v>0.69714093223066675</v>
      </c>
      <c r="O3882" s="2">
        <f ca="1"/>
        <v>-0.64094378270349506</v>
      </c>
      <c r="X3882" s="2">
        <f ca="1"/>
        <v>30.549482140348005</v>
      </c>
      <c r="AG3882" s="2">
        <f ca="1"/>
        <v>0.71966737472422126</v>
      </c>
      <c r="AH3882" s="2" t="str">
        <f ca="1"/>
        <v>Bad</v>
      </c>
    </row>
    <row r="3883" spans="2:34" x14ac:dyDescent="0.2">
      <c r="B3883" s="2">
        <f ca="1"/>
        <v>2.8790095288764306E-3</v>
      </c>
      <c r="O3883" s="2">
        <f ca="1"/>
        <v>1.085599728083996</v>
      </c>
      <c r="X3883" s="2">
        <f ca="1"/>
        <v>64.383918596909083</v>
      </c>
      <c r="AG3883" s="2">
        <f ca="1"/>
        <v>0.95291156331939875</v>
      </c>
      <c r="AH3883" s="2" t="str">
        <f ca="1"/>
        <v>Bad</v>
      </c>
    </row>
    <row r="3884" spans="2:34" x14ac:dyDescent="0.2">
      <c r="B3884" s="2">
        <f ca="1"/>
        <v>0.73135187844643945</v>
      </c>
      <c r="O3884" s="2">
        <f ca="1"/>
        <v>-0.39943779493439674</v>
      </c>
      <c r="X3884" s="2">
        <f ca="1"/>
        <v>50.422632928992535</v>
      </c>
      <c r="AG3884" s="2">
        <f ca="1"/>
        <v>0.24464510446820831</v>
      </c>
      <c r="AH3884" s="2" t="str">
        <f ca="1"/>
        <v>OK</v>
      </c>
    </row>
    <row r="3885" spans="2:34" x14ac:dyDescent="0.2">
      <c r="B3885" s="2">
        <f ca="1"/>
        <v>0.77552293818813944</v>
      </c>
      <c r="O3885" s="2">
        <f ca="1"/>
        <v>-0.14043148509960043</v>
      </c>
      <c r="X3885" s="2">
        <f ca="1"/>
        <v>51.631581682390845</v>
      </c>
      <c r="AG3885" s="2">
        <f ca="1"/>
        <v>0.59870021666483519</v>
      </c>
      <c r="AH3885" s="2" t="str">
        <f ca="1"/>
        <v>Bad</v>
      </c>
    </row>
    <row r="3886" spans="2:34" x14ac:dyDescent="0.2">
      <c r="B3886" s="2">
        <f ca="1"/>
        <v>0.22803925136263392</v>
      </c>
      <c r="O3886" s="2">
        <f ca="1"/>
        <v>0.9969505549181521</v>
      </c>
      <c r="X3886" s="2">
        <f ca="1"/>
        <v>28.890018510999788</v>
      </c>
      <c r="AG3886" s="2">
        <f ca="1"/>
        <v>0.64191066511275729</v>
      </c>
      <c r="AH3886" s="2" t="str">
        <f ca="1"/>
        <v>Bad</v>
      </c>
    </row>
    <row r="3887" spans="2:34" x14ac:dyDescent="0.2">
      <c r="B3887" s="2">
        <f ca="1"/>
        <v>5.0770299145779241E-2</v>
      </c>
      <c r="O3887" s="2">
        <f ca="1"/>
        <v>0.21577350885477908</v>
      </c>
      <c r="X3887" s="2">
        <f ca="1"/>
        <v>60.098033417839368</v>
      </c>
      <c r="AG3887" s="2">
        <f ca="1"/>
        <v>0.55296561748692974</v>
      </c>
      <c r="AH3887" s="2" t="str">
        <f ca="1"/>
        <v>Bad</v>
      </c>
    </row>
    <row r="3888" spans="2:34" x14ac:dyDescent="0.2">
      <c r="B3888" s="2">
        <f ca="1"/>
        <v>0.98797413774022602</v>
      </c>
      <c r="O3888" s="2">
        <f ca="1"/>
        <v>-0.53495013468413122</v>
      </c>
      <c r="X3888" s="2">
        <f ca="1"/>
        <v>45.565613116785713</v>
      </c>
      <c r="AG3888" s="2">
        <f ca="1"/>
        <v>0.35458829928533731</v>
      </c>
      <c r="AH3888" s="2" t="str">
        <f ca="1"/>
        <v>OK</v>
      </c>
    </row>
    <row r="3889" spans="2:34" x14ac:dyDescent="0.2">
      <c r="B3889" s="2">
        <f ca="1"/>
        <v>0.92973510206958365</v>
      </c>
      <c r="O3889" s="2">
        <f ca="1"/>
        <v>0.9720931951688685</v>
      </c>
      <c r="X3889" s="2">
        <f ca="1"/>
        <v>68.740859340877279</v>
      </c>
      <c r="AG3889" s="2">
        <f ca="1"/>
        <v>0.61516501493364961</v>
      </c>
      <c r="AH3889" s="2" t="str">
        <f ca="1"/>
        <v>Bad</v>
      </c>
    </row>
    <row r="3890" spans="2:34" x14ac:dyDescent="0.2">
      <c r="B3890" s="2">
        <f ca="1"/>
        <v>0.73469795053533238</v>
      </c>
      <c r="O3890" s="2">
        <f ca="1"/>
        <v>-0.37806287632651209</v>
      </c>
      <c r="X3890" s="2">
        <f ca="1"/>
        <v>56.725144123694513</v>
      </c>
      <c r="AG3890" s="2">
        <f ca="1"/>
        <v>0.11242178527233615</v>
      </c>
      <c r="AH3890" s="2" t="str">
        <f ca="1"/>
        <v>OK</v>
      </c>
    </row>
    <row r="3891" spans="2:34" x14ac:dyDescent="0.2">
      <c r="B3891" s="2">
        <f ca="1"/>
        <v>0.38452252151456601</v>
      </c>
      <c r="O3891" s="2">
        <f ca="1"/>
        <v>-1.3206684411250973</v>
      </c>
      <c r="X3891" s="2">
        <f ca="1"/>
        <v>40.600849705252251</v>
      </c>
      <c r="AG3891" s="2">
        <f ca="1"/>
        <v>0.86555980781259589</v>
      </c>
      <c r="AH3891" s="2" t="str">
        <f ca="1"/>
        <v>Bad</v>
      </c>
    </row>
    <row r="3892" spans="2:34" x14ac:dyDescent="0.2">
      <c r="B3892" s="2">
        <f ca="1"/>
        <v>0.92703698964671211</v>
      </c>
      <c r="O3892" s="2">
        <f ca="1"/>
        <v>0.84734367778561759</v>
      </c>
      <c r="X3892" s="2">
        <f ca="1"/>
        <v>39.165985410658507</v>
      </c>
      <c r="AG3892" s="2">
        <f ca="1"/>
        <v>0.39942620961384101</v>
      </c>
      <c r="AH3892" s="2" t="str">
        <f ca="1"/>
        <v>OK</v>
      </c>
    </row>
    <row r="3893" spans="2:34" x14ac:dyDescent="0.2">
      <c r="B3893" s="2">
        <f ca="1"/>
        <v>0.40538412796602352</v>
      </c>
      <c r="O3893" s="2">
        <f ca="1"/>
        <v>-0.86086892078001953</v>
      </c>
      <c r="X3893" s="2">
        <f ca="1"/>
        <v>45.345780607045725</v>
      </c>
      <c r="AG3893" s="2">
        <f ca="1"/>
        <v>0.52768737114314046</v>
      </c>
      <c r="AH3893" s="2" t="str">
        <f ca="1"/>
        <v>Bad</v>
      </c>
    </row>
    <row r="3894" spans="2:34" x14ac:dyDescent="0.2">
      <c r="B3894" s="2">
        <f ca="1"/>
        <v>0.66032180591212053</v>
      </c>
      <c r="O3894" s="2">
        <f ca="1"/>
        <v>0.70828973077423951</v>
      </c>
      <c r="X3894" s="2">
        <f ca="1"/>
        <v>36.479163726054871</v>
      </c>
      <c r="AG3894" s="2">
        <f ca="1"/>
        <v>0.74547358544333542</v>
      </c>
      <c r="AH3894" s="2" t="str">
        <f ca="1"/>
        <v>Bad</v>
      </c>
    </row>
    <row r="3895" spans="2:34" x14ac:dyDescent="0.2">
      <c r="B3895" s="2">
        <f ca="1"/>
        <v>8.5395755624632086E-2</v>
      </c>
      <c r="O3895" s="2">
        <f ca="1"/>
        <v>-0.82674759068485293</v>
      </c>
      <c r="X3895" s="2">
        <f ca="1"/>
        <v>73.162074245712375</v>
      </c>
      <c r="AG3895" s="2">
        <f ca="1"/>
        <v>0.95273008255752134</v>
      </c>
      <c r="AH3895" s="2" t="str">
        <f ca="1"/>
        <v>Bad</v>
      </c>
    </row>
    <row r="3896" spans="2:34" x14ac:dyDescent="0.2">
      <c r="B3896" s="2">
        <f ca="1"/>
        <v>0.86775886842388483</v>
      </c>
      <c r="O3896" s="2">
        <f ca="1"/>
        <v>0.18121859788114222</v>
      </c>
      <c r="X3896" s="2">
        <f ca="1"/>
        <v>32.623590532786899</v>
      </c>
      <c r="AG3896" s="2">
        <f ca="1"/>
        <v>0.77169342684293274</v>
      </c>
      <c r="AH3896" s="2" t="str">
        <f ca="1"/>
        <v>Bad</v>
      </c>
    </row>
    <row r="3897" spans="2:34" x14ac:dyDescent="0.2">
      <c r="B3897" s="2">
        <f ca="1"/>
        <v>6.1856205244439355E-3</v>
      </c>
      <c r="O3897" s="2">
        <f ca="1"/>
        <v>-0.61702608565001893</v>
      </c>
      <c r="X3897" s="2">
        <f ca="1"/>
        <v>63.721556143822589</v>
      </c>
      <c r="AG3897" s="2">
        <f ca="1"/>
        <v>9.235176250843935E-2</v>
      </c>
      <c r="AH3897" s="2" t="str">
        <f ca="1"/>
        <v>OK</v>
      </c>
    </row>
    <row r="3898" spans="2:34" x14ac:dyDescent="0.2">
      <c r="B3898" s="2">
        <f ca="1"/>
        <v>0.6521316727503399</v>
      </c>
      <c r="O3898" s="2">
        <f ca="1"/>
        <v>-0.69977449431176775</v>
      </c>
      <c r="X3898" s="2">
        <f ca="1"/>
        <v>61.608795027978509</v>
      </c>
      <c r="AG3898" s="2">
        <f ca="1"/>
        <v>0.34309857217265205</v>
      </c>
      <c r="AH3898" s="2" t="str">
        <f ca="1"/>
        <v>OK</v>
      </c>
    </row>
    <row r="3899" spans="2:34" x14ac:dyDescent="0.2">
      <c r="B3899" s="2">
        <f ca="1"/>
        <v>0.79414320939941896</v>
      </c>
      <c r="O3899" s="2">
        <f ca="1"/>
        <v>-1.192847328972795</v>
      </c>
      <c r="X3899" s="2">
        <f ca="1"/>
        <v>38.488774442219487</v>
      </c>
      <c r="AG3899" s="2">
        <f ca="1"/>
        <v>0.38121984416736798</v>
      </c>
      <c r="AH3899" s="2" t="str">
        <f ca="1"/>
        <v>OK</v>
      </c>
    </row>
    <row r="3900" spans="2:34" x14ac:dyDescent="0.2">
      <c r="B3900" s="2">
        <f ca="1"/>
        <v>0.90097579859899235</v>
      </c>
      <c r="O3900" s="2">
        <f ca="1"/>
        <v>-1.6421900419834115E-2</v>
      </c>
      <c r="X3900" s="2">
        <f ca="1"/>
        <v>48.091375636476499</v>
      </c>
      <c r="AG3900" s="2">
        <f ca="1"/>
        <v>0.48945354460147739</v>
      </c>
      <c r="AH3900" s="2" t="str">
        <f ca="1"/>
        <v>Bad</v>
      </c>
    </row>
    <row r="3901" spans="2:34" x14ac:dyDescent="0.2">
      <c r="B3901" s="2">
        <f ca="1"/>
        <v>0.99137276352555581</v>
      </c>
      <c r="O3901" s="2">
        <f ca="1"/>
        <v>0.59142319898885953</v>
      </c>
      <c r="X3901" s="2">
        <f ca="1"/>
        <v>45.764614837464272</v>
      </c>
      <c r="AG3901" s="2">
        <f ca="1"/>
        <v>4.3828100476934528E-2</v>
      </c>
      <c r="AH3901" s="2" t="str">
        <f ca="1"/>
        <v>Good</v>
      </c>
    </row>
    <row r="3902" spans="2:34" x14ac:dyDescent="0.2">
      <c r="B3902" s="2">
        <f ca="1"/>
        <v>0.83523394743194257</v>
      </c>
      <c r="O3902" s="2">
        <f ca="1"/>
        <v>-1.8905037830393157</v>
      </c>
      <c r="X3902" s="2">
        <f ca="1"/>
        <v>67.386185820024778</v>
      </c>
      <c r="AG3902" s="2">
        <f ca="1"/>
        <v>0.28847383744821298</v>
      </c>
      <c r="AH3902" s="2" t="str">
        <f ca="1"/>
        <v>OK</v>
      </c>
    </row>
    <row r="3903" spans="2:34" x14ac:dyDescent="0.2">
      <c r="B3903" s="2">
        <f ca="1"/>
        <v>0.61028080448619848</v>
      </c>
      <c r="O3903" s="2">
        <f ca="1"/>
        <v>-0.77795528655246715</v>
      </c>
      <c r="X3903" s="2">
        <f ca="1"/>
        <v>65.392577898534412</v>
      </c>
      <c r="AG3903" s="2">
        <f ca="1"/>
        <v>9.5800357327111785E-2</v>
      </c>
      <c r="AH3903" s="2" t="str">
        <f ca="1"/>
        <v>OK</v>
      </c>
    </row>
    <row r="3904" spans="2:34" x14ac:dyDescent="0.2">
      <c r="B3904" s="2">
        <f ca="1"/>
        <v>0.35212679513609357</v>
      </c>
      <c r="O3904" s="2">
        <f ca="1"/>
        <v>1.1694560122444493</v>
      </c>
      <c r="X3904" s="2">
        <f ca="1"/>
        <v>45.410973667792064</v>
      </c>
      <c r="AG3904" s="2">
        <f ca="1"/>
        <v>0.41767652766825547</v>
      </c>
      <c r="AH3904" s="2" t="str">
        <f ca="1"/>
        <v>Bad</v>
      </c>
    </row>
    <row r="3905" spans="2:34" x14ac:dyDescent="0.2">
      <c r="B3905" s="2">
        <f ca="1"/>
        <v>0.4856008569329211</v>
      </c>
      <c r="O3905" s="2">
        <f ca="1"/>
        <v>0.60825423431303494</v>
      </c>
      <c r="X3905" s="2">
        <f ca="1"/>
        <v>56.132111954713466</v>
      </c>
      <c r="AG3905" s="2">
        <f ca="1"/>
        <v>0.32954416359047989</v>
      </c>
      <c r="AH3905" s="2" t="str">
        <f ca="1"/>
        <v>OK</v>
      </c>
    </row>
    <row r="3906" spans="2:34" x14ac:dyDescent="0.2">
      <c r="B3906" s="2">
        <f ca="1"/>
        <v>0.44932073164986974</v>
      </c>
      <c r="O3906" s="2">
        <f ca="1"/>
        <v>-1.5032660368965904</v>
      </c>
      <c r="X3906" s="2">
        <f ca="1"/>
        <v>68.571391698742957</v>
      </c>
      <c r="AG3906" s="2">
        <f ca="1"/>
        <v>0.33105133868926107</v>
      </c>
      <c r="AH3906" s="2" t="str">
        <f ca="1"/>
        <v>OK</v>
      </c>
    </row>
    <row r="3907" spans="2:34" x14ac:dyDescent="0.2">
      <c r="B3907" s="2">
        <f ca="1"/>
        <v>0.81008205192673755</v>
      </c>
      <c r="O3907" s="2">
        <f ca="1"/>
        <v>-3.3633784898621781E-2</v>
      </c>
      <c r="X3907" s="2">
        <f ca="1"/>
        <v>42.911416861287734</v>
      </c>
      <c r="AG3907" s="2">
        <f ca="1"/>
        <v>8.6957705302388444E-2</v>
      </c>
      <c r="AH3907" s="2" t="str">
        <f ca="1"/>
        <v>OK</v>
      </c>
    </row>
    <row r="3908" spans="2:34" x14ac:dyDescent="0.2">
      <c r="B3908" s="2">
        <f ca="1"/>
        <v>0.91810536019453215</v>
      </c>
      <c r="O3908" s="2">
        <f ca="1"/>
        <v>1.6536305571208958</v>
      </c>
      <c r="X3908" s="2">
        <f ca="1"/>
        <v>66.87292934826776</v>
      </c>
      <c r="AG3908" s="2">
        <f ca="1"/>
        <v>0.70674528647379131</v>
      </c>
      <c r="AH3908" s="2" t="str">
        <f ca="1"/>
        <v>Bad</v>
      </c>
    </row>
    <row r="3909" spans="2:34" x14ac:dyDescent="0.2">
      <c r="B3909" s="2">
        <f ca="1"/>
        <v>7.6185439872325178E-2</v>
      </c>
      <c r="O3909" s="2">
        <f ca="1"/>
        <v>-0.59853761042478648</v>
      </c>
      <c r="X3909" s="2">
        <f ca="1"/>
        <v>69.577923229866897</v>
      </c>
      <c r="AG3909" s="2">
        <f ca="1"/>
        <v>0.60078740275375786</v>
      </c>
      <c r="AH3909" s="2" t="str">
        <f ca="1"/>
        <v>Bad</v>
      </c>
    </row>
    <row r="3910" spans="2:34" x14ac:dyDescent="0.2">
      <c r="B3910" s="2">
        <f ca="1"/>
        <v>0.10537758816029719</v>
      </c>
      <c r="O3910" s="2">
        <f ca="1"/>
        <v>-1.3875416192461429</v>
      </c>
      <c r="X3910" s="2">
        <f ca="1"/>
        <v>72.659253407920886</v>
      </c>
      <c r="AG3910" s="2">
        <f ca="1"/>
        <v>0.82939465393762601</v>
      </c>
      <c r="AH3910" s="2" t="str">
        <f ca="1"/>
        <v>Bad</v>
      </c>
    </row>
    <row r="3911" spans="2:34" x14ac:dyDescent="0.2">
      <c r="B3911" s="2">
        <f ca="1"/>
        <v>0.40564502906007771</v>
      </c>
      <c r="O3911" s="2">
        <f ca="1"/>
        <v>-1.7761772672570135</v>
      </c>
      <c r="X3911" s="2">
        <f ca="1"/>
        <v>55.567660238124517</v>
      </c>
      <c r="AG3911" s="2">
        <f ca="1"/>
        <v>0.67476627960833002</v>
      </c>
      <c r="AH3911" s="2" t="str">
        <f ca="1"/>
        <v>Bad</v>
      </c>
    </row>
    <row r="3912" spans="2:34" x14ac:dyDescent="0.2">
      <c r="B3912" s="2">
        <f ca="1"/>
        <v>0.76977337583890981</v>
      </c>
      <c r="O3912" s="2">
        <f ca="1"/>
        <v>-0.95741833739235338</v>
      </c>
      <c r="X3912" s="2">
        <f ca="1"/>
        <v>63.355739169301614</v>
      </c>
      <c r="AG3912" s="2">
        <f ca="1"/>
        <v>0.67399329695794741</v>
      </c>
      <c r="AH3912" s="2" t="str">
        <f ca="1"/>
        <v>Bad</v>
      </c>
    </row>
    <row r="3913" spans="2:34" x14ac:dyDescent="0.2">
      <c r="B3913" s="2">
        <f ca="1"/>
        <v>0.38633325528031714</v>
      </c>
      <c r="O3913" s="2">
        <f ca="1"/>
        <v>4.5930936887372958E-2</v>
      </c>
      <c r="X3913" s="2">
        <f ca="1"/>
        <v>74.448388855213196</v>
      </c>
      <c r="AG3913" s="2">
        <f ca="1"/>
        <v>0.81454094764142915</v>
      </c>
      <c r="AH3913" s="2" t="str">
        <f ca="1"/>
        <v>Bad</v>
      </c>
    </row>
    <row r="3914" spans="2:34" x14ac:dyDescent="0.2">
      <c r="B3914" s="2">
        <f ca="1"/>
        <v>0.31414390094853206</v>
      </c>
      <c r="O3914" s="2">
        <f ca="1"/>
        <v>6.8879846873497033E-2</v>
      </c>
      <c r="X3914" s="2">
        <f ca="1"/>
        <v>29.706847639842987</v>
      </c>
      <c r="AG3914" s="2">
        <f ca="1"/>
        <v>0.20101749693928372</v>
      </c>
      <c r="AH3914" s="2" t="str">
        <f ca="1"/>
        <v>OK</v>
      </c>
    </row>
    <row r="3915" spans="2:34" x14ac:dyDescent="0.2">
      <c r="B3915" s="2">
        <f ca="1"/>
        <v>0.80378234118786374</v>
      </c>
      <c r="O3915" s="2">
        <f ca="1"/>
        <v>-1.196905944227497</v>
      </c>
      <c r="X3915" s="2">
        <f ca="1"/>
        <v>39.916069247216996</v>
      </c>
      <c r="AG3915" s="2">
        <f ca="1"/>
        <v>0.26770802020508389</v>
      </c>
      <c r="AH3915" s="2" t="str">
        <f ca="1"/>
        <v>OK</v>
      </c>
    </row>
    <row r="3916" spans="2:34" x14ac:dyDescent="0.2">
      <c r="B3916" s="2">
        <f ca="1"/>
        <v>0.32301345259709913</v>
      </c>
      <c r="O3916" s="2">
        <f ca="1"/>
        <v>1.4599906332813457</v>
      </c>
      <c r="X3916" s="2">
        <f ca="1"/>
        <v>51.701194766268557</v>
      </c>
      <c r="AG3916" s="2">
        <f ca="1"/>
        <v>0.31730334213292388</v>
      </c>
      <c r="AH3916" s="2" t="str">
        <f ca="1"/>
        <v>OK</v>
      </c>
    </row>
    <row r="3917" spans="2:34" x14ac:dyDescent="0.2">
      <c r="B3917" s="2">
        <f ca="1"/>
        <v>0.60769474172124438</v>
      </c>
      <c r="O3917" s="2">
        <f ca="1"/>
        <v>-7.0117333011534139E-2</v>
      </c>
      <c r="X3917" s="2">
        <f ca="1"/>
        <v>45.220006728754569</v>
      </c>
      <c r="AG3917" s="2">
        <f ca="1"/>
        <v>9.8028587354875185E-2</v>
      </c>
      <c r="AH3917" s="2" t="str">
        <f ca="1"/>
        <v>OK</v>
      </c>
    </row>
    <row r="3918" spans="2:34" x14ac:dyDescent="0.2">
      <c r="B3918" s="2">
        <f ca="1"/>
        <v>0.10996827129985687</v>
      </c>
      <c r="O3918" s="2">
        <f ca="1"/>
        <v>0.9078309936592065</v>
      </c>
      <c r="X3918" s="2">
        <f ca="1"/>
        <v>60.487843544280153</v>
      </c>
      <c r="AG3918" s="2">
        <f ca="1"/>
        <v>9.6072239084320499E-2</v>
      </c>
      <c r="AH3918" s="2" t="str">
        <f ca="1"/>
        <v>OK</v>
      </c>
    </row>
    <row r="3919" spans="2:34" x14ac:dyDescent="0.2">
      <c r="B3919" s="2">
        <f ca="1"/>
        <v>0.85007735666897388</v>
      </c>
      <c r="O3919" s="2">
        <f ca="1"/>
        <v>1.2839988830697544</v>
      </c>
      <c r="X3919" s="2">
        <f ca="1"/>
        <v>60.126236116353283</v>
      </c>
      <c r="AG3919" s="2">
        <f ca="1"/>
        <v>0.44550015404661258</v>
      </c>
      <c r="AH3919" s="2" t="str">
        <f ca="1"/>
        <v>Bad</v>
      </c>
    </row>
    <row r="3920" spans="2:34" x14ac:dyDescent="0.2">
      <c r="B3920" s="2">
        <f ca="1"/>
        <v>8.7577338133680405E-2</v>
      </c>
      <c r="O3920" s="2">
        <f ca="1"/>
        <v>0.36509517025995519</v>
      </c>
      <c r="X3920" s="2">
        <f ca="1"/>
        <v>61.491841531323111</v>
      </c>
      <c r="AG3920" s="2">
        <f ca="1"/>
        <v>0.71831011511073117</v>
      </c>
      <c r="AH3920" s="2" t="str">
        <f ca="1"/>
        <v>Bad</v>
      </c>
    </row>
    <row r="3921" spans="2:34" x14ac:dyDescent="0.2">
      <c r="B3921" s="2">
        <f ca="1"/>
        <v>0.37982093136754269</v>
      </c>
      <c r="O3921" s="2">
        <f ca="1"/>
        <v>-1.1762368919557253</v>
      </c>
      <c r="X3921" s="2">
        <f ca="1"/>
        <v>37.77206868330704</v>
      </c>
      <c r="AG3921" s="2">
        <f ca="1"/>
        <v>0.77527386014426258</v>
      </c>
      <c r="AH3921" s="2" t="str">
        <f ca="1"/>
        <v>Bad</v>
      </c>
    </row>
    <row r="3922" spans="2:34" x14ac:dyDescent="0.2">
      <c r="B3922" s="2">
        <f ca="1"/>
        <v>0.28784293564502783</v>
      </c>
      <c r="O3922" s="2">
        <f ca="1"/>
        <v>-0.65088436118428317</v>
      </c>
      <c r="X3922" s="2">
        <f ca="1"/>
        <v>53.643241050075538</v>
      </c>
      <c r="AG3922" s="2">
        <f ca="1"/>
        <v>0.12043935720247734</v>
      </c>
      <c r="AH3922" s="2" t="str">
        <f ca="1"/>
        <v>OK</v>
      </c>
    </row>
    <row r="3923" spans="2:34" x14ac:dyDescent="0.2">
      <c r="B3923" s="2">
        <f ca="1"/>
        <v>0.29138319294337811</v>
      </c>
      <c r="O3923" s="2">
        <f ca="1"/>
        <v>1.4997762473596206</v>
      </c>
      <c r="X3923" s="2">
        <f ca="1"/>
        <v>38.941187211183752</v>
      </c>
      <c r="AG3923" s="2">
        <f ca="1"/>
        <v>0.44326766716755439</v>
      </c>
      <c r="AH3923" s="2" t="str">
        <f ca="1"/>
        <v>Bad</v>
      </c>
    </row>
    <row r="3924" spans="2:34" x14ac:dyDescent="0.2">
      <c r="B3924" s="2">
        <f ca="1"/>
        <v>0.72597213805288319</v>
      </c>
      <c r="O3924" s="2">
        <f ca="1"/>
        <v>-1.6507453556864908</v>
      </c>
      <c r="X3924" s="2">
        <f ca="1"/>
        <v>44.694121420973914</v>
      </c>
      <c r="AG3924" s="2">
        <f ca="1"/>
        <v>0.43305080169442278</v>
      </c>
      <c r="AH3924" s="2" t="str">
        <f ca="1"/>
        <v>Bad</v>
      </c>
    </row>
    <row r="3925" spans="2:34" x14ac:dyDescent="0.2">
      <c r="B3925" s="2">
        <f ca="1"/>
        <v>0.45443655333116406</v>
      </c>
      <c r="O3925" s="2">
        <f ca="1"/>
        <v>3.7003842801748503E-2</v>
      </c>
      <c r="X3925" s="2">
        <f ca="1"/>
        <v>29.303456816126022</v>
      </c>
      <c r="AG3925" s="2">
        <f ca="1"/>
        <v>0.63751341640692138</v>
      </c>
      <c r="AH3925" s="2" t="str">
        <f ca="1"/>
        <v>Bad</v>
      </c>
    </row>
    <row r="3926" spans="2:34" x14ac:dyDescent="0.2">
      <c r="B3926" s="2">
        <f ca="1"/>
        <v>0.49757259545116717</v>
      </c>
      <c r="O3926" s="2">
        <f ca="1"/>
        <v>-0.68695843462160611</v>
      </c>
      <c r="X3926" s="2">
        <f ca="1"/>
        <v>46.813579053442112</v>
      </c>
      <c r="AG3926" s="2">
        <f ca="1"/>
        <v>0.65171451897635779</v>
      </c>
      <c r="AH3926" s="2" t="str">
        <f ca="1"/>
        <v>Bad</v>
      </c>
    </row>
    <row r="3927" spans="2:34" x14ac:dyDescent="0.2">
      <c r="B3927" s="2">
        <f ca="1"/>
        <v>6.5532902323844455E-2</v>
      </c>
      <c r="O3927" s="2">
        <f ca="1"/>
        <v>3.6525421938097172E-2</v>
      </c>
      <c r="X3927" s="2">
        <f ca="1"/>
        <v>28.86878201493511</v>
      </c>
      <c r="AG3927" s="2">
        <f ca="1"/>
        <v>0.22921751114282407</v>
      </c>
      <c r="AH3927" s="2" t="str">
        <f ca="1"/>
        <v>OK</v>
      </c>
    </row>
    <row r="3928" spans="2:34" x14ac:dyDescent="0.2">
      <c r="B3928" s="2">
        <f ca="1"/>
        <v>0.3669100765754143</v>
      </c>
      <c r="O3928" s="2">
        <f ca="1"/>
        <v>-0.18695804731904414</v>
      </c>
      <c r="X3928" s="2">
        <f ca="1"/>
        <v>68.731956656395596</v>
      </c>
      <c r="AG3928" s="2">
        <f ca="1"/>
        <v>0.92154963322536387</v>
      </c>
      <c r="AH3928" s="2" t="str">
        <f ca="1"/>
        <v>Bad</v>
      </c>
    </row>
    <row r="3929" spans="2:34" x14ac:dyDescent="0.2">
      <c r="B3929" s="2">
        <f ca="1"/>
        <v>0.90435082088763341</v>
      </c>
      <c r="O3929" s="2">
        <f ca="1"/>
        <v>-0.13373310429790961</v>
      </c>
      <c r="X3929" s="2">
        <f ca="1"/>
        <v>43.709277820546824</v>
      </c>
      <c r="AG3929" s="2">
        <f ca="1"/>
        <v>0.60402979081068398</v>
      </c>
      <c r="AH3929" s="2" t="str">
        <f ca="1"/>
        <v>Bad</v>
      </c>
    </row>
    <row r="3930" spans="2:34" x14ac:dyDescent="0.2">
      <c r="B3930" s="2">
        <f ca="1"/>
        <v>0.16200010314542124</v>
      </c>
      <c r="O3930" s="2">
        <f ca="1"/>
        <v>0.16915662612879837</v>
      </c>
      <c r="X3930" s="2">
        <f ca="1"/>
        <v>45.986911230999567</v>
      </c>
      <c r="AG3930" s="2">
        <f ca="1"/>
        <v>0.67506602249668135</v>
      </c>
      <c r="AH3930" s="2" t="str">
        <f ca="1"/>
        <v>Bad</v>
      </c>
    </row>
    <row r="3931" spans="2:34" x14ac:dyDescent="0.2">
      <c r="B3931" s="2">
        <f ca="1"/>
        <v>0.23624510014926314</v>
      </c>
      <c r="O3931" s="2">
        <f ca="1"/>
        <v>-0.5068116128939405</v>
      </c>
      <c r="X3931" s="2">
        <f ca="1"/>
        <v>68.610160079897341</v>
      </c>
      <c r="AG3931" s="2">
        <f ca="1"/>
        <v>0.76767870500470092</v>
      </c>
      <c r="AH3931" s="2" t="str">
        <f ca="1"/>
        <v>Bad</v>
      </c>
    </row>
    <row r="3932" spans="2:34" x14ac:dyDescent="0.2">
      <c r="B3932" s="2">
        <f ca="1"/>
        <v>0.55992196749716472</v>
      </c>
      <c r="O3932" s="2">
        <f ca="1"/>
        <v>-1.6544380708567596</v>
      </c>
      <c r="X3932" s="2">
        <f ca="1"/>
        <v>50.486307310758363</v>
      </c>
      <c r="AG3932" s="2">
        <f ca="1"/>
        <v>2.0408915574153363E-2</v>
      </c>
      <c r="AH3932" s="2" t="str">
        <f ca="1"/>
        <v>Good</v>
      </c>
    </row>
    <row r="3933" spans="2:34" x14ac:dyDescent="0.2">
      <c r="B3933" s="2">
        <f ca="1"/>
        <v>0.36088772061560337</v>
      </c>
      <c r="O3933" s="2">
        <f ca="1"/>
        <v>1.6804739263186708</v>
      </c>
      <c r="X3933" s="2">
        <f ca="1"/>
        <v>60.635032952061223</v>
      </c>
      <c r="AG3933" s="2">
        <f ca="1"/>
        <v>0.31262635400341154</v>
      </c>
      <c r="AH3933" s="2" t="str">
        <f ca="1"/>
        <v>OK</v>
      </c>
    </row>
    <row r="3934" spans="2:34" x14ac:dyDescent="0.2">
      <c r="B3934" s="2">
        <f ca="1"/>
        <v>0.10687546468865472</v>
      </c>
      <c r="O3934" s="2">
        <f ca="1"/>
        <v>-0.32019698004689096</v>
      </c>
      <c r="X3934" s="2">
        <f ca="1"/>
        <v>62.646288711459633</v>
      </c>
      <c r="AG3934" s="2">
        <f ca="1"/>
        <v>0.2867972518078501</v>
      </c>
      <c r="AH3934" s="2" t="str">
        <f ca="1"/>
        <v>OK</v>
      </c>
    </row>
    <row r="3935" spans="2:34" x14ac:dyDescent="0.2">
      <c r="B3935" s="2">
        <f ca="1"/>
        <v>0.9956195915153101</v>
      </c>
      <c r="O3935" s="2">
        <f ca="1"/>
        <v>-0.94453449836237191</v>
      </c>
      <c r="X3935" s="2">
        <f ca="1"/>
        <v>66.510568656076686</v>
      </c>
      <c r="AG3935" s="2">
        <f ca="1"/>
        <v>0.18537070920356369</v>
      </c>
      <c r="AH3935" s="2" t="str">
        <f ca="1"/>
        <v>OK</v>
      </c>
    </row>
    <row r="3936" spans="2:34" x14ac:dyDescent="0.2">
      <c r="B3936" s="2">
        <f ca="1"/>
        <v>0.8448861827498042</v>
      </c>
      <c r="O3936" s="2">
        <f ca="1"/>
        <v>0.48246857318265757</v>
      </c>
      <c r="X3936" s="2">
        <f ca="1"/>
        <v>37.270658614885726</v>
      </c>
      <c r="AG3936" s="2">
        <f ca="1"/>
        <v>0.3119996077056546</v>
      </c>
      <c r="AH3936" s="2" t="str">
        <f ca="1"/>
        <v>OK</v>
      </c>
    </row>
    <row r="3937" spans="2:34" x14ac:dyDescent="0.2">
      <c r="B3937" s="2">
        <f ca="1"/>
        <v>6.4134588888801636E-2</v>
      </c>
      <c r="O3937" s="2">
        <f ca="1"/>
        <v>-0.67940426006938837</v>
      </c>
      <c r="X3937" s="2">
        <f ca="1"/>
        <v>42.687041098843054</v>
      </c>
      <c r="AG3937" s="2">
        <f ca="1"/>
        <v>0.9947016710446972</v>
      </c>
      <c r="AH3937" s="2" t="str">
        <f ca="1"/>
        <v>Bad</v>
      </c>
    </row>
    <row r="3938" spans="2:34" x14ac:dyDescent="0.2">
      <c r="B3938" s="2">
        <f ca="1"/>
        <v>0.60780469770575718</v>
      </c>
      <c r="O3938" s="2">
        <f ca="1"/>
        <v>0.75768760607371255</v>
      </c>
      <c r="X3938" s="2">
        <f ca="1"/>
        <v>49.543514554006165</v>
      </c>
      <c r="AG3938" s="2">
        <f ca="1"/>
        <v>0.94628055898901065</v>
      </c>
      <c r="AH3938" s="2" t="str">
        <f ca="1"/>
        <v>Bad</v>
      </c>
    </row>
    <row r="3939" spans="2:34" x14ac:dyDescent="0.2">
      <c r="B3939" s="2">
        <f ca="1"/>
        <v>0.93909785437206583</v>
      </c>
      <c r="O3939" s="2">
        <f ca="1"/>
        <v>1.6541789217964624</v>
      </c>
      <c r="X3939" s="2">
        <f ca="1"/>
        <v>49.004268144101886</v>
      </c>
      <c r="AG3939" s="2">
        <f ca="1"/>
        <v>0.31212850668791248</v>
      </c>
      <c r="AH3939" s="2" t="str">
        <f ca="1"/>
        <v>OK</v>
      </c>
    </row>
    <row r="3940" spans="2:34" x14ac:dyDescent="0.2">
      <c r="B3940" s="2">
        <f ca="1"/>
        <v>7.9841464460229439E-2</v>
      </c>
      <c r="O3940" s="2">
        <f ca="1"/>
        <v>-0.25755935719836509</v>
      </c>
      <c r="X3940" s="2">
        <f ca="1"/>
        <v>67.700117360626919</v>
      </c>
      <c r="AG3940" s="2">
        <f ca="1"/>
        <v>0.73096452957538394</v>
      </c>
      <c r="AH3940" s="2" t="str">
        <f ca="1"/>
        <v>Bad</v>
      </c>
    </row>
    <row r="3941" spans="2:34" x14ac:dyDescent="0.2">
      <c r="B3941" s="2">
        <f ca="1"/>
        <v>0.24588528535466736</v>
      </c>
      <c r="O3941" s="2">
        <f ca="1"/>
        <v>-0.4408619219956097</v>
      </c>
      <c r="X3941" s="2">
        <f ca="1"/>
        <v>38.727616341985886</v>
      </c>
      <c r="AG3941" s="2">
        <f ca="1"/>
        <v>0.28216475219203474</v>
      </c>
      <c r="AH3941" s="2" t="str">
        <f ca="1"/>
        <v>OK</v>
      </c>
    </row>
    <row r="3942" spans="2:34" x14ac:dyDescent="0.2">
      <c r="B3942" s="2">
        <f ca="1"/>
        <v>0.23997452174406231</v>
      </c>
      <c r="O3942" s="2">
        <f ca="1"/>
        <v>0.96562779508877972</v>
      </c>
      <c r="X3942" s="2">
        <f ca="1"/>
        <v>46.153776096786103</v>
      </c>
      <c r="AG3942" s="2">
        <f ca="1"/>
        <v>6.3202464671347158E-2</v>
      </c>
      <c r="AH3942" s="2" t="str">
        <f ca="1"/>
        <v>OK</v>
      </c>
    </row>
    <row r="3943" spans="2:34" x14ac:dyDescent="0.2">
      <c r="B3943" s="2">
        <f ca="1"/>
        <v>0.51637396855629714</v>
      </c>
      <c r="O3943" s="2">
        <f ca="1"/>
        <v>-0.7768124322059301</v>
      </c>
      <c r="X3943" s="2">
        <f ca="1"/>
        <v>57.881716639003223</v>
      </c>
      <c r="AG3943" s="2">
        <f ca="1"/>
        <v>0.26859356541772716</v>
      </c>
      <c r="AH3943" s="2" t="str">
        <f ca="1"/>
        <v>OK</v>
      </c>
    </row>
    <row r="3944" spans="2:34" x14ac:dyDescent="0.2">
      <c r="B3944" s="2">
        <f ca="1"/>
        <v>3.4224508735270831E-2</v>
      </c>
      <c r="O3944" s="2">
        <f ca="1"/>
        <v>2.7529326403299472</v>
      </c>
      <c r="X3944" s="2">
        <f ca="1"/>
        <v>37.877662331653028</v>
      </c>
      <c r="AG3944" s="2">
        <f ca="1"/>
        <v>0.20000911895290363</v>
      </c>
      <c r="AH3944" s="2" t="str">
        <f ca="1"/>
        <v>OK</v>
      </c>
    </row>
    <row r="3945" spans="2:34" x14ac:dyDescent="0.2">
      <c r="B3945" s="2">
        <f ca="1"/>
        <v>0.89625228314700278</v>
      </c>
      <c r="O3945" s="2">
        <f ca="1"/>
        <v>1.1169230155128287</v>
      </c>
      <c r="X3945" s="2">
        <f ca="1"/>
        <v>45.488295001532336</v>
      </c>
      <c r="AG3945" s="2">
        <f ca="1"/>
        <v>0.70490446539704621</v>
      </c>
      <c r="AH3945" s="2" t="str">
        <f ca="1"/>
        <v>Bad</v>
      </c>
    </row>
    <row r="3946" spans="2:34" x14ac:dyDescent="0.2">
      <c r="B3946" s="2">
        <f ca="1"/>
        <v>0.4073629169632409</v>
      </c>
      <c r="O3946" s="2">
        <f ca="1"/>
        <v>-0.23072223747412968</v>
      </c>
      <c r="X3946" s="2">
        <f ca="1"/>
        <v>62.212221552064563</v>
      </c>
      <c r="AG3946" s="2">
        <f ca="1"/>
        <v>0.82390538550374615</v>
      </c>
      <c r="AH3946" s="2" t="str">
        <f ca="1"/>
        <v>Bad</v>
      </c>
    </row>
    <row r="3947" spans="2:34" x14ac:dyDescent="0.2">
      <c r="B3947" s="2">
        <f ca="1"/>
        <v>0.944480165470583</v>
      </c>
      <c r="O3947" s="2">
        <f ca="1"/>
        <v>0.27287187700465071</v>
      </c>
      <c r="X3947" s="2">
        <f ca="1"/>
        <v>33.328679181293694</v>
      </c>
      <c r="AG3947" s="2">
        <f ca="1"/>
        <v>0.6794035295985279</v>
      </c>
      <c r="AH3947" s="2" t="str">
        <f ca="1"/>
        <v>Bad</v>
      </c>
    </row>
    <row r="3948" spans="2:34" x14ac:dyDescent="0.2">
      <c r="B3948" s="2">
        <f ca="1"/>
        <v>8.0729435211245759E-2</v>
      </c>
      <c r="O3948" s="2">
        <f ca="1"/>
        <v>1.1361034705880655</v>
      </c>
      <c r="X3948" s="2">
        <f ca="1"/>
        <v>18.991307728732373</v>
      </c>
      <c r="AG3948" s="2">
        <f ca="1"/>
        <v>0.34325018152995534</v>
      </c>
      <c r="AH3948" s="2" t="str">
        <f ca="1"/>
        <v>OK</v>
      </c>
    </row>
    <row r="3949" spans="2:34" x14ac:dyDescent="0.2">
      <c r="B3949" s="2">
        <f ca="1"/>
        <v>7.9397918695092606E-2</v>
      </c>
      <c r="O3949" s="2">
        <f ca="1"/>
        <v>2.6748280598936428E-2</v>
      </c>
      <c r="X3949" s="2">
        <f ca="1"/>
        <v>35.090192606873345</v>
      </c>
      <c r="AG3949" s="2">
        <f ca="1"/>
        <v>0.94753602109064228</v>
      </c>
      <c r="AH3949" s="2" t="str">
        <f ca="1"/>
        <v>Bad</v>
      </c>
    </row>
    <row r="3950" spans="2:34" x14ac:dyDescent="0.2">
      <c r="B3950" s="2">
        <f ca="1"/>
        <v>0.20820935200888435</v>
      </c>
      <c r="O3950" s="2">
        <f ca="1"/>
        <v>-4.8813400147599856E-2</v>
      </c>
      <c r="X3950" s="2">
        <f ca="1"/>
        <v>59.104838909067212</v>
      </c>
      <c r="AG3950" s="2">
        <f ca="1"/>
        <v>0.28163037480625408</v>
      </c>
      <c r="AH3950" s="2" t="str">
        <f ca="1"/>
        <v>OK</v>
      </c>
    </row>
    <row r="3951" spans="2:34" x14ac:dyDescent="0.2">
      <c r="B3951" s="2">
        <f ca="1"/>
        <v>0.65003275629571844</v>
      </c>
      <c r="O3951" s="2">
        <f ca="1"/>
        <v>-2.093525172460029</v>
      </c>
      <c r="X3951" s="2">
        <f ca="1"/>
        <v>57.816085095628445</v>
      </c>
      <c r="AG3951" s="2">
        <f ca="1"/>
        <v>0.35642241906263505</v>
      </c>
      <c r="AH3951" s="2" t="str">
        <f ca="1"/>
        <v>OK</v>
      </c>
    </row>
    <row r="3952" spans="2:34" x14ac:dyDescent="0.2">
      <c r="B3952" s="2">
        <f ca="1"/>
        <v>0.30041025504724894</v>
      </c>
      <c r="O3952" s="2">
        <f ca="1"/>
        <v>1.0910475378869495</v>
      </c>
      <c r="X3952" s="2">
        <f ca="1"/>
        <v>60.705282740460085</v>
      </c>
      <c r="AG3952" s="2">
        <f ca="1"/>
        <v>0.45045444951163693</v>
      </c>
      <c r="AH3952" s="2" t="str">
        <f ca="1"/>
        <v>Bad</v>
      </c>
    </row>
    <row r="3953" spans="2:34" x14ac:dyDescent="0.2">
      <c r="B3953" s="2">
        <f ca="1"/>
        <v>0.77616573302328629</v>
      </c>
      <c r="O3953" s="2">
        <f ca="1"/>
        <v>-0.67162622066488031</v>
      </c>
      <c r="X3953" s="2">
        <f ca="1"/>
        <v>92.830678945173318</v>
      </c>
      <c r="AG3953" s="2">
        <f ca="1"/>
        <v>2.3313729366657876E-2</v>
      </c>
      <c r="AH3953" s="2" t="str">
        <f ca="1"/>
        <v>Good</v>
      </c>
    </row>
    <row r="3954" spans="2:34" x14ac:dyDescent="0.2">
      <c r="B3954" s="2">
        <f ca="1"/>
        <v>0.41951496583297376</v>
      </c>
      <c r="O3954" s="2">
        <f ca="1"/>
        <v>2.3329948848647168</v>
      </c>
      <c r="X3954" s="2">
        <f ca="1"/>
        <v>36.657708021077809</v>
      </c>
      <c r="AG3954" s="2">
        <f ca="1"/>
        <v>0.46476733315655649</v>
      </c>
      <c r="AH3954" s="2" t="str">
        <f ca="1"/>
        <v>Bad</v>
      </c>
    </row>
    <row r="3955" spans="2:34" x14ac:dyDescent="0.2">
      <c r="B3955" s="2">
        <f ca="1"/>
        <v>0.59128614709168281</v>
      </c>
      <c r="O3955" s="2">
        <f ca="1"/>
        <v>-0.20864646679610194</v>
      </c>
      <c r="X3955" s="2">
        <f ca="1"/>
        <v>70.740545001354363</v>
      </c>
      <c r="AG3955" s="2">
        <f ca="1"/>
        <v>0.32462645463956963</v>
      </c>
      <c r="AH3955" s="2" t="str">
        <f ca="1"/>
        <v>OK</v>
      </c>
    </row>
    <row r="3956" spans="2:34" x14ac:dyDescent="0.2">
      <c r="B3956" s="2">
        <f ca="1"/>
        <v>0.93955266899949241</v>
      </c>
      <c r="O3956" s="2">
        <f ca="1"/>
        <v>-1.1066954582435078</v>
      </c>
      <c r="X3956" s="2">
        <f ca="1"/>
        <v>31.687267006941987</v>
      </c>
      <c r="AG3956" s="2">
        <f ca="1"/>
        <v>0.96829011080264293</v>
      </c>
      <c r="AH3956" s="2" t="str">
        <f ca="1"/>
        <v>Bad</v>
      </c>
    </row>
    <row r="3957" spans="2:34" x14ac:dyDescent="0.2">
      <c r="B3957" s="2">
        <f ca="1"/>
        <v>0.4829650317510652</v>
      </c>
      <c r="O3957" s="2">
        <f ca="1"/>
        <v>0.10435933774033933</v>
      </c>
      <c r="X3957" s="2">
        <f ca="1"/>
        <v>58.389691662461544</v>
      </c>
      <c r="AG3957" s="2">
        <f ca="1"/>
        <v>0.87211117931940407</v>
      </c>
      <c r="AH3957" s="2" t="str">
        <f ca="1"/>
        <v>Bad</v>
      </c>
    </row>
    <row r="3958" spans="2:34" x14ac:dyDescent="0.2">
      <c r="B3958" s="2">
        <f ca="1"/>
        <v>0.45431579819707868</v>
      </c>
      <c r="O3958" s="2">
        <f ca="1"/>
        <v>-1.6948745542504977</v>
      </c>
      <c r="X3958" s="2">
        <f ca="1"/>
        <v>43.172827819902892</v>
      </c>
      <c r="AG3958" s="2">
        <f ca="1"/>
        <v>3.9234262097900263E-3</v>
      </c>
      <c r="AH3958" s="2" t="str">
        <f ca="1"/>
        <v>Good</v>
      </c>
    </row>
    <row r="3959" spans="2:34" x14ac:dyDescent="0.2">
      <c r="B3959" s="2">
        <f ca="1"/>
        <v>0.68685282572654738</v>
      </c>
      <c r="O3959" s="2">
        <f ca="1"/>
        <v>0.63590294643396517</v>
      </c>
      <c r="X3959" s="2">
        <f ca="1"/>
        <v>56.31165821737784</v>
      </c>
      <c r="AG3959" s="2">
        <f ca="1"/>
        <v>0.72746959339209516</v>
      </c>
      <c r="AH3959" s="2" t="str">
        <f ca="1"/>
        <v>Bad</v>
      </c>
    </row>
    <row r="3960" spans="2:34" x14ac:dyDescent="0.2">
      <c r="B3960" s="2">
        <f ca="1"/>
        <v>8.4859451950207498E-2</v>
      </c>
      <c r="O3960" s="2">
        <f ca="1"/>
        <v>-0.21150470591141882</v>
      </c>
      <c r="X3960" s="2">
        <f ca="1"/>
        <v>36.995415930791978</v>
      </c>
      <c r="AG3960" s="2">
        <f ca="1"/>
        <v>0.64190828992063254</v>
      </c>
      <c r="AH3960" s="2" t="str">
        <f ca="1"/>
        <v>Bad</v>
      </c>
    </row>
    <row r="3961" spans="2:34" x14ac:dyDescent="0.2">
      <c r="B3961" s="2">
        <f ca="1"/>
        <v>0.71034803087154486</v>
      </c>
      <c r="O3961" s="2">
        <f ca="1"/>
        <v>-2.3064486497563412</v>
      </c>
      <c r="X3961" s="2">
        <f ca="1"/>
        <v>54.596986625500811</v>
      </c>
      <c r="AG3961" s="2">
        <f ca="1"/>
        <v>0.26860376057082669</v>
      </c>
      <c r="AH3961" s="2" t="str">
        <f ca="1"/>
        <v>OK</v>
      </c>
    </row>
    <row r="3962" spans="2:34" x14ac:dyDescent="0.2">
      <c r="B3962" s="2">
        <f ca="1"/>
        <v>0.17279334841150962</v>
      </c>
      <c r="O3962" s="2">
        <f ca="1"/>
        <v>1.1187631227152024</v>
      </c>
      <c r="X3962" s="2">
        <f ca="1"/>
        <v>81.701507170520799</v>
      </c>
      <c r="AG3962" s="2">
        <f ca="1"/>
        <v>0.85192560310937959</v>
      </c>
      <c r="AH3962" s="2" t="str">
        <f ca="1"/>
        <v>Bad</v>
      </c>
    </row>
    <row r="3963" spans="2:34" x14ac:dyDescent="0.2">
      <c r="B3963" s="2">
        <f ca="1"/>
        <v>6.9038631700299335E-2</v>
      </c>
      <c r="O3963" s="2">
        <f ca="1"/>
        <v>-1.5705756437239402</v>
      </c>
      <c r="X3963" s="2">
        <f ca="1"/>
        <v>56.986146112692154</v>
      </c>
      <c r="AG3963" s="2">
        <f ca="1"/>
        <v>0.21392244840400698</v>
      </c>
      <c r="AH3963" s="2" t="str">
        <f ca="1"/>
        <v>OK</v>
      </c>
    </row>
    <row r="3964" spans="2:34" x14ac:dyDescent="0.2">
      <c r="B3964" s="2">
        <f ca="1"/>
        <v>0.94665741708226525</v>
      </c>
      <c r="O3964" s="2">
        <f ca="1"/>
        <v>-0.23497994928199514</v>
      </c>
      <c r="X3964" s="2">
        <f ca="1"/>
        <v>52.428126793967564</v>
      </c>
      <c r="AG3964" s="2">
        <f ca="1"/>
        <v>0.61002238544046894</v>
      </c>
      <c r="AH3964" s="2" t="str">
        <f ca="1"/>
        <v>Bad</v>
      </c>
    </row>
    <row r="3965" spans="2:34" x14ac:dyDescent="0.2">
      <c r="B3965" s="2">
        <f ca="1"/>
        <v>0.48534840427589598</v>
      </c>
      <c r="O3965" s="2">
        <f ca="1"/>
        <v>0.33449042404117829</v>
      </c>
      <c r="X3965" s="2">
        <f ca="1"/>
        <v>62.952238693935229</v>
      </c>
      <c r="AG3965" s="2">
        <f ca="1"/>
        <v>0.15940377539230544</v>
      </c>
      <c r="AH3965" s="2" t="str">
        <f ca="1"/>
        <v>OK</v>
      </c>
    </row>
    <row r="3966" spans="2:34" x14ac:dyDescent="0.2">
      <c r="B3966" s="2">
        <f ca="1"/>
        <v>0.37134908337513561</v>
      </c>
      <c r="O3966" s="2">
        <f ca="1"/>
        <v>-3.467952698018615E-2</v>
      </c>
      <c r="X3966" s="2">
        <f ca="1"/>
        <v>49.973808852381069</v>
      </c>
      <c r="AG3966" s="2">
        <f ca="1"/>
        <v>0.41222241906054302</v>
      </c>
      <c r="AH3966" s="2" t="str">
        <f ca="1"/>
        <v>Bad</v>
      </c>
    </row>
    <row r="3967" spans="2:34" x14ac:dyDescent="0.2">
      <c r="B3967" s="2">
        <f ca="1"/>
        <v>0.20093001500188112</v>
      </c>
      <c r="O3967" s="2">
        <f ca="1"/>
        <v>-1.766398554278761</v>
      </c>
      <c r="X3967" s="2">
        <f ca="1"/>
        <v>55.187582201356101</v>
      </c>
      <c r="AG3967" s="2">
        <f ca="1"/>
        <v>0.64289848113979486</v>
      </c>
      <c r="AH3967" s="2" t="str">
        <f ca="1"/>
        <v>Bad</v>
      </c>
    </row>
    <row r="3968" spans="2:34" x14ac:dyDescent="0.2">
      <c r="B3968" s="2">
        <f ca="1"/>
        <v>0.11724981248870758</v>
      </c>
      <c r="O3968" s="2">
        <f ca="1"/>
        <v>-0.45255028262820196</v>
      </c>
      <c r="X3968" s="2">
        <f ca="1"/>
        <v>47.032364608943922</v>
      </c>
      <c r="AG3968" s="2">
        <f ca="1"/>
        <v>0.74629375343387871</v>
      </c>
      <c r="AH3968" s="2" t="str">
        <f ca="1"/>
        <v>Bad</v>
      </c>
    </row>
    <row r="3969" spans="2:34" x14ac:dyDescent="0.2">
      <c r="B3969" s="2">
        <f ca="1"/>
        <v>0.40274451946453027</v>
      </c>
      <c r="O3969" s="2">
        <f ca="1"/>
        <v>4.0508556108795292E-3</v>
      </c>
      <c r="X3969" s="2">
        <f ca="1"/>
        <v>65.071829924458072</v>
      </c>
      <c r="AG3969" s="2">
        <f ca="1"/>
        <v>0.14849160667476435</v>
      </c>
      <c r="AH3969" s="2" t="str">
        <f ca="1"/>
        <v>OK</v>
      </c>
    </row>
    <row r="3970" spans="2:34" x14ac:dyDescent="0.2">
      <c r="B3970" s="2">
        <f ca="1"/>
        <v>0.52751779380523578</v>
      </c>
      <c r="O3970" s="2">
        <f ca="1"/>
        <v>0.73179609212457652</v>
      </c>
      <c r="X3970" s="2">
        <f ca="1"/>
        <v>42.890357578288047</v>
      </c>
      <c r="AG3970" s="2">
        <f ca="1"/>
        <v>0.13205706529066519</v>
      </c>
      <c r="AH3970" s="2" t="str">
        <f ca="1"/>
        <v>OK</v>
      </c>
    </row>
    <row r="3971" spans="2:34" x14ac:dyDescent="0.2">
      <c r="B3971" s="2">
        <f ca="1"/>
        <v>0.81887858140802106</v>
      </c>
      <c r="O3971" s="2">
        <f ca="1"/>
        <v>-0.22016739019222423</v>
      </c>
      <c r="X3971" s="2">
        <f ca="1"/>
        <v>61.917047717448256</v>
      </c>
      <c r="AG3971" s="2">
        <f ca="1"/>
        <v>0.90466686479611513</v>
      </c>
      <c r="AH3971" s="2" t="str">
        <f ca="1"/>
        <v>Bad</v>
      </c>
    </row>
    <row r="3972" spans="2:34" x14ac:dyDescent="0.2">
      <c r="B3972" s="2">
        <f ca="1"/>
        <v>0.86824637061965526</v>
      </c>
      <c r="O3972" s="2">
        <f ca="1"/>
        <v>0.83072118472854528</v>
      </c>
      <c r="X3972" s="2">
        <f ca="1"/>
        <v>28.026234042446866</v>
      </c>
      <c r="AG3972" s="2">
        <f ca="1"/>
        <v>0.64863646554948517</v>
      </c>
      <c r="AH3972" s="2" t="str">
        <f ca="1"/>
        <v>Bad</v>
      </c>
    </row>
    <row r="3973" spans="2:34" x14ac:dyDescent="0.2">
      <c r="B3973" s="2">
        <f ca="1"/>
        <v>0.25613234809434715</v>
      </c>
      <c r="O3973" s="2">
        <f ca="1"/>
        <v>0.89216165265653213</v>
      </c>
      <c r="X3973" s="2">
        <f ca="1"/>
        <v>38.687751223865526</v>
      </c>
      <c r="AG3973" s="2">
        <f ca="1"/>
        <v>0.82256236702658403</v>
      </c>
      <c r="AH3973" s="2" t="str">
        <f ca="1"/>
        <v>Bad</v>
      </c>
    </row>
    <row r="3974" spans="2:34" x14ac:dyDescent="0.2">
      <c r="B3974" s="2">
        <f ca="1"/>
        <v>0.64712415981491267</v>
      </c>
      <c r="O3974" s="2">
        <f ca="1"/>
        <v>-0.70893375923863433</v>
      </c>
      <c r="X3974" s="2">
        <f ca="1"/>
        <v>58.125912548117782</v>
      </c>
      <c r="AG3974" s="2">
        <f ca="1"/>
        <v>0.11641603049087634</v>
      </c>
      <c r="AH3974" s="2" t="str">
        <f ca="1"/>
        <v>OK</v>
      </c>
    </row>
    <row r="3975" spans="2:34" x14ac:dyDescent="0.2">
      <c r="B3975" s="2">
        <f ca="1"/>
        <v>0.35448392207318014</v>
      </c>
      <c r="O3975" s="2">
        <f ca="1"/>
        <v>0.43149200360044537</v>
      </c>
      <c r="X3975" s="2">
        <f ca="1"/>
        <v>75.696610806486845</v>
      </c>
      <c r="AG3975" s="2">
        <f ca="1"/>
        <v>0.64287131730447755</v>
      </c>
      <c r="AH3975" s="2" t="str">
        <f ca="1"/>
        <v>Bad</v>
      </c>
    </row>
    <row r="3976" spans="2:34" x14ac:dyDescent="0.2">
      <c r="B3976" s="2">
        <f ca="1"/>
        <v>0.34008276827807071</v>
      </c>
      <c r="O3976" s="2">
        <f ca="1"/>
        <v>1.717597906733658</v>
      </c>
      <c r="X3976" s="2">
        <f ca="1"/>
        <v>69.034761723512588</v>
      </c>
      <c r="AG3976" s="2">
        <f ca="1"/>
        <v>4.1329844057544918E-3</v>
      </c>
      <c r="AH3976" s="2" t="str">
        <f ca="1"/>
        <v>Good</v>
      </c>
    </row>
    <row r="3977" spans="2:34" x14ac:dyDescent="0.2">
      <c r="B3977" s="2">
        <f ca="1"/>
        <v>0.13956599581487494</v>
      </c>
      <c r="O3977" s="2">
        <f ca="1"/>
        <v>-0.23324406852233021</v>
      </c>
      <c r="X3977" s="2">
        <f ca="1"/>
        <v>50.635667852505094</v>
      </c>
      <c r="AG3977" s="2">
        <f ca="1"/>
        <v>0.61040560557834467</v>
      </c>
      <c r="AH3977" s="2" t="str">
        <f ca="1"/>
        <v>Bad</v>
      </c>
    </row>
    <row r="3978" spans="2:34" x14ac:dyDescent="0.2">
      <c r="B3978" s="2">
        <f ca="1"/>
        <v>0.56333826602065895</v>
      </c>
      <c r="O3978" s="2">
        <f ca="1"/>
        <v>-0.27611417278872386</v>
      </c>
      <c r="X3978" s="2">
        <f ca="1"/>
        <v>54.714328248785762</v>
      </c>
      <c r="AG3978" s="2">
        <f ca="1"/>
        <v>0.70754083674311263</v>
      </c>
      <c r="AH3978" s="2" t="str">
        <f ca="1"/>
        <v>Bad</v>
      </c>
    </row>
    <row r="3979" spans="2:34" x14ac:dyDescent="0.2">
      <c r="B3979" s="2">
        <f ca="1"/>
        <v>0.608396429350891</v>
      </c>
      <c r="O3979" s="2">
        <f ca="1"/>
        <v>0.58926926308700533</v>
      </c>
      <c r="X3979" s="2">
        <f ca="1"/>
        <v>51.574856946913528</v>
      </c>
      <c r="AG3979" s="2">
        <f ca="1"/>
        <v>0.17458163705954743</v>
      </c>
      <c r="AH3979" s="2" t="str">
        <f ca="1"/>
        <v>OK</v>
      </c>
    </row>
    <row r="3980" spans="2:34" x14ac:dyDescent="0.2">
      <c r="B3980" s="2">
        <f ca="1"/>
        <v>0.95634174436357444</v>
      </c>
      <c r="O3980" s="2">
        <f ca="1"/>
        <v>-0.92184819954273389</v>
      </c>
      <c r="X3980" s="2">
        <f ca="1"/>
        <v>72.610642067296553</v>
      </c>
      <c r="AG3980" s="2">
        <f ca="1"/>
        <v>0.76031923571834237</v>
      </c>
      <c r="AH3980" s="2" t="str">
        <f ca="1"/>
        <v>Bad</v>
      </c>
    </row>
    <row r="3981" spans="2:34" x14ac:dyDescent="0.2">
      <c r="B3981" s="2">
        <f ca="1"/>
        <v>8.8987175990882683E-2</v>
      </c>
      <c r="O3981" s="2">
        <f ca="1"/>
        <v>3.5155129962572917E-2</v>
      </c>
      <c r="X3981" s="2">
        <f ca="1"/>
        <v>48.964899883812578</v>
      </c>
      <c r="AG3981" s="2">
        <f ca="1"/>
        <v>0.80694633415480621</v>
      </c>
      <c r="AH3981" s="2" t="str">
        <f ca="1"/>
        <v>Bad</v>
      </c>
    </row>
    <row r="3982" spans="2:34" x14ac:dyDescent="0.2">
      <c r="B3982" s="2">
        <f ca="1"/>
        <v>0.85528149173896906</v>
      </c>
      <c r="O3982" s="2">
        <f ca="1"/>
        <v>-1.5824878222628134</v>
      </c>
      <c r="X3982" s="2">
        <f ca="1"/>
        <v>45.482633528313315</v>
      </c>
      <c r="AG3982" s="2">
        <f ca="1"/>
        <v>0.77182689552912298</v>
      </c>
      <c r="AH3982" s="2" t="str">
        <f ca="1"/>
        <v>Bad</v>
      </c>
    </row>
    <row r="3983" spans="2:34" x14ac:dyDescent="0.2">
      <c r="B3983" s="2">
        <f ca="1"/>
        <v>0.13235183039635023</v>
      </c>
      <c r="O3983" s="2">
        <f ca="1"/>
        <v>-0.94278866945033912</v>
      </c>
      <c r="X3983" s="2">
        <f ca="1"/>
        <v>71.033404267744075</v>
      </c>
      <c r="AG3983" s="2">
        <f ca="1"/>
        <v>0.53530924934638557</v>
      </c>
      <c r="AH3983" s="2" t="str">
        <f ca="1"/>
        <v>Bad</v>
      </c>
    </row>
    <row r="3984" spans="2:34" x14ac:dyDescent="0.2">
      <c r="B3984" s="2">
        <f ca="1"/>
        <v>0.87888973154943306</v>
      </c>
      <c r="O3984" s="2">
        <f ca="1"/>
        <v>0.98939970497801433</v>
      </c>
      <c r="X3984" s="2">
        <f ca="1"/>
        <v>38.665961693808313</v>
      </c>
      <c r="AG3984" s="2">
        <f ca="1"/>
        <v>0.34924101772455285</v>
      </c>
      <c r="AH3984" s="2" t="str">
        <f ca="1"/>
        <v>OK</v>
      </c>
    </row>
    <row r="3985" spans="2:34" x14ac:dyDescent="0.2">
      <c r="B3985" s="2">
        <f ca="1"/>
        <v>0.18972929990661758</v>
      </c>
      <c r="O3985" s="2">
        <f ca="1"/>
        <v>-1.7081961748024279</v>
      </c>
      <c r="X3985" s="2">
        <f ca="1"/>
        <v>60.241753083770462</v>
      </c>
      <c r="AG3985" s="2">
        <f ca="1"/>
        <v>0.30506616139671561</v>
      </c>
      <c r="AH3985" s="2" t="str">
        <f ca="1"/>
        <v>OK</v>
      </c>
    </row>
    <row r="3986" spans="2:34" x14ac:dyDescent="0.2">
      <c r="B3986" s="2">
        <f ca="1"/>
        <v>9.8873698032155177E-2</v>
      </c>
      <c r="O3986" s="2">
        <f ca="1"/>
        <v>-0.99833391342952582</v>
      </c>
      <c r="X3986" s="2">
        <f ca="1"/>
        <v>41.191198126183515</v>
      </c>
      <c r="AG3986" s="2">
        <f ca="1"/>
        <v>0.97933567702354463</v>
      </c>
      <c r="AH3986" s="2" t="str">
        <f ca="1"/>
        <v>Bad</v>
      </c>
    </row>
    <row r="3987" spans="2:34" x14ac:dyDescent="0.2">
      <c r="B3987" s="2">
        <f ca="1"/>
        <v>0.86623476701196078</v>
      </c>
      <c r="O3987" s="2">
        <f ca="1"/>
        <v>-9.7012978038712283E-2</v>
      </c>
      <c r="X3987" s="2">
        <f ca="1"/>
        <v>53.500845381126112</v>
      </c>
      <c r="AG3987" s="2">
        <f ca="1"/>
        <v>0.4088864419671141</v>
      </c>
      <c r="AH3987" s="2" t="str">
        <f ca="1"/>
        <v>Bad</v>
      </c>
    </row>
    <row r="3988" spans="2:34" x14ac:dyDescent="0.2">
      <c r="B3988" s="2">
        <f ca="1"/>
        <v>0.27585243565681705</v>
      </c>
      <c r="O3988" s="2">
        <f ca="1"/>
        <v>1.739830174568147</v>
      </c>
      <c r="X3988" s="2">
        <f ca="1"/>
        <v>53.7047039871889</v>
      </c>
      <c r="AG3988" s="2">
        <f ca="1"/>
        <v>0.41862405433463068</v>
      </c>
      <c r="AH3988" s="2" t="str">
        <f ca="1"/>
        <v>Bad</v>
      </c>
    </row>
    <row r="3989" spans="2:34" x14ac:dyDescent="0.2">
      <c r="B3989" s="2">
        <f ca="1"/>
        <v>1.2824345817480598E-2</v>
      </c>
      <c r="O3989" s="2">
        <f ca="1"/>
        <v>0.15852923994469215</v>
      </c>
      <c r="X3989" s="2">
        <f ca="1"/>
        <v>41.71105035157224</v>
      </c>
      <c r="AG3989" s="2">
        <f ca="1"/>
        <v>0.63834954626714557</v>
      </c>
      <c r="AH3989" s="2" t="str">
        <f ca="1"/>
        <v>Bad</v>
      </c>
    </row>
    <row r="3990" spans="2:34" x14ac:dyDescent="0.2">
      <c r="B3990" s="2">
        <f ca="1"/>
        <v>0.74697177450186358</v>
      </c>
      <c r="O3990" s="2">
        <f ca="1"/>
        <v>-1.3415095670409221</v>
      </c>
      <c r="X3990" s="2">
        <f ca="1"/>
        <v>69.106194891779836</v>
      </c>
      <c r="AG3990" s="2">
        <f ca="1"/>
        <v>0.14433688278139289</v>
      </c>
      <c r="AH3990" s="2" t="str">
        <f ca="1"/>
        <v>OK</v>
      </c>
    </row>
    <row r="3991" spans="2:34" x14ac:dyDescent="0.2">
      <c r="B3991" s="2">
        <f ca="1"/>
        <v>0.81751455141624119</v>
      </c>
      <c r="O3991" s="2">
        <f ca="1"/>
        <v>-0.46806802878217924</v>
      </c>
      <c r="X3991" s="2">
        <f ca="1"/>
        <v>50.817755494177689</v>
      </c>
      <c r="AG3991" s="2">
        <f ca="1"/>
        <v>1.4238413796921368E-2</v>
      </c>
      <c r="AH3991" s="2" t="str">
        <f ca="1"/>
        <v>Good</v>
      </c>
    </row>
    <row r="3992" spans="2:34" x14ac:dyDescent="0.2">
      <c r="B3992" s="2">
        <f ca="1"/>
        <v>0.3263511343280856</v>
      </c>
      <c r="O3992" s="2">
        <f ca="1"/>
        <v>-1.205106942883154</v>
      </c>
      <c r="X3992" s="2">
        <f ca="1"/>
        <v>25.422181644964855</v>
      </c>
      <c r="AG3992" s="2">
        <f ca="1"/>
        <v>0.67417482575833088</v>
      </c>
      <c r="AH3992" s="2" t="str">
        <f ca="1"/>
        <v>Bad</v>
      </c>
    </row>
    <row r="3993" spans="2:34" x14ac:dyDescent="0.2">
      <c r="B3993" s="2">
        <f ca="1"/>
        <v>0.38410885859841581</v>
      </c>
      <c r="O3993" s="2">
        <f ca="1"/>
        <v>-2.5192933846859562</v>
      </c>
      <c r="X3993" s="2">
        <f ca="1"/>
        <v>32.258887981139942</v>
      </c>
      <c r="AG3993" s="2">
        <f ca="1"/>
        <v>0.18827172764569622</v>
      </c>
      <c r="AH3993" s="2" t="str">
        <f ca="1"/>
        <v>OK</v>
      </c>
    </row>
    <row r="3994" spans="2:34" x14ac:dyDescent="0.2">
      <c r="B3994" s="2">
        <f ca="1"/>
        <v>0.31313070792298281</v>
      </c>
      <c r="O3994" s="2">
        <f ca="1"/>
        <v>0.89862412630252841</v>
      </c>
      <c r="X3994" s="2">
        <f ca="1"/>
        <v>74.077272187748363</v>
      </c>
      <c r="AG3994" s="2">
        <f ca="1"/>
        <v>0.56409297067175634</v>
      </c>
      <c r="AH3994" s="2" t="str">
        <f ca="1"/>
        <v>Bad</v>
      </c>
    </row>
    <row r="3995" spans="2:34" x14ac:dyDescent="0.2">
      <c r="B3995" s="2">
        <f ca="1"/>
        <v>0.47887506698040605</v>
      </c>
      <c r="O3995" s="2">
        <f ca="1"/>
        <v>-1.325858456672504</v>
      </c>
      <c r="X3995" s="2">
        <f ca="1"/>
        <v>74.634624547844425</v>
      </c>
      <c r="AG3995" s="2">
        <f ca="1"/>
        <v>0.74487040881894084</v>
      </c>
      <c r="AH3995" s="2" t="str">
        <f ca="1"/>
        <v>Bad</v>
      </c>
    </row>
    <row r="3996" spans="2:34" x14ac:dyDescent="0.2">
      <c r="B3996" s="2">
        <f ca="1"/>
        <v>0.63641575088097269</v>
      </c>
      <c r="O3996" s="2">
        <f ca="1"/>
        <v>0.34207796049731326</v>
      </c>
      <c r="X3996" s="2">
        <f ca="1"/>
        <v>52.815985674796657</v>
      </c>
      <c r="AG3996" s="2">
        <f ca="1"/>
        <v>0.59174351396799807</v>
      </c>
      <c r="AH3996" s="2" t="str">
        <f ca="1"/>
        <v>Bad</v>
      </c>
    </row>
    <row r="3997" spans="2:34" x14ac:dyDescent="0.2">
      <c r="B3997" s="2">
        <f ca="1"/>
        <v>0.86726158265296349</v>
      </c>
      <c r="O3997" s="2">
        <f ca="1"/>
        <v>-0.17398441336472315</v>
      </c>
      <c r="X3997" s="2">
        <f ca="1"/>
        <v>44.175829788076683</v>
      </c>
      <c r="AG3997" s="2">
        <f ca="1"/>
        <v>0.91775431348949144</v>
      </c>
      <c r="AH3997" s="2" t="str">
        <f ca="1"/>
        <v>Bad</v>
      </c>
    </row>
    <row r="3998" spans="2:34" x14ac:dyDescent="0.2">
      <c r="B3998" s="2">
        <f ca="1"/>
        <v>0.90229910052445672</v>
      </c>
      <c r="O3998" s="2">
        <f ca="1"/>
        <v>2.4917820564026334</v>
      </c>
      <c r="X3998" s="2">
        <f ca="1"/>
        <v>54.540681993740236</v>
      </c>
      <c r="AG3998" s="2">
        <f ca="1"/>
        <v>0.38506336389941431</v>
      </c>
      <c r="AH3998" s="2" t="str">
        <f ca="1"/>
        <v>OK</v>
      </c>
    </row>
    <row r="3999" spans="2:34" x14ac:dyDescent="0.2">
      <c r="B3999" s="2">
        <f ca="1"/>
        <v>0.31407762183857368</v>
      </c>
      <c r="O3999" s="2">
        <f ca="1"/>
        <v>-1.2596946023124449</v>
      </c>
      <c r="X3999" s="2">
        <f ca="1"/>
        <v>47.4029128476393</v>
      </c>
      <c r="AG3999" s="2">
        <f ca="1"/>
        <v>0.65279100077317209</v>
      </c>
      <c r="AH3999" s="2" t="str">
        <f ca="1"/>
        <v>Bad</v>
      </c>
    </row>
    <row r="4000" spans="2:34" x14ac:dyDescent="0.2">
      <c r="B4000" s="2">
        <f ca="1"/>
        <v>1.619023628298133E-2</v>
      </c>
      <c r="O4000" s="2">
        <f ca="1"/>
        <v>-0.87065104838378726</v>
      </c>
      <c r="X4000" s="2">
        <f ca="1"/>
        <v>27.921336658621648</v>
      </c>
      <c r="AG4000" s="2">
        <f ca="1"/>
        <v>5.6169951104934723E-2</v>
      </c>
      <c r="AH4000" s="2" t="str">
        <f ca="1"/>
        <v>OK</v>
      </c>
    </row>
    <row r="4001" spans="2:34" x14ac:dyDescent="0.2">
      <c r="B4001" s="2">
        <f ca="1"/>
        <v>0.92438527736472675</v>
      </c>
      <c r="O4001" s="2">
        <f ca="1"/>
        <v>-2.1954266259049938E-2</v>
      </c>
      <c r="X4001" s="2">
        <f ca="1"/>
        <v>39.157221683678962</v>
      </c>
      <c r="AG4001" s="2">
        <f ca="1"/>
        <v>0.28682445678186452</v>
      </c>
      <c r="AH4001" s="2" t="str">
        <f ca="1"/>
        <v>OK</v>
      </c>
    </row>
    <row r="4002" spans="2:34" x14ac:dyDescent="0.2">
      <c r="B4002" s="2">
        <f ca="1"/>
        <v>0.40315249747524295</v>
      </c>
      <c r="O4002" s="2">
        <f ca="1"/>
        <v>-0.70500742585565046</v>
      </c>
      <c r="X4002" s="2">
        <f ca="1"/>
        <v>43.216952689765236</v>
      </c>
      <c r="AG4002" s="2">
        <f ca="1"/>
        <v>0.97211110334235751</v>
      </c>
      <c r="AH4002" s="2" t="str">
        <f ca="1"/>
        <v>Bad</v>
      </c>
    </row>
    <row r="4003" spans="2:34" x14ac:dyDescent="0.2">
      <c r="B4003" s="2">
        <f ca="1"/>
        <v>0.56661826143781724</v>
      </c>
      <c r="O4003" s="2">
        <f ca="1"/>
        <v>-0.81645758189763185</v>
      </c>
      <c r="X4003" s="2">
        <f ca="1"/>
        <v>34.631996009983162</v>
      </c>
      <c r="AG4003" s="2">
        <f ca="1"/>
        <v>3.3512594807964646E-2</v>
      </c>
      <c r="AH4003" s="2" t="str">
        <f ca="1"/>
        <v>Good</v>
      </c>
    </row>
    <row r="4004" spans="2:34" x14ac:dyDescent="0.2">
      <c r="B4004" s="2">
        <f ca="1"/>
        <v>3.0387505411174187E-2</v>
      </c>
      <c r="O4004" s="2">
        <f ca="1"/>
        <v>0.93594083294687047</v>
      </c>
      <c r="X4004" s="2">
        <f ca="1"/>
        <v>40.253620625067434</v>
      </c>
      <c r="AG4004" s="2">
        <f ca="1"/>
        <v>0.11643344909222741</v>
      </c>
      <c r="AH4004" s="2" t="str">
        <f ca="1"/>
        <v>OK</v>
      </c>
    </row>
    <row r="4005" spans="2:34" x14ac:dyDescent="0.2">
      <c r="B4005" s="2">
        <f ca="1"/>
        <v>0.12133011100461033</v>
      </c>
      <c r="O4005" s="2">
        <f ca="1"/>
        <v>-5.3654252637493783E-3</v>
      </c>
      <c r="X4005" s="2">
        <f ca="1"/>
        <v>60.396394912046254</v>
      </c>
      <c r="AG4005" s="2">
        <f ca="1"/>
        <v>7.4094855645720159E-2</v>
      </c>
      <c r="AH4005" s="2" t="str">
        <f ca="1"/>
        <v>OK</v>
      </c>
    </row>
    <row r="4006" spans="2:34" x14ac:dyDescent="0.2">
      <c r="B4006" s="2">
        <f ca="1"/>
        <v>0.11810143345331126</v>
      </c>
      <c r="O4006" s="2">
        <f ca="1"/>
        <v>0.64840849352676677</v>
      </c>
      <c r="X4006" s="2">
        <f ca="1"/>
        <v>43.53643757907993</v>
      </c>
      <c r="AG4006" s="2">
        <f ca="1"/>
        <v>0.95898933486864002</v>
      </c>
      <c r="AH4006" s="2" t="str">
        <f ca="1"/>
        <v>Bad</v>
      </c>
    </row>
    <row r="4007" spans="2:34" x14ac:dyDescent="0.2">
      <c r="B4007" s="2">
        <f ca="1"/>
        <v>0.53962023735739373</v>
      </c>
      <c r="O4007" s="2">
        <f ca="1"/>
        <v>0.96819671481117464</v>
      </c>
      <c r="X4007" s="2">
        <f ca="1"/>
        <v>22.909282396673309</v>
      </c>
      <c r="AG4007" s="2">
        <f ca="1"/>
        <v>1.6143172713694032E-2</v>
      </c>
      <c r="AH4007" s="2" t="str">
        <f ca="1"/>
        <v>Good</v>
      </c>
    </row>
    <row r="4008" spans="2:34" x14ac:dyDescent="0.2">
      <c r="B4008" s="2">
        <f ca="1"/>
        <v>0.45001907666450758</v>
      </c>
      <c r="O4008" s="2">
        <f ca="1"/>
        <v>-0.10415446873060948</v>
      </c>
      <c r="X4008" s="2">
        <f ca="1"/>
        <v>27.492111541224897</v>
      </c>
      <c r="AG4008" s="2">
        <f ca="1"/>
        <v>0.90879903278856666</v>
      </c>
      <c r="AH4008" s="2" t="str">
        <f ca="1"/>
        <v>Bad</v>
      </c>
    </row>
    <row r="4009" spans="2:34" x14ac:dyDescent="0.2">
      <c r="B4009" s="2">
        <f ca="1"/>
        <v>0.54977718640154727</v>
      </c>
      <c r="O4009" s="2">
        <f ca="1"/>
        <v>0.24131461426774981</v>
      </c>
      <c r="X4009" s="2">
        <f ca="1"/>
        <v>68.082568270419856</v>
      </c>
      <c r="AG4009" s="2">
        <f ca="1"/>
        <v>0.57673275776697075</v>
      </c>
      <c r="AH4009" s="2" t="str">
        <f ca="1"/>
        <v>Bad</v>
      </c>
    </row>
    <row r="4010" spans="2:34" x14ac:dyDescent="0.2">
      <c r="B4010" s="2">
        <f ca="1"/>
        <v>0.94835894235406037</v>
      </c>
      <c r="O4010" s="2">
        <f ca="1"/>
        <v>-0.58007286754856413</v>
      </c>
      <c r="X4010" s="2">
        <f ca="1"/>
        <v>39.137946666265236</v>
      </c>
      <c r="AG4010" s="2">
        <f ca="1"/>
        <v>0.43768488728250454</v>
      </c>
      <c r="AH4010" s="2" t="str">
        <f ca="1"/>
        <v>Bad</v>
      </c>
    </row>
    <row r="4011" spans="2:34" x14ac:dyDescent="0.2">
      <c r="B4011" s="2">
        <f ca="1"/>
        <v>0.91947940010046803</v>
      </c>
      <c r="O4011" s="2">
        <f ca="1"/>
        <v>0.57637366915446564</v>
      </c>
      <c r="X4011" s="2">
        <f ca="1"/>
        <v>33.359135296780885</v>
      </c>
      <c r="AG4011" s="2">
        <f ca="1"/>
        <v>0.52338866654813332</v>
      </c>
      <c r="AH4011" s="2" t="str">
        <f ca="1"/>
        <v>Bad</v>
      </c>
    </row>
    <row r="4012" spans="2:34" x14ac:dyDescent="0.2">
      <c r="B4012" s="2">
        <f ca="1"/>
        <v>0.55040223477491446</v>
      </c>
      <c r="O4012" s="2">
        <f ca="1"/>
        <v>1.5071030820059963</v>
      </c>
      <c r="X4012" s="2">
        <f ca="1"/>
        <v>64.789693692177494</v>
      </c>
      <c r="AG4012" s="2">
        <f ca="1"/>
        <v>0.85318574799179125</v>
      </c>
      <c r="AH4012" s="2" t="str">
        <f ca="1"/>
        <v>Bad</v>
      </c>
    </row>
    <row r="4013" spans="2:34" x14ac:dyDescent="0.2">
      <c r="B4013" s="2">
        <f ca="1"/>
        <v>0.45491795325771545</v>
      </c>
      <c r="O4013" s="2">
        <f ca="1"/>
        <v>-1.1667033386043035</v>
      </c>
      <c r="X4013" s="2">
        <f ca="1"/>
        <v>46.790662518580774</v>
      </c>
      <c r="AG4013" s="2">
        <f ca="1"/>
        <v>0.3959070605852375</v>
      </c>
      <c r="AH4013" s="2" t="str">
        <f ca="1"/>
        <v>OK</v>
      </c>
    </row>
    <row r="4014" spans="2:34" x14ac:dyDescent="0.2">
      <c r="B4014" s="2">
        <f ca="1"/>
        <v>1.5437836819134576E-2</v>
      </c>
      <c r="O4014" s="2">
        <f ca="1"/>
        <v>0.40481176588102458</v>
      </c>
      <c r="X4014" s="2">
        <f ca="1"/>
        <v>59.456036664360859</v>
      </c>
      <c r="AG4014" s="2">
        <f ca="1"/>
        <v>0.20401556927946807</v>
      </c>
      <c r="AH4014" s="2" t="str">
        <f ca="1"/>
        <v>OK</v>
      </c>
    </row>
    <row r="4015" spans="2:34" x14ac:dyDescent="0.2">
      <c r="B4015" s="2">
        <f ca="1"/>
        <v>0.29180530285416895</v>
      </c>
      <c r="O4015" s="2">
        <f ca="1"/>
        <v>1.6867455331661341</v>
      </c>
      <c r="X4015" s="2">
        <f ca="1"/>
        <v>24.145896875083874</v>
      </c>
      <c r="AG4015" s="2">
        <f ca="1"/>
        <v>0.40281214649369979</v>
      </c>
      <c r="AH4015" s="2" t="str">
        <f ca="1"/>
        <v>Bad</v>
      </c>
    </row>
    <row r="4016" spans="2:34" x14ac:dyDescent="0.2">
      <c r="B4016" s="2">
        <f ca="1"/>
        <v>0.11220500511250409</v>
      </c>
      <c r="O4016" s="2">
        <f ca="1"/>
        <v>-0.50680441171460422</v>
      </c>
      <c r="X4016" s="2">
        <f ca="1"/>
        <v>70.567780455715791</v>
      </c>
      <c r="AG4016" s="2">
        <f ca="1"/>
        <v>0.16750190434947121</v>
      </c>
      <c r="AH4016" s="2" t="str">
        <f ca="1"/>
        <v>OK</v>
      </c>
    </row>
    <row r="4017" spans="2:34" x14ac:dyDescent="0.2">
      <c r="B4017" s="2">
        <f ca="1"/>
        <v>0.62538631796315491</v>
      </c>
      <c r="O4017" s="2">
        <f ca="1"/>
        <v>5.3641728495441091E-3</v>
      </c>
      <c r="X4017" s="2">
        <f ca="1"/>
        <v>70.534868388010665</v>
      </c>
      <c r="AG4017" s="2">
        <f ca="1"/>
        <v>8.9349523217745475E-3</v>
      </c>
      <c r="AH4017" s="2" t="str">
        <f ca="1"/>
        <v>Good</v>
      </c>
    </row>
    <row r="4018" spans="2:34" x14ac:dyDescent="0.2">
      <c r="B4018" s="2">
        <f ca="1"/>
        <v>9.7262358359045509E-2</v>
      </c>
      <c r="O4018" s="2">
        <f ca="1"/>
        <v>4.7698471797564708E-2</v>
      </c>
      <c r="X4018" s="2">
        <f ca="1"/>
        <v>64.393683030615534</v>
      </c>
      <c r="AG4018" s="2">
        <f ca="1"/>
        <v>0.49468837173744129</v>
      </c>
      <c r="AH4018" s="2" t="str">
        <f ca="1"/>
        <v>Bad</v>
      </c>
    </row>
    <row r="4019" spans="2:34" x14ac:dyDescent="0.2">
      <c r="B4019" s="2">
        <f ca="1"/>
        <v>0.16873688591253044</v>
      </c>
      <c r="O4019" s="2">
        <f ca="1"/>
        <v>-0.38460656729086001</v>
      </c>
      <c r="X4019" s="2">
        <f ca="1"/>
        <v>76.254562547334245</v>
      </c>
      <c r="AG4019" s="2">
        <f ca="1"/>
        <v>0.82883172862660492</v>
      </c>
      <c r="AH4019" s="2" t="str">
        <f ca="1"/>
        <v>Bad</v>
      </c>
    </row>
    <row r="4020" spans="2:34" x14ac:dyDescent="0.2">
      <c r="B4020" s="2">
        <f ca="1"/>
        <v>0.55692663173765466</v>
      </c>
      <c r="O4020" s="2">
        <f ca="1"/>
        <v>0.64240977268412425</v>
      </c>
      <c r="X4020" s="2">
        <f ca="1"/>
        <v>30.52168658222643</v>
      </c>
      <c r="AG4020" s="2">
        <f ca="1"/>
        <v>0.79713026076514382</v>
      </c>
      <c r="AH4020" s="2" t="str">
        <f ca="1"/>
        <v>Bad</v>
      </c>
    </row>
    <row r="4021" spans="2:34" x14ac:dyDescent="0.2">
      <c r="B4021" s="2">
        <f ca="1"/>
        <v>0.96804833661027057</v>
      </c>
      <c r="O4021" s="2">
        <f ca="1"/>
        <v>-1.5336442603748806</v>
      </c>
      <c r="X4021" s="2">
        <f ca="1"/>
        <v>92.616226692430658</v>
      </c>
      <c r="AG4021" s="2">
        <f ca="1"/>
        <v>0.47220782451856813</v>
      </c>
      <c r="AH4021" s="2" t="str">
        <f ca="1"/>
        <v>Bad</v>
      </c>
    </row>
    <row r="4022" spans="2:34" x14ac:dyDescent="0.2">
      <c r="B4022" s="2">
        <f ca="1"/>
        <v>0.66646086680106387</v>
      </c>
      <c r="O4022" s="2">
        <f ca="1"/>
        <v>7.9869418741706066E-3</v>
      </c>
      <c r="X4022" s="2">
        <f ca="1"/>
        <v>36.276077906567828</v>
      </c>
      <c r="AG4022" s="2">
        <f ca="1"/>
        <v>0.34175040140848045</v>
      </c>
      <c r="AH4022" s="2" t="str">
        <f ca="1"/>
        <v>OK</v>
      </c>
    </row>
    <row r="4023" spans="2:34" x14ac:dyDescent="0.2">
      <c r="B4023" s="2">
        <f ca="1"/>
        <v>0.31428766519333262</v>
      </c>
      <c r="O4023" s="2">
        <f ca="1"/>
        <v>3.6078016531005959E-2</v>
      </c>
      <c r="X4023" s="2">
        <f ca="1"/>
        <v>47.997488985789346</v>
      </c>
      <c r="AG4023" s="2">
        <f ca="1"/>
        <v>8.5822833187345848E-2</v>
      </c>
      <c r="AH4023" s="2" t="str">
        <f ca="1"/>
        <v>OK</v>
      </c>
    </row>
    <row r="4024" spans="2:34" x14ac:dyDescent="0.2">
      <c r="B4024" s="2">
        <f ca="1"/>
        <v>0.17974548569800253</v>
      </c>
      <c r="O4024" s="2">
        <f ca="1"/>
        <v>1.067991454613703</v>
      </c>
      <c r="X4024" s="2">
        <f ca="1"/>
        <v>36.301777640899601</v>
      </c>
      <c r="AG4024" s="2">
        <f ca="1"/>
        <v>0.12230546678708043</v>
      </c>
      <c r="AH4024" s="2" t="str">
        <f ca="1"/>
        <v>OK</v>
      </c>
    </row>
    <row r="4025" spans="2:34" x14ac:dyDescent="0.2">
      <c r="B4025" s="2">
        <f ca="1"/>
        <v>9.1772869466997253E-3</v>
      </c>
      <c r="O4025" s="2">
        <f ca="1"/>
        <v>0.51374006289741336</v>
      </c>
      <c r="X4025" s="2">
        <f ca="1"/>
        <v>32.335373953059253</v>
      </c>
      <c r="AG4025" s="2">
        <f ca="1"/>
        <v>0.21481791183790278</v>
      </c>
      <c r="AH4025" s="2" t="str">
        <f ca="1"/>
        <v>OK</v>
      </c>
    </row>
    <row r="4026" spans="2:34" x14ac:dyDescent="0.2">
      <c r="B4026" s="2">
        <f ca="1"/>
        <v>0.40518549666052306</v>
      </c>
      <c r="O4026" s="2">
        <f ca="1"/>
        <v>-0.65773544520563787</v>
      </c>
      <c r="X4026" s="2">
        <f ca="1"/>
        <v>55.553260330634913</v>
      </c>
      <c r="AG4026" s="2">
        <f ca="1"/>
        <v>6.7631639005061306E-3</v>
      </c>
      <c r="AH4026" s="2" t="str">
        <f ca="1"/>
        <v>Good</v>
      </c>
    </row>
    <row r="4027" spans="2:34" x14ac:dyDescent="0.2">
      <c r="B4027" s="2">
        <f ca="1"/>
        <v>0.84822921866632872</v>
      </c>
      <c r="O4027" s="2">
        <f ca="1"/>
        <v>-1.0091975500685311</v>
      </c>
      <c r="X4027" s="2">
        <f ca="1"/>
        <v>72.953391437259768</v>
      </c>
      <c r="AG4027" s="2">
        <f ca="1"/>
        <v>0.99813698418604635</v>
      </c>
      <c r="AH4027" s="2" t="str">
        <f ca="1"/>
        <v>Bad</v>
      </c>
    </row>
    <row r="4028" spans="2:34" x14ac:dyDescent="0.2">
      <c r="B4028" s="2">
        <f ca="1"/>
        <v>0.124600826030413</v>
      </c>
      <c r="O4028" s="2">
        <f ca="1"/>
        <v>-1.7911301185777635</v>
      </c>
      <c r="X4028" s="2">
        <f ca="1"/>
        <v>29.729967019848679</v>
      </c>
      <c r="AG4028" s="2">
        <f ca="1"/>
        <v>0.66444764929570432</v>
      </c>
      <c r="AH4028" s="2" t="str">
        <f ca="1"/>
        <v>Bad</v>
      </c>
    </row>
    <row r="4029" spans="2:34" x14ac:dyDescent="0.2">
      <c r="B4029" s="2">
        <f ca="1"/>
        <v>0.50457688894370123</v>
      </c>
      <c r="O4029" s="2">
        <f ca="1"/>
        <v>-1.8286950631796643</v>
      </c>
      <c r="X4029" s="2">
        <f ca="1"/>
        <v>59.256953022786121</v>
      </c>
      <c r="AG4029" s="2">
        <f ca="1"/>
        <v>0.96582294371928534</v>
      </c>
      <c r="AH4029" s="2" t="str">
        <f ca="1"/>
        <v>Bad</v>
      </c>
    </row>
    <row r="4030" spans="2:34" x14ac:dyDescent="0.2">
      <c r="B4030" s="2">
        <f ca="1"/>
        <v>0.7141621557886848</v>
      </c>
      <c r="O4030" s="2">
        <f ca="1"/>
        <v>0.21271970842746488</v>
      </c>
      <c r="X4030" s="2">
        <f ca="1"/>
        <v>61.044076675502346</v>
      </c>
      <c r="AG4030" s="2">
        <f ca="1"/>
        <v>0.8791553779430572</v>
      </c>
      <c r="AH4030" s="2" t="str">
        <f ca="1"/>
        <v>Bad</v>
      </c>
    </row>
    <row r="4031" spans="2:34" x14ac:dyDescent="0.2">
      <c r="B4031" s="2">
        <f ca="1"/>
        <v>0.61467249338088092</v>
      </c>
      <c r="O4031" s="2">
        <f ca="1"/>
        <v>-0.46867213580535289</v>
      </c>
      <c r="X4031" s="2">
        <f ca="1"/>
        <v>47.031913786458432</v>
      </c>
      <c r="AG4031" s="2">
        <f ca="1"/>
        <v>0.95991178626688001</v>
      </c>
      <c r="AH4031" s="2" t="str">
        <f ca="1"/>
        <v>Bad</v>
      </c>
    </row>
    <row r="4032" spans="2:34" x14ac:dyDescent="0.2">
      <c r="B4032" s="2">
        <f ca="1"/>
        <v>0.62675731781630173</v>
      </c>
      <c r="O4032" s="2">
        <f ca="1"/>
        <v>-0.28542422300483572</v>
      </c>
      <c r="X4032" s="2">
        <f ca="1"/>
        <v>74.549351608386047</v>
      </c>
      <c r="AG4032" s="2">
        <f ca="1"/>
        <v>0.15669312270995217</v>
      </c>
      <c r="AH4032" s="2" t="str">
        <f ca="1"/>
        <v>OK</v>
      </c>
    </row>
    <row r="4033" spans="2:34" x14ac:dyDescent="0.2">
      <c r="B4033" s="2">
        <f ca="1"/>
        <v>0.73899589508822028</v>
      </c>
      <c r="O4033" s="2">
        <f ca="1"/>
        <v>-0.44677782226874491</v>
      </c>
      <c r="X4033" s="2">
        <f ca="1"/>
        <v>56.305295762972854</v>
      </c>
      <c r="AG4033" s="2">
        <f ca="1"/>
        <v>0.77775771152341644</v>
      </c>
      <c r="AH4033" s="2" t="str">
        <f ca="1"/>
        <v>Bad</v>
      </c>
    </row>
    <row r="4034" spans="2:34" x14ac:dyDescent="0.2">
      <c r="B4034" s="2">
        <f ca="1"/>
        <v>0.23577558242224228</v>
      </c>
      <c r="O4034" s="2">
        <f ca="1"/>
        <v>0.12941919314179601</v>
      </c>
      <c r="X4034" s="2">
        <f ca="1"/>
        <v>35.007792418735171</v>
      </c>
      <c r="AG4034" s="2">
        <f ca="1"/>
        <v>0.92617430970171677</v>
      </c>
      <c r="AH4034" s="2" t="str">
        <f ca="1"/>
        <v>Bad</v>
      </c>
    </row>
    <row r="4035" spans="2:34" x14ac:dyDescent="0.2">
      <c r="B4035" s="2">
        <f ca="1"/>
        <v>0.25142044711565803</v>
      </c>
      <c r="O4035" s="2">
        <f ca="1"/>
        <v>-0.72614033550898938</v>
      </c>
      <c r="X4035" s="2">
        <f ca="1"/>
        <v>39.939915233071432</v>
      </c>
      <c r="AG4035" s="2">
        <f ca="1"/>
        <v>0.52394742077204648</v>
      </c>
      <c r="AH4035" s="2" t="str">
        <f ca="1"/>
        <v>Bad</v>
      </c>
    </row>
    <row r="4036" spans="2:34" x14ac:dyDescent="0.2">
      <c r="B4036" s="2">
        <f ca="1"/>
        <v>0.94374228771712487</v>
      </c>
      <c r="O4036" s="2">
        <f ca="1"/>
        <v>-1.0753194132434669</v>
      </c>
      <c r="X4036" s="2">
        <f ca="1"/>
        <v>33.344611270372241</v>
      </c>
      <c r="AG4036" s="2">
        <f ca="1"/>
        <v>0.75899574318638585</v>
      </c>
      <c r="AH4036" s="2" t="str">
        <f ca="1"/>
        <v>Bad</v>
      </c>
    </row>
    <row r="4037" spans="2:34" x14ac:dyDescent="0.2">
      <c r="B4037" s="2">
        <f ca="1"/>
        <v>0.46434542492409103</v>
      </c>
      <c r="O4037" s="2">
        <f ca="1"/>
        <v>-1.8199834715479</v>
      </c>
      <c r="X4037" s="2">
        <f ca="1"/>
        <v>73.554188053790298</v>
      </c>
      <c r="AG4037" s="2">
        <f ca="1"/>
        <v>4.4194805608225973E-2</v>
      </c>
      <c r="AH4037" s="2" t="str">
        <f ca="1"/>
        <v>Good</v>
      </c>
    </row>
    <row r="4038" spans="2:34" x14ac:dyDescent="0.2">
      <c r="B4038" s="2">
        <f ca="1"/>
        <v>0.10192076282318951</v>
      </c>
      <c r="O4038" s="2">
        <f ca="1"/>
        <v>-1.1164082201623351</v>
      </c>
      <c r="X4038" s="2">
        <f ca="1"/>
        <v>26.788223403873815</v>
      </c>
      <c r="AG4038" s="2">
        <f ca="1"/>
        <v>1.5123634234199379E-2</v>
      </c>
      <c r="AH4038" s="2" t="str">
        <f ca="1"/>
        <v>Good</v>
      </c>
    </row>
    <row r="4039" spans="2:34" x14ac:dyDescent="0.2">
      <c r="B4039" s="2">
        <f ca="1"/>
        <v>9.0097861200266083E-2</v>
      </c>
      <c r="O4039" s="2">
        <f ca="1"/>
        <v>-0.88090332316972586</v>
      </c>
      <c r="X4039" s="2">
        <f ca="1"/>
        <v>55.105020972175026</v>
      </c>
      <c r="AG4039" s="2">
        <f ca="1"/>
        <v>0.84462951735493119</v>
      </c>
      <c r="AH4039" s="2" t="str">
        <f ca="1"/>
        <v>Bad</v>
      </c>
    </row>
    <row r="4040" spans="2:34" x14ac:dyDescent="0.2">
      <c r="B4040" s="2">
        <f ca="1"/>
        <v>0.72368573635245181</v>
      </c>
      <c r="O4040" s="2">
        <f ca="1"/>
        <v>-0.59568581957117017</v>
      </c>
      <c r="X4040" s="2">
        <f ca="1"/>
        <v>33.625660132649926</v>
      </c>
      <c r="AG4040" s="2">
        <f ca="1"/>
        <v>0.35917564304756522</v>
      </c>
      <c r="AH4040" s="2" t="str">
        <f ca="1"/>
        <v>OK</v>
      </c>
    </row>
    <row r="4041" spans="2:34" x14ac:dyDescent="0.2">
      <c r="B4041" s="2">
        <f ca="1"/>
        <v>0.38525081469360511</v>
      </c>
      <c r="O4041" s="2">
        <f ca="1"/>
        <v>0.27342239748026193</v>
      </c>
      <c r="X4041" s="2">
        <f ca="1"/>
        <v>53.066246679058821</v>
      </c>
      <c r="AG4041" s="2">
        <f ca="1"/>
        <v>0.70302811654630948</v>
      </c>
      <c r="AH4041" s="2" t="str">
        <f ca="1"/>
        <v>Bad</v>
      </c>
    </row>
    <row r="4042" spans="2:34" x14ac:dyDescent="0.2">
      <c r="B4042" s="2">
        <f ca="1"/>
        <v>0.4879811576249129</v>
      </c>
      <c r="O4042" s="2">
        <f ca="1"/>
        <v>-0.46456879717539079</v>
      </c>
      <c r="X4042" s="2">
        <f ca="1"/>
        <v>43.023135550847442</v>
      </c>
      <c r="AG4042" s="2">
        <f ca="1"/>
        <v>0.82014932082944947</v>
      </c>
      <c r="AH4042" s="2" t="str">
        <f ca="1"/>
        <v>Bad</v>
      </c>
    </row>
    <row r="4043" spans="2:34" x14ac:dyDescent="0.2">
      <c r="B4043" s="2">
        <f ca="1"/>
        <v>0.41388657888496927</v>
      </c>
      <c r="O4043" s="2">
        <f ca="1"/>
        <v>-0.15931374427261333</v>
      </c>
      <c r="X4043" s="2">
        <f ca="1"/>
        <v>38.65340315589124</v>
      </c>
      <c r="AG4043" s="2">
        <f ca="1"/>
        <v>0.41502197540728591</v>
      </c>
      <c r="AH4043" s="2" t="str">
        <f ca="1"/>
        <v>Bad</v>
      </c>
    </row>
    <row r="4044" spans="2:34" x14ac:dyDescent="0.2">
      <c r="B4044" s="2">
        <f ca="1"/>
        <v>0.63787263525691018</v>
      </c>
      <c r="O4044" s="2">
        <f ca="1"/>
        <v>-0.52895028957013035</v>
      </c>
      <c r="X4044" s="2">
        <f ca="1"/>
        <v>52.747265949346371</v>
      </c>
      <c r="AG4044" s="2">
        <f ca="1"/>
        <v>0.75411217016993581</v>
      </c>
      <c r="AH4044" s="2" t="str">
        <f ca="1"/>
        <v>Bad</v>
      </c>
    </row>
    <row r="4045" spans="2:34" x14ac:dyDescent="0.2">
      <c r="B4045" s="2">
        <f ca="1"/>
        <v>0.66154201379978406</v>
      </c>
      <c r="O4045" s="2">
        <f ca="1"/>
        <v>-9.1981455312344473E-2</v>
      </c>
      <c r="X4045" s="2">
        <f ca="1"/>
        <v>37.312209227571792</v>
      </c>
      <c r="AG4045" s="2">
        <f ca="1"/>
        <v>0.5093005231552068</v>
      </c>
      <c r="AH4045" s="2" t="str">
        <f ca="1"/>
        <v>Bad</v>
      </c>
    </row>
    <row r="4046" spans="2:34" x14ac:dyDescent="0.2">
      <c r="B4046" s="2">
        <f ca="1"/>
        <v>0.95937831804840612</v>
      </c>
      <c r="O4046" s="2">
        <f ca="1"/>
        <v>0.90811880004039469</v>
      </c>
      <c r="X4046" s="2">
        <f ca="1"/>
        <v>42.473391959697118</v>
      </c>
      <c r="AG4046" s="2">
        <f ca="1"/>
        <v>0.95151248352851026</v>
      </c>
      <c r="AH4046" s="2" t="str">
        <f ca="1"/>
        <v>Bad</v>
      </c>
    </row>
    <row r="4047" spans="2:34" x14ac:dyDescent="0.2">
      <c r="B4047" s="2">
        <f ca="1"/>
        <v>7.0584520047539456E-2</v>
      </c>
      <c r="O4047" s="2">
        <f ca="1"/>
        <v>0.70066215574235013</v>
      </c>
      <c r="X4047" s="2">
        <f ca="1"/>
        <v>44.692123628784515</v>
      </c>
      <c r="AG4047" s="2">
        <f ca="1"/>
        <v>5.6890683789351026E-2</v>
      </c>
      <c r="AH4047" s="2" t="str">
        <f ca="1"/>
        <v>OK</v>
      </c>
    </row>
    <row r="4048" spans="2:34" x14ac:dyDescent="0.2">
      <c r="B4048" s="2">
        <f ca="1"/>
        <v>0.16489588328647997</v>
      </c>
      <c r="O4048" s="2">
        <f ca="1"/>
        <v>0.67487874097526046</v>
      </c>
      <c r="X4048" s="2">
        <f ca="1"/>
        <v>54.026724661144826</v>
      </c>
      <c r="AG4048" s="2">
        <f ca="1"/>
        <v>0.19973112920006786</v>
      </c>
      <c r="AH4048" s="2" t="str">
        <f ca="1"/>
        <v>OK</v>
      </c>
    </row>
    <row r="4049" spans="2:34" x14ac:dyDescent="0.2">
      <c r="B4049" s="2">
        <f ca="1"/>
        <v>3.1785551420629332E-2</v>
      </c>
      <c r="O4049" s="2">
        <f ca="1"/>
        <v>-0.27281489495986289</v>
      </c>
      <c r="X4049" s="2">
        <f ca="1"/>
        <v>28.835920455466663</v>
      </c>
      <c r="AG4049" s="2">
        <f ca="1"/>
        <v>0.18626311381579908</v>
      </c>
      <c r="AH4049" s="2" t="str">
        <f ca="1"/>
        <v>OK</v>
      </c>
    </row>
    <row r="4050" spans="2:34" x14ac:dyDescent="0.2">
      <c r="B4050" s="2">
        <f ca="1"/>
        <v>0.3494201146270921</v>
      </c>
      <c r="O4050" s="2">
        <f ca="1"/>
        <v>-2.8574974656884007</v>
      </c>
      <c r="X4050" s="2">
        <f ca="1"/>
        <v>61.126646671766487</v>
      </c>
      <c r="AG4050" s="2">
        <f ca="1"/>
        <v>7.7128053194487789E-2</v>
      </c>
      <c r="AH4050" s="2" t="str">
        <f ca="1"/>
        <v>OK</v>
      </c>
    </row>
    <row r="4051" spans="2:34" x14ac:dyDescent="0.2">
      <c r="B4051" s="2">
        <f ca="1"/>
        <v>1.5609822146279706E-2</v>
      </c>
      <c r="O4051" s="2">
        <f ca="1"/>
        <v>0.94697444383804952</v>
      </c>
      <c r="X4051" s="2">
        <f ca="1"/>
        <v>56.072063549227536</v>
      </c>
      <c r="AG4051" s="2">
        <f ca="1"/>
        <v>0.70993851942580921</v>
      </c>
      <c r="AH4051" s="2" t="str">
        <f ca="1"/>
        <v>Bad</v>
      </c>
    </row>
    <row r="4052" spans="2:34" x14ac:dyDescent="0.2">
      <c r="B4052" s="2">
        <f ca="1"/>
        <v>0.87416565890265718</v>
      </c>
      <c r="O4052" s="2">
        <f ca="1"/>
        <v>-0.58336020085233098</v>
      </c>
      <c r="X4052" s="2">
        <f ca="1"/>
        <v>65.262005474259382</v>
      </c>
      <c r="AG4052" s="2">
        <f ca="1"/>
        <v>0.83869739527531295</v>
      </c>
      <c r="AH4052" s="2" t="str">
        <f ca="1"/>
        <v>Bad</v>
      </c>
    </row>
    <row r="4053" spans="2:34" x14ac:dyDescent="0.2">
      <c r="B4053" s="2">
        <f ca="1"/>
        <v>0.32140467870319278</v>
      </c>
      <c r="O4053" s="2">
        <f ca="1"/>
        <v>-1.127072263182469</v>
      </c>
      <c r="X4053" s="2">
        <f ca="1"/>
        <v>42.022962039684515</v>
      </c>
      <c r="AG4053" s="2">
        <f ca="1"/>
        <v>0.14520025084778898</v>
      </c>
      <c r="AH4053" s="2" t="str">
        <f ca="1"/>
        <v>OK</v>
      </c>
    </row>
    <row r="4054" spans="2:34" x14ac:dyDescent="0.2">
      <c r="B4054" s="2">
        <f ca="1"/>
        <v>0.15335648899604148</v>
      </c>
      <c r="O4054" s="2">
        <f ca="1"/>
        <v>-0.69411191131242223</v>
      </c>
      <c r="X4054" s="2">
        <f ca="1"/>
        <v>34.129083148306862</v>
      </c>
      <c r="AG4054" s="2">
        <f ca="1"/>
        <v>0.19068839638947233</v>
      </c>
      <c r="AH4054" s="2" t="str">
        <f ca="1"/>
        <v>OK</v>
      </c>
    </row>
    <row r="4055" spans="2:34" x14ac:dyDescent="0.2">
      <c r="B4055" s="2">
        <f ca="1"/>
        <v>0.85582828510163211</v>
      </c>
      <c r="O4055" s="2">
        <f ca="1"/>
        <v>-5.7022842681986943E-2</v>
      </c>
      <c r="X4055" s="2">
        <f ca="1"/>
        <v>48.695106191131217</v>
      </c>
      <c r="AG4055" s="2">
        <f ca="1"/>
        <v>0.6673056003882798</v>
      </c>
      <c r="AH4055" s="2" t="str">
        <f ca="1"/>
        <v>Bad</v>
      </c>
    </row>
    <row r="4056" spans="2:34" x14ac:dyDescent="0.2">
      <c r="B4056" s="2">
        <f ca="1"/>
        <v>0.70910185317789076</v>
      </c>
      <c r="O4056" s="2">
        <f ca="1"/>
        <v>0.7520605901706986</v>
      </c>
      <c r="X4056" s="2">
        <f ca="1"/>
        <v>61.297565142233253</v>
      </c>
      <c r="AG4056" s="2">
        <f ca="1"/>
        <v>0.72092320160635315</v>
      </c>
      <c r="AH4056" s="2" t="str">
        <f ca="1"/>
        <v>Bad</v>
      </c>
    </row>
    <row r="4057" spans="2:34" x14ac:dyDescent="0.2">
      <c r="B4057" s="2">
        <f ca="1"/>
        <v>0.87985920831603726</v>
      </c>
      <c r="O4057" s="2">
        <f ca="1"/>
        <v>-1.4272240041107271</v>
      </c>
      <c r="X4057" s="2">
        <f ca="1"/>
        <v>38.631388872652636</v>
      </c>
      <c r="AG4057" s="2">
        <f ca="1"/>
        <v>0.48593854339864029</v>
      </c>
      <c r="AH4057" s="2" t="str">
        <f ca="1"/>
        <v>Bad</v>
      </c>
    </row>
    <row r="4058" spans="2:34" x14ac:dyDescent="0.2">
      <c r="B4058" s="2">
        <f ca="1"/>
        <v>0.1705007302258752</v>
      </c>
      <c r="O4058" s="2">
        <f ca="1"/>
        <v>-1.4591640537948052</v>
      </c>
      <c r="X4058" s="2">
        <f ca="1"/>
        <v>48.581129928719434</v>
      </c>
      <c r="AG4058" s="2">
        <f ca="1"/>
        <v>0.49712507734683209</v>
      </c>
      <c r="AH4058" s="2" t="str">
        <f ca="1"/>
        <v>Bad</v>
      </c>
    </row>
    <row r="4059" spans="2:34" x14ac:dyDescent="0.2">
      <c r="B4059" s="2">
        <f ca="1"/>
        <v>0.25683234660112819</v>
      </c>
      <c r="O4059" s="2">
        <f ca="1"/>
        <v>1.2969627699217445</v>
      </c>
      <c r="X4059" s="2">
        <f ca="1"/>
        <v>39.206211797303887</v>
      </c>
      <c r="AG4059" s="2">
        <f ca="1"/>
        <v>0.14358497529263703</v>
      </c>
      <c r="AH4059" s="2" t="str">
        <f ca="1"/>
        <v>OK</v>
      </c>
    </row>
    <row r="4060" spans="2:34" x14ac:dyDescent="0.2">
      <c r="B4060" s="2">
        <f ca="1"/>
        <v>0.64772790702498795</v>
      </c>
      <c r="O4060" s="2">
        <f ca="1"/>
        <v>-1.4235812474472835</v>
      </c>
      <c r="X4060" s="2">
        <f ca="1"/>
        <v>36.738097855816164</v>
      </c>
      <c r="AG4060" s="2">
        <f ca="1"/>
        <v>0.20492183417753207</v>
      </c>
      <c r="AH4060" s="2" t="str">
        <f ca="1"/>
        <v>OK</v>
      </c>
    </row>
    <row r="4061" spans="2:34" x14ac:dyDescent="0.2">
      <c r="B4061" s="2">
        <f ca="1"/>
        <v>4.3547208940309945E-2</v>
      </c>
      <c r="O4061" s="2">
        <f ca="1"/>
        <v>-8.3434790452464463E-2</v>
      </c>
      <c r="X4061" s="2">
        <f ca="1"/>
        <v>54.069097458065023</v>
      </c>
      <c r="AG4061" s="2">
        <f ca="1"/>
        <v>0.43944255357279816</v>
      </c>
      <c r="AH4061" s="2" t="str">
        <f ca="1"/>
        <v>Bad</v>
      </c>
    </row>
    <row r="4062" spans="2:34" x14ac:dyDescent="0.2">
      <c r="B4062" s="2">
        <f ca="1"/>
        <v>0.29573476123286579</v>
      </c>
      <c r="O4062" s="2">
        <f ca="1"/>
        <v>0.75905910301404234</v>
      </c>
      <c r="X4062" s="2">
        <f ca="1"/>
        <v>34.402524535031056</v>
      </c>
      <c r="AG4062" s="2">
        <f ca="1"/>
        <v>0.36953070637155028</v>
      </c>
      <c r="AH4062" s="2" t="str">
        <f ca="1"/>
        <v>OK</v>
      </c>
    </row>
    <row r="4063" spans="2:34" x14ac:dyDescent="0.2">
      <c r="B4063" s="2">
        <f ca="1"/>
        <v>0.32621606303360373</v>
      </c>
      <c r="O4063" s="2">
        <f ca="1"/>
        <v>-0.68115628647657922</v>
      </c>
      <c r="X4063" s="2">
        <f ca="1"/>
        <v>51.862554558215365</v>
      </c>
      <c r="AG4063" s="2">
        <f ca="1"/>
        <v>0.56482412758109901</v>
      </c>
      <c r="AH4063" s="2" t="str">
        <f ca="1"/>
        <v>Bad</v>
      </c>
    </row>
    <row r="4064" spans="2:34" x14ac:dyDescent="0.2">
      <c r="B4064" s="2">
        <f ca="1"/>
        <v>0.88637770890715828</v>
      </c>
      <c r="O4064" s="2">
        <f ca="1"/>
        <v>1.6785451584811524</v>
      </c>
      <c r="X4064" s="2">
        <f ca="1"/>
        <v>50.248601074340726</v>
      </c>
      <c r="AG4064" s="2">
        <f ca="1"/>
        <v>1.0474538324634075E-3</v>
      </c>
      <c r="AH4064" s="2" t="str">
        <f ca="1"/>
        <v>Good</v>
      </c>
    </row>
    <row r="4065" spans="2:34" x14ac:dyDescent="0.2">
      <c r="B4065" s="2">
        <f ca="1"/>
        <v>0.16639011130166148</v>
      </c>
      <c r="O4065" s="2">
        <f ca="1"/>
        <v>-2.4545515406886691E-2</v>
      </c>
      <c r="X4065" s="2">
        <f ca="1"/>
        <v>64.826012675002588</v>
      </c>
      <c r="AG4065" s="2">
        <f ca="1"/>
        <v>0.36057906244880589</v>
      </c>
      <c r="AH4065" s="2" t="str">
        <f ca="1"/>
        <v>OK</v>
      </c>
    </row>
    <row r="4066" spans="2:34" x14ac:dyDescent="0.2">
      <c r="B4066" s="2">
        <f ca="1"/>
        <v>0.23158604672464156</v>
      </c>
      <c r="O4066" s="2">
        <f ca="1"/>
        <v>-1.0230823184845008</v>
      </c>
      <c r="X4066" s="2">
        <f ca="1"/>
        <v>20.138031762732091</v>
      </c>
      <c r="AG4066" s="2">
        <f ca="1"/>
        <v>3.3654694457383894E-2</v>
      </c>
      <c r="AH4066" s="2" t="str">
        <f ca="1"/>
        <v>Good</v>
      </c>
    </row>
    <row r="4067" spans="2:34" x14ac:dyDescent="0.2">
      <c r="B4067" s="2">
        <f ca="1"/>
        <v>0.92990713463913077</v>
      </c>
      <c r="O4067" s="2">
        <f ca="1"/>
        <v>-0.26178160109776588</v>
      </c>
      <c r="X4067" s="2">
        <f ca="1"/>
        <v>55.596903411737635</v>
      </c>
      <c r="AG4067" s="2">
        <f ca="1"/>
        <v>0.61879437401544868</v>
      </c>
      <c r="AH4067" s="2" t="str">
        <f ca="1"/>
        <v>Bad</v>
      </c>
    </row>
    <row r="4068" spans="2:34" x14ac:dyDescent="0.2">
      <c r="B4068" s="2">
        <f ca="1"/>
        <v>0.63497301827111463</v>
      </c>
      <c r="O4068" s="2">
        <f ca="1"/>
        <v>-0.83244495676031249</v>
      </c>
      <c r="X4068" s="2">
        <f ca="1"/>
        <v>31.564299927715368</v>
      </c>
      <c r="AG4068" s="2">
        <f ca="1"/>
        <v>0.12343849745344881</v>
      </c>
      <c r="AH4068" s="2" t="str">
        <f ca="1"/>
        <v>OK</v>
      </c>
    </row>
    <row r="4069" spans="2:34" x14ac:dyDescent="0.2">
      <c r="B4069" s="2">
        <f ca="1"/>
        <v>0.47303862948948683</v>
      </c>
      <c r="O4069" s="2">
        <f ca="1"/>
        <v>1.200500122144267</v>
      </c>
      <c r="X4069" s="2">
        <f ca="1"/>
        <v>44.783917532360682</v>
      </c>
      <c r="AG4069" s="2">
        <f ca="1"/>
        <v>0.93485705981992795</v>
      </c>
      <c r="AH4069" s="2" t="str">
        <f ca="1"/>
        <v>Bad</v>
      </c>
    </row>
    <row r="4070" spans="2:34" x14ac:dyDescent="0.2">
      <c r="B4070" s="2">
        <f ca="1"/>
        <v>0.35830334212849335</v>
      </c>
      <c r="O4070" s="2">
        <f ca="1"/>
        <v>-0.90515275283952479</v>
      </c>
      <c r="X4070" s="2">
        <f ca="1"/>
        <v>35.667821356772251</v>
      </c>
      <c r="AG4070" s="2">
        <f ca="1"/>
        <v>0.87464255669905788</v>
      </c>
      <c r="AH4070" s="2" t="str">
        <f ca="1"/>
        <v>Bad</v>
      </c>
    </row>
    <row r="4071" spans="2:34" x14ac:dyDescent="0.2">
      <c r="B4071" s="2">
        <f ca="1"/>
        <v>0.80326654947355913</v>
      </c>
      <c r="O4071" s="2">
        <f ca="1"/>
        <v>-0.80094507229484246</v>
      </c>
      <c r="X4071" s="2">
        <f ca="1"/>
        <v>40.02646435799516</v>
      </c>
      <c r="AG4071" s="2">
        <f ca="1"/>
        <v>0.98112765505030231</v>
      </c>
      <c r="AH4071" s="2" t="str">
        <f ca="1"/>
        <v>Bad</v>
      </c>
    </row>
    <row r="4072" spans="2:34" x14ac:dyDescent="0.2">
      <c r="B4072" s="2">
        <f ca="1"/>
        <v>0.50222903565729959</v>
      </c>
      <c r="O4072" s="2">
        <f ca="1"/>
        <v>-0.11327363192043174</v>
      </c>
      <c r="X4072" s="2">
        <f ca="1"/>
        <v>52.310978587026455</v>
      </c>
      <c r="AG4072" s="2">
        <f ca="1"/>
        <v>0.29904832076791066</v>
      </c>
      <c r="AH4072" s="2" t="str">
        <f ca="1"/>
        <v>OK</v>
      </c>
    </row>
    <row r="4073" spans="2:34" x14ac:dyDescent="0.2">
      <c r="B4073" s="2">
        <f ca="1"/>
        <v>0.55835768757401616</v>
      </c>
      <c r="O4073" s="2">
        <f ca="1"/>
        <v>0.1246053142228802</v>
      </c>
      <c r="X4073" s="2">
        <f ca="1"/>
        <v>67.631667570011487</v>
      </c>
      <c r="AG4073" s="2">
        <f ca="1"/>
        <v>0.98929644287267182</v>
      </c>
      <c r="AH4073" s="2" t="str">
        <f ca="1"/>
        <v>Bad</v>
      </c>
    </row>
    <row r="4074" spans="2:34" x14ac:dyDescent="0.2">
      <c r="B4074" s="2">
        <f ca="1"/>
        <v>0.68393649477029816</v>
      </c>
      <c r="O4074" s="2">
        <f ca="1"/>
        <v>0.26446121339569445</v>
      </c>
      <c r="X4074" s="2">
        <f ca="1"/>
        <v>49.924180896438138</v>
      </c>
      <c r="AG4074" s="2">
        <f ca="1"/>
        <v>0.98458800759628984</v>
      </c>
      <c r="AH4074" s="2" t="str">
        <f ca="1"/>
        <v>Bad</v>
      </c>
    </row>
    <row r="4075" spans="2:34" x14ac:dyDescent="0.2">
      <c r="B4075" s="2">
        <f ca="1"/>
        <v>0.78469290734964092</v>
      </c>
      <c r="O4075" s="2">
        <f ca="1"/>
        <v>-0.16476974582118753</v>
      </c>
      <c r="X4075" s="2">
        <f ca="1"/>
        <v>40.065374854298319</v>
      </c>
      <c r="AG4075" s="2">
        <f ca="1"/>
        <v>0.61279178716122695</v>
      </c>
      <c r="AH4075" s="2" t="str">
        <f ca="1"/>
        <v>Bad</v>
      </c>
    </row>
    <row r="4076" spans="2:34" x14ac:dyDescent="0.2">
      <c r="B4076" s="2">
        <f ca="1"/>
        <v>0.96663884635579067</v>
      </c>
      <c r="O4076" s="2">
        <f ca="1"/>
        <v>-0.11573034018470972</v>
      </c>
      <c r="X4076" s="2">
        <f ca="1"/>
        <v>29.931125719724911</v>
      </c>
      <c r="AG4076" s="2">
        <f ca="1"/>
        <v>0.67931924171095237</v>
      </c>
      <c r="AH4076" s="2" t="str">
        <f ca="1"/>
        <v>Bad</v>
      </c>
    </row>
    <row r="4077" spans="2:34" x14ac:dyDescent="0.2">
      <c r="B4077" s="2">
        <f ca="1"/>
        <v>0.31502407623005713</v>
      </c>
      <c r="O4077" s="2">
        <f ca="1"/>
        <v>0.97285977114007449</v>
      </c>
      <c r="X4077" s="2">
        <f ca="1"/>
        <v>38.740058216563575</v>
      </c>
      <c r="AG4077" s="2">
        <f ca="1"/>
        <v>0.72147256216162248</v>
      </c>
      <c r="AH4077" s="2" t="str">
        <f ca="1"/>
        <v>Bad</v>
      </c>
    </row>
    <row r="4078" spans="2:34" x14ac:dyDescent="0.2">
      <c r="B4078" s="2">
        <f ca="1"/>
        <v>0.7023122122132246</v>
      </c>
      <c r="O4078" s="2">
        <f ca="1"/>
        <v>0.54524216593079966</v>
      </c>
      <c r="X4078" s="2">
        <f ca="1"/>
        <v>41.510003521762584</v>
      </c>
      <c r="AG4078" s="2">
        <f ca="1"/>
        <v>2.0435387628940926E-2</v>
      </c>
      <c r="AH4078" s="2" t="str">
        <f ca="1"/>
        <v>Good</v>
      </c>
    </row>
    <row r="4079" spans="2:34" x14ac:dyDescent="0.2">
      <c r="B4079" s="2">
        <f ca="1"/>
        <v>0.52154448854276136</v>
      </c>
      <c r="O4079" s="2">
        <f ca="1"/>
        <v>-0.21439539691954884</v>
      </c>
      <c r="X4079" s="2">
        <f ca="1"/>
        <v>63.374528558685654</v>
      </c>
      <c r="AG4079" s="2">
        <f ca="1"/>
        <v>0.11315401874289388</v>
      </c>
      <c r="AH4079" s="2" t="str">
        <f ca="1"/>
        <v>OK</v>
      </c>
    </row>
    <row r="4080" spans="2:34" x14ac:dyDescent="0.2">
      <c r="B4080" s="2">
        <f ca="1"/>
        <v>0.5013392080775072</v>
      </c>
      <c r="O4080" s="2">
        <f ca="1"/>
        <v>2.1193657861886908</v>
      </c>
      <c r="X4080" s="2">
        <f ca="1"/>
        <v>58.115615554622408</v>
      </c>
      <c r="AG4080" s="2">
        <f ca="1"/>
        <v>0.34018185260934253</v>
      </c>
      <c r="AH4080" s="2" t="str">
        <f ca="1"/>
        <v>OK</v>
      </c>
    </row>
    <row r="4081" spans="2:34" x14ac:dyDescent="0.2">
      <c r="B4081" s="2">
        <f ca="1"/>
        <v>0.69587568165080671</v>
      </c>
      <c r="O4081" s="2">
        <f ca="1"/>
        <v>9.5882260292583191E-2</v>
      </c>
      <c r="X4081" s="2">
        <f ca="1"/>
        <v>23.090667693974737</v>
      </c>
      <c r="AG4081" s="2">
        <f ca="1"/>
        <v>0.32037331865519558</v>
      </c>
      <c r="AH4081" s="2" t="str">
        <f ca="1"/>
        <v>OK</v>
      </c>
    </row>
    <row r="4082" spans="2:34" x14ac:dyDescent="0.2">
      <c r="B4082" s="2">
        <f ca="1"/>
        <v>0.33496993207421721</v>
      </c>
      <c r="O4082" s="2">
        <f ca="1"/>
        <v>0.24566576637266305</v>
      </c>
      <c r="X4082" s="2">
        <f ca="1"/>
        <v>39.133340560846193</v>
      </c>
      <c r="AG4082" s="2">
        <f ca="1"/>
        <v>0.59966045356713593</v>
      </c>
      <c r="AH4082" s="2" t="str">
        <f ca="1"/>
        <v>Bad</v>
      </c>
    </row>
    <row r="4083" spans="2:34" x14ac:dyDescent="0.2">
      <c r="B4083" s="2">
        <f ca="1"/>
        <v>0.28226293361620214</v>
      </c>
      <c r="O4083" s="2">
        <f ca="1"/>
        <v>0.86811682063808715</v>
      </c>
      <c r="X4083" s="2">
        <f ca="1"/>
        <v>25.018679025432817</v>
      </c>
      <c r="AG4083" s="2">
        <f ca="1"/>
        <v>0.897546293713396</v>
      </c>
      <c r="AH4083" s="2" t="str">
        <f ca="1"/>
        <v>Bad</v>
      </c>
    </row>
    <row r="4084" spans="2:34" x14ac:dyDescent="0.2">
      <c r="B4084" s="2">
        <f ca="1"/>
        <v>4.9375130321732463E-2</v>
      </c>
      <c r="O4084" s="2">
        <f ca="1"/>
        <v>-0.29673472044489035</v>
      </c>
      <c r="X4084" s="2">
        <f ca="1"/>
        <v>28.724876328779665</v>
      </c>
      <c r="AG4084" s="2">
        <f ca="1"/>
        <v>4.4290949899125298E-2</v>
      </c>
      <c r="AH4084" s="2" t="str">
        <f ca="1"/>
        <v>Good</v>
      </c>
    </row>
    <row r="4085" spans="2:34" x14ac:dyDescent="0.2">
      <c r="B4085" s="2">
        <f ca="1"/>
        <v>0.11409499893014519</v>
      </c>
      <c r="O4085" s="2">
        <f ca="1"/>
        <v>-0.28480389004089723</v>
      </c>
      <c r="X4085" s="2">
        <f ca="1"/>
        <v>40.798170985557704</v>
      </c>
      <c r="AG4085" s="2">
        <f ca="1"/>
        <v>0.25132087633088984</v>
      </c>
      <c r="AH4085" s="2" t="str">
        <f ca="1"/>
        <v>OK</v>
      </c>
    </row>
    <row r="4086" spans="2:34" x14ac:dyDescent="0.2">
      <c r="B4086" s="2">
        <f ca="1"/>
        <v>0.56488301265356511</v>
      </c>
      <c r="O4086" s="2">
        <f ca="1"/>
        <v>1.5021030870000482</v>
      </c>
      <c r="X4086" s="2">
        <f ca="1"/>
        <v>45.228190507034256</v>
      </c>
      <c r="AG4086" s="2">
        <f ca="1"/>
        <v>0.54915038249816051</v>
      </c>
      <c r="AH4086" s="2" t="str">
        <f ca="1"/>
        <v>Bad</v>
      </c>
    </row>
    <row r="4087" spans="2:34" x14ac:dyDescent="0.2">
      <c r="B4087" s="2">
        <f ca="1"/>
        <v>0.87003843762975763</v>
      </c>
      <c r="O4087" s="2">
        <f ca="1"/>
        <v>-0.33069755517063942</v>
      </c>
      <c r="X4087" s="2">
        <f ca="1"/>
        <v>45.319823548250739</v>
      </c>
      <c r="AG4087" s="2">
        <f ca="1"/>
        <v>0.60160937287651972</v>
      </c>
      <c r="AH4087" s="2" t="str">
        <f ca="1"/>
        <v>Bad</v>
      </c>
    </row>
    <row r="4088" spans="2:34" x14ac:dyDescent="0.2">
      <c r="B4088" s="2">
        <f ca="1"/>
        <v>0.54193417607611982</v>
      </c>
      <c r="O4088" s="2">
        <f ca="1"/>
        <v>1.1005706706297245</v>
      </c>
      <c r="X4088" s="2">
        <f ca="1"/>
        <v>61.242581343633482</v>
      </c>
      <c r="AG4088" s="2">
        <f ca="1"/>
        <v>0.82612605128326422</v>
      </c>
      <c r="AH4088" s="2" t="str">
        <f ca="1"/>
        <v>Bad</v>
      </c>
    </row>
    <row r="4089" spans="2:34" x14ac:dyDescent="0.2">
      <c r="B4089" s="2">
        <f ca="1"/>
        <v>0.26479306586853979</v>
      </c>
      <c r="O4089" s="2">
        <f ca="1"/>
        <v>1.6469937597180277</v>
      </c>
      <c r="X4089" s="2">
        <f ca="1"/>
        <v>34.678047412666764</v>
      </c>
      <c r="AG4089" s="2">
        <f ca="1"/>
        <v>0.25984227670323379</v>
      </c>
      <c r="AH4089" s="2" t="str">
        <f ca="1"/>
        <v>OK</v>
      </c>
    </row>
    <row r="4090" spans="2:34" x14ac:dyDescent="0.2">
      <c r="B4090" s="2">
        <f ca="1"/>
        <v>0.54005367894444589</v>
      </c>
      <c r="O4090" s="2">
        <f ca="1"/>
        <v>0.2756660107618501</v>
      </c>
      <c r="X4090" s="2">
        <f ca="1"/>
        <v>36.659917073721147</v>
      </c>
      <c r="AG4090" s="2">
        <f ca="1"/>
        <v>0.30319241258259511</v>
      </c>
      <c r="AH4090" s="2" t="str">
        <f ca="1"/>
        <v>OK</v>
      </c>
    </row>
    <row r="4091" spans="2:34" x14ac:dyDescent="0.2">
      <c r="B4091" s="2">
        <f ca="1"/>
        <v>0.38472470246926727</v>
      </c>
      <c r="O4091" s="2">
        <f ca="1"/>
        <v>0.22746320296424535</v>
      </c>
      <c r="X4091" s="2">
        <f ca="1"/>
        <v>62.455744283739818</v>
      </c>
      <c r="AG4091" s="2">
        <f ca="1"/>
        <v>0.16227821470195969</v>
      </c>
      <c r="AH4091" s="2" t="str">
        <f ca="1"/>
        <v>OK</v>
      </c>
    </row>
    <row r="4092" spans="2:34" x14ac:dyDescent="0.2">
      <c r="B4092" s="2">
        <f ca="1"/>
        <v>0.22068033624914207</v>
      </c>
      <c r="O4092" s="2">
        <f ca="1"/>
        <v>0.83709743619946531</v>
      </c>
      <c r="X4092" s="2">
        <f ca="1"/>
        <v>43.984976294760656</v>
      </c>
      <c r="AG4092" s="2">
        <f ca="1"/>
        <v>2.3784238493836929E-2</v>
      </c>
      <c r="AH4092" s="2" t="str">
        <f ca="1"/>
        <v>Good</v>
      </c>
    </row>
    <row r="4093" spans="2:34" x14ac:dyDescent="0.2">
      <c r="B4093" s="2">
        <f ca="1"/>
        <v>0.43013745924094904</v>
      </c>
      <c r="O4093" s="2">
        <f ca="1"/>
        <v>0.29046546015415253</v>
      </c>
      <c r="X4093" s="2">
        <f ca="1"/>
        <v>49.545614141257268</v>
      </c>
      <c r="AG4093" s="2">
        <f ca="1"/>
        <v>1.9568269023687801E-2</v>
      </c>
      <c r="AH4093" s="2" t="str">
        <f ca="1"/>
        <v>Good</v>
      </c>
    </row>
    <row r="4094" spans="2:34" x14ac:dyDescent="0.2">
      <c r="B4094" s="2">
        <f ca="1"/>
        <v>0.68360856595069119</v>
      </c>
      <c r="O4094" s="2">
        <f ca="1"/>
        <v>0.73465027523489979</v>
      </c>
      <c r="X4094" s="2">
        <f ca="1"/>
        <v>28.568245197912304</v>
      </c>
      <c r="AG4094" s="2">
        <f ca="1"/>
        <v>0.71547882813690111</v>
      </c>
      <c r="AH4094" s="2" t="str">
        <f ca="1"/>
        <v>Bad</v>
      </c>
    </row>
    <row r="4095" spans="2:34" x14ac:dyDescent="0.2">
      <c r="B4095" s="2">
        <f ca="1"/>
        <v>0.56545845057240873</v>
      </c>
      <c r="O4095" s="2">
        <f ca="1"/>
        <v>0.80045021731595345</v>
      </c>
      <c r="X4095" s="2">
        <f ca="1"/>
        <v>54.336644188940824</v>
      </c>
      <c r="AG4095" s="2">
        <f ca="1"/>
        <v>0.59540116524616726</v>
      </c>
      <c r="AH4095" s="2" t="str">
        <f ca="1"/>
        <v>Bad</v>
      </c>
    </row>
    <row r="4096" spans="2:34" x14ac:dyDescent="0.2">
      <c r="B4096" s="2">
        <f ca="1"/>
        <v>9.1026014836398161E-2</v>
      </c>
      <c r="O4096" s="2">
        <f ca="1"/>
        <v>0.84906511044367383</v>
      </c>
      <c r="X4096" s="2">
        <f ca="1"/>
        <v>50.797975174636434</v>
      </c>
      <c r="AG4096" s="2">
        <f ca="1"/>
        <v>0.97515707810505114</v>
      </c>
      <c r="AH4096" s="2" t="str">
        <f ca="1"/>
        <v>Bad</v>
      </c>
    </row>
    <row r="4097" spans="2:34" x14ac:dyDescent="0.2">
      <c r="B4097" s="2">
        <f ca="1"/>
        <v>0.83830189984229597</v>
      </c>
      <c r="O4097" s="2">
        <f ca="1"/>
        <v>0.35331531388730092</v>
      </c>
      <c r="X4097" s="2">
        <f ca="1"/>
        <v>48.99889769082052</v>
      </c>
      <c r="AG4097" s="2">
        <f ca="1"/>
        <v>0.99283380490554696</v>
      </c>
      <c r="AH4097" s="2" t="str">
        <f ca="1"/>
        <v>Bad</v>
      </c>
    </row>
    <row r="4098" spans="2:34" x14ac:dyDescent="0.2">
      <c r="B4098" s="2">
        <f ca="1"/>
        <v>1.1455060241455151E-2</v>
      </c>
      <c r="O4098" s="2">
        <f ca="1"/>
        <v>0.65369510104545503</v>
      </c>
      <c r="X4098" s="2">
        <f ca="1"/>
        <v>44.001315048006035</v>
      </c>
      <c r="AG4098" s="2">
        <f ca="1"/>
        <v>0.84996564428001165</v>
      </c>
      <c r="AH4098" s="2" t="str">
        <f ca="1"/>
        <v>Bad</v>
      </c>
    </row>
    <row r="4099" spans="2:34" x14ac:dyDescent="0.2">
      <c r="B4099" s="2">
        <f ca="1"/>
        <v>0.11484474180234905</v>
      </c>
      <c r="O4099" s="2">
        <f ca="1"/>
        <v>7.1829277903122976E-2</v>
      </c>
      <c r="X4099" s="2">
        <f ca="1"/>
        <v>36.019071383221394</v>
      </c>
      <c r="AG4099" s="2">
        <f ca="1"/>
        <v>0.12176449887088991</v>
      </c>
      <c r="AH4099" s="2" t="str">
        <f ca="1"/>
        <v>OK</v>
      </c>
    </row>
    <row r="4100" spans="2:34" x14ac:dyDescent="0.2">
      <c r="B4100" s="2">
        <f ca="1"/>
        <v>0.51826946411796659</v>
      </c>
      <c r="O4100" s="2">
        <f ca="1"/>
        <v>1.509396374488063</v>
      </c>
      <c r="X4100" s="2">
        <f ca="1"/>
        <v>17.664683702519952</v>
      </c>
      <c r="AG4100" s="2">
        <f ca="1"/>
        <v>0.61080365875871401</v>
      </c>
      <c r="AH4100" s="2" t="str">
        <f ca="1"/>
        <v>Bad</v>
      </c>
    </row>
    <row r="4101" spans="2:34" x14ac:dyDescent="0.2">
      <c r="B4101" s="2">
        <f ca="1"/>
        <v>0.60319689971921675</v>
      </c>
      <c r="O4101" s="2">
        <f ca="1"/>
        <v>-0.40730478093641498</v>
      </c>
      <c r="X4101" s="2">
        <f ca="1"/>
        <v>45.991584395584439</v>
      </c>
      <c r="AG4101" s="2">
        <f ca="1"/>
        <v>0.26962434008231173</v>
      </c>
      <c r="AH4101" s="2" t="str">
        <f ca="1"/>
        <v>OK</v>
      </c>
    </row>
    <row r="4102" spans="2:34" x14ac:dyDescent="0.2">
      <c r="B4102" s="2">
        <f ca="1"/>
        <v>0.57626148795920584</v>
      </c>
      <c r="O4102" s="2">
        <f ca="1"/>
        <v>-0.19977214857383746</v>
      </c>
      <c r="X4102" s="2">
        <f ca="1"/>
        <v>120.80065587576563</v>
      </c>
      <c r="AG4102" s="2">
        <f ca="1"/>
        <v>0.2404965958523293</v>
      </c>
      <c r="AH4102" s="2" t="str">
        <f ca="1"/>
        <v>OK</v>
      </c>
    </row>
    <row r="4103" spans="2:34" x14ac:dyDescent="0.2">
      <c r="B4103" s="2">
        <f ca="1"/>
        <v>0.33015114317890593</v>
      </c>
      <c r="O4103" s="2">
        <f ca="1"/>
        <v>-0.16626060184103497</v>
      </c>
      <c r="X4103" s="2">
        <f ca="1"/>
        <v>46.839249818023234</v>
      </c>
      <c r="AG4103" s="2">
        <f ca="1"/>
        <v>0.93663698728960476</v>
      </c>
      <c r="AH4103" s="2" t="str">
        <f ca="1"/>
        <v>Bad</v>
      </c>
    </row>
    <row r="4104" spans="2:34" x14ac:dyDescent="0.2">
      <c r="B4104" s="2">
        <f ca="1"/>
        <v>8.9483710413135853E-2</v>
      </c>
      <c r="O4104" s="2">
        <f ca="1"/>
        <v>-0.74467490070788234</v>
      </c>
      <c r="X4104" s="2">
        <f ca="1"/>
        <v>31.480784134884612</v>
      </c>
      <c r="AG4104" s="2">
        <f ca="1"/>
        <v>0.17605002577431295</v>
      </c>
      <c r="AH4104" s="2" t="str">
        <f ca="1"/>
        <v>OK</v>
      </c>
    </row>
    <row r="4105" spans="2:34" x14ac:dyDescent="0.2">
      <c r="B4105" s="2">
        <f ca="1"/>
        <v>0.4599626723786101</v>
      </c>
      <c r="O4105" s="2">
        <f ca="1"/>
        <v>0.67267037556312403</v>
      </c>
      <c r="X4105" s="2">
        <f ca="1"/>
        <v>39.096607555272584</v>
      </c>
      <c r="AG4105" s="2">
        <f ca="1"/>
        <v>0.66173836420469789</v>
      </c>
      <c r="AH4105" s="2" t="str">
        <f ca="1"/>
        <v>Bad</v>
      </c>
    </row>
    <row r="4106" spans="2:34" x14ac:dyDescent="0.2">
      <c r="B4106" s="2">
        <f ca="1"/>
        <v>0.81961556459278584</v>
      </c>
      <c r="O4106" s="2">
        <f ca="1"/>
        <v>0.55950018684843394</v>
      </c>
      <c r="X4106" s="2">
        <f ca="1"/>
        <v>59.298397949305226</v>
      </c>
      <c r="AG4106" s="2">
        <f ca="1"/>
        <v>0.70141162272738766</v>
      </c>
      <c r="AH4106" s="2" t="str">
        <f ca="1"/>
        <v>Bad</v>
      </c>
    </row>
    <row r="4107" spans="2:34" x14ac:dyDescent="0.2">
      <c r="B4107" s="2">
        <f ca="1"/>
        <v>0.85392448496526563</v>
      </c>
      <c r="O4107" s="2">
        <f ca="1"/>
        <v>1.4250428657563672</v>
      </c>
      <c r="X4107" s="2">
        <f ca="1"/>
        <v>37.823134991132832</v>
      </c>
      <c r="AG4107" s="2">
        <f ca="1"/>
        <v>0.20917311843213393</v>
      </c>
      <c r="AH4107" s="2" t="str">
        <f ca="1"/>
        <v>OK</v>
      </c>
    </row>
    <row r="4108" spans="2:34" x14ac:dyDescent="0.2">
      <c r="B4108" s="2">
        <f ca="1"/>
        <v>0.79277838605891038</v>
      </c>
      <c r="O4108" s="2">
        <f ca="1"/>
        <v>-0.35986688892951946</v>
      </c>
      <c r="X4108" s="2">
        <f ca="1"/>
        <v>37.220828234469977</v>
      </c>
      <c r="AG4108" s="2">
        <f ca="1"/>
        <v>0.27935597137137447</v>
      </c>
      <c r="AH4108" s="2" t="str">
        <f ca="1"/>
        <v>OK</v>
      </c>
    </row>
    <row r="4109" spans="2:34" x14ac:dyDescent="0.2">
      <c r="B4109" s="2">
        <f ca="1"/>
        <v>0.94017625337393795</v>
      </c>
      <c r="O4109" s="2">
        <f ca="1"/>
        <v>-0.99013020936012941</v>
      </c>
      <c r="X4109" s="2">
        <f ca="1"/>
        <v>28.99571165876365</v>
      </c>
      <c r="AG4109" s="2">
        <f ca="1"/>
        <v>0.61092257622964508</v>
      </c>
      <c r="AH4109" s="2" t="str">
        <f ca="1"/>
        <v>Bad</v>
      </c>
    </row>
    <row r="4110" spans="2:34" x14ac:dyDescent="0.2">
      <c r="B4110" s="2">
        <f ca="1"/>
        <v>0.29845351695094791</v>
      </c>
      <c r="O4110" s="2">
        <f ca="1"/>
        <v>0.35240760766514029</v>
      </c>
      <c r="X4110" s="2">
        <f ca="1"/>
        <v>39.409556293816983</v>
      </c>
      <c r="AG4110" s="2">
        <f ca="1"/>
        <v>0.73837594373557436</v>
      </c>
      <c r="AH4110" s="2" t="str">
        <f ca="1"/>
        <v>Bad</v>
      </c>
    </row>
    <row r="4111" spans="2:34" x14ac:dyDescent="0.2">
      <c r="B4111" s="2">
        <f ca="1"/>
        <v>0.24755057354270948</v>
      </c>
      <c r="O4111" s="2">
        <f ca="1"/>
        <v>-0.29490459152530357</v>
      </c>
      <c r="X4111" s="2">
        <f ca="1"/>
        <v>52.189575657719274</v>
      </c>
      <c r="AG4111" s="2">
        <f ca="1"/>
        <v>0.19214655592924301</v>
      </c>
      <c r="AH4111" s="2" t="str">
        <f ca="1"/>
        <v>OK</v>
      </c>
    </row>
    <row r="4112" spans="2:34" x14ac:dyDescent="0.2">
      <c r="B4112" s="2">
        <f ca="1"/>
        <v>0.30894582245425428</v>
      </c>
      <c r="O4112" s="2">
        <f ca="1"/>
        <v>-1.5227710426265637</v>
      </c>
      <c r="X4112" s="2">
        <f ca="1"/>
        <v>91.664680022738722</v>
      </c>
      <c r="AG4112" s="2">
        <f ca="1"/>
        <v>0.72910607314934839</v>
      </c>
      <c r="AH4112" s="2" t="str">
        <f ca="1"/>
        <v>Bad</v>
      </c>
    </row>
    <row r="4113" spans="2:34" x14ac:dyDescent="0.2">
      <c r="B4113" s="2">
        <f ca="1"/>
        <v>0.85107463975843789</v>
      </c>
      <c r="O4113" s="2">
        <f ca="1"/>
        <v>1.7508069871198151</v>
      </c>
      <c r="X4113" s="2">
        <f ca="1"/>
        <v>63.140087765052741</v>
      </c>
      <c r="AG4113" s="2">
        <f ca="1"/>
        <v>0.22452790861093685</v>
      </c>
      <c r="AH4113" s="2" t="str">
        <f ca="1"/>
        <v>OK</v>
      </c>
    </row>
    <row r="4114" spans="2:34" x14ac:dyDescent="0.2">
      <c r="B4114" s="2">
        <f ca="1"/>
        <v>0.29124746105060462</v>
      </c>
      <c r="O4114" s="2">
        <f ca="1"/>
        <v>-0.3538782641343885</v>
      </c>
      <c r="X4114" s="2">
        <f ca="1"/>
        <v>56.00579877835807</v>
      </c>
      <c r="AG4114" s="2">
        <f ca="1"/>
        <v>0.67770919818740638</v>
      </c>
      <c r="AH4114" s="2" t="str">
        <f ca="1"/>
        <v>Bad</v>
      </c>
    </row>
    <row r="4115" spans="2:34" x14ac:dyDescent="0.2">
      <c r="B4115" s="2">
        <f ca="1"/>
        <v>0.3221519555613368</v>
      </c>
      <c r="O4115" s="2">
        <f ca="1"/>
        <v>-2.2259698142618611</v>
      </c>
      <c r="X4115" s="2">
        <f ca="1"/>
        <v>27.000129162664834</v>
      </c>
      <c r="AG4115" s="2">
        <f ca="1"/>
        <v>0.70934596629544489</v>
      </c>
      <c r="AH4115" s="2" t="str">
        <f ca="1"/>
        <v>Bad</v>
      </c>
    </row>
    <row r="4116" spans="2:34" x14ac:dyDescent="0.2">
      <c r="B4116" s="2">
        <f ca="1"/>
        <v>0.7643052638409662</v>
      </c>
      <c r="O4116" s="2">
        <f ca="1"/>
        <v>1.2116559689743471</v>
      </c>
      <c r="X4116" s="2">
        <f ca="1"/>
        <v>40.693243709195677</v>
      </c>
      <c r="AG4116" s="2">
        <f ca="1"/>
        <v>0.75554247526340568</v>
      </c>
      <c r="AH4116" s="2" t="str">
        <f ca="1"/>
        <v>Bad</v>
      </c>
    </row>
    <row r="4117" spans="2:34" x14ac:dyDescent="0.2">
      <c r="B4117" s="2">
        <f ca="1"/>
        <v>0.84190372520656687</v>
      </c>
      <c r="O4117" s="2">
        <f ca="1"/>
        <v>-1.2810441986899368</v>
      </c>
      <c r="X4117" s="2">
        <f ca="1"/>
        <v>60.792894522769608</v>
      </c>
      <c r="AG4117" s="2">
        <f ca="1"/>
        <v>0.21302801268645144</v>
      </c>
      <c r="AH4117" s="2" t="str">
        <f ca="1"/>
        <v>OK</v>
      </c>
    </row>
    <row r="4118" spans="2:34" x14ac:dyDescent="0.2">
      <c r="B4118" s="2">
        <f ca="1"/>
        <v>0.5703502203028521</v>
      </c>
      <c r="O4118" s="2">
        <f ca="1"/>
        <v>0.31164242312238238</v>
      </c>
      <c r="X4118" s="2">
        <f ca="1"/>
        <v>61.326605056213737</v>
      </c>
      <c r="AG4118" s="2">
        <f ca="1"/>
        <v>0.7132973519755188</v>
      </c>
      <c r="AH4118" s="2" t="str">
        <f ca="1"/>
        <v>Bad</v>
      </c>
    </row>
    <row r="4119" spans="2:34" x14ac:dyDescent="0.2">
      <c r="B4119" s="2">
        <f ca="1"/>
        <v>4.7856533350245201E-2</v>
      </c>
      <c r="O4119" s="2">
        <f ca="1"/>
        <v>-0.91949557324920139</v>
      </c>
      <c r="X4119" s="2">
        <f ca="1"/>
        <v>37.108052182002623</v>
      </c>
      <c r="AG4119" s="2">
        <f ca="1"/>
        <v>0.33189844680664904</v>
      </c>
      <c r="AH4119" s="2" t="str">
        <f ca="1"/>
        <v>OK</v>
      </c>
    </row>
    <row r="4120" spans="2:34" x14ac:dyDescent="0.2">
      <c r="B4120" s="2">
        <f ca="1"/>
        <v>7.1321270873320408E-2</v>
      </c>
      <c r="O4120" s="2">
        <f ca="1"/>
        <v>-0.39158922380249767</v>
      </c>
      <c r="X4120" s="2">
        <f ca="1"/>
        <v>81.351054221589507</v>
      </c>
      <c r="AG4120" s="2">
        <f ca="1"/>
        <v>7.7178128765684528E-2</v>
      </c>
      <c r="AH4120" s="2" t="str">
        <f ca="1"/>
        <v>OK</v>
      </c>
    </row>
    <row r="4121" spans="2:34" x14ac:dyDescent="0.2">
      <c r="B4121" s="2">
        <f ca="1"/>
        <v>0.2804328310565336</v>
      </c>
      <c r="O4121" s="2">
        <f ca="1"/>
        <v>0.25058111886097673</v>
      </c>
      <c r="X4121" s="2">
        <f ca="1"/>
        <v>54.887108751134292</v>
      </c>
      <c r="AG4121" s="2">
        <f ca="1"/>
        <v>0.4610535502771933</v>
      </c>
      <c r="AH4121" s="2" t="str">
        <f ca="1"/>
        <v>Bad</v>
      </c>
    </row>
    <row r="4122" spans="2:34" x14ac:dyDescent="0.2">
      <c r="B4122" s="2">
        <f ca="1"/>
        <v>0.16507474882674988</v>
      </c>
      <c r="O4122" s="2">
        <f ca="1"/>
        <v>1.2311525766455149</v>
      </c>
      <c r="X4122" s="2">
        <f ca="1"/>
        <v>49.720014888532191</v>
      </c>
      <c r="AG4122" s="2">
        <f ca="1"/>
        <v>0.50140335012510406</v>
      </c>
      <c r="AH4122" s="2" t="str">
        <f ca="1"/>
        <v>Bad</v>
      </c>
    </row>
    <row r="4123" spans="2:34" x14ac:dyDescent="0.2">
      <c r="B4123" s="2">
        <f ca="1"/>
        <v>0.6554242744351475</v>
      </c>
      <c r="O4123" s="2">
        <f ca="1"/>
        <v>1.8364323422807611</v>
      </c>
      <c r="X4123" s="2">
        <f ca="1"/>
        <v>37.189794239266149</v>
      </c>
      <c r="AG4123" s="2">
        <f ca="1"/>
        <v>0.69574281836186813</v>
      </c>
      <c r="AH4123" s="2" t="str">
        <f ca="1"/>
        <v>Bad</v>
      </c>
    </row>
    <row r="4124" spans="2:34" x14ac:dyDescent="0.2">
      <c r="B4124" s="2">
        <f ca="1"/>
        <v>0.29307101726805707</v>
      </c>
      <c r="O4124" s="2">
        <f ca="1"/>
        <v>-1.8366782476631547</v>
      </c>
      <c r="X4124" s="2">
        <f ca="1"/>
        <v>60.749177719885282</v>
      </c>
      <c r="AG4124" s="2">
        <f ca="1"/>
        <v>0.20930302350913399</v>
      </c>
      <c r="AH4124" s="2" t="str">
        <f ca="1"/>
        <v>OK</v>
      </c>
    </row>
    <row r="4125" spans="2:34" x14ac:dyDescent="0.2">
      <c r="B4125" s="2">
        <f ca="1"/>
        <v>8.6935731119815784E-2</v>
      </c>
      <c r="O4125" s="2">
        <f ca="1"/>
        <v>0.79147439209224801</v>
      </c>
      <c r="X4125" s="2">
        <f ca="1"/>
        <v>66.865733181916795</v>
      </c>
      <c r="AG4125" s="2">
        <f ca="1"/>
        <v>0.52219309677874515</v>
      </c>
      <c r="AH4125" s="2" t="str">
        <f ca="1"/>
        <v>Bad</v>
      </c>
    </row>
    <row r="4126" spans="2:34" x14ac:dyDescent="0.2">
      <c r="B4126" s="2">
        <f ca="1"/>
        <v>0.88254281070913509</v>
      </c>
      <c r="O4126" s="2">
        <f ca="1"/>
        <v>-2.3757508153417088</v>
      </c>
      <c r="X4126" s="2">
        <f ca="1"/>
        <v>35.63282197747364</v>
      </c>
      <c r="AG4126" s="2">
        <f ca="1"/>
        <v>0.25956706643804006</v>
      </c>
      <c r="AH4126" s="2" t="str">
        <f ca="1"/>
        <v>OK</v>
      </c>
    </row>
    <row r="4127" spans="2:34" x14ac:dyDescent="0.2">
      <c r="B4127" s="2">
        <f ca="1"/>
        <v>0.18677042752738426</v>
      </c>
      <c r="O4127" s="2">
        <f ca="1"/>
        <v>1.4171099471190387</v>
      </c>
      <c r="X4127" s="2">
        <f ca="1"/>
        <v>47.758015578072161</v>
      </c>
      <c r="AG4127" s="2">
        <f ca="1"/>
        <v>0.38580599584215358</v>
      </c>
      <c r="AH4127" s="2" t="str">
        <f ca="1"/>
        <v>OK</v>
      </c>
    </row>
    <row r="4128" spans="2:34" x14ac:dyDescent="0.2">
      <c r="B4128" s="2">
        <f ca="1"/>
        <v>0.16089820369151853</v>
      </c>
      <c r="O4128" s="2">
        <f ca="1"/>
        <v>9.0270454912158571E-2</v>
      </c>
      <c r="X4128" s="2">
        <f ca="1"/>
        <v>43.054361912969895</v>
      </c>
      <c r="AG4128" s="2">
        <f ca="1"/>
        <v>0.84140693603040395</v>
      </c>
      <c r="AH4128" s="2" t="str">
        <f ca="1"/>
        <v>Bad</v>
      </c>
    </row>
    <row r="4129" spans="2:34" x14ac:dyDescent="0.2">
      <c r="B4129" s="2">
        <f ca="1"/>
        <v>0.10273357448573361</v>
      </c>
      <c r="O4129" s="2">
        <f ca="1"/>
        <v>-0.41355636854604211</v>
      </c>
      <c r="X4129" s="2">
        <f ca="1"/>
        <v>61.465873706346585</v>
      </c>
      <c r="AG4129" s="2">
        <f ca="1"/>
        <v>8.8920412512154323E-2</v>
      </c>
      <c r="AH4129" s="2" t="str">
        <f ca="1"/>
        <v>OK</v>
      </c>
    </row>
    <row r="4130" spans="2:34" x14ac:dyDescent="0.2">
      <c r="B4130" s="2">
        <f ca="1"/>
        <v>0.30175674740161829</v>
      </c>
      <c r="O4130" s="2">
        <f ca="1"/>
        <v>-0.7579261592616543</v>
      </c>
      <c r="X4130" s="2">
        <f ca="1"/>
        <v>40.375496634996821</v>
      </c>
      <c r="AG4130" s="2">
        <f ca="1"/>
        <v>0.33552762806920389</v>
      </c>
      <c r="AH4130" s="2" t="str">
        <f ca="1"/>
        <v>OK</v>
      </c>
    </row>
    <row r="4131" spans="2:34" x14ac:dyDescent="0.2">
      <c r="B4131" s="2">
        <f ca="1"/>
        <v>0.18854609680333256</v>
      </c>
      <c r="O4131" s="2">
        <f ca="1"/>
        <v>-1.1385558722493845</v>
      </c>
      <c r="X4131" s="2">
        <f ca="1"/>
        <v>38.959604821557853</v>
      </c>
      <c r="AG4131" s="2">
        <f ca="1"/>
        <v>0.58980134397684036</v>
      </c>
      <c r="AH4131" s="2" t="str">
        <f ca="1"/>
        <v>Bad</v>
      </c>
    </row>
    <row r="4132" spans="2:34" x14ac:dyDescent="0.2">
      <c r="B4132" s="2">
        <f ca="1"/>
        <v>0.55410650687481433</v>
      </c>
      <c r="O4132" s="2">
        <f ca="1"/>
        <v>0.27977971736872143</v>
      </c>
      <c r="X4132" s="2">
        <f ca="1"/>
        <v>47.09969397453014</v>
      </c>
      <c r="AG4132" s="2">
        <f ca="1"/>
        <v>0.17187761519246147</v>
      </c>
      <c r="AH4132" s="2" t="str">
        <f ca="1"/>
        <v>OK</v>
      </c>
    </row>
    <row r="4133" spans="2:34" x14ac:dyDescent="0.2">
      <c r="B4133" s="2">
        <f ca="1"/>
        <v>0.79633636092269788</v>
      </c>
      <c r="O4133" s="2">
        <f ca="1"/>
        <v>-0.80735179671835533</v>
      </c>
      <c r="X4133" s="2">
        <f ca="1"/>
        <v>42.83506175417061</v>
      </c>
      <c r="AG4133" s="2">
        <f ca="1"/>
        <v>2.0974607271349699E-2</v>
      </c>
      <c r="AH4133" s="2" t="str">
        <f ca="1"/>
        <v>Good</v>
      </c>
    </row>
    <row r="4134" spans="2:34" x14ac:dyDescent="0.2">
      <c r="B4134" s="2">
        <f ca="1"/>
        <v>0.30490004107831337</v>
      </c>
      <c r="O4134" s="2">
        <f ca="1"/>
        <v>-0.80597924210164984</v>
      </c>
      <c r="X4134" s="2">
        <f ca="1"/>
        <v>38.273266606323062</v>
      </c>
      <c r="AG4134" s="2">
        <f ca="1"/>
        <v>0.32077916597100398</v>
      </c>
      <c r="AH4134" s="2" t="str">
        <f ca="1"/>
        <v>OK</v>
      </c>
    </row>
    <row r="4135" spans="2:34" x14ac:dyDescent="0.2">
      <c r="B4135" s="2">
        <f ca="1"/>
        <v>0.7423216843956677</v>
      </c>
      <c r="O4135" s="2">
        <f ca="1"/>
        <v>-0.45133614619567275</v>
      </c>
      <c r="X4135" s="2">
        <f ca="1"/>
        <v>88.983821079502832</v>
      </c>
      <c r="AG4135" s="2">
        <f ca="1"/>
        <v>0.51825626359972343</v>
      </c>
      <c r="AH4135" s="2" t="str">
        <f ca="1"/>
        <v>Bad</v>
      </c>
    </row>
    <row r="4136" spans="2:34" x14ac:dyDescent="0.2">
      <c r="B4136" s="2">
        <f ca="1"/>
        <v>0.20662714879970312</v>
      </c>
      <c r="O4136" s="2">
        <f ca="1"/>
        <v>-1.5994085256040025</v>
      </c>
      <c r="X4136" s="2">
        <f ca="1"/>
        <v>26.207677167103988</v>
      </c>
      <c r="AG4136" s="2">
        <f ca="1"/>
        <v>0.52350357891477373</v>
      </c>
      <c r="AH4136" s="2" t="str">
        <f ca="1"/>
        <v>Bad</v>
      </c>
    </row>
    <row r="4137" spans="2:34" x14ac:dyDescent="0.2">
      <c r="B4137" s="2">
        <f ca="1"/>
        <v>0.52523199097953288</v>
      </c>
      <c r="O4137" s="2">
        <f ca="1"/>
        <v>0.3398535951238959</v>
      </c>
      <c r="X4137" s="2">
        <f ca="1"/>
        <v>44.016010852435215</v>
      </c>
      <c r="AG4137" s="2">
        <f ca="1"/>
        <v>0.53210625739512829</v>
      </c>
      <c r="AH4137" s="2" t="str">
        <f ca="1"/>
        <v>Bad</v>
      </c>
    </row>
    <row r="4138" spans="2:34" x14ac:dyDescent="0.2">
      <c r="B4138" s="2">
        <f ca="1"/>
        <v>0.8592393133399947</v>
      </c>
      <c r="O4138" s="2">
        <f ca="1"/>
        <v>0.56232547914100306</v>
      </c>
      <c r="X4138" s="2">
        <f ca="1"/>
        <v>87.803644935175839</v>
      </c>
      <c r="AG4138" s="2">
        <f ca="1"/>
        <v>0.74648163414702595</v>
      </c>
      <c r="AH4138" s="2" t="str">
        <f ca="1"/>
        <v>Bad</v>
      </c>
    </row>
    <row r="4139" spans="2:34" x14ac:dyDescent="0.2">
      <c r="B4139" s="2">
        <f ca="1"/>
        <v>0.26181175616750019</v>
      </c>
      <c r="O4139" s="2">
        <f ca="1"/>
        <v>-2.0741837634080222</v>
      </c>
      <c r="X4139" s="2">
        <f ca="1"/>
        <v>56.362443943028417</v>
      </c>
      <c r="AG4139" s="2">
        <f ca="1"/>
        <v>0.84447296807372951</v>
      </c>
      <c r="AH4139" s="2" t="str">
        <f ca="1"/>
        <v>Bad</v>
      </c>
    </row>
    <row r="4140" spans="2:34" x14ac:dyDescent="0.2">
      <c r="B4140" s="2">
        <f ca="1"/>
        <v>0.584682833487711</v>
      </c>
      <c r="O4140" s="2">
        <f ca="1"/>
        <v>-0.25572247047789676</v>
      </c>
      <c r="X4140" s="2">
        <f ca="1"/>
        <v>35.763316988524906</v>
      </c>
      <c r="AG4140" s="2">
        <f ca="1"/>
        <v>4.0640992837721157E-2</v>
      </c>
      <c r="AH4140" s="2" t="str">
        <f ca="1"/>
        <v>Good</v>
      </c>
    </row>
    <row r="4141" spans="2:34" x14ac:dyDescent="0.2">
      <c r="B4141" s="2">
        <f ca="1"/>
        <v>0.37886599112553476</v>
      </c>
      <c r="O4141" s="2">
        <f ca="1"/>
        <v>0.30623129598484117</v>
      </c>
      <c r="X4141" s="2">
        <f ca="1"/>
        <v>62.284141364561862</v>
      </c>
      <c r="AG4141" s="2">
        <f ca="1"/>
        <v>2.3940283283153008E-2</v>
      </c>
      <c r="AH4141" s="2" t="str">
        <f ca="1"/>
        <v>Good</v>
      </c>
    </row>
    <row r="4142" spans="2:34" x14ac:dyDescent="0.2">
      <c r="B4142" s="2">
        <f ca="1"/>
        <v>0.97662411958124906</v>
      </c>
      <c r="O4142" s="2">
        <f ca="1"/>
        <v>-0.3631015621544682</v>
      </c>
      <c r="X4142" s="2">
        <f ca="1"/>
        <v>37.36335254255193</v>
      </c>
      <c r="AG4142" s="2">
        <f ca="1"/>
        <v>0.12164649312496878</v>
      </c>
      <c r="AH4142" s="2" t="str">
        <f ca="1"/>
        <v>OK</v>
      </c>
    </row>
    <row r="4143" spans="2:34" x14ac:dyDescent="0.2">
      <c r="B4143" s="2">
        <f ca="1"/>
        <v>0.30741489544011169</v>
      </c>
      <c r="O4143" s="2">
        <f ca="1"/>
        <v>2.1042021447704005</v>
      </c>
      <c r="X4143" s="2">
        <f ca="1"/>
        <v>33.471909922829667</v>
      </c>
      <c r="AG4143" s="2">
        <f ca="1"/>
        <v>0.8325320884447398</v>
      </c>
      <c r="AH4143" s="2" t="str">
        <f ca="1"/>
        <v>Bad</v>
      </c>
    </row>
    <row r="4144" spans="2:34" x14ac:dyDescent="0.2">
      <c r="B4144" s="2">
        <f ca="1"/>
        <v>0.26898823027248464</v>
      </c>
      <c r="O4144" s="2">
        <f ca="1"/>
        <v>1.0494219571694947</v>
      </c>
      <c r="X4144" s="2">
        <f ca="1"/>
        <v>30.678030042784307</v>
      </c>
      <c r="AG4144" s="2">
        <f ca="1"/>
        <v>0.82594959253708855</v>
      </c>
      <c r="AH4144" s="2" t="str">
        <f ca="1"/>
        <v>Bad</v>
      </c>
    </row>
    <row r="4145" spans="2:34" x14ac:dyDescent="0.2">
      <c r="B4145" s="2">
        <f ca="1"/>
        <v>0.57112314769687988</v>
      </c>
      <c r="O4145" s="2">
        <f ca="1"/>
        <v>1.5087444747726224</v>
      </c>
      <c r="X4145" s="2">
        <f ca="1"/>
        <v>67.696241778819072</v>
      </c>
      <c r="AG4145" s="2">
        <f ca="1"/>
        <v>0.96252576021414482</v>
      </c>
      <c r="AH4145" s="2" t="str">
        <f ca="1"/>
        <v>Bad</v>
      </c>
    </row>
    <row r="4146" spans="2:34" x14ac:dyDescent="0.2">
      <c r="B4146" s="2">
        <f ca="1"/>
        <v>0.10904635536947338</v>
      </c>
      <c r="O4146" s="2">
        <f ca="1"/>
        <v>-0.30861232891050139</v>
      </c>
      <c r="X4146" s="2">
        <f ca="1"/>
        <v>25.479568568414699</v>
      </c>
      <c r="AG4146" s="2">
        <f ca="1"/>
        <v>0.52169493709158044</v>
      </c>
      <c r="AH4146" s="2" t="str">
        <f ca="1"/>
        <v>Bad</v>
      </c>
    </row>
    <row r="4147" spans="2:34" x14ac:dyDescent="0.2">
      <c r="B4147" s="2">
        <f ca="1"/>
        <v>0.58541287343154136</v>
      </c>
      <c r="O4147" s="2">
        <f ca="1"/>
        <v>0.83301056072278423</v>
      </c>
      <c r="X4147" s="2">
        <f ca="1"/>
        <v>40.343330293989517</v>
      </c>
      <c r="AG4147" s="2">
        <f ca="1"/>
        <v>0.26793378205331875</v>
      </c>
      <c r="AH4147" s="2" t="str">
        <f ca="1"/>
        <v>OK</v>
      </c>
    </row>
    <row r="4148" spans="2:34" x14ac:dyDescent="0.2">
      <c r="B4148" s="2">
        <f ca="1"/>
        <v>0.46928229828691892</v>
      </c>
      <c r="O4148" s="2">
        <f ca="1"/>
        <v>-0.68296689369370911</v>
      </c>
      <c r="X4148" s="2">
        <f ca="1"/>
        <v>40.236106484633481</v>
      </c>
      <c r="AG4148" s="2">
        <f ca="1"/>
        <v>0.21000576538405613</v>
      </c>
      <c r="AH4148" s="2" t="str">
        <f ca="1"/>
        <v>OK</v>
      </c>
    </row>
    <row r="4149" spans="2:34" x14ac:dyDescent="0.2">
      <c r="B4149" s="2">
        <f ca="1"/>
        <v>0.21961826640563897</v>
      </c>
      <c r="O4149" s="2">
        <f ca="1"/>
        <v>1.0980321831838777</v>
      </c>
      <c r="X4149" s="2">
        <f ca="1"/>
        <v>36.850052732979428</v>
      </c>
      <c r="AG4149" s="2">
        <f ca="1"/>
        <v>0.43817088701764151</v>
      </c>
      <c r="AH4149" s="2" t="str">
        <f ca="1"/>
        <v>Bad</v>
      </c>
    </row>
    <row r="4150" spans="2:34" x14ac:dyDescent="0.2">
      <c r="B4150" s="2">
        <f ca="1"/>
        <v>0.98112202836635776</v>
      </c>
      <c r="O4150" s="2">
        <f ca="1"/>
        <v>0.36695855290428236</v>
      </c>
      <c r="X4150" s="2">
        <f ca="1"/>
        <v>33.06275500071078</v>
      </c>
      <c r="AG4150" s="2">
        <f ca="1"/>
        <v>0.86050358575011154</v>
      </c>
      <c r="AH4150" s="2" t="str">
        <f ca="1"/>
        <v>Bad</v>
      </c>
    </row>
    <row r="4151" spans="2:34" x14ac:dyDescent="0.2">
      <c r="B4151" s="2">
        <f ca="1"/>
        <v>0.79980499548122319</v>
      </c>
      <c r="O4151" s="2">
        <f ca="1"/>
        <v>1.3046796848455127</v>
      </c>
      <c r="X4151" s="2">
        <f ca="1"/>
        <v>60.318932098801106</v>
      </c>
      <c r="AG4151" s="2">
        <f ca="1"/>
        <v>0.35781397864586784</v>
      </c>
      <c r="AH4151" s="2" t="str">
        <f ca="1"/>
        <v>OK</v>
      </c>
    </row>
    <row r="4152" spans="2:34" x14ac:dyDescent="0.2">
      <c r="B4152" s="2">
        <f ca="1"/>
        <v>0.96159221611261758</v>
      </c>
      <c r="O4152" s="2">
        <f ca="1"/>
        <v>0.65136433075461098</v>
      </c>
      <c r="X4152" s="2">
        <f ca="1"/>
        <v>50.524627690067405</v>
      </c>
      <c r="AG4152" s="2">
        <f ca="1"/>
        <v>0.31534303014530995</v>
      </c>
      <c r="AH4152" s="2" t="str">
        <f ca="1"/>
        <v>OK</v>
      </c>
    </row>
    <row r="4153" spans="2:34" x14ac:dyDescent="0.2">
      <c r="B4153" s="2">
        <f ca="1"/>
        <v>0.22007558783743386</v>
      </c>
      <c r="O4153" s="2">
        <f ca="1"/>
        <v>-0.88483262696244247</v>
      </c>
      <c r="X4153" s="2">
        <f ca="1"/>
        <v>41.576160830758646</v>
      </c>
      <c r="AG4153" s="2">
        <f ca="1"/>
        <v>0.62251419997836321</v>
      </c>
      <c r="AH4153" s="2" t="str">
        <f ca="1"/>
        <v>Bad</v>
      </c>
    </row>
    <row r="4154" spans="2:34" x14ac:dyDescent="0.2">
      <c r="B4154" s="2">
        <f ca="1"/>
        <v>7.2983948173255264E-4</v>
      </c>
      <c r="O4154" s="2">
        <f ca="1"/>
        <v>1.1123106653223982</v>
      </c>
      <c r="X4154" s="2">
        <f ca="1"/>
        <v>54.96879627535008</v>
      </c>
      <c r="AG4154" s="2">
        <f ca="1"/>
        <v>0.75092546992589271</v>
      </c>
      <c r="AH4154" s="2" t="str">
        <f ca="1"/>
        <v>Bad</v>
      </c>
    </row>
    <row r="4155" spans="2:34" x14ac:dyDescent="0.2">
      <c r="B4155" s="2">
        <f ca="1"/>
        <v>0.88139778050990913</v>
      </c>
      <c r="O4155" s="2">
        <f ca="1"/>
        <v>-0.57422327259448425</v>
      </c>
      <c r="X4155" s="2">
        <f ca="1"/>
        <v>85.05059611992516</v>
      </c>
      <c r="AG4155" s="2">
        <f ca="1"/>
        <v>0.3532983665380105</v>
      </c>
      <c r="AH4155" s="2" t="str">
        <f ca="1"/>
        <v>OK</v>
      </c>
    </row>
    <row r="4156" spans="2:34" x14ac:dyDescent="0.2">
      <c r="B4156" s="2">
        <f ca="1"/>
        <v>0.97207682808302565</v>
      </c>
      <c r="O4156" s="2">
        <f ca="1"/>
        <v>-0.51181786199953272</v>
      </c>
      <c r="X4156" s="2">
        <f ca="1"/>
        <v>28.189803488991402</v>
      </c>
      <c r="AG4156" s="2">
        <f ca="1"/>
        <v>0.28596618594032241</v>
      </c>
      <c r="AH4156" s="2" t="str">
        <f ca="1"/>
        <v>OK</v>
      </c>
    </row>
    <row r="4157" spans="2:34" x14ac:dyDescent="0.2">
      <c r="B4157" s="2">
        <f ca="1"/>
        <v>0.95944694885962289</v>
      </c>
      <c r="O4157" s="2">
        <f ca="1"/>
        <v>-1.1430859792425911</v>
      </c>
      <c r="X4157" s="2">
        <f ca="1"/>
        <v>49.995814296140104</v>
      </c>
      <c r="AG4157" s="2">
        <f ca="1"/>
        <v>0.69262713528801867</v>
      </c>
      <c r="AH4157" s="2" t="str">
        <f ca="1"/>
        <v>Bad</v>
      </c>
    </row>
    <row r="4158" spans="2:34" x14ac:dyDescent="0.2">
      <c r="B4158" s="2">
        <f ca="1"/>
        <v>0.37198773768181592</v>
      </c>
      <c r="O4158" s="2">
        <f ca="1"/>
        <v>-0.11236196477219654</v>
      </c>
      <c r="X4158" s="2">
        <f ca="1"/>
        <v>59.492726410471263</v>
      </c>
      <c r="AG4158" s="2">
        <f ca="1"/>
        <v>0.92606026074929337</v>
      </c>
      <c r="AH4158" s="2" t="str">
        <f ca="1"/>
        <v>Bad</v>
      </c>
    </row>
    <row r="4159" spans="2:34" x14ac:dyDescent="0.2">
      <c r="B4159" s="2">
        <f ca="1"/>
        <v>0.73992844154788662</v>
      </c>
      <c r="O4159" s="2">
        <f ca="1"/>
        <v>2.1180710749858247</v>
      </c>
      <c r="X4159" s="2">
        <f ca="1"/>
        <v>31.4430479809911</v>
      </c>
      <c r="AG4159" s="2">
        <f ca="1"/>
        <v>0.97044505719282359</v>
      </c>
      <c r="AH4159" s="2" t="str">
        <f ca="1"/>
        <v>Bad</v>
      </c>
    </row>
    <row r="4160" spans="2:34" x14ac:dyDescent="0.2">
      <c r="B4160" s="2">
        <f ca="1"/>
        <v>0.13184093431611266</v>
      </c>
      <c r="O4160" s="2">
        <f ca="1"/>
        <v>-0.96868448369632787</v>
      </c>
      <c r="X4160" s="2">
        <f ca="1"/>
        <v>60.957358996032383</v>
      </c>
      <c r="AG4160" s="2">
        <f ca="1"/>
        <v>0.49139747987576943</v>
      </c>
      <c r="AH4160" s="2" t="str">
        <f ca="1"/>
        <v>Bad</v>
      </c>
    </row>
    <row r="4161" spans="2:34" x14ac:dyDescent="0.2">
      <c r="B4161" s="2">
        <f ca="1"/>
        <v>0.19426818222050235</v>
      </c>
      <c r="O4161" s="2">
        <f ca="1"/>
        <v>-1.059188185340574</v>
      </c>
      <c r="X4161" s="2">
        <f ca="1"/>
        <v>60.055546452345176</v>
      </c>
      <c r="AG4161" s="2">
        <f ca="1"/>
        <v>0.29024661249457417</v>
      </c>
      <c r="AH4161" s="2" t="str">
        <f ca="1"/>
        <v>OK</v>
      </c>
    </row>
    <row r="4162" spans="2:34" x14ac:dyDescent="0.2">
      <c r="B4162" s="2">
        <f ca="1"/>
        <v>0.96053208594012052</v>
      </c>
      <c r="O4162" s="2">
        <f ca="1"/>
        <v>-1.6031122488838419E-2</v>
      </c>
      <c r="X4162" s="2">
        <f ca="1"/>
        <v>64.596938523912129</v>
      </c>
      <c r="AG4162" s="2">
        <f ca="1"/>
        <v>0.21301406933964118</v>
      </c>
      <c r="AH4162" s="2" t="str">
        <f ca="1"/>
        <v>OK</v>
      </c>
    </row>
    <row r="4163" spans="2:34" x14ac:dyDescent="0.2">
      <c r="B4163" s="2">
        <f ca="1"/>
        <v>0.20565809041884298</v>
      </c>
      <c r="O4163" s="2">
        <f ca="1"/>
        <v>-0.59184157904960244</v>
      </c>
      <c r="X4163" s="2">
        <f ca="1"/>
        <v>84.284889504648746</v>
      </c>
      <c r="AG4163" s="2">
        <f ca="1"/>
        <v>0.14167150104206661</v>
      </c>
      <c r="AH4163" s="2" t="str">
        <f ca="1"/>
        <v>OK</v>
      </c>
    </row>
    <row r="4164" spans="2:34" x14ac:dyDescent="0.2">
      <c r="B4164" s="2">
        <f ca="1"/>
        <v>0.22125920080572459</v>
      </c>
      <c r="O4164" s="2">
        <f ca="1"/>
        <v>-0.40727549295163945</v>
      </c>
      <c r="X4164" s="2">
        <f ca="1"/>
        <v>40.125385715364743</v>
      </c>
      <c r="AG4164" s="2">
        <f ca="1"/>
        <v>0.55733250933733025</v>
      </c>
      <c r="AH4164" s="2" t="str">
        <f ca="1"/>
        <v>Bad</v>
      </c>
    </row>
    <row r="4165" spans="2:34" x14ac:dyDescent="0.2">
      <c r="B4165" s="2">
        <f ca="1"/>
        <v>0.54957296235792219</v>
      </c>
      <c r="O4165" s="2">
        <f ca="1"/>
        <v>0.5078291437151512</v>
      </c>
      <c r="X4165" s="2">
        <f ca="1"/>
        <v>25.10883509804237</v>
      </c>
      <c r="AG4165" s="2">
        <f ca="1"/>
        <v>0.17023876735072507</v>
      </c>
      <c r="AH4165" s="2" t="str">
        <f ca="1"/>
        <v>OK</v>
      </c>
    </row>
    <row r="4166" spans="2:34" x14ac:dyDescent="0.2">
      <c r="B4166" s="2">
        <f ca="1"/>
        <v>0.5171507017329342</v>
      </c>
      <c r="O4166" s="2">
        <f ca="1"/>
        <v>-0.79568340800636905</v>
      </c>
      <c r="X4166" s="2">
        <f ca="1"/>
        <v>51.564073813317478</v>
      </c>
      <c r="AG4166" s="2">
        <f ca="1"/>
        <v>0.4388471318413576</v>
      </c>
      <c r="AH4166" s="2" t="str">
        <f ca="1"/>
        <v>Bad</v>
      </c>
    </row>
    <row r="4167" spans="2:34" x14ac:dyDescent="0.2">
      <c r="B4167" s="2">
        <f ca="1"/>
        <v>0.53858571636350683</v>
      </c>
      <c r="O4167" s="2">
        <f ca="1"/>
        <v>1.8948049845175741</v>
      </c>
      <c r="X4167" s="2">
        <f ca="1"/>
        <v>89.890820586671154</v>
      </c>
      <c r="AG4167" s="2">
        <f ca="1"/>
        <v>0.30372308049045316</v>
      </c>
      <c r="AH4167" s="2" t="str">
        <f ca="1"/>
        <v>OK</v>
      </c>
    </row>
    <row r="4168" spans="2:34" x14ac:dyDescent="0.2">
      <c r="B4168" s="2">
        <f ca="1"/>
        <v>0.76973320432551695</v>
      </c>
      <c r="O4168" s="2">
        <f ca="1"/>
        <v>-0.57288266054661452</v>
      </c>
      <c r="X4168" s="2">
        <f ca="1"/>
        <v>37.870797375517846</v>
      </c>
      <c r="AG4168" s="2">
        <f ca="1"/>
        <v>0.35927461559803398</v>
      </c>
      <c r="AH4168" s="2" t="str">
        <f ca="1"/>
        <v>OK</v>
      </c>
    </row>
    <row r="4169" spans="2:34" x14ac:dyDescent="0.2">
      <c r="B4169" s="2">
        <f ca="1"/>
        <v>0.64825826617441051</v>
      </c>
      <c r="O4169" s="2">
        <f ca="1"/>
        <v>-0.78494567485287792</v>
      </c>
      <c r="X4169" s="2">
        <f ca="1"/>
        <v>24.475747317606142</v>
      </c>
      <c r="AG4169" s="2">
        <f ca="1"/>
        <v>0.18394583315478141</v>
      </c>
      <c r="AH4169" s="2" t="str">
        <f ca="1"/>
        <v>OK</v>
      </c>
    </row>
    <row r="4170" spans="2:34" x14ac:dyDescent="0.2">
      <c r="B4170" s="2">
        <f ca="1"/>
        <v>0.31049481191249928</v>
      </c>
      <c r="O4170" s="2">
        <f ca="1"/>
        <v>0.61645550341854605</v>
      </c>
      <c r="X4170" s="2">
        <f ca="1"/>
        <v>32.143577143180714</v>
      </c>
      <c r="AG4170" s="2">
        <f ca="1"/>
        <v>0.46589451588780229</v>
      </c>
      <c r="AH4170" s="2" t="str">
        <f ca="1"/>
        <v>Bad</v>
      </c>
    </row>
    <row r="4171" spans="2:34" x14ac:dyDescent="0.2">
      <c r="B4171" s="2">
        <f ca="1"/>
        <v>0.13619119578048933</v>
      </c>
      <c r="O4171" s="2">
        <f ca="1"/>
        <v>-1.4908073386325043</v>
      </c>
      <c r="X4171" s="2">
        <f ca="1"/>
        <v>48.874949401832509</v>
      </c>
      <c r="AG4171" s="2">
        <f ca="1"/>
        <v>0.86972435458614394</v>
      </c>
      <c r="AH4171" s="2" t="str">
        <f ca="1"/>
        <v>Bad</v>
      </c>
    </row>
    <row r="4172" spans="2:34" x14ac:dyDescent="0.2">
      <c r="B4172" s="2">
        <f ca="1"/>
        <v>0.66844571974957123</v>
      </c>
      <c r="O4172" s="2">
        <f ca="1"/>
        <v>0.88432649682159392</v>
      </c>
      <c r="X4172" s="2">
        <f ca="1"/>
        <v>45.607725424391099</v>
      </c>
      <c r="AG4172" s="2">
        <f ca="1"/>
        <v>0.54688505677251453</v>
      </c>
      <c r="AH4172" s="2" t="str">
        <f ca="1"/>
        <v>Bad</v>
      </c>
    </row>
    <row r="4173" spans="2:34" x14ac:dyDescent="0.2">
      <c r="B4173" s="2">
        <f ca="1"/>
        <v>0.45539214492682234</v>
      </c>
      <c r="O4173" s="2">
        <f ca="1"/>
        <v>0.30859218218883566</v>
      </c>
      <c r="X4173" s="2">
        <f ca="1"/>
        <v>54.674128866272085</v>
      </c>
      <c r="AG4173" s="2">
        <f ca="1"/>
        <v>0.69622534178344164</v>
      </c>
      <c r="AH4173" s="2" t="str">
        <f ca="1"/>
        <v>Bad</v>
      </c>
    </row>
    <row r="4174" spans="2:34" x14ac:dyDescent="0.2">
      <c r="B4174" s="2">
        <f ca="1"/>
        <v>0.1772990375748178</v>
      </c>
      <c r="O4174" s="2">
        <f ca="1"/>
        <v>0.41626923839349733</v>
      </c>
      <c r="X4174" s="2">
        <f ca="1"/>
        <v>60.497802924046326</v>
      </c>
      <c r="AG4174" s="2">
        <f ca="1"/>
        <v>0.65838819709891494</v>
      </c>
      <c r="AH4174" s="2" t="str">
        <f ca="1"/>
        <v>Bad</v>
      </c>
    </row>
    <row r="4175" spans="2:34" x14ac:dyDescent="0.2">
      <c r="B4175" s="2">
        <f ca="1"/>
        <v>0.87443672757690472</v>
      </c>
      <c r="O4175" s="2">
        <f ca="1"/>
        <v>0.81884328383996929</v>
      </c>
      <c r="X4175" s="2">
        <f ca="1"/>
        <v>43.407542784451181</v>
      </c>
      <c r="AG4175" s="2">
        <f ca="1"/>
        <v>0.56865438280170277</v>
      </c>
      <c r="AH4175" s="2" t="str">
        <f ca="1"/>
        <v>Bad</v>
      </c>
    </row>
    <row r="4176" spans="2:34" x14ac:dyDescent="0.2">
      <c r="B4176" s="2">
        <f ca="1"/>
        <v>0.44223918814925112</v>
      </c>
      <c r="O4176" s="2">
        <f ca="1"/>
        <v>-0.94248607313008903</v>
      </c>
      <c r="X4176" s="2">
        <f ca="1"/>
        <v>74.310408790236977</v>
      </c>
      <c r="AG4176" s="2">
        <f ca="1"/>
        <v>0.11512725099613119</v>
      </c>
      <c r="AH4176" s="2" t="str">
        <f ca="1"/>
        <v>OK</v>
      </c>
    </row>
    <row r="4177" spans="2:34" x14ac:dyDescent="0.2">
      <c r="B4177" s="2">
        <f ca="1"/>
        <v>0.36630629338762688</v>
      </c>
      <c r="O4177" s="2">
        <f ca="1"/>
        <v>1.3649065004592895</v>
      </c>
      <c r="X4177" s="2">
        <f ca="1"/>
        <v>85.200690916226506</v>
      </c>
      <c r="AG4177" s="2">
        <f ca="1"/>
        <v>0.43486644010509523</v>
      </c>
      <c r="AH4177" s="2" t="str">
        <f ca="1"/>
        <v>Bad</v>
      </c>
    </row>
    <row r="4178" spans="2:34" x14ac:dyDescent="0.2">
      <c r="B4178" s="2">
        <f ca="1"/>
        <v>0.18452115488068421</v>
      </c>
      <c r="O4178" s="2">
        <f ca="1"/>
        <v>-0.76259820063047989</v>
      </c>
      <c r="X4178" s="2">
        <f ca="1"/>
        <v>64.958601176319078</v>
      </c>
      <c r="AG4178" s="2">
        <f ca="1"/>
        <v>0.92965565339573919</v>
      </c>
      <c r="AH4178" s="2" t="str">
        <f ca="1"/>
        <v>Bad</v>
      </c>
    </row>
    <row r="4179" spans="2:34" x14ac:dyDescent="0.2">
      <c r="B4179" s="2">
        <f ca="1"/>
        <v>0.77192798423831532</v>
      </c>
      <c r="O4179" s="2">
        <f ca="1"/>
        <v>0.75067924087408811</v>
      </c>
      <c r="X4179" s="2">
        <f ca="1"/>
        <v>92.271695810432007</v>
      </c>
      <c r="AG4179" s="2">
        <f ca="1"/>
        <v>0.96185905841071118</v>
      </c>
      <c r="AH4179" s="2" t="str">
        <f ca="1"/>
        <v>Bad</v>
      </c>
    </row>
    <row r="4180" spans="2:34" x14ac:dyDescent="0.2">
      <c r="B4180" s="2">
        <f ca="1"/>
        <v>0.14516700822275452</v>
      </c>
      <c r="O4180" s="2">
        <f ca="1"/>
        <v>2.0398726091514034</v>
      </c>
      <c r="X4180" s="2">
        <f ca="1"/>
        <v>52.374276873720831</v>
      </c>
      <c r="AG4180" s="2">
        <f ca="1"/>
        <v>0.49113432118770195</v>
      </c>
      <c r="AH4180" s="2" t="str">
        <f ca="1"/>
        <v>Bad</v>
      </c>
    </row>
    <row r="4181" spans="2:34" x14ac:dyDescent="0.2">
      <c r="B4181" s="2">
        <f ca="1"/>
        <v>0.97875348364761994</v>
      </c>
      <c r="O4181" s="2">
        <f ca="1"/>
        <v>-1.3244395644647706</v>
      </c>
      <c r="X4181" s="2">
        <f ca="1"/>
        <v>35.525499449412173</v>
      </c>
      <c r="AG4181" s="2">
        <f ca="1"/>
        <v>0.96473342959763397</v>
      </c>
      <c r="AH4181" s="2" t="str">
        <f ca="1"/>
        <v>Bad</v>
      </c>
    </row>
    <row r="4182" spans="2:34" x14ac:dyDescent="0.2">
      <c r="B4182" s="2">
        <f ca="1"/>
        <v>0.22518911429345811</v>
      </c>
      <c r="O4182" s="2">
        <f ca="1"/>
        <v>0.43669088519013027</v>
      </c>
      <c r="X4182" s="2">
        <f ca="1"/>
        <v>37.862770330932271</v>
      </c>
      <c r="AG4182" s="2">
        <f ca="1"/>
        <v>0.20286895148230011</v>
      </c>
      <c r="AH4182" s="2" t="str">
        <f ca="1"/>
        <v>OK</v>
      </c>
    </row>
    <row r="4183" spans="2:34" x14ac:dyDescent="0.2">
      <c r="B4183" s="2">
        <f ca="1"/>
        <v>0.55632904234353409</v>
      </c>
      <c r="O4183" s="2">
        <f ca="1"/>
        <v>0.35781520476307821</v>
      </c>
      <c r="X4183" s="2">
        <f ca="1"/>
        <v>57.412902117956207</v>
      </c>
      <c r="AG4183" s="2">
        <f ca="1"/>
        <v>0.82001554250743602</v>
      </c>
      <c r="AH4183" s="2" t="str">
        <f ca="1"/>
        <v>Bad</v>
      </c>
    </row>
    <row r="4184" spans="2:34" x14ac:dyDescent="0.2">
      <c r="B4184" s="2">
        <f ca="1"/>
        <v>0.59357345875313405</v>
      </c>
      <c r="O4184" s="2">
        <f ca="1"/>
        <v>0.64886647428457878</v>
      </c>
      <c r="X4184" s="2">
        <f ca="1"/>
        <v>30.684909685901882</v>
      </c>
      <c r="AG4184" s="2">
        <f ca="1"/>
        <v>0.11189066053107943</v>
      </c>
      <c r="AH4184" s="2" t="str">
        <f ca="1"/>
        <v>OK</v>
      </c>
    </row>
    <row r="4185" spans="2:34" x14ac:dyDescent="0.2">
      <c r="B4185" s="2">
        <f ca="1"/>
        <v>0.55320024446705918</v>
      </c>
      <c r="O4185" s="2">
        <f ca="1"/>
        <v>0.23973474665592082</v>
      </c>
      <c r="X4185" s="2">
        <f ca="1"/>
        <v>62.839827272450961</v>
      </c>
      <c r="AG4185" s="2">
        <f ca="1"/>
        <v>0.6897779508974291</v>
      </c>
      <c r="AH4185" s="2" t="str">
        <f ca="1"/>
        <v>Bad</v>
      </c>
    </row>
    <row r="4186" spans="2:34" x14ac:dyDescent="0.2">
      <c r="B4186" s="2">
        <f ca="1"/>
        <v>8.3260608620661092E-3</v>
      </c>
      <c r="O4186" s="2">
        <f ca="1"/>
        <v>-7.036278926282101E-2</v>
      </c>
      <c r="X4186" s="2">
        <f ca="1"/>
        <v>67.924980153619316</v>
      </c>
      <c r="AG4186" s="2">
        <f ca="1"/>
        <v>0.61743690314328958</v>
      </c>
      <c r="AH4186" s="2" t="str">
        <f ca="1"/>
        <v>Bad</v>
      </c>
    </row>
    <row r="4187" spans="2:34" x14ac:dyDescent="0.2">
      <c r="B4187" s="2">
        <f ca="1"/>
        <v>0.36781504388966613</v>
      </c>
      <c r="O4187" s="2">
        <f ca="1"/>
        <v>0.83597037687845066</v>
      </c>
      <c r="X4187" s="2">
        <f ca="1"/>
        <v>31.956221883189144</v>
      </c>
      <c r="AG4187" s="2">
        <f ca="1"/>
        <v>0.92289288789851365</v>
      </c>
      <c r="AH4187" s="2" t="str">
        <f ca="1"/>
        <v>Bad</v>
      </c>
    </row>
    <row r="4188" spans="2:34" x14ac:dyDescent="0.2">
      <c r="B4188" s="2">
        <f ca="1"/>
        <v>0.84526914004394382</v>
      </c>
      <c r="O4188" s="2">
        <f ca="1"/>
        <v>-1.2495258028605687</v>
      </c>
      <c r="X4188" s="2">
        <f ca="1"/>
        <v>20.069614550444012</v>
      </c>
      <c r="AG4188" s="2">
        <f ca="1"/>
        <v>0.59149528394569773</v>
      </c>
      <c r="AH4188" s="2" t="str">
        <f ca="1"/>
        <v>Bad</v>
      </c>
    </row>
    <row r="4189" spans="2:34" x14ac:dyDescent="0.2">
      <c r="B4189" s="2">
        <f ca="1"/>
        <v>0.88084599461671975</v>
      </c>
      <c r="O4189" s="2">
        <f ca="1"/>
        <v>0.41969645500360886</v>
      </c>
      <c r="X4189" s="2">
        <f ca="1"/>
        <v>46.848263951845304</v>
      </c>
      <c r="AG4189" s="2">
        <f ca="1"/>
        <v>0.13343185995026152</v>
      </c>
      <c r="AH4189" s="2" t="str">
        <f ca="1"/>
        <v>OK</v>
      </c>
    </row>
    <row r="4190" spans="2:34" x14ac:dyDescent="0.2">
      <c r="B4190" s="2">
        <f ca="1"/>
        <v>0.94544412714997783</v>
      </c>
      <c r="O4190" s="2">
        <f ca="1"/>
        <v>0.50699430667312406</v>
      </c>
      <c r="X4190" s="2">
        <f ca="1"/>
        <v>77.000411938583397</v>
      </c>
      <c r="AG4190" s="2">
        <f ca="1"/>
        <v>0.8558267097073089</v>
      </c>
      <c r="AH4190" s="2" t="str">
        <f ca="1"/>
        <v>Bad</v>
      </c>
    </row>
    <row r="4191" spans="2:34" x14ac:dyDescent="0.2">
      <c r="B4191" s="2">
        <f ca="1"/>
        <v>0.7699167722436222</v>
      </c>
      <c r="O4191" s="2">
        <f ca="1"/>
        <v>-1.1555353827716766</v>
      </c>
      <c r="X4191" s="2">
        <f ca="1"/>
        <v>52.247372167249239</v>
      </c>
      <c r="AG4191" s="2">
        <f ca="1"/>
        <v>0.1042497721733302</v>
      </c>
      <c r="AH4191" s="2" t="str">
        <f ca="1"/>
        <v>OK</v>
      </c>
    </row>
    <row r="4192" spans="2:34" x14ac:dyDescent="0.2">
      <c r="B4192" s="2">
        <f ca="1"/>
        <v>0.39674539796033081</v>
      </c>
      <c r="O4192" s="2">
        <f ca="1"/>
        <v>-1.4132335533198823</v>
      </c>
      <c r="X4192" s="2">
        <f ca="1"/>
        <v>48.971949253951806</v>
      </c>
      <c r="AG4192" s="2">
        <f ca="1"/>
        <v>0.35957712336138048</v>
      </c>
      <c r="AH4192" s="2" t="str">
        <f ca="1"/>
        <v>OK</v>
      </c>
    </row>
    <row r="4193" spans="2:34" x14ac:dyDescent="0.2">
      <c r="B4193" s="2">
        <f ca="1"/>
        <v>0.61664546869837022</v>
      </c>
      <c r="O4193" s="2">
        <f ca="1"/>
        <v>-0.99774369456773238</v>
      </c>
      <c r="X4193" s="2">
        <f ca="1"/>
        <v>32.351094047981796</v>
      </c>
      <c r="AG4193" s="2">
        <f ca="1"/>
        <v>0.27027467186477172</v>
      </c>
      <c r="AH4193" s="2" t="str">
        <f ca="1"/>
        <v>OK</v>
      </c>
    </row>
    <row r="4194" spans="2:34" x14ac:dyDescent="0.2">
      <c r="B4194" s="2">
        <f ca="1"/>
        <v>0.15057929727445951</v>
      </c>
      <c r="O4194" s="2">
        <f ca="1"/>
        <v>-0.66491099410033372</v>
      </c>
      <c r="X4194" s="2">
        <f ca="1"/>
        <v>57.588292964367582</v>
      </c>
      <c r="AG4194" s="2">
        <f ca="1"/>
        <v>0.40794778668545439</v>
      </c>
      <c r="AH4194" s="2" t="str">
        <f ca="1"/>
        <v>Bad</v>
      </c>
    </row>
    <row r="4195" spans="2:34" x14ac:dyDescent="0.2">
      <c r="B4195" s="2">
        <f ca="1"/>
        <v>0.46366725058617475</v>
      </c>
      <c r="O4195" s="2">
        <f ca="1"/>
        <v>-3.5228632198356549E-2</v>
      </c>
      <c r="X4195" s="2">
        <f ca="1"/>
        <v>41.031155151178318</v>
      </c>
      <c r="AG4195" s="2">
        <f ca="1"/>
        <v>0.90227860337438859</v>
      </c>
      <c r="AH4195" s="2" t="str">
        <f ca="1"/>
        <v>Bad</v>
      </c>
    </row>
    <row r="4196" spans="2:34" x14ac:dyDescent="0.2">
      <c r="B4196" s="2">
        <f ca="1"/>
        <v>0.33413481030158088</v>
      </c>
      <c r="O4196" s="2">
        <f ca="1"/>
        <v>9.6250074216098505E-2</v>
      </c>
      <c r="X4196" s="2">
        <f ca="1"/>
        <v>33.489416278013138</v>
      </c>
      <c r="AG4196" s="2">
        <f ca="1"/>
        <v>0.1957398571511384</v>
      </c>
      <c r="AH4196" s="2" t="str">
        <f ca="1"/>
        <v>OK</v>
      </c>
    </row>
    <row r="4197" spans="2:34" x14ac:dyDescent="0.2">
      <c r="B4197" s="2">
        <f ca="1"/>
        <v>0.27881040133979007</v>
      </c>
      <c r="O4197" s="2">
        <f ca="1"/>
        <v>-0.10506710098736986</v>
      </c>
      <c r="X4197" s="2">
        <f ca="1"/>
        <v>58.735327471904093</v>
      </c>
      <c r="AG4197" s="2">
        <f ca="1"/>
        <v>0.59340277331500291</v>
      </c>
      <c r="AH4197" s="2" t="str">
        <f ca="1"/>
        <v>Bad</v>
      </c>
    </row>
    <row r="4198" spans="2:34" x14ac:dyDescent="0.2">
      <c r="B4198" s="2">
        <f ca="1"/>
        <v>0.6371948847923361</v>
      </c>
      <c r="O4198" s="2">
        <f ca="1"/>
        <v>1.5513346891970889</v>
      </c>
      <c r="X4198" s="2">
        <f ca="1"/>
        <v>40.345448715616357</v>
      </c>
      <c r="AG4198" s="2">
        <f ca="1"/>
        <v>0.79053029012747467</v>
      </c>
      <c r="AH4198" s="2" t="str">
        <f ca="1"/>
        <v>Bad</v>
      </c>
    </row>
    <row r="4199" spans="2:34" x14ac:dyDescent="0.2">
      <c r="B4199" s="2">
        <f ca="1"/>
        <v>0.74128523035486471</v>
      </c>
      <c r="O4199" s="2">
        <f ca="1"/>
        <v>-0.61680593458082522</v>
      </c>
      <c r="X4199" s="2">
        <f ca="1"/>
        <v>48.980521819445983</v>
      </c>
      <c r="AG4199" s="2">
        <f ca="1"/>
        <v>0.13016736902639225</v>
      </c>
      <c r="AH4199" s="2" t="str">
        <f ca="1"/>
        <v>OK</v>
      </c>
    </row>
    <row r="4200" spans="2:34" x14ac:dyDescent="0.2">
      <c r="B4200" s="2">
        <f ca="1"/>
        <v>0.66607052531135058</v>
      </c>
      <c r="O4200" s="2">
        <f ca="1"/>
        <v>0.1409187435470404</v>
      </c>
      <c r="X4200" s="2">
        <f ca="1"/>
        <v>37.107082925935615</v>
      </c>
      <c r="AG4200" s="2">
        <f ca="1"/>
        <v>0.17058495139813612</v>
      </c>
      <c r="AH4200" s="2" t="str">
        <f ca="1"/>
        <v>OK</v>
      </c>
    </row>
    <row r="4201" spans="2:34" x14ac:dyDescent="0.2">
      <c r="B4201" s="2">
        <f ca="1"/>
        <v>0.66823521723646673</v>
      </c>
      <c r="O4201" s="2">
        <f ca="1"/>
        <v>2.5768486561545356</v>
      </c>
      <c r="X4201" s="2">
        <f ca="1"/>
        <v>60.58297947634955</v>
      </c>
      <c r="AG4201" s="2">
        <f ca="1"/>
        <v>8.9497849006181518E-3</v>
      </c>
      <c r="AH4201" s="2" t="str">
        <f ca="1"/>
        <v>Good</v>
      </c>
    </row>
    <row r="4202" spans="2:34" x14ac:dyDescent="0.2">
      <c r="B4202" s="2">
        <f ca="1"/>
        <v>0.64185401403885001</v>
      </c>
      <c r="O4202" s="2">
        <f ca="1"/>
        <v>1.2640429394778596</v>
      </c>
      <c r="X4202" s="2">
        <f ca="1"/>
        <v>31.285412038169923</v>
      </c>
      <c r="AG4202" s="2">
        <f ca="1"/>
        <v>0.67393655955393017</v>
      </c>
      <c r="AH4202" s="2" t="str">
        <f ca="1"/>
        <v>Bad</v>
      </c>
    </row>
    <row r="4203" spans="2:34" x14ac:dyDescent="0.2">
      <c r="B4203" s="2">
        <f ca="1"/>
        <v>0.28888681417359874</v>
      </c>
      <c r="O4203" s="2">
        <f ca="1"/>
        <v>0.25686981870021319</v>
      </c>
      <c r="X4203" s="2">
        <f ca="1"/>
        <v>33.109891662041974</v>
      </c>
      <c r="AG4203" s="2">
        <f ca="1"/>
        <v>0.62114766273567423</v>
      </c>
      <c r="AH4203" s="2" t="str">
        <f ca="1"/>
        <v>Bad</v>
      </c>
    </row>
    <row r="4204" spans="2:34" x14ac:dyDescent="0.2">
      <c r="B4204" s="2">
        <f ca="1"/>
        <v>5.8715534859312468E-2</v>
      </c>
      <c r="O4204" s="2">
        <f ca="1"/>
        <v>0.68788671666423884</v>
      </c>
      <c r="X4204" s="2">
        <f ca="1"/>
        <v>33.739797944192858</v>
      </c>
      <c r="AG4204" s="2">
        <f ca="1"/>
        <v>0.7920641345634194</v>
      </c>
      <c r="AH4204" s="2" t="str">
        <f ca="1"/>
        <v>Bad</v>
      </c>
    </row>
    <row r="4205" spans="2:34" x14ac:dyDescent="0.2">
      <c r="B4205" s="2">
        <f ca="1"/>
        <v>0.5626559425053308</v>
      </c>
      <c r="O4205" s="2">
        <f ca="1"/>
        <v>-2.1369594724209816E-2</v>
      </c>
      <c r="X4205" s="2">
        <f ca="1"/>
        <v>35.579126028871784</v>
      </c>
      <c r="AG4205" s="2">
        <f ca="1"/>
        <v>0.42224135382403438</v>
      </c>
      <c r="AH4205" s="2" t="str">
        <f ca="1"/>
        <v>Bad</v>
      </c>
    </row>
    <row r="4206" spans="2:34" x14ac:dyDescent="0.2">
      <c r="B4206" s="2">
        <f ca="1"/>
        <v>0.35096148735996779</v>
      </c>
      <c r="O4206" s="2">
        <f ca="1"/>
        <v>0.66792182712291293</v>
      </c>
      <c r="X4206" s="2">
        <f ca="1"/>
        <v>65.823803865986378</v>
      </c>
      <c r="AG4206" s="2">
        <f ca="1"/>
        <v>1.4105603901740871E-2</v>
      </c>
      <c r="AH4206" s="2" t="str">
        <f ca="1"/>
        <v>Good</v>
      </c>
    </row>
    <row r="4207" spans="2:34" x14ac:dyDescent="0.2">
      <c r="B4207" s="2">
        <f ca="1"/>
        <v>0.97062268026326382</v>
      </c>
      <c r="O4207" s="2">
        <f ca="1"/>
        <v>-0.5134045618751919</v>
      </c>
      <c r="X4207" s="2">
        <f ca="1"/>
        <v>42.838160422517284</v>
      </c>
      <c r="AG4207" s="2">
        <f ca="1"/>
        <v>0.69556440472665448</v>
      </c>
      <c r="AH4207" s="2" t="str">
        <f ca="1"/>
        <v>Bad</v>
      </c>
    </row>
    <row r="4208" spans="2:34" x14ac:dyDescent="0.2">
      <c r="B4208" s="2">
        <f ca="1"/>
        <v>6.5199164375084884E-4</v>
      </c>
      <c r="O4208" s="2">
        <f ca="1"/>
        <v>1.0031915970790766</v>
      </c>
      <c r="X4208" s="2">
        <f ca="1"/>
        <v>22.281585964753173</v>
      </c>
      <c r="AG4208" s="2">
        <f ca="1"/>
        <v>0.17136994493074975</v>
      </c>
      <c r="AH4208" s="2" t="str">
        <f ca="1"/>
        <v>OK</v>
      </c>
    </row>
    <row r="4209" spans="2:34" x14ac:dyDescent="0.2">
      <c r="B4209" s="2">
        <f ca="1"/>
        <v>0.21396716035175145</v>
      </c>
      <c r="O4209" s="2">
        <f ca="1"/>
        <v>0.11171680661632914</v>
      </c>
      <c r="X4209" s="2">
        <f ca="1"/>
        <v>22.696065175909403</v>
      </c>
      <c r="AG4209" s="2">
        <f ca="1"/>
        <v>0.18550916889685287</v>
      </c>
      <c r="AH4209" s="2" t="str">
        <f ca="1"/>
        <v>OK</v>
      </c>
    </row>
    <row r="4210" spans="2:34" x14ac:dyDescent="0.2">
      <c r="B4210" s="2">
        <f ca="1"/>
        <v>0.89499907167408432</v>
      </c>
      <c r="O4210" s="2">
        <f ca="1"/>
        <v>0.12529104731599336</v>
      </c>
      <c r="X4210" s="2">
        <f ca="1"/>
        <v>54.303221025563353</v>
      </c>
      <c r="AG4210" s="2">
        <f ca="1"/>
        <v>0.5534157834119473</v>
      </c>
      <c r="AH4210" s="2" t="str">
        <f ca="1"/>
        <v>Bad</v>
      </c>
    </row>
    <row r="4211" spans="2:34" x14ac:dyDescent="0.2">
      <c r="B4211" s="2">
        <f ca="1"/>
        <v>0.96720271774194799</v>
      </c>
      <c r="O4211" s="2">
        <f ca="1"/>
        <v>-1.0069174719266099</v>
      </c>
      <c r="X4211" s="2">
        <f ca="1"/>
        <v>67.312516666903576</v>
      </c>
      <c r="AG4211" s="2">
        <f ca="1"/>
        <v>0.31085992833057663</v>
      </c>
      <c r="AH4211" s="2" t="str">
        <f ca="1"/>
        <v>OK</v>
      </c>
    </row>
    <row r="4212" spans="2:34" x14ac:dyDescent="0.2">
      <c r="B4212" s="2">
        <f ca="1"/>
        <v>0.23801333310820638</v>
      </c>
      <c r="O4212" s="2">
        <f ca="1"/>
        <v>-0.37656098189429638</v>
      </c>
      <c r="X4212" s="2">
        <f ca="1"/>
        <v>57.843913713959331</v>
      </c>
      <c r="AG4212" s="2">
        <f ca="1"/>
        <v>0.39919421157063018</v>
      </c>
      <c r="AH4212" s="2" t="str">
        <f ca="1"/>
        <v>OK</v>
      </c>
    </row>
    <row r="4213" spans="2:34" x14ac:dyDescent="0.2">
      <c r="B4213" s="2">
        <f ca="1"/>
        <v>0.69349124797468753</v>
      </c>
      <c r="O4213" s="2">
        <f ca="1"/>
        <v>-0.18278450303064364</v>
      </c>
      <c r="X4213" s="2">
        <f ca="1"/>
        <v>36.139302911352701</v>
      </c>
      <c r="AG4213" s="2">
        <f ca="1"/>
        <v>0.56239417875685827</v>
      </c>
      <c r="AH4213" s="2" t="str">
        <f ca="1"/>
        <v>Bad</v>
      </c>
    </row>
    <row r="4214" spans="2:34" x14ac:dyDescent="0.2">
      <c r="B4214" s="2">
        <f ca="1"/>
        <v>0.72635755591364215</v>
      </c>
      <c r="O4214" s="2">
        <f ca="1"/>
        <v>-0.55373050824582126</v>
      </c>
      <c r="X4214" s="2">
        <f ca="1"/>
        <v>60.393275735246085</v>
      </c>
      <c r="AG4214" s="2">
        <f ca="1"/>
        <v>0.42025390201871793</v>
      </c>
      <c r="AH4214" s="2" t="str">
        <f ca="1"/>
        <v>Bad</v>
      </c>
    </row>
    <row r="4215" spans="2:34" x14ac:dyDescent="0.2">
      <c r="B4215" s="2">
        <f ca="1"/>
        <v>0.32720962436795964</v>
      </c>
      <c r="O4215" s="2">
        <f ca="1"/>
        <v>-1.0245002170369413</v>
      </c>
      <c r="X4215" s="2">
        <f ca="1"/>
        <v>40.474917544468852</v>
      </c>
      <c r="AG4215" s="2">
        <f ca="1"/>
        <v>1.1702696068382146E-2</v>
      </c>
      <c r="AH4215" s="2" t="str">
        <f ca="1"/>
        <v>Good</v>
      </c>
    </row>
    <row r="4216" spans="2:34" x14ac:dyDescent="0.2">
      <c r="B4216" s="2">
        <f ca="1"/>
        <v>0.67067675648609559</v>
      </c>
      <c r="O4216" s="2">
        <f ca="1"/>
        <v>-0.50661917561395275</v>
      </c>
      <c r="X4216" s="2">
        <f ca="1"/>
        <v>37.286839399680311</v>
      </c>
      <c r="AG4216" s="2">
        <f ca="1"/>
        <v>0.4895462912866142</v>
      </c>
      <c r="AH4216" s="2" t="str">
        <f ca="1"/>
        <v>Bad</v>
      </c>
    </row>
    <row r="4217" spans="2:34" x14ac:dyDescent="0.2">
      <c r="B4217" s="2">
        <f ca="1"/>
        <v>1.0503586593394676E-2</v>
      </c>
      <c r="O4217" s="2">
        <f ca="1"/>
        <v>-0.38439448947976163</v>
      </c>
      <c r="X4217" s="2">
        <f ca="1"/>
        <v>26.38041700375765</v>
      </c>
      <c r="AG4217" s="2">
        <f ca="1"/>
        <v>0.46999115959809923</v>
      </c>
      <c r="AH4217" s="2" t="str">
        <f ca="1"/>
        <v>Bad</v>
      </c>
    </row>
    <row r="4218" spans="2:34" x14ac:dyDescent="0.2">
      <c r="B4218" s="2">
        <f ca="1"/>
        <v>0.64908904154107616</v>
      </c>
      <c r="O4218" s="2">
        <f ca="1"/>
        <v>-1.160061932053734</v>
      </c>
      <c r="X4218" s="2">
        <f ca="1"/>
        <v>49.144175364417748</v>
      </c>
      <c r="AG4218" s="2">
        <f ca="1"/>
        <v>0.27836827204968473</v>
      </c>
      <c r="AH4218" s="2" t="str">
        <f ca="1"/>
        <v>OK</v>
      </c>
    </row>
    <row r="4219" spans="2:34" x14ac:dyDescent="0.2">
      <c r="B4219" s="2">
        <f ca="1"/>
        <v>0.67722746843123915</v>
      </c>
      <c r="O4219" s="2">
        <f ca="1"/>
        <v>0.41022791102064221</v>
      </c>
      <c r="X4219" s="2">
        <f ca="1"/>
        <v>55.022227010888486</v>
      </c>
      <c r="AG4219" s="2">
        <f ca="1"/>
        <v>0.96146491907746423</v>
      </c>
      <c r="AH4219" s="2" t="str">
        <f ca="1"/>
        <v>Bad</v>
      </c>
    </row>
    <row r="4220" spans="2:34" x14ac:dyDescent="0.2">
      <c r="B4220" s="2">
        <f ca="1"/>
        <v>6.6169524455802708E-2</v>
      </c>
      <c r="O4220" s="2">
        <f ca="1"/>
        <v>0.37234976377261486</v>
      </c>
      <c r="X4220" s="2">
        <f ca="1"/>
        <v>26.729950653287226</v>
      </c>
      <c r="AG4220" s="2">
        <f ca="1"/>
        <v>4.717800925693294E-2</v>
      </c>
      <c r="AH4220" s="2" t="str">
        <f ca="1"/>
        <v>Good</v>
      </c>
    </row>
    <row r="4221" spans="2:34" x14ac:dyDescent="0.2">
      <c r="B4221" s="2">
        <f ca="1"/>
        <v>0.11222455550133348</v>
      </c>
      <c r="O4221" s="2">
        <f ca="1"/>
        <v>-0.2797355200341704</v>
      </c>
      <c r="X4221" s="2">
        <f ca="1"/>
        <v>48.495452384347296</v>
      </c>
      <c r="AG4221" s="2">
        <f ca="1"/>
        <v>0.12314380128103464</v>
      </c>
      <c r="AH4221" s="2" t="str">
        <f ca="1"/>
        <v>OK</v>
      </c>
    </row>
    <row r="4222" spans="2:34" x14ac:dyDescent="0.2">
      <c r="B4222" s="2">
        <f ca="1"/>
        <v>0.10754327068969904</v>
      </c>
      <c r="O4222" s="2">
        <f ca="1"/>
        <v>-1.2590429147492594</v>
      </c>
      <c r="X4222" s="2">
        <f ca="1"/>
        <v>38.990155448059056</v>
      </c>
      <c r="AG4222" s="2">
        <f ca="1"/>
        <v>0.29649700912671806</v>
      </c>
      <c r="AH4222" s="2" t="str">
        <f ca="1"/>
        <v>OK</v>
      </c>
    </row>
    <row r="4223" spans="2:34" x14ac:dyDescent="0.2">
      <c r="B4223" s="2">
        <f ca="1"/>
        <v>0.7117600449587409</v>
      </c>
      <c r="O4223" s="2">
        <f ca="1"/>
        <v>-0.84492371709737457</v>
      </c>
      <c r="X4223" s="2">
        <f ca="1"/>
        <v>75.065590759831991</v>
      </c>
      <c r="AG4223" s="2">
        <f ca="1"/>
        <v>0.18883514006656443</v>
      </c>
      <c r="AH4223" s="2" t="str">
        <f ca="1"/>
        <v>OK</v>
      </c>
    </row>
    <row r="4224" spans="2:34" x14ac:dyDescent="0.2">
      <c r="B4224" s="2">
        <f ca="1"/>
        <v>0.64197693409323264</v>
      </c>
      <c r="O4224" s="2">
        <f ca="1"/>
        <v>1.3636165817068467E-2</v>
      </c>
      <c r="X4224" s="2">
        <f ca="1"/>
        <v>73.034621011023546</v>
      </c>
      <c r="AG4224" s="2">
        <f ca="1"/>
        <v>0.41093109399966044</v>
      </c>
      <c r="AH4224" s="2" t="str">
        <f ca="1"/>
        <v>Bad</v>
      </c>
    </row>
    <row r="4225" spans="2:34" x14ac:dyDescent="0.2">
      <c r="B4225" s="2">
        <f ca="1"/>
        <v>0.67505232217138822</v>
      </c>
      <c r="O4225" s="2">
        <f ca="1"/>
        <v>1.1354933926624924</v>
      </c>
      <c r="X4225" s="2">
        <f ca="1"/>
        <v>26.942877702956523</v>
      </c>
      <c r="AG4225" s="2">
        <f ca="1"/>
        <v>0.3449584462580304</v>
      </c>
      <c r="AH4225" s="2" t="str">
        <f ca="1"/>
        <v>OK</v>
      </c>
    </row>
    <row r="4226" spans="2:34" x14ac:dyDescent="0.2">
      <c r="B4226" s="2">
        <f ca="1"/>
        <v>0.70680190067041271</v>
      </c>
      <c r="O4226" s="2">
        <f ca="1"/>
        <v>-1.1578695986237428</v>
      </c>
      <c r="X4226" s="2">
        <f ca="1"/>
        <v>48.608755400425949</v>
      </c>
      <c r="AG4226" s="2">
        <f ca="1"/>
        <v>4.562643324794502E-2</v>
      </c>
      <c r="AH4226" s="2" t="str">
        <f ca="1"/>
        <v>Good</v>
      </c>
    </row>
    <row r="4227" spans="2:34" x14ac:dyDescent="0.2">
      <c r="B4227" s="2">
        <f ca="1"/>
        <v>0.15118799853110754</v>
      </c>
      <c r="O4227" s="2">
        <f ca="1"/>
        <v>0.99283853993544746</v>
      </c>
      <c r="X4227" s="2">
        <f ca="1"/>
        <v>47.64039491332796</v>
      </c>
      <c r="AG4227" s="2">
        <f ca="1"/>
        <v>0.30005483543893097</v>
      </c>
      <c r="AH4227" s="2" t="str">
        <f ca="1"/>
        <v>OK</v>
      </c>
    </row>
    <row r="4228" spans="2:34" x14ac:dyDescent="0.2">
      <c r="B4228" s="2">
        <f ca="1"/>
        <v>0.29227608776513536</v>
      </c>
      <c r="O4228" s="2">
        <f ca="1"/>
        <v>-1.274033617408036</v>
      </c>
      <c r="X4228" s="2">
        <f ca="1"/>
        <v>33.367966866864293</v>
      </c>
      <c r="AG4228" s="2">
        <f ca="1"/>
        <v>0.55577682709863785</v>
      </c>
      <c r="AH4228" s="2" t="str">
        <f ca="1"/>
        <v>Bad</v>
      </c>
    </row>
    <row r="4229" spans="2:34" x14ac:dyDescent="0.2">
      <c r="B4229" s="2">
        <f ca="1"/>
        <v>0.49077428854612748</v>
      </c>
      <c r="O4229" s="2">
        <f ca="1"/>
        <v>0.5318362415158594</v>
      </c>
      <c r="X4229" s="2">
        <f ca="1"/>
        <v>45.86985579740989</v>
      </c>
      <c r="AG4229" s="2">
        <f ca="1"/>
        <v>0.66796672505795396</v>
      </c>
      <c r="AH4229" s="2" t="str">
        <f ca="1"/>
        <v>Bad</v>
      </c>
    </row>
    <row r="4230" spans="2:34" x14ac:dyDescent="0.2">
      <c r="B4230" s="2">
        <f ca="1"/>
        <v>0.63775279547770203</v>
      </c>
      <c r="O4230" s="2">
        <f ca="1"/>
        <v>0.27078109436427888</v>
      </c>
      <c r="X4230" s="2">
        <f ca="1"/>
        <v>82.649547705466546</v>
      </c>
      <c r="AG4230" s="2">
        <f ca="1"/>
        <v>0.8815553960883098</v>
      </c>
      <c r="AH4230" s="2" t="str">
        <f ca="1"/>
        <v>Bad</v>
      </c>
    </row>
    <row r="4231" spans="2:34" x14ac:dyDescent="0.2">
      <c r="B4231" s="2">
        <f ca="1"/>
        <v>0.8900518358449232</v>
      </c>
      <c r="O4231" s="2">
        <f ca="1"/>
        <v>-0.45954846802812827</v>
      </c>
      <c r="X4231" s="2">
        <f ca="1"/>
        <v>62.998323001025454</v>
      </c>
      <c r="AG4231" s="2">
        <f ca="1"/>
        <v>0.78179549857526931</v>
      </c>
      <c r="AH4231" s="2" t="str">
        <f ca="1"/>
        <v>Bad</v>
      </c>
    </row>
    <row r="4232" spans="2:34" x14ac:dyDescent="0.2">
      <c r="B4232" s="2">
        <f ca="1"/>
        <v>0.78813912107224859</v>
      </c>
      <c r="O4232" s="2">
        <f ca="1"/>
        <v>-1.035447491522768</v>
      </c>
      <c r="X4232" s="2">
        <f ca="1"/>
        <v>32.643247023234835</v>
      </c>
      <c r="AG4232" s="2">
        <f ca="1"/>
        <v>0.252609543040619</v>
      </c>
      <c r="AH4232" s="2" t="str">
        <f ca="1"/>
        <v>OK</v>
      </c>
    </row>
    <row r="4233" spans="2:34" x14ac:dyDescent="0.2">
      <c r="B4233" s="2">
        <f ca="1"/>
        <v>0.83911687842690097</v>
      </c>
      <c r="O4233" s="2">
        <f ca="1"/>
        <v>7.3931690422490204E-2</v>
      </c>
      <c r="X4233" s="2">
        <f ca="1"/>
        <v>48.497815092832148</v>
      </c>
      <c r="AG4233" s="2">
        <f ca="1"/>
        <v>0.44104854777618385</v>
      </c>
      <c r="AH4233" s="2" t="str">
        <f ca="1"/>
        <v>Bad</v>
      </c>
    </row>
    <row r="4234" spans="2:34" x14ac:dyDescent="0.2">
      <c r="B4234" s="2">
        <f ca="1"/>
        <v>0.15665566620682481</v>
      </c>
      <c r="O4234" s="2">
        <f ca="1"/>
        <v>0.58345007333067778</v>
      </c>
      <c r="X4234" s="2">
        <f ca="1"/>
        <v>44.34339976466547</v>
      </c>
      <c r="AG4234" s="2">
        <f ca="1"/>
        <v>0.72036430421579634</v>
      </c>
      <c r="AH4234" s="2" t="str">
        <f ca="1"/>
        <v>Bad</v>
      </c>
    </row>
    <row r="4235" spans="2:34" x14ac:dyDescent="0.2">
      <c r="B4235" s="2">
        <f ca="1"/>
        <v>0.42499269372985116</v>
      </c>
      <c r="O4235" s="2">
        <f ca="1"/>
        <v>0.44030914064038962</v>
      </c>
      <c r="X4235" s="2">
        <f ca="1"/>
        <v>42.85066118010181</v>
      </c>
      <c r="AG4235" s="2">
        <f ca="1"/>
        <v>0.26305616127047204</v>
      </c>
      <c r="AH4235" s="2" t="str">
        <f ca="1"/>
        <v>OK</v>
      </c>
    </row>
    <row r="4236" spans="2:34" x14ac:dyDescent="0.2">
      <c r="B4236" s="2">
        <f ca="1"/>
        <v>0.35344167459756748</v>
      </c>
      <c r="O4236" s="2">
        <f ca="1"/>
        <v>-2.5859644759715326E-2</v>
      </c>
      <c r="X4236" s="2">
        <f ca="1"/>
        <v>65.948499063211557</v>
      </c>
      <c r="AG4236" s="2">
        <f ca="1"/>
        <v>0.10056618177686505</v>
      </c>
      <c r="AH4236" s="2" t="str">
        <f ca="1"/>
        <v>OK</v>
      </c>
    </row>
    <row r="4237" spans="2:34" x14ac:dyDescent="0.2">
      <c r="B4237" s="2">
        <f ca="1"/>
        <v>0.94424506867329772</v>
      </c>
      <c r="O4237" s="2">
        <f ca="1"/>
        <v>1.0122678334162769</v>
      </c>
      <c r="X4237" s="2">
        <f ca="1"/>
        <v>49.093722090918476</v>
      </c>
      <c r="AG4237" s="2">
        <f ca="1"/>
        <v>0.83348625709922253</v>
      </c>
      <c r="AH4237" s="2" t="str">
        <f ca="1"/>
        <v>Bad</v>
      </c>
    </row>
    <row r="4238" spans="2:34" x14ac:dyDescent="0.2">
      <c r="B4238" s="2">
        <f ca="1"/>
        <v>0.44724265206224234</v>
      </c>
      <c r="O4238" s="2">
        <f ca="1"/>
        <v>2.1033517665553707</v>
      </c>
      <c r="X4238" s="2">
        <f ca="1"/>
        <v>37.860812098202885</v>
      </c>
      <c r="AG4238" s="2">
        <f ca="1"/>
        <v>0.42694018859194993</v>
      </c>
      <c r="AH4238" s="2" t="str">
        <f ca="1"/>
        <v>Bad</v>
      </c>
    </row>
    <row r="4239" spans="2:34" x14ac:dyDescent="0.2">
      <c r="B4239" s="2">
        <f ca="1"/>
        <v>0.45059822239281599</v>
      </c>
      <c r="O4239" s="2">
        <f ca="1"/>
        <v>-1.9876312856453917</v>
      </c>
      <c r="X4239" s="2">
        <f ca="1"/>
        <v>57.870789077873106</v>
      </c>
      <c r="AG4239" s="2">
        <f ca="1"/>
        <v>0.1197028632275432</v>
      </c>
      <c r="AH4239" s="2" t="str">
        <f ca="1"/>
        <v>OK</v>
      </c>
    </row>
    <row r="4240" spans="2:34" x14ac:dyDescent="0.2">
      <c r="B4240" s="2">
        <f ca="1"/>
        <v>0.84876917118633433</v>
      </c>
      <c r="O4240" s="2">
        <f ca="1"/>
        <v>7.0863183744038619E-2</v>
      </c>
      <c r="X4240" s="2">
        <f ca="1"/>
        <v>42.342120962912439</v>
      </c>
      <c r="AG4240" s="2">
        <f ca="1"/>
        <v>0.6452800491884334</v>
      </c>
      <c r="AH4240" s="2" t="str">
        <f ca="1"/>
        <v>Bad</v>
      </c>
    </row>
    <row r="4241" spans="2:34" x14ac:dyDescent="0.2">
      <c r="B4241" s="2">
        <f ca="1"/>
        <v>0.13481942677361314</v>
      </c>
      <c r="O4241" s="2">
        <f ca="1"/>
        <v>-1.0467819930736013</v>
      </c>
      <c r="X4241" s="2">
        <f ca="1"/>
        <v>24.287643624110501</v>
      </c>
      <c r="AG4241" s="2">
        <f ca="1"/>
        <v>5.9462446387764878E-2</v>
      </c>
      <c r="AH4241" s="2" t="str">
        <f ca="1"/>
        <v>OK</v>
      </c>
    </row>
    <row r="4242" spans="2:34" x14ac:dyDescent="0.2">
      <c r="B4242" s="2">
        <f ca="1"/>
        <v>0.34173663035254576</v>
      </c>
      <c r="O4242" s="2">
        <f ca="1"/>
        <v>-0.15995234956804</v>
      </c>
      <c r="X4242" s="2">
        <f ca="1"/>
        <v>80.882187732505585</v>
      </c>
      <c r="AG4242" s="2">
        <f ca="1"/>
        <v>0.26832932667430121</v>
      </c>
      <c r="AH4242" s="2" t="str">
        <f ca="1"/>
        <v>OK</v>
      </c>
    </row>
    <row r="4243" spans="2:34" x14ac:dyDescent="0.2">
      <c r="B4243" s="2">
        <f ca="1"/>
        <v>0.32824451036626501</v>
      </c>
      <c r="O4243" s="2">
        <f ca="1"/>
        <v>2.1887548399191425</v>
      </c>
      <c r="X4243" s="2">
        <f ca="1"/>
        <v>48.916343735223649</v>
      </c>
      <c r="AG4243" s="2">
        <f ca="1"/>
        <v>5.2880517187088749E-2</v>
      </c>
      <c r="AH4243" s="2" t="str">
        <f ca="1"/>
        <v>OK</v>
      </c>
    </row>
    <row r="4244" spans="2:34" x14ac:dyDescent="0.2">
      <c r="B4244" s="2">
        <f ca="1"/>
        <v>0.7955132320445899</v>
      </c>
      <c r="O4244" s="2">
        <f ca="1"/>
        <v>-0.48418159242643993</v>
      </c>
      <c r="X4244" s="2">
        <f ca="1"/>
        <v>35.878284613130511</v>
      </c>
      <c r="AG4244" s="2">
        <f ca="1"/>
        <v>0.35942348873360319</v>
      </c>
      <c r="AH4244" s="2" t="str">
        <f ca="1"/>
        <v>OK</v>
      </c>
    </row>
    <row r="4245" spans="2:34" x14ac:dyDescent="0.2">
      <c r="B4245" s="2">
        <f ca="1"/>
        <v>0.6082601934169547</v>
      </c>
      <c r="O4245" s="2">
        <f ca="1"/>
        <v>1.1991422386957775</v>
      </c>
      <c r="X4245" s="2">
        <f ca="1"/>
        <v>35.8166887462489</v>
      </c>
      <c r="AG4245" s="2">
        <f ca="1"/>
        <v>0.63230674319171043</v>
      </c>
      <c r="AH4245" s="2" t="str">
        <f ca="1"/>
        <v>Bad</v>
      </c>
    </row>
    <row r="4246" spans="2:34" x14ac:dyDescent="0.2">
      <c r="B4246" s="2">
        <f ca="1"/>
        <v>0.10052400471371237</v>
      </c>
      <c r="O4246" s="2">
        <f ca="1"/>
        <v>1.1787720632926415</v>
      </c>
      <c r="X4246" s="2">
        <f ca="1"/>
        <v>65.898092747657302</v>
      </c>
      <c r="AG4246" s="2">
        <f ca="1"/>
        <v>0.84007966370552345</v>
      </c>
      <c r="AH4246" s="2" t="str">
        <f ca="1"/>
        <v>Bad</v>
      </c>
    </row>
    <row r="4247" spans="2:34" x14ac:dyDescent="0.2">
      <c r="B4247" s="2">
        <f ca="1"/>
        <v>0.16907509396874532</v>
      </c>
      <c r="O4247" s="2">
        <f ca="1"/>
        <v>0.71228415105045073</v>
      </c>
      <c r="X4247" s="2">
        <f ca="1"/>
        <v>57.839266055173724</v>
      </c>
      <c r="AG4247" s="2">
        <f ca="1"/>
        <v>0.21728593189973799</v>
      </c>
      <c r="AH4247" s="2" t="str">
        <f ca="1"/>
        <v>OK</v>
      </c>
    </row>
    <row r="4248" spans="2:34" x14ac:dyDescent="0.2">
      <c r="B4248" s="2">
        <f ca="1"/>
        <v>9.5970267342146975E-3</v>
      </c>
      <c r="O4248" s="2">
        <f ca="1"/>
        <v>3.0416837225981661</v>
      </c>
      <c r="X4248" s="2">
        <f ca="1"/>
        <v>69.332240973588711</v>
      </c>
      <c r="AG4248" s="2">
        <f ca="1"/>
        <v>0.88325938695752915</v>
      </c>
      <c r="AH4248" s="2" t="str">
        <f ca="1"/>
        <v>Bad</v>
      </c>
    </row>
    <row r="4249" spans="2:34" x14ac:dyDescent="0.2">
      <c r="B4249" s="2">
        <f ca="1"/>
        <v>0.91101682855064037</v>
      </c>
      <c r="O4249" s="2">
        <f ca="1"/>
        <v>1.5058240099231655</v>
      </c>
      <c r="X4249" s="2">
        <f ca="1"/>
        <v>34.954400630594677</v>
      </c>
      <c r="AG4249" s="2">
        <f ca="1"/>
        <v>0.97295540472135267</v>
      </c>
      <c r="AH4249" s="2" t="str">
        <f ca="1"/>
        <v>Bad</v>
      </c>
    </row>
    <row r="4250" spans="2:34" x14ac:dyDescent="0.2">
      <c r="B4250" s="2">
        <f ca="1"/>
        <v>0.39168862118822312</v>
      </c>
      <c r="O4250" s="2">
        <f ca="1"/>
        <v>-0.31074655177877991</v>
      </c>
      <c r="X4250" s="2">
        <f ca="1"/>
        <v>38.444326935578339</v>
      </c>
      <c r="AG4250" s="2">
        <f ca="1"/>
        <v>0.81766255575493529</v>
      </c>
      <c r="AH4250" s="2" t="str">
        <f ca="1"/>
        <v>Bad</v>
      </c>
    </row>
    <row r="4251" spans="2:34" x14ac:dyDescent="0.2">
      <c r="B4251" s="2">
        <f ca="1"/>
        <v>0.82518484367485834</v>
      </c>
      <c r="O4251" s="2">
        <f ca="1"/>
        <v>-1.1271219190143793</v>
      </c>
      <c r="X4251" s="2">
        <f ca="1"/>
        <v>61.896437981561931</v>
      </c>
      <c r="AG4251" s="2">
        <f ca="1"/>
        <v>0.13662179898167359</v>
      </c>
      <c r="AH4251" s="2" t="str">
        <f ca="1"/>
        <v>OK</v>
      </c>
    </row>
    <row r="4252" spans="2:34" x14ac:dyDescent="0.2">
      <c r="B4252" s="2">
        <f ca="1"/>
        <v>0.32556902184956082</v>
      </c>
      <c r="O4252" s="2">
        <f ca="1"/>
        <v>0.16156263224967476</v>
      </c>
      <c r="X4252" s="2">
        <f ca="1"/>
        <v>41.758458839097813</v>
      </c>
      <c r="AG4252" s="2">
        <f ca="1"/>
        <v>0.12420775267010109</v>
      </c>
      <c r="AH4252" s="2" t="str">
        <f ca="1"/>
        <v>OK</v>
      </c>
    </row>
    <row r="4253" spans="2:34" x14ac:dyDescent="0.2">
      <c r="B4253" s="2">
        <f ca="1"/>
        <v>0.45252909575034073</v>
      </c>
      <c r="O4253" s="2">
        <f ca="1"/>
        <v>0.8766526053010999</v>
      </c>
      <c r="X4253" s="2">
        <f ca="1"/>
        <v>69.313790395393241</v>
      </c>
      <c r="AG4253" s="2">
        <f ca="1"/>
        <v>0.47866117913350692</v>
      </c>
      <c r="AH4253" s="2" t="str">
        <f ca="1"/>
        <v>Bad</v>
      </c>
    </row>
    <row r="4254" spans="2:34" x14ac:dyDescent="0.2">
      <c r="B4254" s="2">
        <f ca="1"/>
        <v>0.30607666829645486</v>
      </c>
      <c r="O4254" s="2">
        <f ca="1"/>
        <v>-0.13261549439100584</v>
      </c>
      <c r="X4254" s="2">
        <f ca="1"/>
        <v>33.266944750953016</v>
      </c>
      <c r="AG4254" s="2">
        <f ca="1"/>
        <v>0.82659204440866518</v>
      </c>
      <c r="AH4254" s="2" t="str">
        <f ca="1"/>
        <v>Bad</v>
      </c>
    </row>
    <row r="4255" spans="2:34" x14ac:dyDescent="0.2">
      <c r="B4255" s="2">
        <f ca="1"/>
        <v>2.0525245392025271E-2</v>
      </c>
      <c r="O4255" s="2">
        <f ca="1"/>
        <v>-2.743553497040364E-2</v>
      </c>
      <c r="X4255" s="2">
        <f ca="1"/>
        <v>47.665850093037974</v>
      </c>
      <c r="AG4255" s="2">
        <f ca="1"/>
        <v>0.78943953891129381</v>
      </c>
      <c r="AH4255" s="2" t="str">
        <f ca="1"/>
        <v>Bad</v>
      </c>
    </row>
    <row r="4256" spans="2:34" x14ac:dyDescent="0.2">
      <c r="B4256" s="2">
        <f ca="1"/>
        <v>1.1061994218504179E-2</v>
      </c>
      <c r="O4256" s="2">
        <f ca="1"/>
        <v>-0.50061395713811674</v>
      </c>
      <c r="X4256" s="2">
        <f ca="1"/>
        <v>44.514190842810073</v>
      </c>
      <c r="AG4256" s="2">
        <f ca="1"/>
        <v>0.61249222607874643</v>
      </c>
      <c r="AH4256" s="2" t="str">
        <f ca="1"/>
        <v>Bad</v>
      </c>
    </row>
    <row r="4257" spans="2:34" x14ac:dyDescent="0.2">
      <c r="B4257" s="2">
        <f ca="1"/>
        <v>0.58182771183990378</v>
      </c>
      <c r="O4257" s="2">
        <f ca="1"/>
        <v>-0.93284786321574664</v>
      </c>
      <c r="X4257" s="2">
        <f ca="1"/>
        <v>59.410257568889918</v>
      </c>
      <c r="AG4257" s="2">
        <f ca="1"/>
        <v>0.65485183870117436</v>
      </c>
      <c r="AH4257" s="2" t="str">
        <f ca="1"/>
        <v>Bad</v>
      </c>
    </row>
    <row r="4258" spans="2:34" x14ac:dyDescent="0.2">
      <c r="B4258" s="2">
        <f ca="1"/>
        <v>0.27808308202997689</v>
      </c>
      <c r="O4258" s="2">
        <f ca="1"/>
        <v>-2.9295604442084247</v>
      </c>
      <c r="X4258" s="2">
        <f ca="1"/>
        <v>68.536693134174669</v>
      </c>
      <c r="AG4258" s="2">
        <f ca="1"/>
        <v>0.62073854691758901</v>
      </c>
      <c r="AH4258" s="2" t="str">
        <f ca="1"/>
        <v>Bad</v>
      </c>
    </row>
    <row r="4259" spans="2:34" x14ac:dyDescent="0.2">
      <c r="B4259" s="2">
        <f ca="1"/>
        <v>0.60013108752406064</v>
      </c>
      <c r="O4259" s="2">
        <f ca="1"/>
        <v>0.2049684010742214</v>
      </c>
      <c r="X4259" s="2">
        <f ca="1"/>
        <v>53.315187522603786</v>
      </c>
      <c r="AG4259" s="2">
        <f ca="1"/>
        <v>7.9164100212332222E-2</v>
      </c>
      <c r="AH4259" s="2" t="str">
        <f ca="1"/>
        <v>OK</v>
      </c>
    </row>
    <row r="4260" spans="2:34" x14ac:dyDescent="0.2">
      <c r="B4260" s="2">
        <f ca="1"/>
        <v>0.78662154704843501</v>
      </c>
      <c r="O4260" s="2">
        <f ca="1"/>
        <v>0.90851133325108058</v>
      </c>
      <c r="X4260" s="2">
        <f ca="1"/>
        <v>58.632578572405706</v>
      </c>
      <c r="AG4260" s="2">
        <f ca="1"/>
        <v>0.87069790879595788</v>
      </c>
      <c r="AH4260" s="2" t="str">
        <f ca="1"/>
        <v>Bad</v>
      </c>
    </row>
    <row r="4261" spans="2:34" x14ac:dyDescent="0.2">
      <c r="B4261" s="2">
        <f ca="1"/>
        <v>0.89965854764020525</v>
      </c>
      <c r="O4261" s="2">
        <f ca="1"/>
        <v>-0.24140517279429929</v>
      </c>
      <c r="X4261" s="2">
        <f ca="1"/>
        <v>32.499686808491532</v>
      </c>
      <c r="AG4261" s="2">
        <f ca="1"/>
        <v>0.2921574313338815</v>
      </c>
      <c r="AH4261" s="2" t="str">
        <f ca="1"/>
        <v>OK</v>
      </c>
    </row>
    <row r="4262" spans="2:34" x14ac:dyDescent="0.2">
      <c r="B4262" s="2">
        <f ca="1"/>
        <v>0.47642942452245607</v>
      </c>
      <c r="O4262" s="2">
        <f ca="1"/>
        <v>0.11445920349381586</v>
      </c>
      <c r="X4262" s="2">
        <f ca="1"/>
        <v>35.134886807078985</v>
      </c>
      <c r="AG4262" s="2">
        <f ca="1"/>
        <v>0.86616485983654301</v>
      </c>
      <c r="AH4262" s="2" t="str">
        <f ca="1"/>
        <v>Bad</v>
      </c>
    </row>
    <row r="4263" spans="2:34" x14ac:dyDescent="0.2">
      <c r="B4263" s="2">
        <f ca="1"/>
        <v>0.58895557366559004</v>
      </c>
      <c r="O4263" s="2">
        <f ca="1"/>
        <v>0.69423184962629902</v>
      </c>
      <c r="X4263" s="2">
        <f ca="1"/>
        <v>39.120254646209304</v>
      </c>
      <c r="AG4263" s="2">
        <f ca="1"/>
        <v>9.3713872487198202E-2</v>
      </c>
      <c r="AH4263" s="2" t="str">
        <f ca="1"/>
        <v>OK</v>
      </c>
    </row>
    <row r="4264" spans="2:34" x14ac:dyDescent="0.2">
      <c r="B4264" s="2">
        <f ca="1"/>
        <v>0.78674264020372786</v>
      </c>
      <c r="O4264" s="2">
        <f ca="1"/>
        <v>-4.7905687361639776E-2</v>
      </c>
      <c r="X4264" s="2">
        <f ca="1"/>
        <v>53.123629480923825</v>
      </c>
      <c r="AG4264" s="2">
        <f ca="1"/>
        <v>5.8460232292611103E-2</v>
      </c>
      <c r="AH4264" s="2" t="str">
        <f ca="1"/>
        <v>OK</v>
      </c>
    </row>
    <row r="4265" spans="2:34" x14ac:dyDescent="0.2">
      <c r="B4265" s="2">
        <f ca="1"/>
        <v>0.82527413840178276</v>
      </c>
      <c r="O4265" s="2">
        <f ca="1"/>
        <v>-8.5448411272636055E-2</v>
      </c>
      <c r="X4265" s="2">
        <f ca="1"/>
        <v>23.538746438933558</v>
      </c>
      <c r="AG4265" s="2">
        <f ca="1"/>
        <v>0.2284621310298216</v>
      </c>
      <c r="AH4265" s="2" t="str">
        <f ca="1"/>
        <v>OK</v>
      </c>
    </row>
    <row r="4266" spans="2:34" x14ac:dyDescent="0.2">
      <c r="B4266" s="2">
        <f ca="1"/>
        <v>4.2974346711737832E-2</v>
      </c>
      <c r="O4266" s="2">
        <f ca="1"/>
        <v>2.1730856728147958</v>
      </c>
      <c r="X4266" s="2">
        <f ca="1"/>
        <v>81.401824163232277</v>
      </c>
      <c r="AG4266" s="2">
        <f ca="1"/>
        <v>0.60144454639543676</v>
      </c>
      <c r="AH4266" s="2" t="str">
        <f ca="1"/>
        <v>Bad</v>
      </c>
    </row>
    <row r="4267" spans="2:34" x14ac:dyDescent="0.2">
      <c r="B4267" s="2">
        <f ca="1"/>
        <v>0.73047404008949024</v>
      </c>
      <c r="O4267" s="2">
        <f ca="1"/>
        <v>0.88285867135019402</v>
      </c>
      <c r="X4267" s="2">
        <f ca="1"/>
        <v>27.400838790275913</v>
      </c>
      <c r="AG4267" s="2">
        <f ca="1"/>
        <v>0.26043699352138572</v>
      </c>
      <c r="AH4267" s="2" t="str">
        <f ca="1"/>
        <v>OK</v>
      </c>
    </row>
    <row r="4268" spans="2:34" x14ac:dyDescent="0.2">
      <c r="B4268" s="2">
        <f ca="1"/>
        <v>0.51380664609523707</v>
      </c>
      <c r="O4268" s="2">
        <f ca="1"/>
        <v>-5.6564114224816366E-2</v>
      </c>
      <c r="X4268" s="2">
        <f ca="1"/>
        <v>69.206254929450751</v>
      </c>
      <c r="AG4268" s="2">
        <f ca="1"/>
        <v>0.74173094715540744</v>
      </c>
      <c r="AH4268" s="2" t="str">
        <f ca="1"/>
        <v>Bad</v>
      </c>
    </row>
    <row r="4269" spans="2:34" x14ac:dyDescent="0.2">
      <c r="B4269" s="2">
        <f ca="1"/>
        <v>0.8638424730644334</v>
      </c>
      <c r="O4269" s="2">
        <f ca="1"/>
        <v>-0.2769743940717056</v>
      </c>
      <c r="X4269" s="2">
        <f ca="1"/>
        <v>47.480807119557454</v>
      </c>
      <c r="AG4269" s="2">
        <f ca="1"/>
        <v>0.32586047324727763</v>
      </c>
      <c r="AH4269" s="2" t="str">
        <f ca="1"/>
        <v>OK</v>
      </c>
    </row>
    <row r="4270" spans="2:34" x14ac:dyDescent="0.2">
      <c r="B4270" s="2">
        <f ca="1"/>
        <v>0.74426952530790302</v>
      </c>
      <c r="O4270" s="2">
        <f ca="1"/>
        <v>1.445878970382005</v>
      </c>
      <c r="X4270" s="2">
        <f ca="1"/>
        <v>56.50833429117278</v>
      </c>
      <c r="AG4270" s="2">
        <f ca="1"/>
        <v>0.4305310482607263</v>
      </c>
      <c r="AH4270" s="2" t="str">
        <f ca="1"/>
        <v>Bad</v>
      </c>
    </row>
    <row r="4271" spans="2:34" x14ac:dyDescent="0.2">
      <c r="B4271" s="2">
        <f ca="1"/>
        <v>0.71172781913575678</v>
      </c>
      <c r="O4271" s="2">
        <f ca="1"/>
        <v>1.1658148583457348</v>
      </c>
      <c r="X4271" s="2">
        <f ca="1"/>
        <v>46.66864116562914</v>
      </c>
      <c r="AG4271" s="2">
        <f ca="1"/>
        <v>0.83881513886214365</v>
      </c>
      <c r="AH4271" s="2" t="str">
        <f ca="1"/>
        <v>Bad</v>
      </c>
    </row>
    <row r="4272" spans="2:34" x14ac:dyDescent="0.2">
      <c r="B4272" s="2">
        <f ca="1"/>
        <v>0.86554694612437566</v>
      </c>
      <c r="O4272" s="2">
        <f ca="1"/>
        <v>-1.874710255427583</v>
      </c>
      <c r="X4272" s="2">
        <f ca="1"/>
        <v>68.284988284422241</v>
      </c>
      <c r="AG4272" s="2">
        <f ca="1"/>
        <v>2.6668145198838422E-2</v>
      </c>
      <c r="AH4272" s="2" t="str">
        <f ca="1"/>
        <v>Good</v>
      </c>
    </row>
    <row r="4273" spans="2:34" x14ac:dyDescent="0.2">
      <c r="B4273" s="2">
        <f ca="1"/>
        <v>0.5507756256144789</v>
      </c>
      <c r="O4273" s="2">
        <f ca="1"/>
        <v>-8.4689754882724469E-2</v>
      </c>
      <c r="X4273" s="2">
        <f ca="1"/>
        <v>50.405936607406368</v>
      </c>
      <c r="AG4273" s="2">
        <f ca="1"/>
        <v>0.46112047712644633</v>
      </c>
      <c r="AH4273" s="2" t="str">
        <f ca="1"/>
        <v>Bad</v>
      </c>
    </row>
    <row r="4274" spans="2:34" x14ac:dyDescent="0.2">
      <c r="B4274" s="2">
        <f ca="1"/>
        <v>0.3551017367532816</v>
      </c>
      <c r="O4274" s="2">
        <f ca="1"/>
        <v>1.0796006154906161</v>
      </c>
      <c r="X4274" s="2">
        <f ca="1"/>
        <v>42.972566188476726</v>
      </c>
      <c r="AG4274" s="2">
        <f ca="1"/>
        <v>0.82408498791006557</v>
      </c>
      <c r="AH4274" s="2" t="str">
        <f ca="1"/>
        <v>Bad</v>
      </c>
    </row>
    <row r="4275" spans="2:34" x14ac:dyDescent="0.2">
      <c r="B4275" s="2">
        <f ca="1"/>
        <v>0.13100843033898646</v>
      </c>
      <c r="O4275" s="2">
        <f ca="1"/>
        <v>-0.57533611284671393</v>
      </c>
      <c r="X4275" s="2">
        <f ca="1"/>
        <v>56.852563958419964</v>
      </c>
      <c r="AG4275" s="2">
        <f ca="1"/>
        <v>0.26471507823677731</v>
      </c>
      <c r="AH4275" s="2" t="str">
        <f ca="1"/>
        <v>OK</v>
      </c>
    </row>
    <row r="4276" spans="2:34" x14ac:dyDescent="0.2">
      <c r="B4276" s="2">
        <f ca="1"/>
        <v>0.48255117489774046</v>
      </c>
      <c r="O4276" s="2">
        <f ca="1"/>
        <v>-0.22548992473402746</v>
      </c>
      <c r="X4276" s="2">
        <f ca="1"/>
        <v>39.613715660593016</v>
      </c>
      <c r="AG4276" s="2">
        <f ca="1"/>
        <v>0.36026751039666682</v>
      </c>
      <c r="AH4276" s="2" t="str">
        <f ca="1"/>
        <v>OK</v>
      </c>
    </row>
    <row r="4277" spans="2:34" x14ac:dyDescent="0.2">
      <c r="B4277" s="2">
        <f ca="1"/>
        <v>5.4596539186269499E-2</v>
      </c>
      <c r="O4277" s="2">
        <f ca="1"/>
        <v>-0.90527200563041788</v>
      </c>
      <c r="X4277" s="2">
        <f ca="1"/>
        <v>41.472076385731462</v>
      </c>
      <c r="AG4277" s="2">
        <f ca="1"/>
        <v>0.86130319161000757</v>
      </c>
      <c r="AH4277" s="2" t="str">
        <f ca="1"/>
        <v>Bad</v>
      </c>
    </row>
    <row r="4278" spans="2:34" x14ac:dyDescent="0.2">
      <c r="B4278" s="2">
        <f ca="1"/>
        <v>3.2884818179397035E-2</v>
      </c>
      <c r="O4278" s="2">
        <f ca="1"/>
        <v>-0.21086389904683622</v>
      </c>
      <c r="X4278" s="2">
        <f ca="1"/>
        <v>38.952830539937132</v>
      </c>
      <c r="AG4278" s="2">
        <f ca="1"/>
        <v>0.62549367751246265</v>
      </c>
      <c r="AH4278" s="2" t="str">
        <f ca="1"/>
        <v>Bad</v>
      </c>
    </row>
    <row r="4279" spans="2:34" x14ac:dyDescent="0.2">
      <c r="B4279" s="2">
        <f ca="1"/>
        <v>0.80557813734266071</v>
      </c>
      <c r="O4279" s="2">
        <f ca="1"/>
        <v>0.26594769192496959</v>
      </c>
      <c r="X4279" s="2">
        <f ca="1"/>
        <v>36.526108847856371</v>
      </c>
      <c r="AG4279" s="2">
        <f ca="1"/>
        <v>0.79359270732883624</v>
      </c>
      <c r="AH4279" s="2" t="str">
        <f ca="1"/>
        <v>Bad</v>
      </c>
    </row>
    <row r="4280" spans="2:34" x14ac:dyDescent="0.2">
      <c r="B4280" s="2">
        <f ca="1"/>
        <v>0.9619547567053226</v>
      </c>
      <c r="O4280" s="2">
        <f ca="1"/>
        <v>-0.38129445773320403</v>
      </c>
      <c r="X4280" s="2">
        <f ca="1"/>
        <v>32.463010346258294</v>
      </c>
      <c r="AG4280" s="2">
        <f ca="1"/>
        <v>0.41981726115531481</v>
      </c>
      <c r="AH4280" s="2" t="str">
        <f ca="1"/>
        <v>Bad</v>
      </c>
    </row>
    <row r="4281" spans="2:34" x14ac:dyDescent="0.2">
      <c r="B4281" s="2">
        <f ca="1"/>
        <v>0.17417354194041135</v>
      </c>
      <c r="O4281" s="2">
        <f ca="1"/>
        <v>-1.6884245977732588</v>
      </c>
      <c r="X4281" s="2">
        <f ca="1"/>
        <v>48.017127500008044</v>
      </c>
      <c r="AG4281" s="2">
        <f ca="1"/>
        <v>0.17274237698724271</v>
      </c>
      <c r="AH4281" s="2" t="str">
        <f ca="1"/>
        <v>OK</v>
      </c>
    </row>
    <row r="4282" spans="2:34" x14ac:dyDescent="0.2">
      <c r="B4282" s="2">
        <f ca="1"/>
        <v>0.74612167266967355</v>
      </c>
      <c r="O4282" s="2">
        <f ca="1"/>
        <v>-1.5028592297649677</v>
      </c>
      <c r="X4282" s="2">
        <f ca="1"/>
        <v>69.08600109652744</v>
      </c>
      <c r="AG4282" s="2">
        <f ca="1"/>
        <v>0.41753376748484028</v>
      </c>
      <c r="AH4282" s="2" t="str">
        <f ca="1"/>
        <v>Bad</v>
      </c>
    </row>
    <row r="4283" spans="2:34" x14ac:dyDescent="0.2">
      <c r="B4283" s="2">
        <f ca="1"/>
        <v>0.71308193903786354</v>
      </c>
      <c r="O4283" s="2">
        <f ca="1"/>
        <v>0.21275955597492213</v>
      </c>
      <c r="X4283" s="2">
        <f ca="1"/>
        <v>61.335383633576008</v>
      </c>
      <c r="AG4283" s="2">
        <f ca="1"/>
        <v>0.48809078178165533</v>
      </c>
      <c r="AH4283" s="2" t="str">
        <f ca="1"/>
        <v>Bad</v>
      </c>
    </row>
    <row r="4284" spans="2:34" x14ac:dyDescent="0.2">
      <c r="B4284" s="2">
        <f ca="1"/>
        <v>0.98995038818961323</v>
      </c>
      <c r="O4284" s="2">
        <f ca="1"/>
        <v>1.0495203019501116</v>
      </c>
      <c r="X4284" s="2">
        <f ca="1"/>
        <v>81.380422113977815</v>
      </c>
      <c r="AG4284" s="2">
        <f ca="1"/>
        <v>0.38258637325828859</v>
      </c>
      <c r="AH4284" s="2" t="str">
        <f ca="1"/>
        <v>OK</v>
      </c>
    </row>
    <row r="4285" spans="2:34" x14ac:dyDescent="0.2">
      <c r="B4285" s="2">
        <f ca="1"/>
        <v>0.50033745042947997</v>
      </c>
      <c r="O4285" s="2">
        <f ca="1"/>
        <v>-2.8589180958160775E-2</v>
      </c>
      <c r="X4285" s="2">
        <f ca="1"/>
        <v>62.334895858432766</v>
      </c>
      <c r="AG4285" s="2">
        <f ca="1"/>
        <v>0.14970235751281957</v>
      </c>
      <c r="AH4285" s="2" t="str">
        <f ca="1"/>
        <v>OK</v>
      </c>
    </row>
    <row r="4286" spans="2:34" x14ac:dyDescent="0.2">
      <c r="B4286" s="2">
        <f ca="1"/>
        <v>0.37157290612213179</v>
      </c>
      <c r="O4286" s="2">
        <f ca="1"/>
        <v>1.4021280667985938</v>
      </c>
      <c r="X4286" s="2">
        <f ca="1"/>
        <v>61.65800826273064</v>
      </c>
      <c r="AG4286" s="2">
        <f ca="1"/>
        <v>0.85029805067234165</v>
      </c>
      <c r="AH4286" s="2" t="str">
        <f ca="1"/>
        <v>Bad</v>
      </c>
    </row>
    <row r="4287" spans="2:34" x14ac:dyDescent="0.2">
      <c r="B4287" s="2">
        <f ca="1"/>
        <v>0.18556436220230155</v>
      </c>
      <c r="O4287" s="2">
        <f ca="1"/>
        <v>9.3937478741381086E-2</v>
      </c>
      <c r="X4287" s="2">
        <f ca="1"/>
        <v>56.747915542212084</v>
      </c>
      <c r="AG4287" s="2">
        <f ca="1"/>
        <v>0.85597784993731962</v>
      </c>
      <c r="AH4287" s="2" t="str">
        <f ca="1"/>
        <v>Bad</v>
      </c>
    </row>
    <row r="4288" spans="2:34" x14ac:dyDescent="0.2">
      <c r="B4288" s="2">
        <f ca="1"/>
        <v>0.91038417239048375</v>
      </c>
      <c r="O4288" s="2">
        <f ca="1"/>
        <v>0.19408930532687702</v>
      </c>
      <c r="X4288" s="2">
        <f ca="1"/>
        <v>64.610613099379691</v>
      </c>
      <c r="AG4288" s="2">
        <f ca="1"/>
        <v>0.12846751097925546</v>
      </c>
      <c r="AH4288" s="2" t="str">
        <f ca="1"/>
        <v>OK</v>
      </c>
    </row>
    <row r="4289" spans="2:34" x14ac:dyDescent="0.2">
      <c r="B4289" s="2">
        <f ca="1"/>
        <v>0.29441812115730981</v>
      </c>
      <c r="O4289" s="2">
        <f ca="1"/>
        <v>-1.3891676025646682</v>
      </c>
      <c r="X4289" s="2">
        <f ca="1"/>
        <v>77.508554691401002</v>
      </c>
      <c r="AG4289" s="2">
        <f ca="1"/>
        <v>0.61795710379351254</v>
      </c>
      <c r="AH4289" s="2" t="str">
        <f ca="1"/>
        <v>Bad</v>
      </c>
    </row>
    <row r="4290" spans="2:34" x14ac:dyDescent="0.2">
      <c r="B4290" s="2">
        <f ca="1"/>
        <v>0.62859255513166734</v>
      </c>
      <c r="O4290" s="2">
        <f ca="1"/>
        <v>-5.0069406421418675E-2</v>
      </c>
      <c r="X4290" s="2">
        <f ca="1"/>
        <v>52.633934931722038</v>
      </c>
      <c r="AG4290" s="2">
        <f ca="1"/>
        <v>0.95896387003375194</v>
      </c>
      <c r="AH4290" s="2" t="str">
        <f ca="1"/>
        <v>Bad</v>
      </c>
    </row>
    <row r="4291" spans="2:34" x14ac:dyDescent="0.2">
      <c r="B4291" s="2">
        <f ca="1"/>
        <v>0.43906475574066972</v>
      </c>
      <c r="O4291" s="2">
        <f ca="1"/>
        <v>1.1428954832139528</v>
      </c>
      <c r="X4291" s="2">
        <f ca="1"/>
        <v>32.252847233258549</v>
      </c>
      <c r="AG4291" s="2">
        <f ca="1"/>
        <v>8.4182389181610695E-3</v>
      </c>
      <c r="AH4291" s="2" t="str">
        <f ca="1"/>
        <v>Good</v>
      </c>
    </row>
    <row r="4292" spans="2:34" x14ac:dyDescent="0.2">
      <c r="B4292" s="2">
        <f ca="1"/>
        <v>0.79685508464928345</v>
      </c>
      <c r="O4292" s="2">
        <f ca="1"/>
        <v>-0.82237852766296438</v>
      </c>
      <c r="X4292" s="2">
        <f ca="1"/>
        <v>49.283841164456668</v>
      </c>
      <c r="AG4292" s="2">
        <f ca="1"/>
        <v>1.4400879407888256E-2</v>
      </c>
      <c r="AH4292" s="2" t="str">
        <f ca="1"/>
        <v>Good</v>
      </c>
    </row>
    <row r="4293" spans="2:34" x14ac:dyDescent="0.2">
      <c r="B4293" s="2">
        <f ca="1"/>
        <v>4.271822155953231E-2</v>
      </c>
      <c r="O4293" s="2">
        <f ca="1"/>
        <v>0.95214379208544464</v>
      </c>
      <c r="X4293" s="2">
        <f ca="1"/>
        <v>39.037420181921185</v>
      </c>
      <c r="AG4293" s="2">
        <f ca="1"/>
        <v>0.61114619231647893</v>
      </c>
      <c r="AH4293" s="2" t="str">
        <f ca="1"/>
        <v>Bad</v>
      </c>
    </row>
    <row r="4294" spans="2:34" x14ac:dyDescent="0.2">
      <c r="B4294" s="2">
        <f ca="1"/>
        <v>0.21835465623551498</v>
      </c>
      <c r="O4294" s="2">
        <f ca="1"/>
        <v>-1.9435076519565502</v>
      </c>
      <c r="X4294" s="2">
        <f ca="1"/>
        <v>39.840317622835016</v>
      </c>
      <c r="AG4294" s="2">
        <f ca="1"/>
        <v>0.92068663108594118</v>
      </c>
      <c r="AH4294" s="2" t="str">
        <f ca="1"/>
        <v>Bad</v>
      </c>
    </row>
    <row r="4295" spans="2:34" x14ac:dyDescent="0.2">
      <c r="B4295" s="2">
        <f ca="1"/>
        <v>0.17259572026318715</v>
      </c>
      <c r="O4295" s="2">
        <f ca="1"/>
        <v>-1.0691496387115793</v>
      </c>
      <c r="X4295" s="2">
        <f ca="1"/>
        <v>56.251639731091558</v>
      </c>
      <c r="AG4295" s="2">
        <f ca="1"/>
        <v>0.64747557200663564</v>
      </c>
      <c r="AH4295" s="2" t="str">
        <f ca="1"/>
        <v>Bad</v>
      </c>
    </row>
    <row r="4296" spans="2:34" x14ac:dyDescent="0.2">
      <c r="B4296" s="2">
        <f ca="1"/>
        <v>0.87017789745732488</v>
      </c>
      <c r="O4296" s="2">
        <f ca="1"/>
        <v>0.86946573082043355</v>
      </c>
      <c r="X4296" s="2">
        <f ca="1"/>
        <v>72.8964247502511</v>
      </c>
      <c r="AG4296" s="2">
        <f ca="1"/>
        <v>9.8910966997467487E-2</v>
      </c>
      <c r="AH4296" s="2" t="str">
        <f ca="1"/>
        <v>OK</v>
      </c>
    </row>
    <row r="4297" spans="2:34" x14ac:dyDescent="0.2">
      <c r="B4297" s="2">
        <f ca="1"/>
        <v>0.75987325114298043</v>
      </c>
      <c r="O4297" s="2">
        <f ca="1"/>
        <v>1.0580235086777954</v>
      </c>
      <c r="X4297" s="2">
        <f ca="1"/>
        <v>50.731347107157376</v>
      </c>
      <c r="AG4297" s="2">
        <f ca="1"/>
        <v>0.29624572962663676</v>
      </c>
      <c r="AH4297" s="2" t="str">
        <f ca="1"/>
        <v>OK</v>
      </c>
    </row>
    <row r="4298" spans="2:34" x14ac:dyDescent="0.2">
      <c r="B4298" s="2">
        <f ca="1"/>
        <v>0.4900959042072508</v>
      </c>
      <c r="O4298" s="2">
        <f ca="1"/>
        <v>0.77703375671698449</v>
      </c>
      <c r="X4298" s="2">
        <f ca="1"/>
        <v>40.413605514257966</v>
      </c>
      <c r="AG4298" s="2">
        <f ca="1"/>
        <v>0.16282577814702548</v>
      </c>
      <c r="AH4298" s="2" t="str">
        <f ca="1"/>
        <v>OK</v>
      </c>
    </row>
    <row r="4299" spans="2:34" x14ac:dyDescent="0.2">
      <c r="B4299" s="2">
        <f ca="1"/>
        <v>0.66056269123054245</v>
      </c>
      <c r="O4299" s="2">
        <f ca="1"/>
        <v>0.60260340892286235</v>
      </c>
      <c r="X4299" s="2">
        <f ca="1"/>
        <v>67.892484159142896</v>
      </c>
      <c r="AG4299" s="2">
        <f ca="1"/>
        <v>0.80137584100459636</v>
      </c>
      <c r="AH4299" s="2" t="str">
        <f ca="1"/>
        <v>Bad</v>
      </c>
    </row>
    <row r="4300" spans="2:34" x14ac:dyDescent="0.2">
      <c r="B4300" s="2">
        <f ca="1"/>
        <v>0.16363062737146206</v>
      </c>
      <c r="O4300" s="2">
        <f ca="1"/>
        <v>-1.4922091147500172</v>
      </c>
      <c r="X4300" s="2">
        <f ca="1"/>
        <v>34.374306974565712</v>
      </c>
      <c r="AG4300" s="2">
        <f ca="1"/>
        <v>7.7657704755767609E-2</v>
      </c>
      <c r="AH4300" s="2" t="str">
        <f ca="1"/>
        <v>OK</v>
      </c>
    </row>
    <row r="4301" spans="2:34" x14ac:dyDescent="0.2">
      <c r="B4301" s="2">
        <f ca="1"/>
        <v>0.27162189132931291</v>
      </c>
      <c r="O4301" s="2">
        <f ca="1"/>
        <v>1.3276112268525886</v>
      </c>
      <c r="X4301" s="2">
        <f ca="1"/>
        <v>49.444127515684563</v>
      </c>
      <c r="AG4301" s="2">
        <f ca="1"/>
        <v>0.49778588715424332</v>
      </c>
      <c r="AH4301" s="2" t="str">
        <f ca="1"/>
        <v>Bad</v>
      </c>
    </row>
    <row r="4302" spans="2:34" x14ac:dyDescent="0.2">
      <c r="B4302" s="2">
        <f ca="1"/>
        <v>7.3155465833141475E-2</v>
      </c>
      <c r="O4302" s="2">
        <f ca="1"/>
        <v>-0.37011703497258214</v>
      </c>
      <c r="X4302" s="2">
        <f ca="1"/>
        <v>48.677865680968949</v>
      </c>
      <c r="AG4302" s="2">
        <f ca="1"/>
        <v>0.99675784993993655</v>
      </c>
      <c r="AH4302" s="2" t="str">
        <f ca="1"/>
        <v>Bad</v>
      </c>
    </row>
    <row r="4303" spans="2:34" x14ac:dyDescent="0.2">
      <c r="B4303" s="2">
        <f ca="1"/>
        <v>0.71567757427301593</v>
      </c>
      <c r="O4303" s="2">
        <f ca="1"/>
        <v>1.1136487578727998</v>
      </c>
      <c r="X4303" s="2">
        <f ca="1"/>
        <v>40.775810569649131</v>
      </c>
      <c r="AG4303" s="2">
        <f ca="1"/>
        <v>0.64728916758941279</v>
      </c>
      <c r="AH4303" s="2" t="str">
        <f ca="1"/>
        <v>Bad</v>
      </c>
    </row>
    <row r="4304" spans="2:34" x14ac:dyDescent="0.2">
      <c r="B4304" s="2">
        <f ca="1"/>
        <v>0.58121046219983619</v>
      </c>
      <c r="O4304" s="2">
        <f ca="1"/>
        <v>-0.87404318650614343</v>
      </c>
      <c r="X4304" s="2">
        <f ca="1"/>
        <v>63.127385977406931</v>
      </c>
      <c r="AG4304" s="2">
        <f ca="1"/>
        <v>0.69300843787293442</v>
      </c>
      <c r="AH4304" s="2" t="str">
        <f ca="1"/>
        <v>Bad</v>
      </c>
    </row>
    <row r="4305" spans="2:34" x14ac:dyDescent="0.2">
      <c r="B4305" s="2">
        <f ca="1"/>
        <v>0.14278801482205239</v>
      </c>
      <c r="O4305" s="2">
        <f ca="1"/>
        <v>0.4449987495693275</v>
      </c>
      <c r="X4305" s="2">
        <f ca="1"/>
        <v>73.109449913501535</v>
      </c>
      <c r="AG4305" s="2">
        <f ca="1"/>
        <v>0.1722371921049195</v>
      </c>
      <c r="AH4305" s="2" t="str">
        <f ca="1"/>
        <v>OK</v>
      </c>
    </row>
    <row r="4306" spans="2:34" x14ac:dyDescent="0.2">
      <c r="B4306" s="2">
        <f ca="1"/>
        <v>0.11753334063955867</v>
      </c>
      <c r="O4306" s="2">
        <f ca="1"/>
        <v>-0.1850718856875368</v>
      </c>
      <c r="X4306" s="2">
        <f ca="1"/>
        <v>45.684023416897439</v>
      </c>
      <c r="AG4306" s="2">
        <f ca="1"/>
        <v>0.88697411314575358</v>
      </c>
      <c r="AH4306" s="2" t="str">
        <f ca="1"/>
        <v>Bad</v>
      </c>
    </row>
    <row r="4307" spans="2:34" x14ac:dyDescent="0.2">
      <c r="B4307" s="2">
        <f ca="1"/>
        <v>0.29280276917526504</v>
      </c>
      <c r="O4307" s="2">
        <f ca="1"/>
        <v>-7.7702308788374544E-2</v>
      </c>
      <c r="X4307" s="2">
        <f ca="1"/>
        <v>76.848757981202567</v>
      </c>
      <c r="AG4307" s="2">
        <f ca="1"/>
        <v>0.39569025138397085</v>
      </c>
      <c r="AH4307" s="2" t="str">
        <f ca="1"/>
        <v>OK</v>
      </c>
    </row>
    <row r="4308" spans="2:34" x14ac:dyDescent="0.2">
      <c r="B4308" s="2">
        <f ca="1"/>
        <v>0.4167205982748019</v>
      </c>
      <c r="O4308" s="2">
        <f ca="1"/>
        <v>-0.45466078506799074</v>
      </c>
      <c r="X4308" s="2">
        <f ca="1"/>
        <v>62.943860040264603</v>
      </c>
      <c r="AG4308" s="2">
        <f ca="1"/>
        <v>0.8774635199378924</v>
      </c>
      <c r="AH4308" s="2" t="str">
        <f ca="1"/>
        <v>Bad</v>
      </c>
    </row>
    <row r="4309" spans="2:34" x14ac:dyDescent="0.2">
      <c r="B4309" s="2">
        <f ca="1"/>
        <v>8.9997582713271518E-2</v>
      </c>
      <c r="O4309" s="2">
        <f ca="1"/>
        <v>-0.10303492817931406</v>
      </c>
      <c r="X4309" s="2">
        <f ca="1"/>
        <v>80.597311105652835</v>
      </c>
      <c r="AG4309" s="2">
        <f ca="1"/>
        <v>6.4994680527916238E-2</v>
      </c>
      <c r="AH4309" s="2" t="str">
        <f ca="1"/>
        <v>OK</v>
      </c>
    </row>
    <row r="4310" spans="2:34" x14ac:dyDescent="0.2">
      <c r="B4310" s="2">
        <f ca="1"/>
        <v>0.15172755371263946</v>
      </c>
      <c r="O4310" s="2">
        <f ca="1"/>
        <v>1.6339169916970491</v>
      </c>
      <c r="X4310" s="2">
        <f ca="1"/>
        <v>66.45935751741726</v>
      </c>
      <c r="AG4310" s="2">
        <f ca="1"/>
        <v>0.72320399178375427</v>
      </c>
      <c r="AH4310" s="2" t="str">
        <f ca="1"/>
        <v>Bad</v>
      </c>
    </row>
    <row r="4311" spans="2:34" x14ac:dyDescent="0.2">
      <c r="B4311" s="2">
        <f ca="1"/>
        <v>0.85648635126967343</v>
      </c>
      <c r="O4311" s="2">
        <f ca="1"/>
        <v>0.21724293819943294</v>
      </c>
      <c r="X4311" s="2">
        <f ca="1"/>
        <v>55.199492345821881</v>
      </c>
      <c r="AG4311" s="2">
        <f ca="1"/>
        <v>8.347453031562746E-2</v>
      </c>
      <c r="AH4311" s="2" t="str">
        <f ca="1"/>
        <v>OK</v>
      </c>
    </row>
    <row r="4312" spans="2:34" x14ac:dyDescent="0.2">
      <c r="B4312" s="2">
        <f ca="1"/>
        <v>0.66654924471844978</v>
      </c>
      <c r="O4312" s="2">
        <f ca="1"/>
        <v>0.28084343954884367</v>
      </c>
      <c r="X4312" s="2">
        <f ca="1"/>
        <v>36.017938281246749</v>
      </c>
      <c r="AG4312" s="2">
        <f ca="1"/>
        <v>0.57153247485469705</v>
      </c>
      <c r="AH4312" s="2" t="str">
        <f ca="1"/>
        <v>Bad</v>
      </c>
    </row>
    <row r="4313" spans="2:34" x14ac:dyDescent="0.2">
      <c r="B4313" s="2">
        <f ca="1"/>
        <v>8.4636754192352504E-2</v>
      </c>
      <c r="O4313" s="2">
        <f ca="1"/>
        <v>-0.38942053110626501</v>
      </c>
      <c r="X4313" s="2">
        <f ca="1"/>
        <v>41.030843429042044</v>
      </c>
      <c r="AG4313" s="2">
        <f ca="1"/>
        <v>0.77915797914732288</v>
      </c>
      <c r="AH4313" s="2" t="str">
        <f ca="1"/>
        <v>Bad</v>
      </c>
    </row>
    <row r="4314" spans="2:34" x14ac:dyDescent="0.2">
      <c r="B4314" s="2">
        <f ca="1"/>
        <v>0.71654235976756264</v>
      </c>
      <c r="O4314" s="2">
        <f ca="1"/>
        <v>-2.259484501876512</v>
      </c>
      <c r="X4314" s="2">
        <f ca="1"/>
        <v>45.264550493962936</v>
      </c>
      <c r="AG4314" s="2">
        <f ca="1"/>
        <v>7.4607539516997834E-2</v>
      </c>
      <c r="AH4314" s="2" t="str">
        <f ca="1"/>
        <v>OK</v>
      </c>
    </row>
    <row r="4315" spans="2:34" x14ac:dyDescent="0.2">
      <c r="B4315" s="2">
        <f ca="1"/>
        <v>0.67088290278271989</v>
      </c>
      <c r="O4315" s="2">
        <f ca="1"/>
        <v>1.8848221499738982</v>
      </c>
      <c r="X4315" s="2">
        <f ca="1"/>
        <v>67.134966610190389</v>
      </c>
      <c r="AG4315" s="2">
        <f ca="1"/>
        <v>0.46951706830246853</v>
      </c>
      <c r="AH4315" s="2" t="str">
        <f ca="1"/>
        <v>Bad</v>
      </c>
    </row>
    <row r="4316" spans="2:34" x14ac:dyDescent="0.2">
      <c r="B4316" s="2">
        <f ca="1"/>
        <v>0.87229537353501096</v>
      </c>
      <c r="O4316" s="2">
        <f ca="1"/>
        <v>0.50186211399941461</v>
      </c>
      <c r="X4316" s="2">
        <f ca="1"/>
        <v>50.01152126213735</v>
      </c>
      <c r="AG4316" s="2">
        <f ca="1"/>
        <v>2.2711640536819955E-2</v>
      </c>
      <c r="AH4316" s="2" t="str">
        <f ca="1"/>
        <v>Good</v>
      </c>
    </row>
    <row r="4317" spans="2:34" x14ac:dyDescent="0.2">
      <c r="B4317" s="2">
        <f ca="1"/>
        <v>0.81914636286706766</v>
      </c>
      <c r="O4317" s="2">
        <f ca="1"/>
        <v>-1.1727103429705412</v>
      </c>
      <c r="X4317" s="2">
        <f ca="1"/>
        <v>45.56810781288128</v>
      </c>
      <c r="AG4317" s="2">
        <f ca="1"/>
        <v>0.25239706665069916</v>
      </c>
      <c r="AH4317" s="2" t="str">
        <f ca="1"/>
        <v>OK</v>
      </c>
    </row>
    <row r="4318" spans="2:34" x14ac:dyDescent="0.2">
      <c r="B4318" s="2">
        <f ca="1"/>
        <v>0.37952336209357873</v>
      </c>
      <c r="O4318" s="2">
        <f ca="1"/>
        <v>-0.20360219067968646</v>
      </c>
      <c r="X4318" s="2">
        <f ca="1"/>
        <v>37.779081093166063</v>
      </c>
      <c r="AG4318" s="2">
        <f ca="1"/>
        <v>0.47748198725820123</v>
      </c>
      <c r="AH4318" s="2" t="str">
        <f ca="1"/>
        <v>Bad</v>
      </c>
    </row>
    <row r="4319" spans="2:34" x14ac:dyDescent="0.2">
      <c r="B4319" s="2">
        <f ca="1"/>
        <v>0.9646919346986349</v>
      </c>
      <c r="O4319" s="2">
        <f ca="1"/>
        <v>-0.27290070729368571</v>
      </c>
      <c r="X4319" s="2">
        <f ca="1"/>
        <v>28.764472875054196</v>
      </c>
      <c r="AG4319" s="2">
        <f ca="1"/>
        <v>0.82542379182140402</v>
      </c>
      <c r="AH4319" s="2" t="str">
        <f ca="1"/>
        <v>Bad</v>
      </c>
    </row>
    <row r="4320" spans="2:34" x14ac:dyDescent="0.2">
      <c r="B4320" s="2">
        <f ca="1"/>
        <v>0.37468422952743663</v>
      </c>
      <c r="O4320" s="2">
        <f ca="1"/>
        <v>-2.7566696645033955</v>
      </c>
      <c r="X4320" s="2">
        <f ca="1"/>
        <v>40.735150892358831</v>
      </c>
      <c r="AG4320" s="2">
        <f ca="1"/>
        <v>3.987848598710575E-2</v>
      </c>
      <c r="AH4320" s="2" t="str">
        <f ca="1"/>
        <v>Good</v>
      </c>
    </row>
    <row r="4321" spans="2:34" x14ac:dyDescent="0.2">
      <c r="B4321" s="2">
        <f ca="1"/>
        <v>0.32390460246908481</v>
      </c>
      <c r="O4321" s="2">
        <f ca="1"/>
        <v>-0.5446052031503279</v>
      </c>
      <c r="X4321" s="2">
        <f ca="1"/>
        <v>63.116695362748189</v>
      </c>
      <c r="AG4321" s="2">
        <f ca="1"/>
        <v>0.79344166773212876</v>
      </c>
      <c r="AH4321" s="2" t="str">
        <f ca="1"/>
        <v>Bad</v>
      </c>
    </row>
    <row r="4322" spans="2:34" x14ac:dyDescent="0.2">
      <c r="B4322" s="2">
        <f ca="1"/>
        <v>0.85246843455516252</v>
      </c>
      <c r="O4322" s="2">
        <f ca="1"/>
        <v>0.52597076409891819</v>
      </c>
      <c r="X4322" s="2">
        <f ca="1"/>
        <v>61.69234034850443</v>
      </c>
      <c r="AG4322" s="2">
        <f ca="1"/>
        <v>0.22501017141579194</v>
      </c>
      <c r="AH4322" s="2" t="str">
        <f ca="1"/>
        <v>OK</v>
      </c>
    </row>
    <row r="4323" spans="2:34" x14ac:dyDescent="0.2">
      <c r="B4323" s="2">
        <f ca="1"/>
        <v>0.33432126344003432</v>
      </c>
      <c r="O4323" s="2">
        <f ca="1"/>
        <v>-0.6083726134591062</v>
      </c>
      <c r="X4323" s="2">
        <f ca="1"/>
        <v>48.080075929937856</v>
      </c>
      <c r="AG4323" s="2">
        <f ca="1"/>
        <v>0.91171246630561731</v>
      </c>
      <c r="AH4323" s="2" t="str">
        <f ca="1"/>
        <v>Bad</v>
      </c>
    </row>
    <row r="4324" spans="2:34" x14ac:dyDescent="0.2">
      <c r="B4324" s="2">
        <f ca="1"/>
        <v>0.64761605839607883</v>
      </c>
      <c r="O4324" s="2">
        <f ca="1"/>
        <v>1.2091477280869185</v>
      </c>
      <c r="X4324" s="2">
        <f ca="1"/>
        <v>33.651986616656494</v>
      </c>
      <c r="AG4324" s="2">
        <f ca="1"/>
        <v>0.37949107838525453</v>
      </c>
      <c r="AH4324" s="2" t="str">
        <f ca="1"/>
        <v>OK</v>
      </c>
    </row>
    <row r="4325" spans="2:34" x14ac:dyDescent="0.2">
      <c r="B4325" s="2">
        <f ca="1"/>
        <v>0.40054814555284191</v>
      </c>
      <c r="O4325" s="2">
        <f ca="1"/>
        <v>-0.89654181251592469</v>
      </c>
      <c r="X4325" s="2">
        <f ca="1"/>
        <v>65.909243972867472</v>
      </c>
      <c r="AG4325" s="2">
        <f ca="1"/>
        <v>0.41028901766323367</v>
      </c>
      <c r="AH4325" s="2" t="str">
        <f ca="1"/>
        <v>Bad</v>
      </c>
    </row>
    <row r="4326" spans="2:34" x14ac:dyDescent="0.2">
      <c r="B4326" s="2">
        <f ca="1"/>
        <v>0.74864711810911921</v>
      </c>
      <c r="O4326" s="2">
        <f ca="1"/>
        <v>-0.80468925390152746</v>
      </c>
      <c r="X4326" s="2">
        <f ca="1"/>
        <v>63.861633007477614</v>
      </c>
      <c r="AG4326" s="2">
        <f ca="1"/>
        <v>0.47335512249395761</v>
      </c>
      <c r="AH4326" s="2" t="str">
        <f ca="1"/>
        <v>Bad</v>
      </c>
    </row>
    <row r="4327" spans="2:34" x14ac:dyDescent="0.2">
      <c r="B4327" s="2">
        <f ca="1"/>
        <v>0.74023548416024942</v>
      </c>
      <c r="O4327" s="2">
        <f ca="1"/>
        <v>1.3449819490656598</v>
      </c>
      <c r="X4327" s="2">
        <f ca="1"/>
        <v>70.885510323115909</v>
      </c>
      <c r="AG4327" s="2">
        <f ca="1"/>
        <v>6.1946370216507063E-2</v>
      </c>
      <c r="AH4327" s="2" t="str">
        <f ca="1"/>
        <v>OK</v>
      </c>
    </row>
    <row r="4328" spans="2:34" x14ac:dyDescent="0.2">
      <c r="B4328" s="2">
        <f ca="1"/>
        <v>0.75633138399049105</v>
      </c>
      <c r="O4328" s="2">
        <f ca="1"/>
        <v>0.73468371972097457</v>
      </c>
      <c r="X4328" s="2">
        <f ca="1"/>
        <v>39.441306417761048</v>
      </c>
      <c r="AG4328" s="2">
        <f ca="1"/>
        <v>0.31516276608889182</v>
      </c>
      <c r="AH4328" s="2" t="str">
        <f ca="1"/>
        <v>OK</v>
      </c>
    </row>
    <row r="4329" spans="2:34" x14ac:dyDescent="0.2">
      <c r="B4329" s="2">
        <f ca="1"/>
        <v>0.76280621936263415</v>
      </c>
      <c r="O4329" s="2">
        <f ca="1"/>
        <v>-0.38112242610300917</v>
      </c>
      <c r="X4329" s="2">
        <f ca="1"/>
        <v>68.641392486888947</v>
      </c>
      <c r="AG4329" s="2">
        <f ca="1"/>
        <v>0.50462094753921205</v>
      </c>
      <c r="AH4329" s="2" t="str">
        <f ca="1"/>
        <v>Bad</v>
      </c>
    </row>
    <row r="4330" spans="2:34" x14ac:dyDescent="0.2">
      <c r="B4330" s="2">
        <f ca="1"/>
        <v>0.10066287018351883</v>
      </c>
      <c r="O4330" s="2">
        <f ca="1"/>
        <v>-0.10908598322825022</v>
      </c>
      <c r="X4330" s="2">
        <f ca="1"/>
        <v>40.910109767891612</v>
      </c>
      <c r="AG4330" s="2">
        <f ca="1"/>
        <v>0.51518334733553206</v>
      </c>
      <c r="AH4330" s="2" t="str">
        <f ca="1"/>
        <v>Bad</v>
      </c>
    </row>
    <row r="4331" spans="2:34" x14ac:dyDescent="0.2">
      <c r="B4331" s="2">
        <f ca="1"/>
        <v>0.57211973542387273</v>
      </c>
      <c r="O4331" s="2">
        <f ca="1"/>
        <v>-0.55353073254850937</v>
      </c>
      <c r="X4331" s="2">
        <f ca="1"/>
        <v>71.298099692995876</v>
      </c>
      <c r="AG4331" s="2">
        <f ca="1"/>
        <v>0.74062153916058926</v>
      </c>
      <c r="AH4331" s="2" t="str">
        <f ca="1"/>
        <v>Bad</v>
      </c>
    </row>
    <row r="4332" spans="2:34" x14ac:dyDescent="0.2">
      <c r="B4332" s="2">
        <f ca="1"/>
        <v>0.74495857175329228</v>
      </c>
      <c r="O4332" s="2">
        <f ca="1"/>
        <v>-0.20836745762968853</v>
      </c>
      <c r="X4332" s="2">
        <f ca="1"/>
        <v>90.328946724263943</v>
      </c>
      <c r="AG4332" s="2">
        <f ca="1"/>
        <v>0.15549603180417515</v>
      </c>
      <c r="AH4332" s="2" t="str">
        <f ca="1"/>
        <v>OK</v>
      </c>
    </row>
    <row r="4333" spans="2:34" x14ac:dyDescent="0.2">
      <c r="B4333" s="2">
        <f ca="1"/>
        <v>0.27425359304723695</v>
      </c>
      <c r="O4333" s="2">
        <f ca="1"/>
        <v>-1.0609129274481794</v>
      </c>
      <c r="X4333" s="2">
        <f ca="1"/>
        <v>32.630026838409648</v>
      </c>
      <c r="AG4333" s="2">
        <f ca="1"/>
        <v>0.76237903367078053</v>
      </c>
      <c r="AH4333" s="2" t="str">
        <f ca="1"/>
        <v>Bad</v>
      </c>
    </row>
    <row r="4334" spans="2:34" x14ac:dyDescent="0.2">
      <c r="B4334" s="2">
        <f ca="1"/>
        <v>0.95347617759484593</v>
      </c>
      <c r="O4334" s="2">
        <f ca="1"/>
        <v>-0.66845637227517496</v>
      </c>
      <c r="X4334" s="2">
        <f ca="1"/>
        <v>33.977608349752273</v>
      </c>
      <c r="AG4334" s="2">
        <f ca="1"/>
        <v>0.99249116526470993</v>
      </c>
      <c r="AH4334" s="2" t="str">
        <f ca="1"/>
        <v>Bad</v>
      </c>
    </row>
    <row r="4335" spans="2:34" x14ac:dyDescent="0.2">
      <c r="B4335" s="2">
        <f ca="1"/>
        <v>9.1556471365672465E-4</v>
      </c>
      <c r="O4335" s="2">
        <f ca="1"/>
        <v>-0.64746267093184373</v>
      </c>
      <c r="X4335" s="2">
        <f ca="1"/>
        <v>40.011931355164009</v>
      </c>
      <c r="AG4335" s="2">
        <f ca="1"/>
        <v>0.41316650306222713</v>
      </c>
      <c r="AH4335" s="2" t="str">
        <f ca="1"/>
        <v>Bad</v>
      </c>
    </row>
    <row r="4336" spans="2:34" x14ac:dyDescent="0.2">
      <c r="B4336" s="2">
        <f ca="1"/>
        <v>0.82902953858071338</v>
      </c>
      <c r="O4336" s="2">
        <f ca="1"/>
        <v>-0.87828637951394828</v>
      </c>
      <c r="X4336" s="2">
        <f ca="1"/>
        <v>41.970611573754553</v>
      </c>
      <c r="AG4336" s="2">
        <f ca="1"/>
        <v>3.8022597778185396E-2</v>
      </c>
      <c r="AH4336" s="2" t="str">
        <f ca="1"/>
        <v>Good</v>
      </c>
    </row>
    <row r="4337" spans="2:34" x14ac:dyDescent="0.2">
      <c r="B4337" s="2">
        <f ca="1"/>
        <v>0.86060612901858513</v>
      </c>
      <c r="O4337" s="2">
        <f ca="1"/>
        <v>-0.22242042304656207</v>
      </c>
      <c r="X4337" s="2">
        <f ca="1"/>
        <v>57.22218495060396</v>
      </c>
      <c r="AG4337" s="2">
        <f ca="1"/>
        <v>0.1231870897996532</v>
      </c>
      <c r="AH4337" s="2" t="str">
        <f ca="1"/>
        <v>OK</v>
      </c>
    </row>
    <row r="4338" spans="2:34" x14ac:dyDescent="0.2">
      <c r="B4338" s="2">
        <f ca="1"/>
        <v>0.85090679383944501</v>
      </c>
      <c r="O4338" s="2">
        <f ca="1"/>
        <v>1.1394626783465283</v>
      </c>
      <c r="X4338" s="2">
        <f ca="1"/>
        <v>67.615571765510595</v>
      </c>
      <c r="AG4338" s="2">
        <f ca="1"/>
        <v>2.3930525574821893E-2</v>
      </c>
      <c r="AH4338" s="2" t="str">
        <f ca="1"/>
        <v>Good</v>
      </c>
    </row>
    <row r="4339" spans="2:34" x14ac:dyDescent="0.2">
      <c r="B4339" s="2">
        <f ca="1"/>
        <v>0.45464022452548036</v>
      </c>
      <c r="O4339" s="2">
        <f ca="1"/>
        <v>-0.31146813474077711</v>
      </c>
      <c r="X4339" s="2">
        <f ca="1"/>
        <v>66.616274434883906</v>
      </c>
      <c r="AG4339" s="2">
        <f ca="1"/>
        <v>0.88567745339261483</v>
      </c>
      <c r="AH4339" s="2" t="str">
        <f ca="1"/>
        <v>Bad</v>
      </c>
    </row>
    <row r="4340" spans="2:34" x14ac:dyDescent="0.2">
      <c r="B4340" s="2">
        <f ca="1"/>
        <v>0.56682340096103689</v>
      </c>
      <c r="O4340" s="2">
        <f ca="1"/>
        <v>0.35087320547418754</v>
      </c>
      <c r="X4340" s="2">
        <f ca="1"/>
        <v>67.692299703150084</v>
      </c>
      <c r="AG4340" s="2">
        <f ca="1"/>
        <v>0.85948357639859752</v>
      </c>
      <c r="AH4340" s="2" t="str">
        <f ca="1"/>
        <v>Bad</v>
      </c>
    </row>
    <row r="4341" spans="2:34" x14ac:dyDescent="0.2">
      <c r="B4341" s="2">
        <f ca="1"/>
        <v>0.30749504731848187</v>
      </c>
      <c r="O4341" s="2">
        <f ca="1"/>
        <v>1.3064125870350261</v>
      </c>
      <c r="X4341" s="2">
        <f ca="1"/>
        <v>72.582989557440698</v>
      </c>
      <c r="AG4341" s="2">
        <f ca="1"/>
        <v>0.53445601794894237</v>
      </c>
      <c r="AH4341" s="2" t="str">
        <f ca="1"/>
        <v>Bad</v>
      </c>
    </row>
    <row r="4342" spans="2:34" x14ac:dyDescent="0.2">
      <c r="B4342" s="2">
        <f ca="1"/>
        <v>0.47423048715036509</v>
      </c>
      <c r="O4342" s="2">
        <f ca="1"/>
        <v>0.56681273158214796</v>
      </c>
      <c r="X4342" s="2">
        <f ca="1"/>
        <v>62.160773808765263</v>
      </c>
      <c r="AG4342" s="2">
        <f ca="1"/>
        <v>0.94532810672907286</v>
      </c>
      <c r="AH4342" s="2" t="str">
        <f ca="1"/>
        <v>Bad</v>
      </c>
    </row>
    <row r="4343" spans="2:34" x14ac:dyDescent="0.2">
      <c r="B4343" s="2">
        <f ca="1"/>
        <v>0.91788540542256269</v>
      </c>
      <c r="O4343" s="2">
        <f ca="1"/>
        <v>0.81076886640572543</v>
      </c>
      <c r="X4343" s="2">
        <f ca="1"/>
        <v>41.521270299373512</v>
      </c>
      <c r="AG4343" s="2">
        <f ca="1"/>
        <v>0.33236785693368076</v>
      </c>
      <c r="AH4343" s="2" t="str">
        <f ca="1"/>
        <v>OK</v>
      </c>
    </row>
    <row r="4344" spans="2:34" x14ac:dyDescent="0.2">
      <c r="B4344" s="2">
        <f ca="1"/>
        <v>0.73035089773911666</v>
      </c>
      <c r="O4344" s="2">
        <f ca="1"/>
        <v>1.9214932814619798</v>
      </c>
      <c r="X4344" s="2">
        <f ca="1"/>
        <v>48.490368732340727</v>
      </c>
      <c r="AG4344" s="2">
        <f ca="1"/>
        <v>0.15643830697584216</v>
      </c>
      <c r="AH4344" s="2" t="str">
        <f ca="1"/>
        <v>OK</v>
      </c>
    </row>
    <row r="4345" spans="2:34" x14ac:dyDescent="0.2">
      <c r="B4345" s="2">
        <f ca="1"/>
        <v>0.3953866896059719</v>
      </c>
      <c r="O4345" s="2">
        <f ca="1"/>
        <v>-1.532890471530185</v>
      </c>
      <c r="X4345" s="2">
        <f ca="1"/>
        <v>68.26103137200009</v>
      </c>
      <c r="AG4345" s="2">
        <f ca="1"/>
        <v>0.43594574352952287</v>
      </c>
      <c r="AH4345" s="2" t="str">
        <f ca="1"/>
        <v>Bad</v>
      </c>
    </row>
    <row r="4346" spans="2:34" x14ac:dyDescent="0.2">
      <c r="B4346" s="2">
        <f ca="1"/>
        <v>0.85526293789841845</v>
      </c>
      <c r="O4346" s="2">
        <f ca="1"/>
        <v>-0.3223639847625121</v>
      </c>
      <c r="X4346" s="2">
        <f ca="1"/>
        <v>41.925134634855723</v>
      </c>
      <c r="AG4346" s="2">
        <f ca="1"/>
        <v>0.33123941998151696</v>
      </c>
      <c r="AH4346" s="2" t="str">
        <f ca="1"/>
        <v>OK</v>
      </c>
    </row>
    <row r="4347" spans="2:34" x14ac:dyDescent="0.2">
      <c r="B4347" s="2">
        <f ca="1"/>
        <v>0.23402590323911032</v>
      </c>
      <c r="O4347" s="2">
        <f ca="1"/>
        <v>0.92446941824513573</v>
      </c>
      <c r="X4347" s="2">
        <f ca="1"/>
        <v>33.895199177598506</v>
      </c>
      <c r="AG4347" s="2">
        <f ca="1"/>
        <v>0.79674526224678899</v>
      </c>
      <c r="AH4347" s="2" t="str">
        <f ca="1"/>
        <v>Bad</v>
      </c>
    </row>
    <row r="4348" spans="2:34" x14ac:dyDescent="0.2">
      <c r="B4348" s="2">
        <f ca="1"/>
        <v>0.67332592427678795</v>
      </c>
      <c r="O4348" s="2">
        <f ca="1"/>
        <v>-0.27435445070279185</v>
      </c>
      <c r="X4348" s="2">
        <f ca="1"/>
        <v>68.930195564392619</v>
      </c>
      <c r="AG4348" s="2">
        <f ca="1"/>
        <v>0.24459690266805878</v>
      </c>
      <c r="AH4348" s="2" t="str">
        <f ca="1"/>
        <v>OK</v>
      </c>
    </row>
    <row r="4349" spans="2:34" x14ac:dyDescent="0.2">
      <c r="B4349" s="2">
        <f ca="1"/>
        <v>6.5761295176243406E-2</v>
      </c>
      <c r="O4349" s="2">
        <f ca="1"/>
        <v>1.2277395244470912</v>
      </c>
      <c r="X4349" s="2">
        <f ca="1"/>
        <v>30.842903189585016</v>
      </c>
      <c r="AG4349" s="2">
        <f ca="1"/>
        <v>0.59341075448962344</v>
      </c>
      <c r="AH4349" s="2" t="str">
        <f ca="1"/>
        <v>Bad</v>
      </c>
    </row>
    <row r="4350" spans="2:34" x14ac:dyDescent="0.2">
      <c r="B4350" s="2">
        <f ca="1"/>
        <v>0.60132912192013577</v>
      </c>
      <c r="O4350" s="2">
        <f ca="1"/>
        <v>0.89812963468634022</v>
      </c>
      <c r="X4350" s="2">
        <f ca="1"/>
        <v>53.260333464986829</v>
      </c>
      <c r="AG4350" s="2">
        <f ca="1"/>
        <v>0.40578484825450811</v>
      </c>
      <c r="AH4350" s="2" t="str">
        <f ca="1"/>
        <v>Bad</v>
      </c>
    </row>
    <row r="4351" spans="2:34" x14ac:dyDescent="0.2">
      <c r="B4351" s="2">
        <f ca="1"/>
        <v>0.84041777318940758</v>
      </c>
      <c r="O4351" s="2">
        <f ca="1"/>
        <v>0.14248016152476359</v>
      </c>
      <c r="X4351" s="2">
        <f ca="1"/>
        <v>67.955192453054963</v>
      </c>
      <c r="AG4351" s="2">
        <f ca="1"/>
        <v>0.50999017522209766</v>
      </c>
      <c r="AH4351" s="2" t="str">
        <f ca="1"/>
        <v>Bad</v>
      </c>
    </row>
    <row r="4352" spans="2:34" x14ac:dyDescent="0.2">
      <c r="B4352" s="2">
        <f ca="1"/>
        <v>0.36469383380574882</v>
      </c>
      <c r="O4352" s="2">
        <f ca="1"/>
        <v>1.8830468604043469</v>
      </c>
      <c r="X4352" s="2">
        <f ca="1"/>
        <v>51.491653579575839</v>
      </c>
      <c r="AG4352" s="2">
        <f ca="1"/>
        <v>0.62763184266026317</v>
      </c>
      <c r="AH4352" s="2" t="str">
        <f ca="1"/>
        <v>Bad</v>
      </c>
    </row>
    <row r="4353" spans="2:34" x14ac:dyDescent="0.2">
      <c r="B4353" s="2">
        <f ca="1"/>
        <v>0.3381250300086045</v>
      </c>
      <c r="O4353" s="2">
        <f ca="1"/>
        <v>-0.34097409442443677</v>
      </c>
      <c r="X4353" s="2">
        <f ca="1"/>
        <v>41.31806005383357</v>
      </c>
      <c r="AG4353" s="2">
        <f ca="1"/>
        <v>0.88472343240499951</v>
      </c>
      <c r="AH4353" s="2" t="str">
        <f ca="1"/>
        <v>Bad</v>
      </c>
    </row>
    <row r="4354" spans="2:34" x14ac:dyDescent="0.2">
      <c r="B4354" s="2">
        <f ca="1"/>
        <v>0.22950169180466684</v>
      </c>
      <c r="O4354" s="2">
        <f ca="1"/>
        <v>0.80436292004441978</v>
      </c>
      <c r="X4354" s="2">
        <f ca="1"/>
        <v>42.113771509138616</v>
      </c>
      <c r="AG4354" s="2">
        <f ca="1"/>
        <v>3.8946492430252055E-2</v>
      </c>
      <c r="AH4354" s="2" t="str">
        <f ca="1"/>
        <v>Good</v>
      </c>
    </row>
    <row r="4355" spans="2:34" x14ac:dyDescent="0.2">
      <c r="B4355" s="2">
        <f ca="1"/>
        <v>0.98532040114292863</v>
      </c>
      <c r="O4355" s="2">
        <f ca="1"/>
        <v>-0.23725077500981537</v>
      </c>
      <c r="X4355" s="2">
        <f ca="1"/>
        <v>34.840747232654671</v>
      </c>
      <c r="AG4355" s="2">
        <f ca="1"/>
        <v>0.1272884281882678</v>
      </c>
      <c r="AH4355" s="2" t="str">
        <f ca="1"/>
        <v>OK</v>
      </c>
    </row>
    <row r="4356" spans="2:34" x14ac:dyDescent="0.2">
      <c r="B4356" s="2">
        <f ca="1"/>
        <v>0.47222867434673987</v>
      </c>
      <c r="O4356" s="2">
        <f ca="1"/>
        <v>0.50984876187262784</v>
      </c>
      <c r="X4356" s="2">
        <f ca="1"/>
        <v>74.995080669368889</v>
      </c>
      <c r="AG4356" s="2">
        <f ca="1"/>
        <v>0.72437881885335131</v>
      </c>
      <c r="AH4356" s="2" t="str">
        <f ca="1"/>
        <v>Bad</v>
      </c>
    </row>
    <row r="4357" spans="2:34" x14ac:dyDescent="0.2">
      <c r="B4357" s="2">
        <f ca="1"/>
        <v>0.49936428940291</v>
      </c>
      <c r="O4357" s="2">
        <f ca="1"/>
        <v>1.9395831578034648</v>
      </c>
      <c r="X4357" s="2">
        <f ca="1"/>
        <v>55.669580097379651</v>
      </c>
      <c r="AG4357" s="2">
        <f ca="1"/>
        <v>0.1587658853080014</v>
      </c>
      <c r="AH4357" s="2" t="str">
        <f ca="1"/>
        <v>OK</v>
      </c>
    </row>
    <row r="4358" spans="2:34" x14ac:dyDescent="0.2">
      <c r="B4358" s="2">
        <f ca="1"/>
        <v>0.23072896546839861</v>
      </c>
      <c r="O4358" s="2">
        <f ca="1"/>
        <v>0.83927954748941058</v>
      </c>
      <c r="X4358" s="2">
        <f ca="1"/>
        <v>73.80499783747409</v>
      </c>
      <c r="AG4358" s="2">
        <f ca="1"/>
        <v>0.29895801326999916</v>
      </c>
      <c r="AH4358" s="2" t="str">
        <f ca="1"/>
        <v>OK</v>
      </c>
    </row>
    <row r="4359" spans="2:34" x14ac:dyDescent="0.2">
      <c r="B4359" s="2">
        <f ca="1"/>
        <v>0.72512249943412366</v>
      </c>
      <c r="O4359" s="2">
        <f ca="1"/>
        <v>1.1319539611235401</v>
      </c>
      <c r="X4359" s="2">
        <f ca="1"/>
        <v>107.14135173939451</v>
      </c>
      <c r="AG4359" s="2">
        <f ca="1"/>
        <v>0.76804820042915556</v>
      </c>
      <c r="AH4359" s="2" t="str">
        <f ca="1"/>
        <v>Bad</v>
      </c>
    </row>
    <row r="4360" spans="2:34" x14ac:dyDescent="0.2">
      <c r="B4360" s="2">
        <f ca="1"/>
        <v>0.32142963950568193</v>
      </c>
      <c r="O4360" s="2">
        <f ca="1"/>
        <v>1.3652067698260435</v>
      </c>
      <c r="X4360" s="2">
        <f ca="1"/>
        <v>35.490109217977889</v>
      </c>
      <c r="AG4360" s="2">
        <f ca="1"/>
        <v>0.40978245674848712</v>
      </c>
      <c r="AH4360" s="2" t="str">
        <f ca="1"/>
        <v>Bad</v>
      </c>
    </row>
    <row r="4361" spans="2:34" x14ac:dyDescent="0.2">
      <c r="B4361" s="2">
        <f ca="1"/>
        <v>0.52612515116198399</v>
      </c>
      <c r="O4361" s="2">
        <f ca="1"/>
        <v>-1.5675695581106361</v>
      </c>
      <c r="X4361" s="2">
        <f ca="1"/>
        <v>33.383004146092233</v>
      </c>
      <c r="AG4361" s="2">
        <f ca="1"/>
        <v>0.43755953571299511</v>
      </c>
      <c r="AH4361" s="2" t="str">
        <f ca="1"/>
        <v>Bad</v>
      </c>
    </row>
    <row r="4362" spans="2:34" x14ac:dyDescent="0.2">
      <c r="B4362" s="2">
        <f ca="1"/>
        <v>0.65372540561658088</v>
      </c>
      <c r="O4362" s="2">
        <f ca="1"/>
        <v>-1.3222576737882321</v>
      </c>
      <c r="X4362" s="2">
        <f ca="1"/>
        <v>57.398069564910024</v>
      </c>
      <c r="AG4362" s="2">
        <f ca="1"/>
        <v>3.8506798580858481E-2</v>
      </c>
      <c r="AH4362" s="2" t="str">
        <f ca="1"/>
        <v>Good</v>
      </c>
    </row>
    <row r="4363" spans="2:34" x14ac:dyDescent="0.2">
      <c r="B4363" s="2">
        <f ca="1"/>
        <v>0.13964583711119971</v>
      </c>
      <c r="O4363" s="2">
        <f ca="1"/>
        <v>-0.42990716712435878</v>
      </c>
      <c r="X4363" s="2">
        <f ca="1"/>
        <v>51.412221045389515</v>
      </c>
      <c r="AG4363" s="2">
        <f ca="1"/>
        <v>0.30974618874761539</v>
      </c>
      <c r="AH4363" s="2" t="str">
        <f ca="1"/>
        <v>OK</v>
      </c>
    </row>
    <row r="4364" spans="2:34" x14ac:dyDescent="0.2">
      <c r="B4364" s="2">
        <f ca="1"/>
        <v>0.28339526531013615</v>
      </c>
      <c r="O4364" s="2">
        <f ca="1"/>
        <v>0.99783700711283552</v>
      </c>
      <c r="X4364" s="2">
        <f ca="1"/>
        <v>40.3762900369546</v>
      </c>
      <c r="AG4364" s="2">
        <f ca="1"/>
        <v>0.84890954432625909</v>
      </c>
      <c r="AH4364" s="2" t="str">
        <f ca="1"/>
        <v>Bad</v>
      </c>
    </row>
    <row r="4365" spans="2:34" x14ac:dyDescent="0.2">
      <c r="B4365" s="2">
        <f ca="1"/>
        <v>0.7131338585357494</v>
      </c>
      <c r="O4365" s="2">
        <f ca="1"/>
        <v>-3.350691399366486</v>
      </c>
      <c r="X4365" s="2">
        <f ca="1"/>
        <v>34.468541447432592</v>
      </c>
      <c r="AG4365" s="2">
        <f ca="1"/>
        <v>1.9410537536076689E-2</v>
      </c>
      <c r="AH4365" s="2" t="str">
        <f ca="1"/>
        <v>Good</v>
      </c>
    </row>
    <row r="4366" spans="2:34" x14ac:dyDescent="0.2">
      <c r="B4366" s="2">
        <f ca="1"/>
        <v>0.32356971056013495</v>
      </c>
      <c r="O4366" s="2">
        <f ca="1"/>
        <v>5.6020530176449236E-2</v>
      </c>
      <c r="X4366" s="2">
        <f ca="1"/>
        <v>61.826675790222396</v>
      </c>
      <c r="AG4366" s="2">
        <f ca="1"/>
        <v>9.3782761084501232E-2</v>
      </c>
      <c r="AH4366" s="2" t="str">
        <f ca="1"/>
        <v>OK</v>
      </c>
    </row>
    <row r="4367" spans="2:34" x14ac:dyDescent="0.2">
      <c r="B4367" s="2">
        <f ca="1"/>
        <v>0.48831520909537574</v>
      </c>
      <c r="O4367" s="2">
        <f ca="1"/>
        <v>1.6940702131679681</v>
      </c>
      <c r="X4367" s="2">
        <f ca="1"/>
        <v>32.755365754053152</v>
      </c>
      <c r="AG4367" s="2">
        <f ca="1"/>
        <v>0.43436425069768458</v>
      </c>
      <c r="AH4367" s="2" t="str">
        <f ca="1"/>
        <v>Bad</v>
      </c>
    </row>
    <row r="4368" spans="2:34" x14ac:dyDescent="0.2">
      <c r="B4368" s="2">
        <f ca="1"/>
        <v>0.36494858495110383</v>
      </c>
      <c r="O4368" s="2">
        <f ca="1"/>
        <v>-1.8327168209873455</v>
      </c>
      <c r="X4368" s="2">
        <f ca="1"/>
        <v>50.001666888934039</v>
      </c>
      <c r="AG4368" s="2">
        <f ca="1"/>
        <v>0.28693885292651378</v>
      </c>
      <c r="AH4368" s="2" t="str">
        <f ca="1"/>
        <v>OK</v>
      </c>
    </row>
    <row r="4369" spans="2:34" x14ac:dyDescent="0.2">
      <c r="B4369" s="2">
        <f ca="1"/>
        <v>0.97014001523597715</v>
      </c>
      <c r="O4369" s="2">
        <f ca="1"/>
        <v>1.0657211799558968</v>
      </c>
      <c r="X4369" s="2">
        <f ca="1"/>
        <v>64.26568295385556</v>
      </c>
      <c r="AG4369" s="2">
        <f ca="1"/>
        <v>0.73127841167947705</v>
      </c>
      <c r="AH4369" s="2" t="str">
        <f ca="1"/>
        <v>Bad</v>
      </c>
    </row>
    <row r="4370" spans="2:34" x14ac:dyDescent="0.2">
      <c r="B4370" s="2">
        <f ca="1"/>
        <v>4.8021179516394286E-2</v>
      </c>
      <c r="O4370" s="2">
        <f ca="1"/>
        <v>7.0313869935480652E-2</v>
      </c>
      <c r="X4370" s="2">
        <f ca="1"/>
        <v>32.586586990244307</v>
      </c>
      <c r="AG4370" s="2">
        <f ca="1"/>
        <v>0.5912992097379588</v>
      </c>
      <c r="AH4370" s="2" t="str">
        <f ca="1"/>
        <v>Bad</v>
      </c>
    </row>
    <row r="4371" spans="2:34" x14ac:dyDescent="0.2">
      <c r="B4371" s="2">
        <f ca="1"/>
        <v>0.16296401440841279</v>
      </c>
      <c r="O4371" s="2">
        <f ca="1"/>
        <v>1.809975932659414</v>
      </c>
      <c r="X4371" s="2">
        <f ca="1"/>
        <v>45.071569928982015</v>
      </c>
      <c r="AG4371" s="2">
        <f ca="1"/>
        <v>0.79004369483022963</v>
      </c>
      <c r="AH4371" s="2" t="str">
        <f ca="1"/>
        <v>Bad</v>
      </c>
    </row>
    <row r="4372" spans="2:34" x14ac:dyDescent="0.2">
      <c r="B4372" s="2">
        <f ca="1"/>
        <v>0.69883237339321913</v>
      </c>
      <c r="O4372" s="2">
        <f ca="1"/>
        <v>-0.30743054245408946</v>
      </c>
      <c r="X4372" s="2">
        <f ca="1"/>
        <v>42.215849731038311</v>
      </c>
      <c r="AG4372" s="2">
        <f ca="1"/>
        <v>0.13484747787375873</v>
      </c>
      <c r="AH4372" s="2" t="str">
        <f ca="1"/>
        <v>OK</v>
      </c>
    </row>
    <row r="4373" spans="2:34" x14ac:dyDescent="0.2">
      <c r="B4373" s="2">
        <f ca="1"/>
        <v>0.24189805467526537</v>
      </c>
      <c r="O4373" s="2">
        <f ca="1"/>
        <v>-0.61577302171366044</v>
      </c>
      <c r="X4373" s="2">
        <f ca="1"/>
        <v>59.592280551677497</v>
      </c>
      <c r="AG4373" s="2">
        <f ca="1"/>
        <v>0.43367722711562751</v>
      </c>
      <c r="AH4373" s="2" t="str">
        <f ca="1"/>
        <v>Bad</v>
      </c>
    </row>
    <row r="4374" spans="2:34" x14ac:dyDescent="0.2">
      <c r="B4374" s="2">
        <f ca="1"/>
        <v>0.13613646685938474</v>
      </c>
      <c r="O4374" s="2">
        <f ca="1"/>
        <v>0.42499962169186661</v>
      </c>
      <c r="X4374" s="2">
        <f ca="1"/>
        <v>52.324014337820017</v>
      </c>
      <c r="AG4374" s="2">
        <f ca="1"/>
        <v>0.96961550505793359</v>
      </c>
      <c r="AH4374" s="2" t="str">
        <f ca="1"/>
        <v>Bad</v>
      </c>
    </row>
    <row r="4375" spans="2:34" x14ac:dyDescent="0.2">
      <c r="B4375" s="2">
        <f ca="1"/>
        <v>0.41323035149694221</v>
      </c>
      <c r="O4375" s="2">
        <f ca="1"/>
        <v>1.600639728235473</v>
      </c>
      <c r="X4375" s="2">
        <f ca="1"/>
        <v>44.384721510936629</v>
      </c>
      <c r="AG4375" s="2">
        <f ca="1"/>
        <v>0.10602240277194586</v>
      </c>
      <c r="AH4375" s="2" t="str">
        <f ca="1"/>
        <v>OK</v>
      </c>
    </row>
    <row r="4376" spans="2:34" x14ac:dyDescent="0.2">
      <c r="B4376" s="2">
        <f ca="1"/>
        <v>0.40437973792344173</v>
      </c>
      <c r="O4376" s="2">
        <f ca="1"/>
        <v>0.56273050389617973</v>
      </c>
      <c r="X4376" s="2">
        <f ca="1"/>
        <v>34.491641685784515</v>
      </c>
      <c r="AG4376" s="2">
        <f ca="1"/>
        <v>0.74653990867155584</v>
      </c>
      <c r="AH4376" s="2" t="str">
        <f ca="1"/>
        <v>Bad</v>
      </c>
    </row>
    <row r="4377" spans="2:34" x14ac:dyDescent="0.2">
      <c r="B4377" s="2">
        <f ca="1"/>
        <v>0.83595386851885656</v>
      </c>
      <c r="O4377" s="2">
        <f ca="1"/>
        <v>0.238428306591428</v>
      </c>
      <c r="X4377" s="2">
        <f ca="1"/>
        <v>64.789922906521113</v>
      </c>
      <c r="AG4377" s="2">
        <f ca="1"/>
        <v>0.97807923311488887</v>
      </c>
      <c r="AH4377" s="2" t="str">
        <f ca="1"/>
        <v>Bad</v>
      </c>
    </row>
    <row r="4378" spans="2:34" x14ac:dyDescent="0.2">
      <c r="B4378" s="2">
        <f ca="1"/>
        <v>0.81695170669849881</v>
      </c>
      <c r="O4378" s="2">
        <f ca="1"/>
        <v>-2.5692605183510284E-2</v>
      </c>
      <c r="X4378" s="2">
        <f ca="1"/>
        <v>57.408087263822381</v>
      </c>
      <c r="AG4378" s="2">
        <f ca="1"/>
        <v>0.67177355583350074</v>
      </c>
      <c r="AH4378" s="2" t="str">
        <f ca="1"/>
        <v>Bad</v>
      </c>
    </row>
    <row r="4379" spans="2:34" x14ac:dyDescent="0.2">
      <c r="B4379" s="2">
        <f ca="1"/>
        <v>0.77739758772297396</v>
      </c>
      <c r="O4379" s="2">
        <f ca="1"/>
        <v>1.253899234786318</v>
      </c>
      <c r="X4379" s="2">
        <f ca="1"/>
        <v>54.587508075207325</v>
      </c>
      <c r="AG4379" s="2">
        <f ca="1"/>
        <v>0.83138051193655516</v>
      </c>
      <c r="AH4379" s="2" t="str">
        <f ca="1"/>
        <v>Bad</v>
      </c>
    </row>
    <row r="4380" spans="2:34" x14ac:dyDescent="0.2">
      <c r="B4380" s="2">
        <f ca="1"/>
        <v>0.29684010914244063</v>
      </c>
      <c r="O4380" s="2">
        <f ca="1"/>
        <v>-1.9085276529243778</v>
      </c>
      <c r="X4380" s="2">
        <f ca="1"/>
        <v>44.258961693410939</v>
      </c>
      <c r="AG4380" s="2">
        <f ca="1"/>
        <v>0.34494322375782915</v>
      </c>
      <c r="AH4380" s="2" t="str">
        <f ca="1"/>
        <v>OK</v>
      </c>
    </row>
    <row r="4381" spans="2:34" x14ac:dyDescent="0.2">
      <c r="B4381" s="2">
        <f ca="1"/>
        <v>0.38597914520082877</v>
      </c>
      <c r="O4381" s="2">
        <f ca="1"/>
        <v>1.0363256489327588</v>
      </c>
      <c r="X4381" s="2">
        <f ca="1"/>
        <v>55.531097188809888</v>
      </c>
      <c r="AG4381" s="2">
        <f ca="1"/>
        <v>0.35596873309451071</v>
      </c>
      <c r="AH4381" s="2" t="str">
        <f ca="1"/>
        <v>OK</v>
      </c>
    </row>
    <row r="4382" spans="2:34" x14ac:dyDescent="0.2">
      <c r="B4382" s="2">
        <f ca="1"/>
        <v>0.97262632275596483</v>
      </c>
      <c r="O4382" s="2">
        <f ca="1"/>
        <v>-0.18751014160231655</v>
      </c>
      <c r="X4382" s="2">
        <f ca="1"/>
        <v>28.390500505521231</v>
      </c>
      <c r="AG4382" s="2">
        <f ca="1"/>
        <v>0.90784552282913999</v>
      </c>
      <c r="AH4382" s="2" t="str">
        <f ca="1"/>
        <v>Bad</v>
      </c>
    </row>
    <row r="4383" spans="2:34" x14ac:dyDescent="0.2">
      <c r="B4383" s="2">
        <f ca="1"/>
        <v>0.46845686422530619</v>
      </c>
      <c r="O4383" s="2">
        <f ca="1"/>
        <v>-1.4702995581322635</v>
      </c>
      <c r="X4383" s="2">
        <f ca="1"/>
        <v>17.234990305312191</v>
      </c>
      <c r="AG4383" s="2">
        <f ca="1"/>
        <v>0.88315027057812112</v>
      </c>
      <c r="AH4383" s="2" t="str">
        <f ca="1"/>
        <v>Bad</v>
      </c>
    </row>
    <row r="4384" spans="2:34" x14ac:dyDescent="0.2">
      <c r="B4384" s="2">
        <f ca="1"/>
        <v>0.38351603709778459</v>
      </c>
      <c r="O4384" s="2">
        <f ca="1"/>
        <v>-1.2429897412775446</v>
      </c>
      <c r="X4384" s="2">
        <f ca="1"/>
        <v>52.543157122276718</v>
      </c>
      <c r="AG4384" s="2">
        <f ca="1"/>
        <v>0.24964085112430823</v>
      </c>
      <c r="AH4384" s="2" t="str">
        <f ca="1"/>
        <v>OK</v>
      </c>
    </row>
    <row r="4385" spans="2:34" x14ac:dyDescent="0.2">
      <c r="B4385" s="2">
        <f ca="1"/>
        <v>0.31333779205874746</v>
      </c>
      <c r="O4385" s="2">
        <f ca="1"/>
        <v>0.15548624573258238</v>
      </c>
      <c r="X4385" s="2">
        <f ca="1"/>
        <v>52.518347617570669</v>
      </c>
      <c r="AG4385" s="2">
        <f ca="1"/>
        <v>0.87334742563315793</v>
      </c>
      <c r="AH4385" s="2" t="str">
        <f ca="1"/>
        <v>Bad</v>
      </c>
    </row>
    <row r="4386" spans="2:34" x14ac:dyDescent="0.2">
      <c r="B4386" s="2">
        <f ca="1"/>
        <v>0.58169226262133766</v>
      </c>
      <c r="O4386" s="2">
        <f ca="1"/>
        <v>0.78546397851336969</v>
      </c>
      <c r="X4386" s="2">
        <f ca="1"/>
        <v>21.571123150246319</v>
      </c>
      <c r="AG4386" s="2">
        <f ca="1"/>
        <v>0.34710392127739986</v>
      </c>
      <c r="AH4386" s="2" t="str">
        <f ca="1"/>
        <v>OK</v>
      </c>
    </row>
    <row r="4387" spans="2:34" x14ac:dyDescent="0.2">
      <c r="B4387" s="2">
        <f ca="1"/>
        <v>0.7076150178400249</v>
      </c>
      <c r="O4387" s="2">
        <f ca="1"/>
        <v>-0.66672409943047473</v>
      </c>
      <c r="X4387" s="2">
        <f ca="1"/>
        <v>65.762880109350561</v>
      </c>
      <c r="AG4387" s="2">
        <f ca="1"/>
        <v>0.72242558706611293</v>
      </c>
      <c r="AH4387" s="2" t="str">
        <f ca="1"/>
        <v>Bad</v>
      </c>
    </row>
    <row r="4388" spans="2:34" x14ac:dyDescent="0.2">
      <c r="B4388" s="2">
        <f ca="1"/>
        <v>0.67404067044929783</v>
      </c>
      <c r="O4388" s="2">
        <f ca="1"/>
        <v>-2.4264041219277508</v>
      </c>
      <c r="X4388" s="2">
        <f ca="1"/>
        <v>57.485942175239572</v>
      </c>
      <c r="AG4388" s="2">
        <f ca="1"/>
        <v>0.38477900470674076</v>
      </c>
      <c r="AH4388" s="2" t="str">
        <f ca="1"/>
        <v>OK</v>
      </c>
    </row>
    <row r="4389" spans="2:34" x14ac:dyDescent="0.2">
      <c r="B4389" s="2">
        <f ca="1"/>
        <v>0.48891813298251963</v>
      </c>
      <c r="O4389" s="2">
        <f ca="1"/>
        <v>0.82035439769715712</v>
      </c>
      <c r="X4389" s="2">
        <f ca="1"/>
        <v>25.420000614892544</v>
      </c>
      <c r="AG4389" s="2">
        <f ca="1"/>
        <v>0.5429324073093551</v>
      </c>
      <c r="AH4389" s="2" t="str">
        <f ca="1"/>
        <v>Bad</v>
      </c>
    </row>
    <row r="4390" spans="2:34" x14ac:dyDescent="0.2">
      <c r="B4390" s="2">
        <f ca="1"/>
        <v>0.62363840908085932</v>
      </c>
      <c r="O4390" s="2">
        <f ca="1"/>
        <v>-2.2819568017735463</v>
      </c>
      <c r="X4390" s="2">
        <f ca="1"/>
        <v>38.212591393815593</v>
      </c>
      <c r="AG4390" s="2">
        <f ca="1"/>
        <v>0.22171937626520455</v>
      </c>
      <c r="AH4390" s="2" t="str">
        <f ca="1"/>
        <v>OK</v>
      </c>
    </row>
    <row r="4391" spans="2:34" x14ac:dyDescent="0.2">
      <c r="B4391" s="2">
        <f ca="1"/>
        <v>7.8794311370618431E-2</v>
      </c>
      <c r="O4391" s="2">
        <f ca="1"/>
        <v>-0.62851259099963086</v>
      </c>
      <c r="X4391" s="2">
        <f ca="1"/>
        <v>35.308380014295913</v>
      </c>
      <c r="AG4391" s="2">
        <f ca="1"/>
        <v>0.52827714863402653</v>
      </c>
      <c r="AH4391" s="2" t="str">
        <f ca="1"/>
        <v>Bad</v>
      </c>
    </row>
    <row r="4392" spans="2:34" x14ac:dyDescent="0.2">
      <c r="B4392" s="2">
        <f ca="1"/>
        <v>0.71953168770663112</v>
      </c>
      <c r="O4392" s="2">
        <f ca="1"/>
        <v>-0.26844437410990835</v>
      </c>
      <c r="X4392" s="2">
        <f ca="1"/>
        <v>56.58157746426275</v>
      </c>
      <c r="AG4392" s="2">
        <f ca="1"/>
        <v>0.2000402590050443</v>
      </c>
      <c r="AH4392" s="2" t="str">
        <f ca="1"/>
        <v>OK</v>
      </c>
    </row>
    <row r="4393" spans="2:34" x14ac:dyDescent="0.2">
      <c r="B4393" s="2">
        <f ca="1"/>
        <v>0.70565467321700104</v>
      </c>
      <c r="O4393" s="2">
        <f ca="1"/>
        <v>0.37137061393977333</v>
      </c>
      <c r="X4393" s="2">
        <f ca="1"/>
        <v>48.263255191964696</v>
      </c>
      <c r="AG4393" s="2">
        <f ca="1"/>
        <v>8.1559123284364876E-2</v>
      </c>
      <c r="AH4393" s="2" t="str">
        <f ca="1"/>
        <v>OK</v>
      </c>
    </row>
    <row r="4394" spans="2:34" x14ac:dyDescent="0.2">
      <c r="B4394" s="2">
        <f ca="1"/>
        <v>0.65129205609763252</v>
      </c>
      <c r="O4394" s="2">
        <f ca="1"/>
        <v>0.42530901002551669</v>
      </c>
      <c r="X4394" s="2">
        <f ca="1"/>
        <v>42.466836519132507</v>
      </c>
      <c r="AG4394" s="2">
        <f ca="1"/>
        <v>0.53529661005604812</v>
      </c>
      <c r="AH4394" s="2" t="str">
        <f ca="1"/>
        <v>Bad</v>
      </c>
    </row>
    <row r="4395" spans="2:34" x14ac:dyDescent="0.2">
      <c r="B4395" s="2">
        <f ca="1"/>
        <v>0.56830629094280116</v>
      </c>
      <c r="O4395" s="2">
        <f ca="1"/>
        <v>1.8846337130745539</v>
      </c>
      <c r="X4395" s="2">
        <f ca="1"/>
        <v>73.426202327158691</v>
      </c>
      <c r="AG4395" s="2">
        <f ca="1"/>
        <v>0.214033014722536</v>
      </c>
      <c r="AH4395" s="2" t="str">
        <f ca="1"/>
        <v>OK</v>
      </c>
    </row>
    <row r="4396" spans="2:34" x14ac:dyDescent="0.2">
      <c r="B4396" s="2">
        <f ca="1"/>
        <v>0.66725935665634717</v>
      </c>
      <c r="O4396" s="2">
        <f ca="1"/>
        <v>-1.220913505724563</v>
      </c>
      <c r="X4396" s="2">
        <f ca="1"/>
        <v>78.672729315584775</v>
      </c>
      <c r="AG4396" s="2">
        <f ca="1"/>
        <v>0.64106024414256968</v>
      </c>
      <c r="AH4396" s="2" t="str">
        <f ca="1"/>
        <v>Bad</v>
      </c>
    </row>
    <row r="4397" spans="2:34" x14ac:dyDescent="0.2">
      <c r="B4397" s="2">
        <f ca="1"/>
        <v>0.22873959353582896</v>
      </c>
      <c r="O4397" s="2">
        <f ca="1"/>
        <v>-0.46101745530098559</v>
      </c>
      <c r="X4397" s="2">
        <f ca="1"/>
        <v>40.905591995180437</v>
      </c>
      <c r="AG4397" s="2">
        <f ca="1"/>
        <v>0.45381562082434668</v>
      </c>
      <c r="AH4397" s="2" t="str">
        <f ca="1"/>
        <v>Bad</v>
      </c>
    </row>
    <row r="4398" spans="2:34" x14ac:dyDescent="0.2">
      <c r="B4398" s="2">
        <f ca="1"/>
        <v>0.81393588807683859</v>
      </c>
      <c r="O4398" s="2">
        <f ca="1"/>
        <v>0.59105920454269401</v>
      </c>
      <c r="X4398" s="2">
        <f ca="1"/>
        <v>43.163624571016861</v>
      </c>
      <c r="AG4398" s="2">
        <f ca="1"/>
        <v>0.13785639698047758</v>
      </c>
      <c r="AH4398" s="2" t="str">
        <f ca="1"/>
        <v>OK</v>
      </c>
    </row>
    <row r="4399" spans="2:34" x14ac:dyDescent="0.2">
      <c r="B4399" s="2">
        <f ca="1"/>
        <v>0.65481789961493408</v>
      </c>
      <c r="O4399" s="2">
        <f ca="1"/>
        <v>-1.6566927870644892</v>
      </c>
      <c r="X4399" s="2">
        <f ca="1"/>
        <v>47.990321218437401</v>
      </c>
      <c r="AG4399" s="2">
        <f ca="1"/>
        <v>0.83257999684327344</v>
      </c>
      <c r="AH4399" s="2" t="str">
        <f ca="1"/>
        <v>Bad</v>
      </c>
    </row>
    <row r="4400" spans="2:34" x14ac:dyDescent="0.2">
      <c r="B4400" s="2">
        <f ca="1"/>
        <v>0.67737157113957913</v>
      </c>
      <c r="O4400" s="2">
        <f ca="1"/>
        <v>0.52124066491062637</v>
      </c>
      <c r="X4400" s="2">
        <f ca="1"/>
        <v>53.391199370361335</v>
      </c>
      <c r="AG4400" s="2">
        <f ca="1"/>
        <v>0.83090885333989739</v>
      </c>
      <c r="AH4400" s="2" t="str">
        <f ca="1"/>
        <v>Bad</v>
      </c>
    </row>
    <row r="4401" spans="2:34" x14ac:dyDescent="0.2">
      <c r="B4401" s="2">
        <f ca="1"/>
        <v>8.7034928799967659E-2</v>
      </c>
      <c r="O4401" s="2">
        <f ca="1"/>
        <v>-0.77420973550919236</v>
      </c>
      <c r="X4401" s="2">
        <f ca="1"/>
        <v>46.026538633358825</v>
      </c>
      <c r="AG4401" s="2">
        <f ca="1"/>
        <v>0.7340253876499987</v>
      </c>
      <c r="AH4401" s="2" t="str">
        <f ca="1"/>
        <v>Bad</v>
      </c>
    </row>
    <row r="4402" spans="2:34" x14ac:dyDescent="0.2">
      <c r="B4402" s="2">
        <f ca="1"/>
        <v>0.4939253603124758</v>
      </c>
      <c r="O4402" s="2">
        <f ca="1"/>
        <v>0.15565849636698109</v>
      </c>
      <c r="X4402" s="2">
        <f ca="1"/>
        <v>60.72586901043033</v>
      </c>
      <c r="AG4402" s="2">
        <f ca="1"/>
        <v>0.67668438888237992</v>
      </c>
      <c r="AH4402" s="2" t="str">
        <f ca="1"/>
        <v>Bad</v>
      </c>
    </row>
    <row r="4403" spans="2:34" x14ac:dyDescent="0.2">
      <c r="B4403" s="2">
        <f ca="1"/>
        <v>0.88407408002010857</v>
      </c>
      <c r="O4403" s="2">
        <f ca="1"/>
        <v>0.42985741075317202</v>
      </c>
      <c r="X4403" s="2">
        <f ca="1"/>
        <v>47.315841913219039</v>
      </c>
      <c r="AG4403" s="2">
        <f ca="1"/>
        <v>0.3623616329636512</v>
      </c>
      <c r="AH4403" s="2" t="str">
        <f ca="1"/>
        <v>OK</v>
      </c>
    </row>
    <row r="4404" spans="2:34" x14ac:dyDescent="0.2">
      <c r="B4404" s="2">
        <f ca="1"/>
        <v>0.70239433521374162</v>
      </c>
      <c r="O4404" s="2">
        <f ca="1"/>
        <v>0.2350950747160658</v>
      </c>
      <c r="X4404" s="2">
        <f ca="1"/>
        <v>80.396921263374125</v>
      </c>
      <c r="AG4404" s="2">
        <f ca="1"/>
        <v>0.1919034724620472</v>
      </c>
      <c r="AH4404" s="2" t="str">
        <f ca="1"/>
        <v>OK</v>
      </c>
    </row>
    <row r="4405" spans="2:34" x14ac:dyDescent="0.2">
      <c r="B4405" s="2">
        <f ca="1"/>
        <v>0.58266416524637465</v>
      </c>
      <c r="O4405" s="2">
        <f ca="1"/>
        <v>-1.3624799843808738E-2</v>
      </c>
      <c r="X4405" s="2">
        <f ca="1"/>
        <v>49.517161875635793</v>
      </c>
      <c r="AG4405" s="2">
        <f ca="1"/>
        <v>0.30940135879545894</v>
      </c>
      <c r="AH4405" s="2" t="str">
        <f ca="1"/>
        <v>OK</v>
      </c>
    </row>
    <row r="4406" spans="2:34" x14ac:dyDescent="0.2">
      <c r="B4406" s="2">
        <f ca="1"/>
        <v>0.8496697413327492</v>
      </c>
      <c r="O4406" s="2">
        <f ca="1"/>
        <v>0.64736206385821349</v>
      </c>
      <c r="X4406" s="2">
        <f ca="1"/>
        <v>41.980233464997319</v>
      </c>
      <c r="AG4406" s="2">
        <f ca="1"/>
        <v>0.2310279458105029</v>
      </c>
      <c r="AH4406" s="2" t="str">
        <f ca="1"/>
        <v>OK</v>
      </c>
    </row>
    <row r="4407" spans="2:34" x14ac:dyDescent="0.2">
      <c r="B4407" s="2">
        <f ca="1"/>
        <v>0.91785879690376282</v>
      </c>
      <c r="O4407" s="2">
        <f ca="1"/>
        <v>1.2002696365469177</v>
      </c>
      <c r="X4407" s="2">
        <f ca="1"/>
        <v>87.274651224278003</v>
      </c>
      <c r="AG4407" s="2">
        <f ca="1"/>
        <v>0.96753707074166662</v>
      </c>
      <c r="AH4407" s="2" t="str">
        <f ca="1"/>
        <v>Bad</v>
      </c>
    </row>
    <row r="4408" spans="2:34" x14ac:dyDescent="0.2">
      <c r="B4408" s="2">
        <f ca="1"/>
        <v>5.641468486903789E-2</v>
      </c>
      <c r="O4408" s="2">
        <f ca="1"/>
        <v>0.15648891733990578</v>
      </c>
      <c r="X4408" s="2">
        <f ca="1"/>
        <v>55.085917985100338</v>
      </c>
      <c r="AG4408" s="2">
        <f ca="1"/>
        <v>0.60056812115641756</v>
      </c>
      <c r="AH4408" s="2" t="str">
        <f ca="1"/>
        <v>Bad</v>
      </c>
    </row>
    <row r="4409" spans="2:34" x14ac:dyDescent="0.2">
      <c r="B4409" s="2">
        <f ca="1"/>
        <v>8.2010467847482005E-3</v>
      </c>
      <c r="O4409" s="2">
        <f ca="1"/>
        <v>3.2058398278341636E-2</v>
      </c>
      <c r="X4409" s="2">
        <f ca="1"/>
        <v>70.802920596450619</v>
      </c>
      <c r="AG4409" s="2">
        <f ca="1"/>
        <v>7.1388106001687657E-2</v>
      </c>
      <c r="AH4409" s="2" t="str">
        <f ca="1"/>
        <v>OK</v>
      </c>
    </row>
    <row r="4410" spans="2:34" x14ac:dyDescent="0.2">
      <c r="B4410" s="2">
        <f ca="1"/>
        <v>0.93534410214051578</v>
      </c>
      <c r="O4410" s="2">
        <f ca="1"/>
        <v>2.0375672053391654</v>
      </c>
      <c r="X4410" s="2">
        <f ca="1"/>
        <v>29.243068085731238</v>
      </c>
      <c r="AG4410" s="2">
        <f ca="1"/>
        <v>0.8954417997293338</v>
      </c>
      <c r="AH4410" s="2" t="str">
        <f ca="1"/>
        <v>Bad</v>
      </c>
    </row>
    <row r="4411" spans="2:34" x14ac:dyDescent="0.2">
      <c r="B4411" s="2">
        <f ca="1"/>
        <v>0.35968264447551057</v>
      </c>
      <c r="O4411" s="2">
        <f ca="1"/>
        <v>1.5908346686729309</v>
      </c>
      <c r="X4411" s="2">
        <f ca="1"/>
        <v>48.240454391651262</v>
      </c>
      <c r="AG4411" s="2">
        <f ca="1"/>
        <v>0.23393966807343403</v>
      </c>
      <c r="AH4411" s="2" t="str">
        <f ca="1"/>
        <v>OK</v>
      </c>
    </row>
    <row r="4412" spans="2:34" x14ac:dyDescent="0.2">
      <c r="B4412" s="2">
        <f ca="1"/>
        <v>0.98134561869883585</v>
      </c>
      <c r="O4412" s="2">
        <f ca="1"/>
        <v>-1.2723126682165735</v>
      </c>
      <c r="X4412" s="2">
        <f ca="1"/>
        <v>67.846397728261877</v>
      </c>
      <c r="AG4412" s="2">
        <f ca="1"/>
        <v>0.62994704657148359</v>
      </c>
      <c r="AH4412" s="2" t="str">
        <f ca="1"/>
        <v>Bad</v>
      </c>
    </row>
    <row r="4413" spans="2:34" x14ac:dyDescent="0.2">
      <c r="B4413" s="2">
        <f ca="1"/>
        <v>0.59884720257539947</v>
      </c>
      <c r="O4413" s="2">
        <f ca="1"/>
        <v>-1.7714865271770377</v>
      </c>
      <c r="X4413" s="2">
        <f ca="1"/>
        <v>46.617168266261586</v>
      </c>
      <c r="AG4413" s="2">
        <f ca="1"/>
        <v>0.82726055184314462</v>
      </c>
      <c r="AH4413" s="2" t="str">
        <f ca="1"/>
        <v>Bad</v>
      </c>
    </row>
    <row r="4414" spans="2:34" x14ac:dyDescent="0.2">
      <c r="B4414" s="2">
        <f ca="1"/>
        <v>0.11649972050475621</v>
      </c>
      <c r="O4414" s="2">
        <f ca="1"/>
        <v>0.26275620757317625</v>
      </c>
      <c r="X4414" s="2">
        <f ca="1"/>
        <v>43.112616686079981</v>
      </c>
      <c r="AG4414" s="2">
        <f ca="1"/>
        <v>0.3241015624398218</v>
      </c>
      <c r="AH4414" s="2" t="str">
        <f ca="1"/>
        <v>OK</v>
      </c>
    </row>
    <row r="4415" spans="2:34" x14ac:dyDescent="0.2">
      <c r="B4415" s="2">
        <f ca="1"/>
        <v>0.45332499589102104</v>
      </c>
      <c r="O4415" s="2">
        <f ca="1"/>
        <v>4.3447793829499027E-3</v>
      </c>
      <c r="X4415" s="2">
        <f ca="1"/>
        <v>42.83277266951675</v>
      </c>
      <c r="AG4415" s="2">
        <f ca="1"/>
        <v>0.50158391984173267</v>
      </c>
      <c r="AH4415" s="2" t="str">
        <f ca="1"/>
        <v>Bad</v>
      </c>
    </row>
    <row r="4416" spans="2:34" x14ac:dyDescent="0.2">
      <c r="B4416" s="2">
        <f ca="1"/>
        <v>0.87668070383940155</v>
      </c>
      <c r="O4416" s="2">
        <f ca="1"/>
        <v>-1.362890522554608E-2</v>
      </c>
      <c r="X4416" s="2">
        <f ca="1"/>
        <v>34.407749974961988</v>
      </c>
      <c r="AG4416" s="2">
        <f ca="1"/>
        <v>0.18380695553692661</v>
      </c>
      <c r="AH4416" s="2" t="str">
        <f ca="1"/>
        <v>OK</v>
      </c>
    </row>
    <row r="4417" spans="2:34" x14ac:dyDescent="0.2">
      <c r="B4417" s="2">
        <f ca="1"/>
        <v>0.70898886730290678</v>
      </c>
      <c r="O4417" s="2">
        <f ca="1"/>
        <v>-0.72776530239677373</v>
      </c>
      <c r="X4417" s="2">
        <f ca="1"/>
        <v>29.117779404280828</v>
      </c>
      <c r="AG4417" s="2">
        <f ca="1"/>
        <v>3.1091501971594715E-2</v>
      </c>
      <c r="AH4417" s="2" t="str">
        <f ca="1"/>
        <v>Good</v>
      </c>
    </row>
    <row r="4418" spans="2:34" x14ac:dyDescent="0.2">
      <c r="B4418" s="2">
        <f ca="1"/>
        <v>0.77976730258375038</v>
      </c>
      <c r="O4418" s="2">
        <f ca="1"/>
        <v>-0.23267641751280163</v>
      </c>
      <c r="X4418" s="2">
        <f ca="1"/>
        <v>32.634415781588956</v>
      </c>
      <c r="AG4418" s="2">
        <f ca="1"/>
        <v>0.31002514493362088</v>
      </c>
      <c r="AH4418" s="2" t="str">
        <f ca="1"/>
        <v>OK</v>
      </c>
    </row>
    <row r="4419" spans="2:34" x14ac:dyDescent="0.2">
      <c r="B4419" s="2">
        <f ca="1"/>
        <v>0.32447376177390796</v>
      </c>
      <c r="O4419" s="2">
        <f ca="1"/>
        <v>0.13115374580508915</v>
      </c>
      <c r="X4419" s="2">
        <f ca="1"/>
        <v>51.03846249824683</v>
      </c>
      <c r="AG4419" s="2">
        <f ca="1"/>
        <v>0.42804987566262143</v>
      </c>
      <c r="AH4419" s="2" t="str">
        <f ca="1"/>
        <v>Bad</v>
      </c>
    </row>
    <row r="4420" spans="2:34" x14ac:dyDescent="0.2">
      <c r="B4420" s="2">
        <f ca="1"/>
        <v>0.19071498443993784</v>
      </c>
      <c r="O4420" s="2">
        <f ca="1"/>
        <v>-0.57678575384267061</v>
      </c>
      <c r="X4420" s="2">
        <f ca="1"/>
        <v>57.879652203659958</v>
      </c>
      <c r="AG4420" s="2">
        <f ca="1"/>
        <v>0.16922104570209173</v>
      </c>
      <c r="AH4420" s="2" t="str">
        <f ca="1"/>
        <v>OK</v>
      </c>
    </row>
    <row r="4421" spans="2:34" x14ac:dyDescent="0.2">
      <c r="B4421" s="2">
        <f ca="1"/>
        <v>0.70886711104302291</v>
      </c>
      <c r="O4421" s="2">
        <f ca="1"/>
        <v>-0.28656654033509898</v>
      </c>
      <c r="X4421" s="2">
        <f ca="1"/>
        <v>33.516434527908679</v>
      </c>
      <c r="AG4421" s="2">
        <f ca="1"/>
        <v>0.52549647796476351</v>
      </c>
      <c r="AH4421" s="2" t="str">
        <f ca="1"/>
        <v>Bad</v>
      </c>
    </row>
    <row r="4422" spans="2:34" x14ac:dyDescent="0.2">
      <c r="B4422" s="2">
        <f ca="1"/>
        <v>0.20361048447243579</v>
      </c>
      <c r="O4422" s="2">
        <f ca="1"/>
        <v>-0.51212254600011597</v>
      </c>
      <c r="X4422" s="2">
        <f ca="1"/>
        <v>61.772643311243129</v>
      </c>
      <c r="AG4422" s="2">
        <f ca="1"/>
        <v>0.57820368842932623</v>
      </c>
      <c r="AH4422" s="2" t="str">
        <f ca="1"/>
        <v>Bad</v>
      </c>
    </row>
    <row r="4423" spans="2:34" x14ac:dyDescent="0.2">
      <c r="B4423" s="2">
        <f ca="1"/>
        <v>0.73264004307271602</v>
      </c>
      <c r="O4423" s="2">
        <f ca="1"/>
        <v>0.34748966849759855</v>
      </c>
      <c r="X4423" s="2">
        <f ca="1"/>
        <v>55.742974706330706</v>
      </c>
      <c r="AG4423" s="2">
        <f ca="1"/>
        <v>0.86534333863858071</v>
      </c>
      <c r="AH4423" s="2" t="str">
        <f ca="1"/>
        <v>Bad</v>
      </c>
    </row>
    <row r="4424" spans="2:34" x14ac:dyDescent="0.2">
      <c r="B4424" s="2">
        <f ca="1"/>
        <v>0.84851612351939187</v>
      </c>
      <c r="O4424" s="2">
        <f ca="1"/>
        <v>-1.4019967950437247</v>
      </c>
      <c r="X4424" s="2">
        <f ca="1"/>
        <v>42.627043574043697</v>
      </c>
      <c r="AG4424" s="2">
        <f ca="1"/>
        <v>0.95343455503994234</v>
      </c>
      <c r="AH4424" s="2" t="str">
        <f ca="1"/>
        <v>Bad</v>
      </c>
    </row>
    <row r="4425" spans="2:34" x14ac:dyDescent="0.2">
      <c r="B4425" s="2">
        <f ca="1"/>
        <v>0.8753195873595403</v>
      </c>
      <c r="O4425" s="2">
        <f ca="1"/>
        <v>-1.9027281822353885</v>
      </c>
      <c r="X4425" s="2">
        <f ca="1"/>
        <v>45.75934559384735</v>
      </c>
      <c r="AG4425" s="2">
        <f ca="1"/>
        <v>0.80874281274277937</v>
      </c>
      <c r="AH4425" s="2" t="str">
        <f ca="1"/>
        <v>Bad</v>
      </c>
    </row>
    <row r="4426" spans="2:34" x14ac:dyDescent="0.2">
      <c r="B4426" s="2">
        <f ca="1"/>
        <v>0.35440851866714285</v>
      </c>
      <c r="O4426" s="2">
        <f ca="1"/>
        <v>-1.0528327769748747</v>
      </c>
      <c r="X4426" s="2">
        <f ca="1"/>
        <v>35.962058504469482</v>
      </c>
      <c r="AG4426" s="2">
        <f ca="1"/>
        <v>0.987155957963052</v>
      </c>
      <c r="AH4426" s="2" t="str">
        <f ca="1"/>
        <v>Bad</v>
      </c>
    </row>
    <row r="4427" spans="2:34" x14ac:dyDescent="0.2">
      <c r="B4427" s="2">
        <f ca="1"/>
        <v>9.3823343429932704E-2</v>
      </c>
      <c r="O4427" s="2">
        <f ca="1"/>
        <v>1.1428216050748528</v>
      </c>
      <c r="X4427" s="2">
        <f ca="1"/>
        <v>79.302543735838114</v>
      </c>
      <c r="AG4427" s="2">
        <f ca="1"/>
        <v>0.91477230794265973</v>
      </c>
      <c r="AH4427" s="2" t="str">
        <f ca="1"/>
        <v>Bad</v>
      </c>
    </row>
    <row r="4428" spans="2:34" x14ac:dyDescent="0.2">
      <c r="B4428" s="2">
        <f ca="1"/>
        <v>0.46967888531430968</v>
      </c>
      <c r="O4428" s="2">
        <f ca="1"/>
        <v>1.6860435777836931</v>
      </c>
      <c r="X4428" s="2">
        <f ca="1"/>
        <v>45.838067662825004</v>
      </c>
      <c r="AG4428" s="2">
        <f ca="1"/>
        <v>0.67810043606565862</v>
      </c>
      <c r="AH4428" s="2" t="str">
        <f ca="1"/>
        <v>Bad</v>
      </c>
    </row>
    <row r="4429" spans="2:34" x14ac:dyDescent="0.2">
      <c r="B4429" s="2">
        <f ca="1"/>
        <v>0.57014698253000762</v>
      </c>
      <c r="O4429" s="2">
        <f ca="1"/>
        <v>1.7246786415623474</v>
      </c>
      <c r="X4429" s="2">
        <f ca="1"/>
        <v>54.759029107830102</v>
      </c>
      <c r="AG4429" s="2">
        <f ca="1"/>
        <v>0.63380239396188887</v>
      </c>
      <c r="AH4429" s="2" t="str">
        <f ca="1"/>
        <v>Bad</v>
      </c>
    </row>
    <row r="4430" spans="2:34" x14ac:dyDescent="0.2">
      <c r="B4430" s="2">
        <f ca="1"/>
        <v>0.3810290987410565</v>
      </c>
      <c r="O4430" s="2">
        <f ca="1"/>
        <v>-0.93449000981886499</v>
      </c>
      <c r="X4430" s="2">
        <f ca="1"/>
        <v>38.948100367295595</v>
      </c>
      <c r="AG4430" s="2">
        <f ca="1"/>
        <v>0.1318548794325507</v>
      </c>
      <c r="AH4430" s="2" t="str">
        <f ca="1"/>
        <v>OK</v>
      </c>
    </row>
    <row r="4431" spans="2:34" x14ac:dyDescent="0.2">
      <c r="B4431" s="2">
        <f ca="1"/>
        <v>0.8424950442667194</v>
      </c>
      <c r="O4431" s="2">
        <f ca="1"/>
        <v>-0.19217987629206143</v>
      </c>
      <c r="X4431" s="2">
        <f ca="1"/>
        <v>28.326130008504109</v>
      </c>
      <c r="AG4431" s="2">
        <f ca="1"/>
        <v>9.9546818727199282E-2</v>
      </c>
      <c r="AH4431" s="2" t="str">
        <f ca="1"/>
        <v>OK</v>
      </c>
    </row>
    <row r="4432" spans="2:34" x14ac:dyDescent="0.2">
      <c r="B4432" s="2">
        <f ca="1"/>
        <v>0.80740774343893618</v>
      </c>
      <c r="O4432" s="2">
        <f ca="1"/>
        <v>0.38953303953423662</v>
      </c>
      <c r="X4432" s="2">
        <f ca="1"/>
        <v>27.538320902304353</v>
      </c>
      <c r="AG4432" s="2">
        <f ca="1"/>
        <v>8.4330942955886501E-2</v>
      </c>
      <c r="AH4432" s="2" t="str">
        <f ca="1"/>
        <v>OK</v>
      </c>
    </row>
    <row r="4433" spans="2:34" x14ac:dyDescent="0.2">
      <c r="B4433" s="2">
        <f ca="1"/>
        <v>6.0043658254288923E-2</v>
      </c>
      <c r="O4433" s="2">
        <f ca="1"/>
        <v>-1.4837839451795387</v>
      </c>
      <c r="X4433" s="2">
        <f ca="1"/>
        <v>41.537119019732778</v>
      </c>
      <c r="AG4433" s="2">
        <f ca="1"/>
        <v>0.40708925365813431</v>
      </c>
      <c r="AH4433" s="2" t="str">
        <f ca="1"/>
        <v>Bad</v>
      </c>
    </row>
    <row r="4434" spans="2:34" x14ac:dyDescent="0.2">
      <c r="B4434" s="2">
        <f ca="1"/>
        <v>0.86119819700185696</v>
      </c>
      <c r="O4434" s="2">
        <f ca="1"/>
        <v>0.60622579758414852</v>
      </c>
      <c r="X4434" s="2">
        <f ca="1"/>
        <v>50.613919565038053</v>
      </c>
      <c r="AG4434" s="2">
        <f ca="1"/>
        <v>0.22408632357192748</v>
      </c>
      <c r="AH4434" s="2" t="str">
        <f ca="1"/>
        <v>OK</v>
      </c>
    </row>
    <row r="4435" spans="2:34" x14ac:dyDescent="0.2">
      <c r="B4435" s="2">
        <f ca="1"/>
        <v>0.63520046836815069</v>
      </c>
      <c r="O4435" s="2">
        <f ca="1"/>
        <v>0.79246093745025459</v>
      </c>
      <c r="X4435" s="2">
        <f ca="1"/>
        <v>37.478283166726058</v>
      </c>
      <c r="AG4435" s="2">
        <f ca="1"/>
        <v>0.63670383998289437</v>
      </c>
      <c r="AH4435" s="2" t="str">
        <f ca="1"/>
        <v>Bad</v>
      </c>
    </row>
    <row r="4436" spans="2:34" x14ac:dyDescent="0.2">
      <c r="B4436" s="2">
        <f ca="1"/>
        <v>0.55680856572521131</v>
      </c>
      <c r="O4436" s="2">
        <f ca="1"/>
        <v>1.0606456599615777</v>
      </c>
      <c r="X4436" s="2">
        <f ca="1"/>
        <v>54.606049195136357</v>
      </c>
      <c r="AG4436" s="2">
        <f ca="1"/>
        <v>0.30718191236804238</v>
      </c>
      <c r="AH4436" s="2" t="str">
        <f ca="1"/>
        <v>OK</v>
      </c>
    </row>
    <row r="4437" spans="2:34" x14ac:dyDescent="0.2">
      <c r="B4437" s="2">
        <f ca="1"/>
        <v>0.81356331483372868</v>
      </c>
      <c r="O4437" s="2">
        <f ca="1"/>
        <v>0.4577430138783804</v>
      </c>
      <c r="X4437" s="2">
        <f ca="1"/>
        <v>27.005311162366262</v>
      </c>
      <c r="AG4437" s="2">
        <f ca="1"/>
        <v>0.87190090044849455</v>
      </c>
      <c r="AH4437" s="2" t="str">
        <f ca="1"/>
        <v>Bad</v>
      </c>
    </row>
    <row r="4438" spans="2:34" x14ac:dyDescent="0.2">
      <c r="B4438" s="2">
        <f ca="1"/>
        <v>0.86404436757447534</v>
      </c>
      <c r="O4438" s="2">
        <f ca="1"/>
        <v>-1.7637139956129211</v>
      </c>
      <c r="X4438" s="2">
        <f ca="1"/>
        <v>60.289231196615901</v>
      </c>
      <c r="AG4438" s="2">
        <f ca="1"/>
        <v>0.22510654543110364</v>
      </c>
      <c r="AH4438" s="2" t="str">
        <f ca="1"/>
        <v>OK</v>
      </c>
    </row>
    <row r="4439" spans="2:34" x14ac:dyDescent="0.2">
      <c r="B4439" s="2">
        <f ca="1"/>
        <v>0.1878049195725342</v>
      </c>
      <c r="O4439" s="2">
        <f ca="1"/>
        <v>-1.5296994838317117</v>
      </c>
      <c r="X4439" s="2">
        <f ca="1"/>
        <v>57.476047141681583</v>
      </c>
      <c r="AG4439" s="2">
        <f ca="1"/>
        <v>0.26845060690503852</v>
      </c>
      <c r="AH4439" s="2" t="str">
        <f ca="1"/>
        <v>OK</v>
      </c>
    </row>
    <row r="4440" spans="2:34" x14ac:dyDescent="0.2">
      <c r="B4440" s="2">
        <f ca="1"/>
        <v>0.95710907797322142</v>
      </c>
      <c r="O4440" s="2">
        <f ca="1"/>
        <v>-8.4430122144954045E-2</v>
      </c>
      <c r="X4440" s="2">
        <f ca="1"/>
        <v>25.583456888953762</v>
      </c>
      <c r="AG4440" s="2">
        <f ca="1"/>
        <v>5.0205033173265745E-2</v>
      </c>
      <c r="AH4440" s="2" t="str">
        <f ca="1"/>
        <v>OK</v>
      </c>
    </row>
    <row r="4441" spans="2:34" x14ac:dyDescent="0.2">
      <c r="B4441" s="2">
        <f ca="1"/>
        <v>0.62856387055967256</v>
      </c>
      <c r="O4441" s="2">
        <f ca="1"/>
        <v>-1.1484365784974691</v>
      </c>
      <c r="X4441" s="2">
        <f ca="1"/>
        <v>55.341703987107977</v>
      </c>
      <c r="AG4441" s="2">
        <f ca="1"/>
        <v>0.38245875622653025</v>
      </c>
      <c r="AH4441" s="2" t="str">
        <f ca="1"/>
        <v>OK</v>
      </c>
    </row>
    <row r="4442" spans="2:34" x14ac:dyDescent="0.2">
      <c r="B4442" s="2">
        <f ca="1"/>
        <v>0.81583162034790258</v>
      </c>
      <c r="O4442" s="2">
        <f ca="1"/>
        <v>0.54128773313432732</v>
      </c>
      <c r="X4442" s="2">
        <f ca="1"/>
        <v>82.566884584420819</v>
      </c>
      <c r="AG4442" s="2">
        <f ca="1"/>
        <v>0.29487254457677325</v>
      </c>
      <c r="AH4442" s="2" t="str">
        <f ca="1"/>
        <v>OK</v>
      </c>
    </row>
    <row r="4443" spans="2:34" x14ac:dyDescent="0.2">
      <c r="B4443" s="2">
        <f ca="1"/>
        <v>9.4135599688072391E-2</v>
      </c>
      <c r="O4443" s="2">
        <f ca="1"/>
        <v>-0.41953693405486087</v>
      </c>
      <c r="X4443" s="2">
        <f ca="1"/>
        <v>25.153584332375193</v>
      </c>
      <c r="AG4443" s="2">
        <f ca="1"/>
        <v>0.42625718679300406</v>
      </c>
      <c r="AH4443" s="2" t="str">
        <f ca="1"/>
        <v>Bad</v>
      </c>
    </row>
    <row r="4444" spans="2:34" x14ac:dyDescent="0.2">
      <c r="B4444" s="2">
        <f ca="1"/>
        <v>0.36925831454291069</v>
      </c>
      <c r="O4444" s="2">
        <f ca="1"/>
        <v>0.56579137665388057</v>
      </c>
      <c r="X4444" s="2">
        <f ca="1"/>
        <v>43.614329058491379</v>
      </c>
      <c r="AG4444" s="2">
        <f ca="1"/>
        <v>0.4035441609778192</v>
      </c>
      <c r="AH4444" s="2" t="str">
        <f ca="1"/>
        <v>Bad</v>
      </c>
    </row>
    <row r="4445" spans="2:34" x14ac:dyDescent="0.2">
      <c r="B4445" s="2">
        <f ca="1"/>
        <v>0.75233339081719341</v>
      </c>
      <c r="O4445" s="2">
        <f ca="1"/>
        <v>-1.104829627012581</v>
      </c>
      <c r="X4445" s="2">
        <f ca="1"/>
        <v>52.158027209119027</v>
      </c>
      <c r="AG4445" s="2">
        <f ca="1"/>
        <v>0.12722448081897708</v>
      </c>
      <c r="AH4445" s="2" t="str">
        <f ca="1"/>
        <v>OK</v>
      </c>
    </row>
    <row r="4446" spans="2:34" x14ac:dyDescent="0.2">
      <c r="B4446" s="2">
        <f ca="1"/>
        <v>0.5351468345619883</v>
      </c>
      <c r="O4446" s="2">
        <f ca="1"/>
        <v>1.7079545867955408</v>
      </c>
      <c r="X4446" s="2">
        <f ca="1"/>
        <v>36.640095059848896</v>
      </c>
      <c r="AG4446" s="2">
        <f ca="1"/>
        <v>0.42996261161420057</v>
      </c>
      <c r="AH4446" s="2" t="str">
        <f ca="1"/>
        <v>Bad</v>
      </c>
    </row>
    <row r="4447" spans="2:34" x14ac:dyDescent="0.2">
      <c r="B4447" s="2">
        <f ca="1"/>
        <v>0.44929190725108326</v>
      </c>
      <c r="O4447" s="2">
        <f ca="1"/>
        <v>0.46266722197473681</v>
      </c>
      <c r="X4447" s="2">
        <f ca="1"/>
        <v>66.221293307744546</v>
      </c>
      <c r="AG4447" s="2">
        <f ca="1"/>
        <v>0.50658777833759516</v>
      </c>
      <c r="AH4447" s="2" t="str">
        <f ca="1"/>
        <v>Bad</v>
      </c>
    </row>
    <row r="4448" spans="2:34" x14ac:dyDescent="0.2">
      <c r="B4448" s="2">
        <f ca="1"/>
        <v>0.71216528699144765</v>
      </c>
      <c r="O4448" s="2">
        <f ca="1"/>
        <v>1.0264597479722652</v>
      </c>
      <c r="X4448" s="2">
        <f ca="1"/>
        <v>65.467721478713997</v>
      </c>
      <c r="AG4448" s="2">
        <f ca="1"/>
        <v>0.88065722419831904</v>
      </c>
      <c r="AH4448" s="2" t="str">
        <f ca="1"/>
        <v>Bad</v>
      </c>
    </row>
    <row r="4449" spans="2:34" x14ac:dyDescent="0.2">
      <c r="B4449" s="2">
        <f ca="1"/>
        <v>1.7415686924834528E-2</v>
      </c>
      <c r="O4449" s="2">
        <f ca="1"/>
        <v>-0.23691030461499915</v>
      </c>
      <c r="X4449" s="2">
        <f ca="1"/>
        <v>58.715499235807698</v>
      </c>
      <c r="AG4449" s="2">
        <f ca="1"/>
        <v>0.47143501132439658</v>
      </c>
      <c r="AH4449" s="2" t="str">
        <f ca="1"/>
        <v>Bad</v>
      </c>
    </row>
    <row r="4450" spans="2:34" x14ac:dyDescent="0.2">
      <c r="B4450" s="2">
        <f ca="1"/>
        <v>0.96944097465116141</v>
      </c>
      <c r="O4450" s="2">
        <f ca="1"/>
        <v>-1.3121277584065008</v>
      </c>
      <c r="X4450" s="2">
        <f ca="1"/>
        <v>92.539455616979438</v>
      </c>
      <c r="AG4450" s="2">
        <f ca="1"/>
        <v>0.77327221098463483</v>
      </c>
      <c r="AH4450" s="2" t="str">
        <f ca="1"/>
        <v>Bad</v>
      </c>
    </row>
    <row r="4451" spans="2:34" x14ac:dyDescent="0.2">
      <c r="B4451" s="2">
        <f ca="1"/>
        <v>0.98728702926719936</v>
      </c>
      <c r="O4451" s="2">
        <f ca="1"/>
        <v>-0.35803396765939943</v>
      </c>
      <c r="X4451" s="2">
        <f ca="1"/>
        <v>62.835355329736309</v>
      </c>
      <c r="AG4451" s="2">
        <f ca="1"/>
        <v>1.7544456964964095E-2</v>
      </c>
      <c r="AH4451" s="2" t="str">
        <f ca="1"/>
        <v>Good</v>
      </c>
    </row>
    <row r="4452" spans="2:34" x14ac:dyDescent="0.2">
      <c r="B4452" s="2">
        <f ca="1"/>
        <v>0.36984795881400756</v>
      </c>
      <c r="O4452" s="2">
        <f ca="1"/>
        <v>0.38358884371187618</v>
      </c>
      <c r="X4452" s="2">
        <f ca="1"/>
        <v>35.175131941853806</v>
      </c>
      <c r="AG4452" s="2">
        <f ca="1"/>
        <v>0.30113024680345624</v>
      </c>
      <c r="AH4452" s="2" t="str">
        <f ca="1"/>
        <v>OK</v>
      </c>
    </row>
    <row r="4453" spans="2:34" x14ac:dyDescent="0.2">
      <c r="B4453" s="2">
        <f ca="1"/>
        <v>0.28995675225912687</v>
      </c>
      <c r="O4453" s="2">
        <f ca="1"/>
        <v>1.2868306468535531</v>
      </c>
      <c r="X4453" s="2">
        <f ca="1"/>
        <v>80.459149925423773</v>
      </c>
      <c r="AG4453" s="2">
        <f ca="1"/>
        <v>0.15915633766880677</v>
      </c>
      <c r="AH4453" s="2" t="str">
        <f ca="1"/>
        <v>OK</v>
      </c>
    </row>
    <row r="4454" spans="2:34" x14ac:dyDescent="0.2">
      <c r="B4454" s="2">
        <f ca="1"/>
        <v>3.3679896383327135E-2</v>
      </c>
      <c r="O4454" s="2">
        <f ca="1"/>
        <v>-0.60035311380343137</v>
      </c>
      <c r="X4454" s="2">
        <f ca="1"/>
        <v>32.255092450444558</v>
      </c>
      <c r="AG4454" s="2">
        <f ca="1"/>
        <v>0.30963762254318783</v>
      </c>
      <c r="AH4454" s="2" t="str">
        <f ca="1"/>
        <v>OK</v>
      </c>
    </row>
    <row r="4455" spans="2:34" x14ac:dyDescent="0.2">
      <c r="B4455" s="2">
        <f ca="1"/>
        <v>0.33555731536683941</v>
      </c>
      <c r="O4455" s="2">
        <f ca="1"/>
        <v>0.61396974668459403</v>
      </c>
      <c r="X4455" s="2">
        <f ca="1"/>
        <v>49.041765775659329</v>
      </c>
      <c r="AG4455" s="2">
        <f ca="1"/>
        <v>0.13531844751776045</v>
      </c>
      <c r="AH4455" s="2" t="str">
        <f ca="1"/>
        <v>OK</v>
      </c>
    </row>
    <row r="4456" spans="2:34" x14ac:dyDescent="0.2">
      <c r="B4456" s="2">
        <f ca="1"/>
        <v>0.94707475150081488</v>
      </c>
      <c r="O4456" s="2">
        <f ca="1"/>
        <v>0.3869579306831713</v>
      </c>
      <c r="X4456" s="2">
        <f ca="1"/>
        <v>47.435955316840925</v>
      </c>
      <c r="AG4456" s="2">
        <f ca="1"/>
        <v>0.44863613926791834</v>
      </c>
      <c r="AH4456" s="2" t="str">
        <f ca="1"/>
        <v>Bad</v>
      </c>
    </row>
    <row r="4457" spans="2:34" x14ac:dyDescent="0.2">
      <c r="B4457" s="2">
        <f ca="1"/>
        <v>0.81730667033271232</v>
      </c>
      <c r="O4457" s="2">
        <f ca="1"/>
        <v>-0.13201201990595468</v>
      </c>
      <c r="X4457" s="2">
        <f ca="1"/>
        <v>67.452933533187135</v>
      </c>
      <c r="AG4457" s="2">
        <f ca="1"/>
        <v>0.91413588141457769</v>
      </c>
      <c r="AH4457" s="2" t="str">
        <f ca="1"/>
        <v>Bad</v>
      </c>
    </row>
    <row r="4458" spans="2:34" x14ac:dyDescent="0.2">
      <c r="B4458" s="2">
        <f ca="1"/>
        <v>0.54883991697733725</v>
      </c>
      <c r="O4458" s="2">
        <f ca="1"/>
        <v>-0.19498456793344682</v>
      </c>
      <c r="X4458" s="2">
        <f ca="1"/>
        <v>54.880060602720675</v>
      </c>
      <c r="AG4458" s="2">
        <f ca="1"/>
        <v>0.4909362944777691</v>
      </c>
      <c r="AH4458" s="2" t="str">
        <f ca="1"/>
        <v>Bad</v>
      </c>
    </row>
    <row r="4459" spans="2:34" x14ac:dyDescent="0.2">
      <c r="B4459" s="2">
        <f ca="1"/>
        <v>0.78752088770025774</v>
      </c>
      <c r="O4459" s="2">
        <f ca="1"/>
        <v>-0.16384014802511981</v>
      </c>
      <c r="X4459" s="2">
        <f ca="1"/>
        <v>58.329010092068302</v>
      </c>
      <c r="AG4459" s="2">
        <f ca="1"/>
        <v>0.19432568267693862</v>
      </c>
      <c r="AH4459" s="2" t="str">
        <f ca="1"/>
        <v>OK</v>
      </c>
    </row>
    <row r="4460" spans="2:34" x14ac:dyDescent="0.2">
      <c r="B4460" s="2">
        <f ca="1"/>
        <v>0.38447051080013517</v>
      </c>
      <c r="O4460" s="2">
        <f ca="1"/>
        <v>-0.91776526172220563</v>
      </c>
      <c r="X4460" s="2">
        <f ca="1"/>
        <v>53.974922905853127</v>
      </c>
      <c r="AG4460" s="2">
        <f ca="1"/>
        <v>0.14590361459855306</v>
      </c>
      <c r="AH4460" s="2" t="str">
        <f ca="1"/>
        <v>OK</v>
      </c>
    </row>
    <row r="4461" spans="2:34" x14ac:dyDescent="0.2">
      <c r="B4461" s="2">
        <f ca="1"/>
        <v>3.8815491550281411E-3</v>
      </c>
      <c r="O4461" s="2">
        <f ca="1"/>
        <v>0.52932857965847901</v>
      </c>
      <c r="X4461" s="2">
        <f ca="1"/>
        <v>45.246898635072455</v>
      </c>
      <c r="AG4461" s="2">
        <f ca="1"/>
        <v>0.26206394723343474</v>
      </c>
      <c r="AH4461" s="2" t="str">
        <f ca="1"/>
        <v>OK</v>
      </c>
    </row>
    <row r="4462" spans="2:34" x14ac:dyDescent="0.2">
      <c r="B4462" s="2">
        <f ca="1"/>
        <v>0.11609570862266572</v>
      </c>
      <c r="O4462" s="2">
        <f ca="1"/>
        <v>-0.90334957209676991</v>
      </c>
      <c r="X4462" s="2">
        <f ca="1"/>
        <v>37.960270946532667</v>
      </c>
      <c r="AG4462" s="2">
        <f ca="1"/>
        <v>0.61422311543841013</v>
      </c>
      <c r="AH4462" s="2" t="str">
        <f ca="1"/>
        <v>Bad</v>
      </c>
    </row>
    <row r="4463" spans="2:34" x14ac:dyDescent="0.2">
      <c r="B4463" s="2">
        <f ca="1"/>
        <v>0.50004865043101443</v>
      </c>
      <c r="O4463" s="2">
        <f ca="1"/>
        <v>-2.3857749778591502</v>
      </c>
      <c r="X4463" s="2">
        <f ca="1"/>
        <v>43.439140595553802</v>
      </c>
      <c r="AG4463" s="2">
        <f ca="1"/>
        <v>0.71611659420310203</v>
      </c>
      <c r="AH4463" s="2" t="str">
        <f ca="1"/>
        <v>Bad</v>
      </c>
    </row>
    <row r="4464" spans="2:34" x14ac:dyDescent="0.2">
      <c r="B4464" s="2">
        <f ca="1"/>
        <v>9.8126496439644439E-2</v>
      </c>
      <c r="O4464" s="2">
        <f ca="1"/>
        <v>0.57544335697496662</v>
      </c>
      <c r="X4464" s="2">
        <f ca="1"/>
        <v>43.466237581256102</v>
      </c>
      <c r="AG4464" s="2">
        <f ca="1"/>
        <v>0.33602552193574753</v>
      </c>
      <c r="AH4464" s="2" t="str">
        <f ca="1"/>
        <v>OK</v>
      </c>
    </row>
    <row r="4465" spans="2:34" x14ac:dyDescent="0.2">
      <c r="B4465" s="2">
        <f ca="1"/>
        <v>0.25455269601449992</v>
      </c>
      <c r="O4465" s="2">
        <f ca="1"/>
        <v>1.9906654886779671</v>
      </c>
      <c r="X4465" s="2">
        <f ca="1"/>
        <v>34.859163502366464</v>
      </c>
      <c r="AG4465" s="2">
        <f ca="1"/>
        <v>0.78014363123240393</v>
      </c>
      <c r="AH4465" s="2" t="str">
        <f ca="1"/>
        <v>Bad</v>
      </c>
    </row>
    <row r="4466" spans="2:34" x14ac:dyDescent="0.2">
      <c r="B4466" s="2">
        <f ca="1"/>
        <v>0.99273869167058559</v>
      </c>
      <c r="O4466" s="2">
        <f ca="1"/>
        <v>0.40525437244965551</v>
      </c>
      <c r="X4466" s="2">
        <f ca="1"/>
        <v>59.264778317748032</v>
      </c>
      <c r="AG4466" s="2">
        <f ca="1"/>
        <v>0.98767000999729015</v>
      </c>
      <c r="AH4466" s="2" t="str">
        <f ca="1"/>
        <v>Bad</v>
      </c>
    </row>
    <row r="4467" spans="2:34" x14ac:dyDescent="0.2">
      <c r="B4467" s="2">
        <f ca="1"/>
        <v>0.82379746669279341</v>
      </c>
      <c r="O4467" s="2">
        <f ca="1"/>
        <v>-2.061510204739565</v>
      </c>
      <c r="X4467" s="2">
        <f ca="1"/>
        <v>90.39875898995183</v>
      </c>
      <c r="AG4467" s="2">
        <f ca="1"/>
        <v>0.68208218347215799</v>
      </c>
      <c r="AH4467" s="2" t="str">
        <f ca="1"/>
        <v>Bad</v>
      </c>
    </row>
    <row r="4468" spans="2:34" x14ac:dyDescent="0.2">
      <c r="B4468" s="2">
        <f ca="1"/>
        <v>0.78138870583472286</v>
      </c>
      <c r="O4468" s="2">
        <f ca="1"/>
        <v>0.91211825360844123</v>
      </c>
      <c r="X4468" s="2">
        <f ca="1"/>
        <v>50.254277908781894</v>
      </c>
      <c r="AG4468" s="2">
        <f ca="1"/>
        <v>0.25964401190865738</v>
      </c>
      <c r="AH4468" s="2" t="str">
        <f ca="1"/>
        <v>OK</v>
      </c>
    </row>
    <row r="4469" spans="2:34" x14ac:dyDescent="0.2">
      <c r="B4469" s="2">
        <f ca="1"/>
        <v>0.51975665036341012</v>
      </c>
      <c r="O4469" s="2">
        <f ca="1"/>
        <v>0.56966948744983226</v>
      </c>
      <c r="X4469" s="2">
        <f ca="1"/>
        <v>65.587073016329384</v>
      </c>
      <c r="AG4469" s="2">
        <f ca="1"/>
        <v>0.93855870029094102</v>
      </c>
      <c r="AH4469" s="2" t="str">
        <f ca="1"/>
        <v>Bad</v>
      </c>
    </row>
    <row r="4470" spans="2:34" x14ac:dyDescent="0.2">
      <c r="B4470" s="2">
        <f ca="1"/>
        <v>0.8028095932171917</v>
      </c>
      <c r="O4470" s="2">
        <f ca="1"/>
        <v>1.3458689268624873</v>
      </c>
      <c r="X4470" s="2">
        <f ca="1"/>
        <v>49.798165853655107</v>
      </c>
      <c r="AG4470" s="2">
        <f ca="1"/>
        <v>0.12644443865918698</v>
      </c>
      <c r="AH4470" s="2" t="str">
        <f ca="1"/>
        <v>OK</v>
      </c>
    </row>
    <row r="4471" spans="2:34" x14ac:dyDescent="0.2">
      <c r="B4471" s="2">
        <f ca="1"/>
        <v>0.12098934399483574</v>
      </c>
      <c r="O4471" s="2">
        <f ca="1"/>
        <v>-0.86402843787693417</v>
      </c>
      <c r="X4471" s="2">
        <f ca="1"/>
        <v>35.4788675738805</v>
      </c>
      <c r="AG4471" s="2">
        <f ca="1"/>
        <v>0.83807887864715269</v>
      </c>
      <c r="AH4471" s="2" t="str">
        <f ca="1"/>
        <v>Bad</v>
      </c>
    </row>
    <row r="4472" spans="2:34" x14ac:dyDescent="0.2">
      <c r="B4472" s="2">
        <f ca="1"/>
        <v>7.1774096006177679E-2</v>
      </c>
      <c r="O4472" s="2">
        <f ca="1"/>
        <v>-0.13939336211484596</v>
      </c>
      <c r="X4472" s="2">
        <f ca="1"/>
        <v>67.379429523373133</v>
      </c>
      <c r="AG4472" s="2">
        <f ca="1"/>
        <v>0.50664275666021052</v>
      </c>
      <c r="AH4472" s="2" t="str">
        <f ca="1"/>
        <v>Bad</v>
      </c>
    </row>
    <row r="4473" spans="2:34" x14ac:dyDescent="0.2">
      <c r="B4473" s="2">
        <f ca="1"/>
        <v>0.91610234691889225</v>
      </c>
      <c r="O4473" s="2">
        <f ca="1"/>
        <v>0.64950575667184229</v>
      </c>
      <c r="X4473" s="2">
        <f ca="1"/>
        <v>66.395480798034782</v>
      </c>
      <c r="AG4473" s="2">
        <f ca="1"/>
        <v>0.9273618689351244</v>
      </c>
      <c r="AH4473" s="2" t="str">
        <f ca="1"/>
        <v>Bad</v>
      </c>
    </row>
    <row r="4474" spans="2:34" x14ac:dyDescent="0.2">
      <c r="B4474" s="2">
        <f ca="1"/>
        <v>0.55524411860068845</v>
      </c>
      <c r="O4474" s="2">
        <f ca="1"/>
        <v>0.82492198752716117</v>
      </c>
      <c r="X4474" s="2">
        <f ca="1"/>
        <v>66.662913939294015</v>
      </c>
      <c r="AG4474" s="2">
        <f ca="1"/>
        <v>0.92265429572776592</v>
      </c>
      <c r="AH4474" s="2" t="str">
        <f ca="1"/>
        <v>Bad</v>
      </c>
    </row>
    <row r="4475" spans="2:34" x14ac:dyDescent="0.2">
      <c r="B4475" s="2">
        <f ca="1"/>
        <v>0.5755042079861401</v>
      </c>
      <c r="O4475" s="2">
        <f ca="1"/>
        <v>0.84235731801436264</v>
      </c>
      <c r="X4475" s="2">
        <f ca="1"/>
        <v>51.05450588669818</v>
      </c>
      <c r="AG4475" s="2">
        <f ca="1"/>
        <v>0.39590649637368203</v>
      </c>
      <c r="AH4475" s="2" t="str">
        <f ca="1"/>
        <v>OK</v>
      </c>
    </row>
    <row r="4476" spans="2:34" x14ac:dyDescent="0.2">
      <c r="B4476" s="2">
        <f ca="1"/>
        <v>6.5939720499256227E-2</v>
      </c>
      <c r="O4476" s="2">
        <f ca="1"/>
        <v>-1.2545280814992601</v>
      </c>
      <c r="X4476" s="2">
        <f ca="1"/>
        <v>56.63688135066073</v>
      </c>
      <c r="AG4476" s="2">
        <f ca="1"/>
        <v>0.88266877299290969</v>
      </c>
      <c r="AH4476" s="2" t="str">
        <f ca="1"/>
        <v>Bad</v>
      </c>
    </row>
    <row r="4477" spans="2:34" x14ac:dyDescent="0.2">
      <c r="B4477" s="2">
        <f ca="1"/>
        <v>7.498812032643376E-2</v>
      </c>
      <c r="O4477" s="2">
        <f ca="1"/>
        <v>-1.6347922183826211</v>
      </c>
      <c r="X4477" s="2">
        <f ca="1"/>
        <v>66.95740457591738</v>
      </c>
      <c r="AG4477" s="2">
        <f ca="1"/>
        <v>0.34396357242768794</v>
      </c>
      <c r="AH4477" s="2" t="str">
        <f ca="1"/>
        <v>OK</v>
      </c>
    </row>
    <row r="4478" spans="2:34" x14ac:dyDescent="0.2">
      <c r="B4478" s="2">
        <f ca="1"/>
        <v>4.5969262047255821E-2</v>
      </c>
      <c r="O4478" s="2">
        <f ca="1"/>
        <v>-0.82905707457421984</v>
      </c>
      <c r="X4478" s="2">
        <f ca="1"/>
        <v>45.534293523106825</v>
      </c>
      <c r="AG4478" s="2">
        <f ca="1"/>
        <v>0.26223901559203111</v>
      </c>
      <c r="AH4478" s="2" t="str">
        <f ca="1"/>
        <v>OK</v>
      </c>
    </row>
    <row r="4479" spans="2:34" x14ac:dyDescent="0.2">
      <c r="B4479" s="2">
        <f ca="1"/>
        <v>0.10557430189809547</v>
      </c>
      <c r="O4479" s="2">
        <f ca="1"/>
        <v>1.3047167352619091</v>
      </c>
      <c r="X4479" s="2">
        <f ca="1"/>
        <v>63.570953264810548</v>
      </c>
      <c r="AG4479" s="2">
        <f ca="1"/>
        <v>0.81894410156280939</v>
      </c>
      <c r="AH4479" s="2" t="str">
        <f ca="1"/>
        <v>Bad</v>
      </c>
    </row>
    <row r="4480" spans="2:34" x14ac:dyDescent="0.2">
      <c r="B4480" s="2">
        <f ca="1"/>
        <v>0.9649170478648923</v>
      </c>
      <c r="O4480" s="2">
        <f ca="1"/>
        <v>0.30152884371921362</v>
      </c>
      <c r="X4480" s="2">
        <f ca="1"/>
        <v>28.686856297899723</v>
      </c>
      <c r="AG4480" s="2">
        <f ca="1"/>
        <v>9.5212821474332188E-2</v>
      </c>
      <c r="AH4480" s="2" t="str">
        <f ca="1"/>
        <v>OK</v>
      </c>
    </row>
    <row r="4481" spans="2:34" x14ac:dyDescent="0.2">
      <c r="B4481" s="2">
        <f ca="1"/>
        <v>9.4984895208169329E-2</v>
      </c>
      <c r="O4481" s="2">
        <f ca="1"/>
        <v>1.0053012859020285</v>
      </c>
      <c r="X4481" s="2">
        <f ca="1"/>
        <v>20.478729267036734</v>
      </c>
      <c r="AG4481" s="2">
        <f ca="1"/>
        <v>3.0837446112568667E-2</v>
      </c>
      <c r="AH4481" s="2" t="str">
        <f ca="1"/>
        <v>Good</v>
      </c>
    </row>
    <row r="4482" spans="2:34" x14ac:dyDescent="0.2">
      <c r="B4482" s="2">
        <f ca="1"/>
        <v>0.36783423328977416</v>
      </c>
      <c r="O4482" s="2">
        <f ca="1"/>
        <v>1.3077320517872664</v>
      </c>
      <c r="X4482" s="2">
        <f ca="1"/>
        <v>55.44741997980644</v>
      </c>
      <c r="AG4482" s="2">
        <f ca="1"/>
        <v>1.3145077429734142E-2</v>
      </c>
      <c r="AH4482" s="2" t="str">
        <f ca="1"/>
        <v>Good</v>
      </c>
    </row>
    <row r="4483" spans="2:34" x14ac:dyDescent="0.2">
      <c r="B4483" s="2">
        <f ca="1"/>
        <v>0.71791619375859894</v>
      </c>
      <c r="O4483" s="2">
        <f ca="1"/>
        <v>0.10267919448117119</v>
      </c>
      <c r="X4483" s="2">
        <f ca="1"/>
        <v>69.715647318353888</v>
      </c>
      <c r="AG4483" s="2">
        <f ca="1"/>
        <v>0.49109555707825847</v>
      </c>
      <c r="AH4483" s="2" t="str">
        <f ca="1"/>
        <v>Bad</v>
      </c>
    </row>
    <row r="4484" spans="2:34" x14ac:dyDescent="0.2">
      <c r="B4484" s="2">
        <f ca="1"/>
        <v>0.43511882895516774</v>
      </c>
      <c r="O4484" s="2">
        <f ca="1"/>
        <v>-1.2629783611512495</v>
      </c>
      <c r="X4484" s="2">
        <f ca="1"/>
        <v>49.447592274921391</v>
      </c>
      <c r="AG4484" s="2">
        <f ca="1"/>
        <v>0.84609239049522644</v>
      </c>
      <c r="AH4484" s="2" t="str">
        <f ca="1"/>
        <v>Bad</v>
      </c>
    </row>
    <row r="4485" spans="2:34" x14ac:dyDescent="0.2">
      <c r="B4485" s="2">
        <f ca="1"/>
        <v>0.95024228946438427</v>
      </c>
      <c r="O4485" s="2">
        <f ca="1"/>
        <v>0.36486469353429041</v>
      </c>
      <c r="X4485" s="2">
        <f ca="1"/>
        <v>60.455688578535039</v>
      </c>
      <c r="AG4485" s="2">
        <f ca="1"/>
        <v>0.57824581784346685</v>
      </c>
      <c r="AH4485" s="2" t="str">
        <f ca="1"/>
        <v>Bad</v>
      </c>
    </row>
    <row r="4486" spans="2:34" x14ac:dyDescent="0.2">
      <c r="B4486" s="2">
        <f ca="1"/>
        <v>0.78819166088785519</v>
      </c>
      <c r="O4486" s="2">
        <f ca="1"/>
        <v>-0.59890115332320526</v>
      </c>
      <c r="X4486" s="2">
        <f ca="1"/>
        <v>54.066333494170678</v>
      </c>
      <c r="AG4486" s="2">
        <f ca="1"/>
        <v>0.25055866135150184</v>
      </c>
      <c r="AH4486" s="2" t="str">
        <f ca="1"/>
        <v>OK</v>
      </c>
    </row>
    <row r="4487" spans="2:34" x14ac:dyDescent="0.2">
      <c r="B4487" s="2">
        <f ca="1"/>
        <v>0.54409408462872233</v>
      </c>
      <c r="O4487" s="2">
        <f ca="1"/>
        <v>0.12914677707160258</v>
      </c>
      <c r="X4487" s="2">
        <f ca="1"/>
        <v>78.371412936041509</v>
      </c>
      <c r="AG4487" s="2">
        <f ca="1"/>
        <v>0.9801460326907605</v>
      </c>
      <c r="AH4487" s="2" t="str">
        <f ca="1"/>
        <v>Bad</v>
      </c>
    </row>
    <row r="4488" spans="2:34" x14ac:dyDescent="0.2">
      <c r="B4488" s="2">
        <f ca="1"/>
        <v>0.94452872134223886</v>
      </c>
      <c r="O4488" s="2">
        <f ca="1"/>
        <v>-1.3929554093336025</v>
      </c>
      <c r="X4488" s="2">
        <f ca="1"/>
        <v>30.96428611027283</v>
      </c>
      <c r="AG4488" s="2">
        <f ca="1"/>
        <v>0.96976621755246639</v>
      </c>
      <c r="AH4488" s="2" t="str">
        <f ca="1"/>
        <v>Bad</v>
      </c>
    </row>
    <row r="4489" spans="2:34" x14ac:dyDescent="0.2">
      <c r="B4489" s="2">
        <f ca="1"/>
        <v>0.85858779109500971</v>
      </c>
      <c r="O4489" s="2">
        <f ca="1"/>
        <v>1.8766224021694118</v>
      </c>
      <c r="X4489" s="2">
        <f ca="1"/>
        <v>35.77838759124753</v>
      </c>
      <c r="AG4489" s="2">
        <f ca="1"/>
        <v>0.16922479631475884</v>
      </c>
      <c r="AH4489" s="2" t="str">
        <f ca="1"/>
        <v>OK</v>
      </c>
    </row>
    <row r="4490" spans="2:34" x14ac:dyDescent="0.2">
      <c r="B4490" s="2">
        <f ca="1"/>
        <v>0.31762208698579975</v>
      </c>
      <c r="O4490" s="2">
        <f ca="1"/>
        <v>-2.0377915064762973</v>
      </c>
      <c r="X4490" s="2">
        <f ca="1"/>
        <v>32.070303560442703</v>
      </c>
      <c r="AG4490" s="2">
        <f ca="1"/>
        <v>2.4592103267107035E-6</v>
      </c>
      <c r="AH4490" s="2" t="str">
        <f ca="1"/>
        <v>Good</v>
      </c>
    </row>
    <row r="4491" spans="2:34" x14ac:dyDescent="0.2">
      <c r="B4491" s="2">
        <f ca="1"/>
        <v>0.74886330981951299</v>
      </c>
      <c r="O4491" s="2">
        <f ca="1"/>
        <v>-0.17031990363347987</v>
      </c>
      <c r="X4491" s="2">
        <f ca="1"/>
        <v>34.081168260997572</v>
      </c>
      <c r="AG4491" s="2">
        <f ca="1"/>
        <v>0.39323855865249691</v>
      </c>
      <c r="AH4491" s="2" t="str">
        <f ca="1"/>
        <v>OK</v>
      </c>
    </row>
    <row r="4492" spans="2:34" x14ac:dyDescent="0.2">
      <c r="B4492" s="2">
        <f ca="1"/>
        <v>0.54542876983172617</v>
      </c>
      <c r="O4492" s="2">
        <f ca="1"/>
        <v>-1.4853545868206508</v>
      </c>
      <c r="X4492" s="2">
        <f ca="1"/>
        <v>42.314091098784601</v>
      </c>
      <c r="AG4492" s="2">
        <f ca="1"/>
        <v>0.59084841242477304</v>
      </c>
      <c r="AH4492" s="2" t="str">
        <f ca="1"/>
        <v>Bad</v>
      </c>
    </row>
    <row r="4493" spans="2:34" x14ac:dyDescent="0.2">
      <c r="B4493" s="2">
        <f ca="1"/>
        <v>0.93204526157075351</v>
      </c>
      <c r="O4493" s="2">
        <f ca="1"/>
        <v>-0.7183148055688926</v>
      </c>
      <c r="X4493" s="2">
        <f ca="1"/>
        <v>94.101056951052186</v>
      </c>
      <c r="AG4493" s="2">
        <f ca="1"/>
        <v>0.78652983080697281</v>
      </c>
      <c r="AH4493" s="2" t="str">
        <f ca="1"/>
        <v>Bad</v>
      </c>
    </row>
    <row r="4494" spans="2:34" x14ac:dyDescent="0.2">
      <c r="B4494" s="2">
        <f ca="1"/>
        <v>0.92899406355152991</v>
      </c>
      <c r="O4494" s="2">
        <f ca="1"/>
        <v>0.44311400940270579</v>
      </c>
      <c r="X4494" s="2">
        <f ca="1"/>
        <v>23.722647516973915</v>
      </c>
      <c r="AG4494" s="2">
        <f ca="1"/>
        <v>0.60448340002368917</v>
      </c>
      <c r="AH4494" s="2" t="str">
        <f ca="1"/>
        <v>Bad</v>
      </c>
    </row>
    <row r="4495" spans="2:34" x14ac:dyDescent="0.2">
      <c r="B4495" s="2">
        <f ca="1"/>
        <v>0.60197943949665644</v>
      </c>
      <c r="O4495" s="2">
        <f ca="1"/>
        <v>0.30529305359914882</v>
      </c>
      <c r="X4495" s="2">
        <f ca="1"/>
        <v>22.728497234292114</v>
      </c>
      <c r="AG4495" s="2">
        <f ca="1"/>
        <v>0.91825571676220719</v>
      </c>
      <c r="AH4495" s="2" t="str">
        <f ca="1"/>
        <v>Bad</v>
      </c>
    </row>
    <row r="4496" spans="2:34" x14ac:dyDescent="0.2">
      <c r="B4496" s="2">
        <f ca="1"/>
        <v>0.89465148452049581</v>
      </c>
      <c r="O4496" s="2">
        <f ca="1"/>
        <v>-1.0760641728476554</v>
      </c>
      <c r="X4496" s="2">
        <f ca="1"/>
        <v>49.870787428115825</v>
      </c>
      <c r="AG4496" s="2">
        <f ca="1"/>
        <v>0.20026643922731568</v>
      </c>
      <c r="AH4496" s="2" t="str">
        <f ca="1"/>
        <v>OK</v>
      </c>
    </row>
    <row r="4497" spans="2:34" x14ac:dyDescent="0.2">
      <c r="B4497" s="2">
        <f ca="1"/>
        <v>0.18811071680217983</v>
      </c>
      <c r="O4497" s="2">
        <f ca="1"/>
        <v>-0.98898052883902332</v>
      </c>
      <c r="X4497" s="2">
        <f ca="1"/>
        <v>32.184818287234584</v>
      </c>
      <c r="AG4497" s="2">
        <f ca="1"/>
        <v>0.726588363601953</v>
      </c>
      <c r="AH4497" s="2" t="str">
        <f ca="1"/>
        <v>Bad</v>
      </c>
    </row>
    <row r="4498" spans="2:34" x14ac:dyDescent="0.2">
      <c r="B4498" s="2">
        <f ca="1"/>
        <v>0.39171264503520553</v>
      </c>
      <c r="O4498" s="2">
        <f ca="1"/>
        <v>-0.24448278286226074</v>
      </c>
      <c r="X4498" s="2">
        <f ca="1"/>
        <v>24.229450177197872</v>
      </c>
      <c r="AG4498" s="2">
        <f ca="1"/>
        <v>0.32498162650298168</v>
      </c>
      <c r="AH4498" s="2" t="str">
        <f ca="1"/>
        <v>OK</v>
      </c>
    </row>
    <row r="4499" spans="2:34" x14ac:dyDescent="0.2">
      <c r="B4499" s="2">
        <f ca="1"/>
        <v>0.47089632793008152</v>
      </c>
      <c r="O4499" s="2">
        <f ca="1"/>
        <v>-0.68290735427114646</v>
      </c>
      <c r="X4499" s="2">
        <f ca="1"/>
        <v>22.916291180227294</v>
      </c>
      <c r="AG4499" s="2">
        <f ca="1"/>
        <v>0.94939707581209665</v>
      </c>
      <c r="AH4499" s="2" t="str">
        <f ca="1"/>
        <v>Bad</v>
      </c>
    </row>
    <row r="4500" spans="2:34" x14ac:dyDescent="0.2">
      <c r="B4500" s="2">
        <f ca="1"/>
        <v>0.3416598797222401</v>
      </c>
      <c r="O4500" s="2">
        <f ca="1"/>
        <v>-0.27345075226677484</v>
      </c>
      <c r="X4500" s="2">
        <f ca="1"/>
        <v>57.259186761240073</v>
      </c>
      <c r="AG4500" s="2">
        <f ca="1"/>
        <v>8.4133684377125206E-2</v>
      </c>
      <c r="AH4500" s="2" t="str">
        <f ca="1"/>
        <v>OK</v>
      </c>
    </row>
    <row r="4501" spans="2:34" x14ac:dyDescent="0.2">
      <c r="B4501" s="2">
        <f ca="1"/>
        <v>0.50006144757575299</v>
      </c>
      <c r="O4501" s="2">
        <f ca="1"/>
        <v>0.30491897764594544</v>
      </c>
      <c r="X4501" s="2">
        <f ca="1"/>
        <v>46.554766347478846</v>
      </c>
      <c r="AG4501" s="2">
        <f ca="1"/>
        <v>0.42681485740532188</v>
      </c>
      <c r="AH4501" s="2" t="str">
        <f ca="1"/>
        <v>Bad</v>
      </c>
    </row>
    <row r="4502" spans="2:34" x14ac:dyDescent="0.2">
      <c r="B4502" s="2">
        <f ca="1"/>
        <v>0.78851337788240916</v>
      </c>
      <c r="O4502" s="2">
        <f ca="1"/>
        <v>-1.3335509116791533</v>
      </c>
      <c r="X4502" s="2">
        <f ca="1"/>
        <v>54.707091260966337</v>
      </c>
      <c r="AG4502" s="2">
        <f ca="1"/>
        <v>0.84348292652465751</v>
      </c>
      <c r="AH4502" s="2" t="str">
        <f ca="1"/>
        <v>Bad</v>
      </c>
    </row>
    <row r="4503" spans="2:34" x14ac:dyDescent="0.2">
      <c r="B4503" s="2">
        <f ca="1"/>
        <v>0.44021104353162155</v>
      </c>
      <c r="O4503" s="2">
        <f ca="1"/>
        <v>4.0689427736266721E-2</v>
      </c>
      <c r="X4503" s="2">
        <f ca="1"/>
        <v>57.491614618679023</v>
      </c>
      <c r="AG4503" s="2">
        <f ca="1"/>
        <v>0.95568038972748792</v>
      </c>
      <c r="AH4503" s="2" t="str">
        <f ca="1"/>
        <v>Bad</v>
      </c>
    </row>
    <row r="4504" spans="2:34" x14ac:dyDescent="0.2">
      <c r="B4504" s="2">
        <f ca="1"/>
        <v>0.30788904725605049</v>
      </c>
      <c r="O4504" s="2">
        <f ca="1"/>
        <v>-0.86166543574295784</v>
      </c>
      <c r="X4504" s="2">
        <f ca="1"/>
        <v>86.799618108534958</v>
      </c>
      <c r="AG4504" s="2">
        <f ca="1"/>
        <v>0.64781284444769205</v>
      </c>
      <c r="AH4504" s="2" t="str">
        <f ca="1"/>
        <v>Bad</v>
      </c>
    </row>
    <row r="4505" spans="2:34" x14ac:dyDescent="0.2">
      <c r="B4505" s="2">
        <f ca="1"/>
        <v>0.88397216586581107</v>
      </c>
      <c r="O4505" s="2">
        <f ca="1"/>
        <v>1.2481942171240918</v>
      </c>
      <c r="X4505" s="2">
        <f ca="1"/>
        <v>55.259257741804632</v>
      </c>
      <c r="AG4505" s="2">
        <f ca="1"/>
        <v>0.77447857264766262</v>
      </c>
      <c r="AH4505" s="2" t="str">
        <f ca="1"/>
        <v>Bad</v>
      </c>
    </row>
    <row r="4506" spans="2:34" x14ac:dyDescent="0.2">
      <c r="B4506" s="2">
        <f ca="1"/>
        <v>0.51308297825888549</v>
      </c>
      <c r="O4506" s="2">
        <f ca="1"/>
        <v>-0.54201249231353466</v>
      </c>
      <c r="X4506" s="2">
        <f ca="1"/>
        <v>48.185446555135343</v>
      </c>
      <c r="AG4506" s="2">
        <f ca="1"/>
        <v>0.61218277885276362</v>
      </c>
      <c r="AH4506" s="2" t="str">
        <f ca="1"/>
        <v>Bad</v>
      </c>
    </row>
    <row r="4507" spans="2:34" x14ac:dyDescent="0.2">
      <c r="B4507" s="2">
        <f ca="1"/>
        <v>4.521554684612461E-3</v>
      </c>
      <c r="O4507" s="2">
        <f ca="1"/>
        <v>-0.17128134659375224</v>
      </c>
      <c r="X4507" s="2">
        <f ca="1"/>
        <v>29.912658931292984</v>
      </c>
      <c r="AG4507" s="2">
        <f ca="1"/>
        <v>7.1857717907272134E-2</v>
      </c>
      <c r="AH4507" s="2" t="str">
        <f ca="1"/>
        <v>OK</v>
      </c>
    </row>
    <row r="4508" spans="2:34" x14ac:dyDescent="0.2">
      <c r="B4508" s="2">
        <f ca="1"/>
        <v>0.87808880972600067</v>
      </c>
      <c r="O4508" s="2">
        <f ca="1"/>
        <v>-0.4488685852515768</v>
      </c>
      <c r="X4508" s="2">
        <f ca="1"/>
        <v>54.433477654921262</v>
      </c>
      <c r="AG4508" s="2">
        <f ca="1"/>
        <v>0.27821145431900574</v>
      </c>
      <c r="AH4508" s="2" t="str">
        <f ca="1"/>
        <v>OK</v>
      </c>
    </row>
    <row r="4509" spans="2:34" x14ac:dyDescent="0.2">
      <c r="B4509" s="2">
        <f ca="1"/>
        <v>0.77030552771590588</v>
      </c>
      <c r="O4509" s="2">
        <f ca="1"/>
        <v>-0.94507623862812384</v>
      </c>
      <c r="X4509" s="2">
        <f ca="1"/>
        <v>47.892868436587442</v>
      </c>
      <c r="AG4509" s="2">
        <f ca="1"/>
        <v>7.5333529923386378E-2</v>
      </c>
      <c r="AH4509" s="2" t="str">
        <f ca="1"/>
        <v>OK</v>
      </c>
    </row>
    <row r="4510" spans="2:34" x14ac:dyDescent="0.2">
      <c r="B4510" s="2">
        <f ca="1"/>
        <v>4.1324360810883753E-3</v>
      </c>
      <c r="O4510" s="2">
        <f ca="1"/>
        <v>-0.79415106084732157</v>
      </c>
      <c r="X4510" s="2">
        <f ca="1"/>
        <v>65.615605395716742</v>
      </c>
      <c r="AG4510" s="2">
        <f ca="1"/>
        <v>0.5955719276323308</v>
      </c>
      <c r="AH4510" s="2" t="str">
        <f ca="1"/>
        <v>Bad</v>
      </c>
    </row>
    <row r="4511" spans="2:34" x14ac:dyDescent="0.2">
      <c r="B4511" s="2">
        <f ca="1"/>
        <v>0.46036919078642158</v>
      </c>
      <c r="O4511" s="2">
        <f ca="1"/>
        <v>-2.2619002509485484</v>
      </c>
      <c r="X4511" s="2">
        <f ca="1"/>
        <v>37.185349612609151</v>
      </c>
      <c r="AG4511" s="2">
        <f ca="1"/>
        <v>0.93939034051039205</v>
      </c>
      <c r="AH4511" s="2" t="str">
        <f ca="1"/>
        <v>Bad</v>
      </c>
    </row>
    <row r="4512" spans="2:34" x14ac:dyDescent="0.2">
      <c r="B4512" s="2">
        <f ca="1"/>
        <v>0.90226448369355317</v>
      </c>
      <c r="O4512" s="2">
        <f ca="1"/>
        <v>-0.56764856652044071</v>
      </c>
      <c r="X4512" s="2">
        <f ca="1"/>
        <v>53.821289283895851</v>
      </c>
      <c r="AG4512" s="2">
        <f ca="1"/>
        <v>0.53034807432219444</v>
      </c>
      <c r="AH4512" s="2" t="str">
        <f ca="1"/>
        <v>Bad</v>
      </c>
    </row>
    <row r="4513" spans="2:34" x14ac:dyDescent="0.2">
      <c r="B4513" s="2">
        <f ca="1"/>
        <v>0.63441670813720341</v>
      </c>
      <c r="O4513" s="2">
        <f ca="1"/>
        <v>0.40751506057024517</v>
      </c>
      <c r="X4513" s="2">
        <f ca="1"/>
        <v>26.308048800668825</v>
      </c>
      <c r="AG4513" s="2">
        <f ca="1"/>
        <v>0.88041626729583666</v>
      </c>
      <c r="AH4513" s="2" t="str">
        <f ca="1"/>
        <v>Bad</v>
      </c>
    </row>
    <row r="4514" spans="2:34" x14ac:dyDescent="0.2">
      <c r="B4514" s="2">
        <f ca="1"/>
        <v>0.48099513141832229</v>
      </c>
      <c r="O4514" s="2">
        <f ca="1"/>
        <v>0.64516007950329068</v>
      </c>
      <c r="X4514" s="2">
        <f ca="1"/>
        <v>35.688415717907255</v>
      </c>
      <c r="AG4514" s="2">
        <f ca="1"/>
        <v>0.54065724888310984</v>
      </c>
      <c r="AH4514" s="2" t="str">
        <f ca="1"/>
        <v>Bad</v>
      </c>
    </row>
    <row r="4515" spans="2:34" x14ac:dyDescent="0.2">
      <c r="B4515" s="2">
        <f ca="1"/>
        <v>0.10885479200993697</v>
      </c>
      <c r="O4515" s="2">
        <f ca="1"/>
        <v>-5.8582819471430176E-3</v>
      </c>
      <c r="X4515" s="2">
        <f ca="1"/>
        <v>47.976318338475338</v>
      </c>
      <c r="AG4515" s="2">
        <f ca="1"/>
        <v>0.72606437017081427</v>
      </c>
      <c r="AH4515" s="2" t="str">
        <f ca="1"/>
        <v>Bad</v>
      </c>
    </row>
    <row r="4516" spans="2:34" x14ac:dyDescent="0.2">
      <c r="B4516" s="2">
        <f ca="1"/>
        <v>0.87678246764830226</v>
      </c>
      <c r="O4516" s="2">
        <f ca="1"/>
        <v>0.95545903400747612</v>
      </c>
      <c r="X4516" s="2">
        <f ca="1"/>
        <v>82.597089176376826</v>
      </c>
      <c r="AG4516" s="2">
        <f ca="1"/>
        <v>9.720530974087116E-2</v>
      </c>
      <c r="AH4516" s="2" t="str">
        <f ca="1"/>
        <v>OK</v>
      </c>
    </row>
    <row r="4517" spans="2:34" x14ac:dyDescent="0.2">
      <c r="B4517" s="2">
        <f ca="1"/>
        <v>8.0990387357757321E-2</v>
      </c>
      <c r="O4517" s="2">
        <f ca="1"/>
        <v>-1.0278199014354916</v>
      </c>
      <c r="X4517" s="2">
        <f ca="1"/>
        <v>69.147017891937736</v>
      </c>
      <c r="AG4517" s="2">
        <f ca="1"/>
        <v>0.65754146531200419</v>
      </c>
      <c r="AH4517" s="2" t="str">
        <f ca="1"/>
        <v>Bad</v>
      </c>
    </row>
    <row r="4518" spans="2:34" x14ac:dyDescent="0.2">
      <c r="B4518" s="2">
        <f ca="1"/>
        <v>0.79669639228362898</v>
      </c>
      <c r="O4518" s="2">
        <f ca="1"/>
        <v>-0.52710922504786006</v>
      </c>
      <c r="X4518" s="2">
        <f ca="1"/>
        <v>60.924691242897453</v>
      </c>
      <c r="AG4518" s="2">
        <f ca="1"/>
        <v>0.62750210300044329</v>
      </c>
      <c r="AH4518" s="2" t="str">
        <f ca="1"/>
        <v>Bad</v>
      </c>
    </row>
    <row r="4519" spans="2:34" x14ac:dyDescent="0.2">
      <c r="B4519" s="2">
        <f ca="1"/>
        <v>0.6080811143875684</v>
      </c>
      <c r="O4519" s="2">
        <f ca="1"/>
        <v>0.40292136431512643</v>
      </c>
      <c r="X4519" s="2">
        <f ca="1"/>
        <v>42.58215939684348</v>
      </c>
      <c r="AG4519" s="2">
        <f ca="1"/>
        <v>0.69034738472416035</v>
      </c>
      <c r="AH4519" s="2" t="str">
        <f ca="1"/>
        <v>Bad</v>
      </c>
    </row>
    <row r="4520" spans="2:34" x14ac:dyDescent="0.2">
      <c r="B4520" s="2">
        <f ca="1"/>
        <v>0.56439067551360633</v>
      </c>
      <c r="O4520" s="2">
        <f ca="1"/>
        <v>0.56605116963490676</v>
      </c>
      <c r="X4520" s="2">
        <f ca="1"/>
        <v>47.251831258844831</v>
      </c>
      <c r="AG4520" s="2">
        <f ca="1"/>
        <v>0.65424212980538399</v>
      </c>
      <c r="AH4520" s="2" t="str">
        <f ca="1"/>
        <v>Bad</v>
      </c>
    </row>
    <row r="4521" spans="2:34" x14ac:dyDescent="0.2">
      <c r="B4521" s="2">
        <f ca="1"/>
        <v>0.61714772062341394</v>
      </c>
      <c r="O4521" s="2">
        <f ca="1"/>
        <v>1.9791542366823793</v>
      </c>
      <c r="X4521" s="2">
        <f ca="1"/>
        <v>52.103804563921685</v>
      </c>
      <c r="AG4521" s="2">
        <f ca="1"/>
        <v>0.65440452468679755</v>
      </c>
      <c r="AH4521" s="2" t="str">
        <f ca="1"/>
        <v>Bad</v>
      </c>
    </row>
    <row r="4522" spans="2:34" x14ac:dyDescent="0.2">
      <c r="B4522" s="2">
        <f ca="1"/>
        <v>0.31517806287857519</v>
      </c>
      <c r="O4522" s="2">
        <f ca="1"/>
        <v>4.0825259944694693E-2</v>
      </c>
      <c r="X4522" s="2">
        <f ca="1"/>
        <v>34.764079851754332</v>
      </c>
      <c r="AG4522" s="2">
        <f ca="1"/>
        <v>0.21279676969779149</v>
      </c>
      <c r="AH4522" s="2" t="str">
        <f ca="1"/>
        <v>OK</v>
      </c>
    </row>
    <row r="4523" spans="2:34" x14ac:dyDescent="0.2">
      <c r="B4523" s="2">
        <f ca="1"/>
        <v>0.99574906908954652</v>
      </c>
      <c r="O4523" s="2">
        <f ca="1"/>
        <v>-8.8158129535455002E-2</v>
      </c>
      <c r="X4523" s="2">
        <f ca="1"/>
        <v>31.279040641174095</v>
      </c>
      <c r="AG4523" s="2">
        <f ca="1"/>
        <v>0.7060525745762285</v>
      </c>
      <c r="AH4523" s="2" t="str">
        <f ca="1"/>
        <v>Bad</v>
      </c>
    </row>
    <row r="4524" spans="2:34" x14ac:dyDescent="0.2">
      <c r="B4524" s="2">
        <f ca="1"/>
        <v>0.18678698587149989</v>
      </c>
      <c r="O4524" s="2">
        <f ca="1"/>
        <v>0.20922422253055803</v>
      </c>
      <c r="X4524" s="2">
        <f ca="1"/>
        <v>48.303134794998222</v>
      </c>
      <c r="AG4524" s="2">
        <f ca="1"/>
        <v>0.28419384358259658</v>
      </c>
      <c r="AH4524" s="2" t="str">
        <f ca="1"/>
        <v>OK</v>
      </c>
    </row>
    <row r="4525" spans="2:34" x14ac:dyDescent="0.2">
      <c r="B4525" s="2">
        <f ca="1"/>
        <v>0.29979143490359794</v>
      </c>
      <c r="O4525" s="2">
        <f ca="1"/>
        <v>0.41532317530453705</v>
      </c>
      <c r="X4525" s="2">
        <f ca="1"/>
        <v>42.840779006785837</v>
      </c>
      <c r="AG4525" s="2">
        <f ca="1"/>
        <v>8.8549348090185331E-2</v>
      </c>
      <c r="AH4525" s="2" t="str">
        <f ca="1"/>
        <v>OK</v>
      </c>
    </row>
    <row r="4526" spans="2:34" x14ac:dyDescent="0.2">
      <c r="B4526" s="2">
        <f ca="1"/>
        <v>0.32081347186082754</v>
      </c>
      <c r="O4526" s="2">
        <f ca="1"/>
        <v>-0.99832202869213682</v>
      </c>
      <c r="X4526" s="2">
        <f ca="1"/>
        <v>49.648946438253354</v>
      </c>
      <c r="AG4526" s="2">
        <f ca="1"/>
        <v>0.29705694912855352</v>
      </c>
      <c r="AH4526" s="2" t="str">
        <f ca="1"/>
        <v>OK</v>
      </c>
    </row>
    <row r="4527" spans="2:34" x14ac:dyDescent="0.2">
      <c r="B4527" s="2">
        <f ca="1"/>
        <v>0.12987794041043199</v>
      </c>
      <c r="O4527" s="2">
        <f ca="1"/>
        <v>-0.10145720773985496</v>
      </c>
      <c r="X4527" s="2">
        <f ca="1"/>
        <v>69.635411879593761</v>
      </c>
      <c r="AG4527" s="2">
        <f ca="1"/>
        <v>4.5718499507791277E-2</v>
      </c>
      <c r="AH4527" s="2" t="str">
        <f ca="1"/>
        <v>Good</v>
      </c>
    </row>
    <row r="4528" spans="2:34" x14ac:dyDescent="0.2">
      <c r="B4528" s="2">
        <f ca="1"/>
        <v>0.62018875750494296</v>
      </c>
      <c r="O4528" s="2">
        <f ca="1"/>
        <v>0.49882823268059528</v>
      </c>
      <c r="X4528" s="2">
        <f ca="1"/>
        <v>47.423146993917584</v>
      </c>
      <c r="AG4528" s="2">
        <f ca="1"/>
        <v>0.58018718715328688</v>
      </c>
      <c r="AH4528" s="2" t="str">
        <f ca="1"/>
        <v>Bad</v>
      </c>
    </row>
    <row r="4529" spans="2:34" x14ac:dyDescent="0.2">
      <c r="B4529" s="2">
        <f ca="1"/>
        <v>0.82863612820422228</v>
      </c>
      <c r="O4529" s="2">
        <f ca="1"/>
        <v>0.39814239016615416</v>
      </c>
      <c r="X4529" s="2">
        <f ca="1"/>
        <v>53.951254338281302</v>
      </c>
      <c r="AG4529" s="2">
        <f ca="1"/>
        <v>0.70347660915127075</v>
      </c>
      <c r="AH4529" s="2" t="str">
        <f ca="1"/>
        <v>Bad</v>
      </c>
    </row>
    <row r="4530" spans="2:34" x14ac:dyDescent="0.2">
      <c r="B4530" s="2">
        <f ca="1"/>
        <v>7.5090375562876233E-3</v>
      </c>
      <c r="O4530" s="2">
        <f ca="1"/>
        <v>0.39144694605883668</v>
      </c>
      <c r="X4530" s="2">
        <f ca="1"/>
        <v>46.818692420841721</v>
      </c>
      <c r="AG4530" s="2">
        <f ca="1"/>
        <v>0.32606568998427399</v>
      </c>
      <c r="AH4530" s="2" t="str">
        <f ca="1"/>
        <v>OK</v>
      </c>
    </row>
    <row r="4531" spans="2:34" x14ac:dyDescent="0.2">
      <c r="B4531" s="2">
        <f ca="1"/>
        <v>0.79375158572251836</v>
      </c>
      <c r="O4531" s="2">
        <f ca="1"/>
        <v>0.29585065390159038</v>
      </c>
      <c r="X4531" s="2">
        <f ca="1"/>
        <v>58.933060518596307</v>
      </c>
      <c r="AG4531" s="2">
        <f ca="1"/>
        <v>3.1464198829274537E-2</v>
      </c>
      <c r="AH4531" s="2" t="str">
        <f ca="1"/>
        <v>Good</v>
      </c>
    </row>
    <row r="4532" spans="2:34" x14ac:dyDescent="0.2">
      <c r="B4532" s="2">
        <f ca="1"/>
        <v>0.28030395615209502</v>
      </c>
      <c r="O4532" s="2">
        <f ca="1"/>
        <v>0.78561549812145925</v>
      </c>
      <c r="X4532" s="2">
        <f ca="1"/>
        <v>47.406370689933517</v>
      </c>
      <c r="AG4532" s="2">
        <f ca="1"/>
        <v>0.99177083881533679</v>
      </c>
      <c r="AH4532" s="2" t="str">
        <f ca="1"/>
        <v>Bad</v>
      </c>
    </row>
    <row r="4533" spans="2:34" x14ac:dyDescent="0.2">
      <c r="B4533" s="2">
        <f ca="1"/>
        <v>0.90745483673113592</v>
      </c>
      <c r="O4533" s="2">
        <f ca="1"/>
        <v>-5.6773099431843381E-2</v>
      </c>
      <c r="X4533" s="2">
        <f ca="1"/>
        <v>48.474653377026293</v>
      </c>
      <c r="AG4533" s="2">
        <f ca="1"/>
        <v>0.97793801925177726</v>
      </c>
      <c r="AH4533" s="2" t="str">
        <f ca="1"/>
        <v>Bad</v>
      </c>
    </row>
    <row r="4534" spans="2:34" x14ac:dyDescent="0.2">
      <c r="B4534" s="2">
        <f ca="1"/>
        <v>3.8194287498366064E-2</v>
      </c>
      <c r="O4534" s="2">
        <f ca="1"/>
        <v>0.777167061900641</v>
      </c>
      <c r="X4534" s="2">
        <f ca="1"/>
        <v>36.050330933120918</v>
      </c>
      <c r="AG4534" s="2">
        <f ca="1"/>
        <v>0.46220464816992601</v>
      </c>
      <c r="AH4534" s="2" t="str">
        <f ca="1"/>
        <v>Bad</v>
      </c>
    </row>
    <row r="4535" spans="2:34" x14ac:dyDescent="0.2">
      <c r="B4535" s="2">
        <f ca="1"/>
        <v>0.43836501608875533</v>
      </c>
      <c r="O4535" s="2">
        <f ca="1"/>
        <v>-4.5056933766149464E-2</v>
      </c>
      <c r="X4535" s="2">
        <f ca="1"/>
        <v>39.504485933052905</v>
      </c>
      <c r="AG4535" s="2">
        <f ca="1"/>
        <v>0.69125567973590618</v>
      </c>
      <c r="AH4535" s="2" t="str">
        <f ca="1"/>
        <v>Bad</v>
      </c>
    </row>
    <row r="4536" spans="2:34" x14ac:dyDescent="0.2">
      <c r="B4536" s="2">
        <f ca="1"/>
        <v>0.27092430575923121</v>
      </c>
      <c r="O4536" s="2">
        <f ca="1"/>
        <v>-0.82060398173593341</v>
      </c>
      <c r="X4536" s="2">
        <f ca="1"/>
        <v>36.516624445135328</v>
      </c>
      <c r="AG4536" s="2">
        <f ca="1"/>
        <v>0.90471283747327047</v>
      </c>
      <c r="AH4536" s="2" t="str">
        <f ca="1"/>
        <v>Bad</v>
      </c>
    </row>
    <row r="4537" spans="2:34" x14ac:dyDescent="0.2">
      <c r="B4537" s="2">
        <f ca="1"/>
        <v>9.5789443450016387E-2</v>
      </c>
      <c r="O4537" s="2">
        <f ca="1"/>
        <v>0.37082019319526549</v>
      </c>
      <c r="X4537" s="2">
        <f ca="1"/>
        <v>58.461972031071525</v>
      </c>
      <c r="AG4537" s="2">
        <f ca="1"/>
        <v>7.9944725077258472E-2</v>
      </c>
      <c r="AH4537" s="2" t="str">
        <f ca="1"/>
        <v>OK</v>
      </c>
    </row>
    <row r="4538" spans="2:34" x14ac:dyDescent="0.2">
      <c r="B4538" s="2">
        <f ca="1"/>
        <v>0.43919382246582805</v>
      </c>
      <c r="O4538" s="2">
        <f ca="1"/>
        <v>1.3849138683572884</v>
      </c>
      <c r="X4538" s="2">
        <f ca="1"/>
        <v>47.03181153843795</v>
      </c>
      <c r="AG4538" s="2">
        <f ca="1"/>
        <v>0.64221213606160443</v>
      </c>
      <c r="AH4538" s="2" t="str">
        <f ca="1"/>
        <v>Bad</v>
      </c>
    </row>
    <row r="4539" spans="2:34" x14ac:dyDescent="0.2">
      <c r="B4539" s="2">
        <f ca="1"/>
        <v>0.71025643564651575</v>
      </c>
      <c r="O4539" s="2">
        <f ca="1"/>
        <v>-0.44424541252579985</v>
      </c>
      <c r="X4539" s="2">
        <f ca="1"/>
        <v>46.343204256502297</v>
      </c>
      <c r="AG4539" s="2">
        <f ca="1"/>
        <v>0.17046577082972303</v>
      </c>
      <c r="AH4539" s="2" t="str">
        <f ca="1"/>
        <v>OK</v>
      </c>
    </row>
    <row r="4540" spans="2:34" x14ac:dyDescent="0.2">
      <c r="B4540" s="2">
        <f ca="1"/>
        <v>0.45861270925770548</v>
      </c>
      <c r="O4540" s="2">
        <f ca="1"/>
        <v>1.2847904999114905</v>
      </c>
      <c r="X4540" s="2">
        <f ca="1"/>
        <v>27.541214020736568</v>
      </c>
      <c r="AG4540" s="2">
        <f ca="1"/>
        <v>0.19082869743097697</v>
      </c>
      <c r="AH4540" s="2" t="str">
        <f ca="1"/>
        <v>OK</v>
      </c>
    </row>
    <row r="4541" spans="2:34" x14ac:dyDescent="0.2">
      <c r="B4541" s="2">
        <f ca="1"/>
        <v>0.6908950873001205</v>
      </c>
      <c r="O4541" s="2">
        <f ca="1"/>
        <v>-0.52085172040062389</v>
      </c>
      <c r="X4541" s="2">
        <f ca="1"/>
        <v>105.87656660734953</v>
      </c>
      <c r="AG4541" s="2">
        <f ca="1"/>
        <v>0.61403473832857891</v>
      </c>
      <c r="AH4541" s="2" t="str">
        <f ca="1"/>
        <v>Bad</v>
      </c>
    </row>
    <row r="4542" spans="2:34" x14ac:dyDescent="0.2">
      <c r="B4542" s="2">
        <f ca="1"/>
        <v>8.3305268810593747E-2</v>
      </c>
      <c r="O4542" s="2">
        <f ca="1"/>
        <v>-0.34717247883759</v>
      </c>
      <c r="X4542" s="2">
        <f ca="1"/>
        <v>38.921000608610015</v>
      </c>
      <c r="AG4542" s="2">
        <f ca="1"/>
        <v>0.58337512283410908</v>
      </c>
      <c r="AH4542" s="2" t="str">
        <f ca="1"/>
        <v>Bad</v>
      </c>
    </row>
    <row r="4543" spans="2:34" x14ac:dyDescent="0.2">
      <c r="B4543" s="2">
        <f ca="1"/>
        <v>0.12219579936717873</v>
      </c>
      <c r="O4543" s="2">
        <f ca="1"/>
        <v>0.52139114646861384</v>
      </c>
      <c r="X4543" s="2">
        <f ca="1"/>
        <v>25.581487825431239</v>
      </c>
      <c r="AG4543" s="2">
        <f ca="1"/>
        <v>0.46938185520594367</v>
      </c>
      <c r="AH4543" s="2" t="str">
        <f ca="1"/>
        <v>Bad</v>
      </c>
    </row>
    <row r="4544" spans="2:34" x14ac:dyDescent="0.2">
      <c r="B4544" s="2">
        <f ca="1"/>
        <v>0.31977495881913187</v>
      </c>
      <c r="O4544" s="2">
        <f ca="1"/>
        <v>-0.33130333913932197</v>
      </c>
      <c r="X4544" s="2">
        <f ca="1"/>
        <v>56.895631341531285</v>
      </c>
      <c r="AG4544" s="2">
        <f ca="1"/>
        <v>0.55493331582303163</v>
      </c>
      <c r="AH4544" s="2" t="str">
        <f ca="1"/>
        <v>Bad</v>
      </c>
    </row>
    <row r="4545" spans="2:34" x14ac:dyDescent="0.2">
      <c r="B4545" s="2">
        <f ca="1"/>
        <v>0.59360027052352637</v>
      </c>
      <c r="O4545" s="2">
        <f ca="1"/>
        <v>-0.94054967889601337</v>
      </c>
      <c r="X4545" s="2">
        <f ca="1"/>
        <v>54.403452999909945</v>
      </c>
      <c r="AG4545" s="2">
        <f ca="1"/>
        <v>0.1790987603640195</v>
      </c>
      <c r="AH4545" s="2" t="str">
        <f ca="1"/>
        <v>OK</v>
      </c>
    </row>
    <row r="4546" spans="2:34" x14ac:dyDescent="0.2">
      <c r="B4546" s="2">
        <f ca="1"/>
        <v>0.32186686324472547</v>
      </c>
      <c r="O4546" s="2">
        <f ca="1"/>
        <v>-1.3501481719839616</v>
      </c>
      <c r="X4546" s="2">
        <f ca="1"/>
        <v>60.268935833076995</v>
      </c>
      <c r="AG4546" s="2">
        <f ca="1"/>
        <v>0.39408901191434564</v>
      </c>
      <c r="AH4546" s="2" t="str">
        <f ca="1"/>
        <v>OK</v>
      </c>
    </row>
    <row r="4547" spans="2:34" x14ac:dyDescent="0.2">
      <c r="B4547" s="2">
        <f ca="1"/>
        <v>0.56940372135610007</v>
      </c>
      <c r="O4547" s="2">
        <f ca="1"/>
        <v>0.39698197691561615</v>
      </c>
      <c r="X4547" s="2">
        <f ca="1"/>
        <v>35.571242726630857</v>
      </c>
      <c r="AG4547" s="2">
        <f ca="1"/>
        <v>0.1493797275603348</v>
      </c>
      <c r="AH4547" s="2" t="str">
        <f ca="1"/>
        <v>OK</v>
      </c>
    </row>
    <row r="4548" spans="2:34" x14ac:dyDescent="0.2">
      <c r="B4548" s="2">
        <f ca="1"/>
        <v>0.97487878033762287</v>
      </c>
      <c r="O4548" s="2">
        <f ca="1"/>
        <v>-1.1925025900434703</v>
      </c>
      <c r="X4548" s="2">
        <f ca="1"/>
        <v>68.123130650528239</v>
      </c>
      <c r="AG4548" s="2">
        <f ca="1"/>
        <v>0.68930936433562762</v>
      </c>
      <c r="AH4548" s="2" t="str">
        <f ca="1"/>
        <v>Bad</v>
      </c>
    </row>
    <row r="4549" spans="2:34" x14ac:dyDescent="0.2">
      <c r="B4549" s="2">
        <f ca="1"/>
        <v>0.7458920453574609</v>
      </c>
      <c r="O4549" s="2">
        <f ca="1"/>
        <v>0.61083195127974066</v>
      </c>
      <c r="X4549" s="2">
        <f ca="1"/>
        <v>52.870124272421478</v>
      </c>
      <c r="AG4549" s="2">
        <f ca="1"/>
        <v>0.79509297049867111</v>
      </c>
      <c r="AH4549" s="2" t="str">
        <f ca="1"/>
        <v>Bad</v>
      </c>
    </row>
    <row r="4550" spans="2:34" x14ac:dyDescent="0.2">
      <c r="B4550" s="2">
        <f ca="1"/>
        <v>0.54933357644036018</v>
      </c>
      <c r="O4550" s="2">
        <f ca="1"/>
        <v>7.5431003932291379E-2</v>
      </c>
      <c r="X4550" s="2">
        <f ca="1"/>
        <v>36.736423259438375</v>
      </c>
      <c r="AG4550" s="2">
        <f ca="1"/>
        <v>0.72282127919628048</v>
      </c>
      <c r="AH4550" s="2" t="str">
        <f ca="1"/>
        <v>Bad</v>
      </c>
    </row>
    <row r="4551" spans="2:34" x14ac:dyDescent="0.2">
      <c r="B4551" s="2">
        <f ca="1"/>
        <v>0.77701894621704048</v>
      </c>
      <c r="O4551" s="2">
        <f ca="1"/>
        <v>-0.1233556692600737</v>
      </c>
      <c r="X4551" s="2">
        <f ca="1"/>
        <v>46.115296713790698</v>
      </c>
      <c r="AG4551" s="2">
        <f ca="1"/>
        <v>0.66592454233715914</v>
      </c>
      <c r="AH4551" s="2" t="str">
        <f ca="1"/>
        <v>Bad</v>
      </c>
    </row>
    <row r="4552" spans="2:34" x14ac:dyDescent="0.2">
      <c r="B4552" s="2">
        <f ca="1"/>
        <v>0.15959362198168714</v>
      </c>
      <c r="O4552" s="2">
        <f ca="1"/>
        <v>-2.5715538887007954</v>
      </c>
      <c r="X4552" s="2">
        <f ca="1"/>
        <v>41.63350615580746</v>
      </c>
      <c r="AG4552" s="2">
        <f ca="1"/>
        <v>0.48344808418720575</v>
      </c>
      <c r="AH4552" s="2" t="str">
        <f ca="1"/>
        <v>Bad</v>
      </c>
    </row>
    <row r="4553" spans="2:34" x14ac:dyDescent="0.2">
      <c r="B4553" s="2">
        <f ca="1"/>
        <v>0.12628178545210034</v>
      </c>
      <c r="O4553" s="2">
        <f ca="1"/>
        <v>1.7441120531131298</v>
      </c>
      <c r="X4553" s="2">
        <f ca="1"/>
        <v>75.027049392474822</v>
      </c>
      <c r="AG4553" s="2">
        <f ca="1"/>
        <v>0.20669031472552257</v>
      </c>
      <c r="AH4553" s="2" t="str">
        <f ca="1"/>
        <v>OK</v>
      </c>
    </row>
    <row r="4554" spans="2:34" x14ac:dyDescent="0.2">
      <c r="B4554" s="2">
        <f ca="1"/>
        <v>0.10867598647504106</v>
      </c>
      <c r="O4554" s="2">
        <f ca="1"/>
        <v>0.79473969286501422</v>
      </c>
      <c r="X4554" s="2">
        <f ca="1"/>
        <v>46.999147179723352</v>
      </c>
      <c r="AG4554" s="2">
        <f ca="1"/>
        <v>0.10979083867189776</v>
      </c>
      <c r="AH4554" s="2" t="str">
        <f ca="1"/>
        <v>OK</v>
      </c>
    </row>
    <row r="4555" spans="2:34" x14ac:dyDescent="0.2">
      <c r="B4555" s="2">
        <f ca="1"/>
        <v>0.96257304080440065</v>
      </c>
      <c r="O4555" s="2">
        <f ca="1"/>
        <v>-2.3291806125268497</v>
      </c>
      <c r="X4555" s="2">
        <f ca="1"/>
        <v>38.279871058581143</v>
      </c>
      <c r="AG4555" s="2">
        <f ca="1"/>
        <v>0.8843252476472625</v>
      </c>
      <c r="AH4555" s="2" t="str">
        <f ca="1"/>
        <v>Bad</v>
      </c>
    </row>
    <row r="4556" spans="2:34" x14ac:dyDescent="0.2">
      <c r="B4556" s="2">
        <f ca="1"/>
        <v>0.30768582840294889</v>
      </c>
      <c r="O4556" s="2">
        <f ca="1"/>
        <v>0.75770390510069741</v>
      </c>
      <c r="X4556" s="2">
        <f ca="1"/>
        <v>50.697580410218571</v>
      </c>
      <c r="AG4556" s="2">
        <f ca="1"/>
        <v>0.17943439153106344</v>
      </c>
      <c r="AH4556" s="2" t="str">
        <f ca="1"/>
        <v>OK</v>
      </c>
    </row>
    <row r="4557" spans="2:34" x14ac:dyDescent="0.2">
      <c r="B4557" s="2">
        <f ca="1"/>
        <v>0.39369263184930814</v>
      </c>
      <c r="O4557" s="2">
        <f ca="1"/>
        <v>-0.95617460701678036</v>
      </c>
      <c r="X4557" s="2">
        <f ca="1"/>
        <v>37.367750365207584</v>
      </c>
      <c r="AG4557" s="2">
        <f ca="1"/>
        <v>0.54131918960755976</v>
      </c>
      <c r="AH4557" s="2" t="str">
        <f ca="1"/>
        <v>Bad</v>
      </c>
    </row>
    <row r="4558" spans="2:34" x14ac:dyDescent="0.2">
      <c r="B4558" s="2">
        <f ca="1"/>
        <v>0.15002560433632661</v>
      </c>
      <c r="O4558" s="2">
        <f ca="1"/>
        <v>-1.8068891897574297</v>
      </c>
      <c r="X4558" s="2">
        <f ca="1"/>
        <v>40.491364573990715</v>
      </c>
      <c r="AG4558" s="2">
        <f ca="1"/>
        <v>0.94770433122916664</v>
      </c>
      <c r="AH4558" s="2" t="str">
        <f ca="1"/>
        <v>Bad</v>
      </c>
    </row>
    <row r="4559" spans="2:34" x14ac:dyDescent="0.2">
      <c r="B4559" s="2">
        <f ca="1"/>
        <v>0.29392287991895283</v>
      </c>
      <c r="O4559" s="2">
        <f ca="1"/>
        <v>-0.35733993878789277</v>
      </c>
      <c r="X4559" s="2">
        <f ca="1"/>
        <v>48.339042225804036</v>
      </c>
      <c r="AG4559" s="2">
        <f ca="1"/>
        <v>0.85406014971457545</v>
      </c>
      <c r="AH4559" s="2" t="str">
        <f ca="1"/>
        <v>Bad</v>
      </c>
    </row>
    <row r="4560" spans="2:34" x14ac:dyDescent="0.2">
      <c r="B4560" s="2">
        <f ca="1"/>
        <v>0.9949849712797787</v>
      </c>
      <c r="O4560" s="2">
        <f ca="1"/>
        <v>1.3234536881346954</v>
      </c>
      <c r="X4560" s="2">
        <f ca="1"/>
        <v>40.883969317480606</v>
      </c>
      <c r="AG4560" s="2">
        <f ca="1"/>
        <v>0.46462415080249708</v>
      </c>
      <c r="AH4560" s="2" t="str">
        <f ca="1"/>
        <v>Bad</v>
      </c>
    </row>
    <row r="4561" spans="2:34" x14ac:dyDescent="0.2">
      <c r="B4561" s="2">
        <f ca="1"/>
        <v>0.10368734395992663</v>
      </c>
      <c r="O4561" s="2">
        <f ca="1"/>
        <v>-2.8964655111041764</v>
      </c>
      <c r="X4561" s="2">
        <f ca="1"/>
        <v>60.027051445458575</v>
      </c>
      <c r="AG4561" s="2">
        <f ca="1"/>
        <v>0.96610953690914059</v>
      </c>
      <c r="AH4561" s="2" t="str">
        <f ca="1"/>
        <v>Bad</v>
      </c>
    </row>
    <row r="4562" spans="2:34" x14ac:dyDescent="0.2">
      <c r="B4562" s="2">
        <f ca="1"/>
        <v>0.61529411297525582</v>
      </c>
      <c r="O4562" s="2">
        <f ca="1"/>
        <v>0.16872139698372066</v>
      </c>
      <c r="X4562" s="2">
        <f ca="1"/>
        <v>58.037665217811551</v>
      </c>
      <c r="AG4562" s="2">
        <f ca="1"/>
        <v>0.32544055758840851</v>
      </c>
      <c r="AH4562" s="2" t="str">
        <f ca="1"/>
        <v>OK</v>
      </c>
    </row>
    <row r="4563" spans="2:34" x14ac:dyDescent="0.2">
      <c r="B4563" s="2">
        <f ca="1"/>
        <v>0.10623724672325285</v>
      </c>
      <c r="O4563" s="2">
        <f ca="1"/>
        <v>0.24772485353445098</v>
      </c>
      <c r="X4563" s="2">
        <f ca="1"/>
        <v>46.224945614243246</v>
      </c>
      <c r="AG4563" s="2">
        <f ca="1"/>
        <v>0.29322376863099486</v>
      </c>
      <c r="AH4563" s="2" t="str">
        <f ca="1"/>
        <v>OK</v>
      </c>
    </row>
    <row r="4564" spans="2:34" x14ac:dyDescent="0.2">
      <c r="B4564" s="2">
        <f ca="1"/>
        <v>0.85518211371430874</v>
      </c>
      <c r="O4564" s="2">
        <f ca="1"/>
        <v>0.76916991465291051</v>
      </c>
      <c r="X4564" s="2">
        <f ca="1"/>
        <v>38.293103185485293</v>
      </c>
      <c r="AG4564" s="2">
        <f ca="1"/>
        <v>0.97744578221702993</v>
      </c>
      <c r="AH4564" s="2" t="str">
        <f ca="1"/>
        <v>Bad</v>
      </c>
    </row>
    <row r="4565" spans="2:34" x14ac:dyDescent="0.2">
      <c r="B4565" s="2">
        <f ca="1"/>
        <v>0.51424804183427031</v>
      </c>
      <c r="O4565" s="2">
        <f ca="1"/>
        <v>0.41256169297668505</v>
      </c>
      <c r="X4565" s="2">
        <f ca="1"/>
        <v>36.233197583666751</v>
      </c>
      <c r="AG4565" s="2">
        <f ca="1"/>
        <v>0.59400250050988457</v>
      </c>
      <c r="AH4565" s="2" t="str">
        <f ca="1"/>
        <v>Bad</v>
      </c>
    </row>
    <row r="4566" spans="2:34" x14ac:dyDescent="0.2">
      <c r="B4566" s="2">
        <f ca="1"/>
        <v>0.57288877586672027</v>
      </c>
      <c r="O4566" s="2">
        <f ca="1"/>
        <v>-1.1378624588453543</v>
      </c>
      <c r="X4566" s="2">
        <f ca="1"/>
        <v>45.789422857344917</v>
      </c>
      <c r="AG4566" s="2">
        <f ca="1"/>
        <v>0.37783348662984184</v>
      </c>
      <c r="AH4566" s="2" t="str">
        <f ca="1"/>
        <v>OK</v>
      </c>
    </row>
    <row r="4567" spans="2:34" x14ac:dyDescent="0.2">
      <c r="B4567" s="2">
        <f ca="1"/>
        <v>0.16499082995822656</v>
      </c>
      <c r="O4567" s="2">
        <f ca="1"/>
        <v>0.83195811361994643</v>
      </c>
      <c r="X4567" s="2">
        <f ca="1"/>
        <v>38.945589348391039</v>
      </c>
      <c r="AG4567" s="2">
        <f ca="1"/>
        <v>0.66370808722580921</v>
      </c>
      <c r="AH4567" s="2" t="str">
        <f ca="1"/>
        <v>Bad</v>
      </c>
    </row>
    <row r="4568" spans="2:34" x14ac:dyDescent="0.2">
      <c r="B4568" s="2">
        <f ca="1"/>
        <v>0.44225949595972058</v>
      </c>
      <c r="O4568" s="2">
        <f ca="1"/>
        <v>-1.0285938158953192</v>
      </c>
      <c r="X4568" s="2">
        <f ca="1"/>
        <v>44.415446546384565</v>
      </c>
      <c r="AG4568" s="2">
        <f ca="1"/>
        <v>0.91490790500129804</v>
      </c>
      <c r="AH4568" s="2" t="str">
        <f ca="1"/>
        <v>Bad</v>
      </c>
    </row>
    <row r="4569" spans="2:34" x14ac:dyDescent="0.2">
      <c r="B4569" s="2">
        <f ca="1"/>
        <v>0.60970124785411506</v>
      </c>
      <c r="O4569" s="2">
        <f ca="1"/>
        <v>-0.12808500739234316</v>
      </c>
      <c r="X4569" s="2">
        <f ca="1"/>
        <v>54.120572383009275</v>
      </c>
      <c r="AG4569" s="2">
        <f ca="1"/>
        <v>0.21857717950177835</v>
      </c>
      <c r="AH4569" s="2" t="str">
        <f ca="1"/>
        <v>OK</v>
      </c>
    </row>
    <row r="4570" spans="2:34" x14ac:dyDescent="0.2">
      <c r="B4570" s="2">
        <f ca="1"/>
        <v>0.40238439997632014</v>
      </c>
      <c r="O4570" s="2">
        <f ca="1"/>
        <v>-1.6449574401710834</v>
      </c>
      <c r="X4570" s="2">
        <f ca="1"/>
        <v>76.215041734278685</v>
      </c>
      <c r="AG4570" s="2">
        <f ca="1"/>
        <v>0.56628593153371654</v>
      </c>
      <c r="AH4570" s="2" t="str">
        <f ca="1"/>
        <v>Bad</v>
      </c>
    </row>
    <row r="4571" spans="2:34" x14ac:dyDescent="0.2">
      <c r="B4571" s="2">
        <f ca="1"/>
        <v>0.78984382236961936</v>
      </c>
      <c r="O4571" s="2">
        <f ca="1"/>
        <v>-1.2926763013074438</v>
      </c>
      <c r="X4571" s="2">
        <f ca="1"/>
        <v>29.119340032046534</v>
      </c>
      <c r="AG4571" s="2">
        <f ca="1"/>
        <v>0.84214340448798053</v>
      </c>
      <c r="AH4571" s="2" t="str">
        <f ca="1"/>
        <v>Bad</v>
      </c>
    </row>
    <row r="4572" spans="2:34" x14ac:dyDescent="0.2">
      <c r="B4572" s="2">
        <f ca="1"/>
        <v>0.25640118589026151</v>
      </c>
      <c r="O4572" s="2">
        <f ca="1"/>
        <v>-1.2642823473704989</v>
      </c>
      <c r="X4572" s="2">
        <f ca="1"/>
        <v>42.104548357582814</v>
      </c>
      <c r="AG4572" s="2">
        <f ca="1"/>
        <v>0.47469274694329244</v>
      </c>
      <c r="AH4572" s="2" t="str">
        <f ca="1"/>
        <v>Bad</v>
      </c>
    </row>
    <row r="4573" spans="2:34" x14ac:dyDescent="0.2">
      <c r="B4573" s="2">
        <f ca="1"/>
        <v>0.94217792817110491</v>
      </c>
      <c r="O4573" s="2">
        <f ca="1"/>
        <v>-0.25052133709136992</v>
      </c>
      <c r="X4573" s="2">
        <f ca="1"/>
        <v>51.690731160230982</v>
      </c>
      <c r="AG4573" s="2">
        <f ca="1"/>
        <v>0.89609262408939938</v>
      </c>
      <c r="AH4573" s="2" t="str">
        <f ca="1"/>
        <v>Bad</v>
      </c>
    </row>
    <row r="4574" spans="2:34" x14ac:dyDescent="0.2">
      <c r="B4574" s="2">
        <f ca="1"/>
        <v>0.88265590659155535</v>
      </c>
      <c r="O4574" s="2">
        <f ca="1"/>
        <v>0.39541749363235951</v>
      </c>
      <c r="X4574" s="2">
        <f ca="1"/>
        <v>29.267086268538772</v>
      </c>
      <c r="AG4574" s="2">
        <f ca="1"/>
        <v>0.39593114749177105</v>
      </c>
      <c r="AH4574" s="2" t="str">
        <f ca="1"/>
        <v>OK</v>
      </c>
    </row>
    <row r="4575" spans="2:34" x14ac:dyDescent="0.2">
      <c r="B4575" s="2">
        <f ca="1"/>
        <v>0.30773784536539406</v>
      </c>
      <c r="O4575" s="2">
        <f ca="1"/>
        <v>1.2161369130203241</v>
      </c>
      <c r="X4575" s="2">
        <f ca="1"/>
        <v>41.285332515685759</v>
      </c>
      <c r="AG4575" s="2">
        <f ca="1"/>
        <v>0.9649269861285712</v>
      </c>
      <c r="AH4575" s="2" t="str">
        <f ca="1"/>
        <v>Bad</v>
      </c>
    </row>
    <row r="4576" spans="2:34" x14ac:dyDescent="0.2">
      <c r="B4576" s="2">
        <f ca="1"/>
        <v>0.16868680148050785</v>
      </c>
      <c r="O4576" s="2">
        <f ca="1"/>
        <v>-0.27540769221144557</v>
      </c>
      <c r="X4576" s="2">
        <f ca="1"/>
        <v>39.362124993521483</v>
      </c>
      <c r="AG4576" s="2">
        <f ca="1"/>
        <v>0.8358620348783794</v>
      </c>
      <c r="AH4576" s="2" t="str">
        <f ca="1"/>
        <v>Bad</v>
      </c>
    </row>
    <row r="4577" spans="2:34" x14ac:dyDescent="0.2">
      <c r="B4577" s="2">
        <f ca="1"/>
        <v>0.22261857848212596</v>
      </c>
      <c r="O4577" s="2">
        <f ca="1"/>
        <v>0.16121262871069009</v>
      </c>
      <c r="X4577" s="2">
        <f ca="1"/>
        <v>66.377952988671979</v>
      </c>
      <c r="AG4577" s="2">
        <f ca="1"/>
        <v>0.18049472777810616</v>
      </c>
      <c r="AH4577" s="2" t="str">
        <f ca="1"/>
        <v>OK</v>
      </c>
    </row>
    <row r="4578" spans="2:34" x14ac:dyDescent="0.2">
      <c r="B4578" s="2">
        <f ca="1"/>
        <v>0.21914464484869711</v>
      </c>
      <c r="O4578" s="2">
        <f ca="1"/>
        <v>-1.1097155011662938</v>
      </c>
      <c r="X4578" s="2">
        <f ca="1"/>
        <v>29.287887918256835</v>
      </c>
      <c r="AG4578" s="2">
        <f ca="1"/>
        <v>0.47928410412255062</v>
      </c>
      <c r="AH4578" s="2" t="str">
        <f ca="1"/>
        <v>Bad</v>
      </c>
    </row>
    <row r="4579" spans="2:34" x14ac:dyDescent="0.2">
      <c r="B4579" s="2">
        <f ca="1"/>
        <v>0.89591808593283906</v>
      </c>
      <c r="O4579" s="2">
        <f ca="1"/>
        <v>1.1314769376977241</v>
      </c>
      <c r="X4579" s="2">
        <f ca="1"/>
        <v>43.805059354866614</v>
      </c>
      <c r="AG4579" s="2">
        <f ca="1"/>
        <v>5.7359800850177667E-2</v>
      </c>
      <c r="AH4579" s="2" t="str">
        <f ca="1"/>
        <v>OK</v>
      </c>
    </row>
    <row r="4580" spans="2:34" x14ac:dyDescent="0.2">
      <c r="B4580" s="2">
        <f ca="1"/>
        <v>7.0719579500234442E-2</v>
      </c>
      <c r="O4580" s="2">
        <f ca="1"/>
        <v>-2.7221970218635617E-3</v>
      </c>
      <c r="X4580" s="2">
        <f ca="1"/>
        <v>37.966924425173083</v>
      </c>
      <c r="AG4580" s="2">
        <f ca="1"/>
        <v>0.90491853467020622</v>
      </c>
      <c r="AH4580" s="2" t="str">
        <f ca="1"/>
        <v>Bad</v>
      </c>
    </row>
    <row r="4581" spans="2:34" x14ac:dyDescent="0.2">
      <c r="B4581" s="2">
        <f ca="1"/>
        <v>6.5052489945377268E-2</v>
      </c>
      <c r="O4581" s="2">
        <f ca="1"/>
        <v>0.6185918587873076</v>
      </c>
      <c r="X4581" s="2">
        <f ca="1"/>
        <v>52.052189757868142</v>
      </c>
      <c r="AG4581" s="2">
        <f ca="1"/>
        <v>0.44216110390313546</v>
      </c>
      <c r="AH4581" s="2" t="str">
        <f ca="1"/>
        <v>Bad</v>
      </c>
    </row>
    <row r="4582" spans="2:34" x14ac:dyDescent="0.2">
      <c r="B4582" s="2">
        <f ca="1"/>
        <v>0.75626872642734133</v>
      </c>
      <c r="O4582" s="2">
        <f ca="1"/>
        <v>-0.56789961250186627</v>
      </c>
      <c r="X4582" s="2">
        <f ca="1"/>
        <v>24.331969547826098</v>
      </c>
      <c r="AG4582" s="2">
        <f ca="1"/>
        <v>0.39548024479898136</v>
      </c>
      <c r="AH4582" s="2" t="str">
        <f ca="1"/>
        <v>OK</v>
      </c>
    </row>
    <row r="4583" spans="2:34" x14ac:dyDescent="0.2">
      <c r="B4583" s="2">
        <f ca="1"/>
        <v>0.95969465686807509</v>
      </c>
      <c r="O4583" s="2">
        <f ca="1"/>
        <v>0.16511568141896124</v>
      </c>
      <c r="X4583" s="2">
        <f ca="1"/>
        <v>30.04295436465047</v>
      </c>
      <c r="AG4583" s="2">
        <f ca="1"/>
        <v>0.78827951794580464</v>
      </c>
      <c r="AH4583" s="2" t="str">
        <f ca="1"/>
        <v>Bad</v>
      </c>
    </row>
    <row r="4584" spans="2:34" x14ac:dyDescent="0.2">
      <c r="B4584" s="2">
        <f ca="1"/>
        <v>0.49221877675444925</v>
      </c>
      <c r="O4584" s="2">
        <f ca="1"/>
        <v>0.2539735472970201</v>
      </c>
      <c r="X4584" s="2">
        <f ca="1"/>
        <v>67.158546356663408</v>
      </c>
      <c r="AG4584" s="2">
        <f ca="1"/>
        <v>0.39861832991127466</v>
      </c>
      <c r="AH4584" s="2" t="str">
        <f ca="1"/>
        <v>OK</v>
      </c>
    </row>
    <row r="4585" spans="2:34" x14ac:dyDescent="0.2">
      <c r="B4585" s="2">
        <f ca="1"/>
        <v>0.82876210100120362</v>
      </c>
      <c r="O4585" s="2">
        <f ca="1"/>
        <v>-0.57907632800350273</v>
      </c>
      <c r="X4585" s="2">
        <f ca="1"/>
        <v>48.532315219731352</v>
      </c>
      <c r="AG4585" s="2">
        <f ca="1"/>
        <v>0.42589645177778435</v>
      </c>
      <c r="AH4585" s="2" t="str">
        <f ca="1"/>
        <v>Bad</v>
      </c>
    </row>
    <row r="4586" spans="2:34" x14ac:dyDescent="0.2">
      <c r="B4586" s="2">
        <f ca="1"/>
        <v>8.3095358712190981E-2</v>
      </c>
      <c r="O4586" s="2">
        <f ca="1"/>
        <v>0.58368566631172192</v>
      </c>
      <c r="X4586" s="2">
        <f ca="1"/>
        <v>29.934020091109247</v>
      </c>
      <c r="AG4586" s="2">
        <f ca="1"/>
        <v>0.25123078199030879</v>
      </c>
      <c r="AH4586" s="2" t="str">
        <f ca="1"/>
        <v>OK</v>
      </c>
    </row>
    <row r="4587" spans="2:34" x14ac:dyDescent="0.2">
      <c r="B4587" s="2">
        <f ca="1"/>
        <v>0.99602160956492503</v>
      </c>
      <c r="O4587" s="2">
        <f ca="1"/>
        <v>-0.46639873603896237</v>
      </c>
      <c r="X4587" s="2">
        <f ca="1"/>
        <v>53.077262683652719</v>
      </c>
      <c r="AG4587" s="2">
        <f ca="1"/>
        <v>0.76876456086640665</v>
      </c>
      <c r="AH4587" s="2" t="str">
        <f ca="1"/>
        <v>Bad</v>
      </c>
    </row>
    <row r="4588" spans="2:34" x14ac:dyDescent="0.2">
      <c r="B4588" s="2">
        <f ca="1"/>
        <v>0.51700403561700292</v>
      </c>
      <c r="O4588" s="2">
        <f ca="1"/>
        <v>0.86547517577736643</v>
      </c>
      <c r="X4588" s="2">
        <f ca="1"/>
        <v>44.99062303788957</v>
      </c>
      <c r="AG4588" s="2">
        <f ca="1"/>
        <v>0.20258570267644349</v>
      </c>
      <c r="AH4588" s="2" t="str">
        <f ca="1"/>
        <v>OK</v>
      </c>
    </row>
    <row r="4589" spans="2:34" x14ac:dyDescent="0.2">
      <c r="B4589" s="2">
        <f ca="1"/>
        <v>0.42951878860230086</v>
      </c>
      <c r="O4589" s="2">
        <f ca="1"/>
        <v>-0.64269584821367676</v>
      </c>
      <c r="X4589" s="2">
        <f ca="1"/>
        <v>51.924222230742373</v>
      </c>
      <c r="AG4589" s="2">
        <f ca="1"/>
        <v>0.19686902454001021</v>
      </c>
      <c r="AH4589" s="2" t="str">
        <f ca="1"/>
        <v>OK</v>
      </c>
    </row>
    <row r="4590" spans="2:34" x14ac:dyDescent="0.2">
      <c r="B4590" s="2">
        <f ca="1"/>
        <v>0.14574521106754079</v>
      </c>
      <c r="O4590" s="2">
        <f ca="1"/>
        <v>-1.0830607573221624</v>
      </c>
      <c r="X4590" s="2">
        <f ca="1"/>
        <v>27.449025675062657</v>
      </c>
      <c r="AG4590" s="2">
        <f ca="1"/>
        <v>0.52910699243175618</v>
      </c>
      <c r="AH4590" s="2" t="str">
        <f ca="1"/>
        <v>Bad</v>
      </c>
    </row>
    <row r="4591" spans="2:34" x14ac:dyDescent="0.2">
      <c r="B4591" s="2">
        <f ca="1"/>
        <v>0.82570613868355158</v>
      </c>
      <c r="O4591" s="2">
        <f ca="1"/>
        <v>-1.0045583786314836</v>
      </c>
      <c r="X4591" s="2">
        <f ca="1"/>
        <v>75.805804211500771</v>
      </c>
      <c r="AG4591" s="2">
        <f ca="1"/>
        <v>0.29409252608274739</v>
      </c>
      <c r="AH4591" s="2" t="str">
        <f ca="1"/>
        <v>OK</v>
      </c>
    </row>
    <row r="4592" spans="2:34" x14ac:dyDescent="0.2">
      <c r="B4592" s="2">
        <f ca="1"/>
        <v>0.22364618872069686</v>
      </c>
      <c r="O4592" s="2">
        <f ca="1"/>
        <v>-8.2119254582766713E-2</v>
      </c>
      <c r="X4592" s="2">
        <f ca="1"/>
        <v>62.893707397622556</v>
      </c>
      <c r="AG4592" s="2">
        <f ca="1"/>
        <v>0.76318705117696828</v>
      </c>
      <c r="AH4592" s="2" t="str">
        <f ca="1"/>
        <v>Bad</v>
      </c>
    </row>
    <row r="4593" spans="2:34" x14ac:dyDescent="0.2">
      <c r="B4593" s="2">
        <f ca="1"/>
        <v>0.95893216836823059</v>
      </c>
      <c r="O4593" s="2">
        <f ca="1"/>
        <v>0.17289616782311515</v>
      </c>
      <c r="X4593" s="2">
        <f ca="1"/>
        <v>52.978243106360104</v>
      </c>
      <c r="AG4593" s="2">
        <f ca="1"/>
        <v>0.65101758249201191</v>
      </c>
      <c r="AH4593" s="2" t="str">
        <f ca="1"/>
        <v>Bad</v>
      </c>
    </row>
    <row r="4594" spans="2:34" x14ac:dyDescent="0.2">
      <c r="B4594" s="2">
        <f ca="1"/>
        <v>0.39258231128951393</v>
      </c>
      <c r="O4594" s="2">
        <f ca="1"/>
        <v>0.89311060077390925</v>
      </c>
      <c r="X4594" s="2">
        <f ca="1"/>
        <v>51.429521829079683</v>
      </c>
      <c r="AG4594" s="2">
        <f ca="1"/>
        <v>0.84185766057405598</v>
      </c>
      <c r="AH4594" s="2" t="str">
        <f ca="1"/>
        <v>Bad</v>
      </c>
    </row>
    <row r="4595" spans="2:34" x14ac:dyDescent="0.2">
      <c r="B4595" s="2">
        <f ca="1"/>
        <v>0.37540661328266989</v>
      </c>
      <c r="O4595" s="2">
        <f ca="1"/>
        <v>0.17699551568514896</v>
      </c>
      <c r="X4595" s="2">
        <f ca="1"/>
        <v>84.82288242847126</v>
      </c>
      <c r="AG4595" s="2">
        <f ca="1"/>
        <v>0.86033370736964665</v>
      </c>
      <c r="AH4595" s="2" t="str">
        <f ca="1"/>
        <v>Bad</v>
      </c>
    </row>
    <row r="4596" spans="2:34" x14ac:dyDescent="0.2">
      <c r="B4596" s="2">
        <f ca="1"/>
        <v>0.35479411058585075</v>
      </c>
      <c r="O4596" s="2">
        <f ca="1"/>
        <v>-5.7132693605674946E-2</v>
      </c>
      <c r="X4596" s="2">
        <f ca="1"/>
        <v>30.478771090799381</v>
      </c>
      <c r="AG4596" s="2">
        <f ca="1"/>
        <v>0.49974032876504393</v>
      </c>
      <c r="AH4596" s="2" t="str">
        <f ca="1"/>
        <v>Bad</v>
      </c>
    </row>
    <row r="4597" spans="2:34" x14ac:dyDescent="0.2">
      <c r="B4597" s="2">
        <f ca="1"/>
        <v>0.65878551592626122</v>
      </c>
      <c r="O4597" s="2">
        <f ca="1"/>
        <v>-1.2241962361629131</v>
      </c>
      <c r="X4597" s="2">
        <f ca="1"/>
        <v>32.797828239545083</v>
      </c>
      <c r="AG4597" s="2">
        <f ca="1"/>
        <v>0.76446202568932087</v>
      </c>
      <c r="AH4597" s="2" t="str">
        <f ca="1"/>
        <v>Bad</v>
      </c>
    </row>
    <row r="4598" spans="2:34" x14ac:dyDescent="0.2">
      <c r="B4598" s="2">
        <f ca="1"/>
        <v>2.1837983124831872E-2</v>
      </c>
      <c r="O4598" s="2">
        <f ca="1"/>
        <v>7.9030852168421928E-2</v>
      </c>
      <c r="X4598" s="2">
        <f ca="1"/>
        <v>38.894443828475147</v>
      </c>
      <c r="AG4598" s="2">
        <f ca="1"/>
        <v>1.5408813399595545E-3</v>
      </c>
      <c r="AH4598" s="2" t="str">
        <f ca="1"/>
        <v>Good</v>
      </c>
    </row>
    <row r="4599" spans="2:34" x14ac:dyDescent="0.2">
      <c r="B4599" s="2">
        <f ca="1"/>
        <v>0.39185120191820189</v>
      </c>
      <c r="O4599" s="2">
        <f ca="1"/>
        <v>-1.6097466390502739</v>
      </c>
      <c r="X4599" s="2">
        <f ca="1"/>
        <v>37.238773948788541</v>
      </c>
      <c r="AG4599" s="2">
        <f ca="1"/>
        <v>0.15945979162775403</v>
      </c>
      <c r="AH4599" s="2" t="str">
        <f ca="1"/>
        <v>OK</v>
      </c>
    </row>
    <row r="4600" spans="2:34" x14ac:dyDescent="0.2">
      <c r="B4600" s="2">
        <f ca="1"/>
        <v>0.71612002199344449</v>
      </c>
      <c r="O4600" s="2">
        <f ca="1"/>
        <v>0.50948502773667037</v>
      </c>
      <c r="X4600" s="2">
        <f ca="1"/>
        <v>63.378322161066016</v>
      </c>
      <c r="AG4600" s="2">
        <f ca="1"/>
        <v>0.72514594015107381</v>
      </c>
      <c r="AH4600" s="2" t="str">
        <f ca="1"/>
        <v>Bad</v>
      </c>
    </row>
    <row r="4601" spans="2:34" x14ac:dyDescent="0.2">
      <c r="B4601" s="2">
        <f ca="1"/>
        <v>0.63061076562776996</v>
      </c>
      <c r="O4601" s="2">
        <f ca="1"/>
        <v>0.95531137814087297</v>
      </c>
      <c r="X4601" s="2">
        <f ca="1"/>
        <v>32.347983369948636</v>
      </c>
      <c r="AG4601" s="2">
        <f ca="1"/>
        <v>0.41873434403455856</v>
      </c>
      <c r="AH4601" s="2" t="str">
        <f ca="1"/>
        <v>Bad</v>
      </c>
    </row>
    <row r="4602" spans="2:34" x14ac:dyDescent="0.2">
      <c r="B4602" s="2">
        <f ca="1"/>
        <v>3.5070023887404211E-2</v>
      </c>
      <c r="O4602" s="2">
        <f ca="1"/>
        <v>0.52041353161913995</v>
      </c>
      <c r="X4602" s="2">
        <f ca="1"/>
        <v>49.755497358784702</v>
      </c>
      <c r="AG4602" s="2">
        <f ca="1"/>
        <v>0.55604986348064167</v>
      </c>
      <c r="AH4602" s="2" t="str">
        <f ca="1"/>
        <v>Bad</v>
      </c>
    </row>
    <row r="4603" spans="2:34" x14ac:dyDescent="0.2">
      <c r="B4603" s="2">
        <f ca="1"/>
        <v>0.89679176077091416</v>
      </c>
      <c r="O4603" s="2">
        <f ca="1"/>
        <v>-1.0405199324204513</v>
      </c>
      <c r="X4603" s="2">
        <f ca="1"/>
        <v>34.994841073281485</v>
      </c>
      <c r="AG4603" s="2">
        <f ca="1"/>
        <v>0.51177166719556055</v>
      </c>
      <c r="AH4603" s="2" t="str">
        <f ca="1"/>
        <v>Bad</v>
      </c>
    </row>
    <row r="4604" spans="2:34" x14ac:dyDescent="0.2">
      <c r="B4604" s="2">
        <f ca="1"/>
        <v>0.50556405518803404</v>
      </c>
      <c r="O4604" s="2">
        <f ca="1"/>
        <v>4.3260089714777621E-2</v>
      </c>
      <c r="X4604" s="2">
        <f ca="1"/>
        <v>75.250988224740368</v>
      </c>
      <c r="AG4604" s="2">
        <f ca="1"/>
        <v>0.57536172474687608</v>
      </c>
      <c r="AH4604" s="2" t="str">
        <f ca="1"/>
        <v>Bad</v>
      </c>
    </row>
    <row r="4605" spans="2:34" x14ac:dyDescent="0.2">
      <c r="B4605" s="2">
        <f ca="1"/>
        <v>0.97708848867010789</v>
      </c>
      <c r="O4605" s="2">
        <f ca="1"/>
        <v>-0.36039156072647588</v>
      </c>
      <c r="X4605" s="2">
        <f ca="1"/>
        <v>39.408132590224838</v>
      </c>
      <c r="AG4605" s="2">
        <f ca="1"/>
        <v>0.20628897753462905</v>
      </c>
      <c r="AH4605" s="2" t="str">
        <f ca="1"/>
        <v>OK</v>
      </c>
    </row>
    <row r="4606" spans="2:34" x14ac:dyDescent="0.2">
      <c r="B4606" s="2">
        <f ca="1"/>
        <v>0.22952121158246164</v>
      </c>
      <c r="O4606" s="2">
        <f ca="1"/>
        <v>-0.73337590406104702</v>
      </c>
      <c r="X4606" s="2">
        <f ca="1"/>
        <v>45.057893583518009</v>
      </c>
      <c r="AG4606" s="2">
        <f ca="1"/>
        <v>0.17549328393201202</v>
      </c>
      <c r="AH4606" s="2" t="str">
        <f ca="1"/>
        <v>OK</v>
      </c>
    </row>
    <row r="4607" spans="2:34" x14ac:dyDescent="0.2">
      <c r="B4607" s="2">
        <f ca="1"/>
        <v>0.70497596915935179</v>
      </c>
      <c r="O4607" s="2">
        <f ca="1"/>
        <v>0.81576891959197395</v>
      </c>
      <c r="X4607" s="2">
        <f ca="1"/>
        <v>100.95317388468348</v>
      </c>
      <c r="AG4607" s="2">
        <f ca="1"/>
        <v>0.55874077435736202</v>
      </c>
      <c r="AH4607" s="2" t="str">
        <f ca="1"/>
        <v>Bad</v>
      </c>
    </row>
    <row r="4608" spans="2:34" x14ac:dyDescent="0.2">
      <c r="B4608" s="2">
        <f ca="1"/>
        <v>0.31993467346361859</v>
      </c>
      <c r="O4608" s="2">
        <f ca="1"/>
        <v>1.624760710658866</v>
      </c>
      <c r="X4608" s="2">
        <f ca="1"/>
        <v>54.037614630890246</v>
      </c>
      <c r="AG4608" s="2">
        <f ca="1"/>
        <v>0.72116461928633258</v>
      </c>
      <c r="AH4608" s="2" t="str">
        <f ca="1"/>
        <v>Bad</v>
      </c>
    </row>
    <row r="4609" spans="2:34" x14ac:dyDescent="0.2">
      <c r="B4609" s="2">
        <f ca="1"/>
        <v>0.74272465189883752</v>
      </c>
      <c r="O4609" s="2">
        <f ca="1"/>
        <v>2.3208037129614545</v>
      </c>
      <c r="X4609" s="2">
        <f ca="1"/>
        <v>50.223131192409852</v>
      </c>
      <c r="AG4609" s="2">
        <f ca="1"/>
        <v>0.2999521205884208</v>
      </c>
      <c r="AH4609" s="2" t="str">
        <f ca="1"/>
        <v>OK</v>
      </c>
    </row>
    <row r="4610" spans="2:34" x14ac:dyDescent="0.2">
      <c r="B4610" s="2">
        <f ca="1"/>
        <v>2.869264844256425E-2</v>
      </c>
      <c r="O4610" s="2">
        <f ca="1"/>
        <v>1.502607178619797</v>
      </c>
      <c r="X4610" s="2">
        <f ca="1"/>
        <v>49.230400906972314</v>
      </c>
      <c r="AG4610" s="2">
        <f ca="1"/>
        <v>0.98542501005336502</v>
      </c>
      <c r="AH4610" s="2" t="str">
        <f ca="1"/>
        <v>Bad</v>
      </c>
    </row>
    <row r="4611" spans="2:34" x14ac:dyDescent="0.2">
      <c r="B4611" s="2">
        <f ca="1"/>
        <v>7.1157232699843531E-2</v>
      </c>
      <c r="O4611" s="2">
        <f ca="1"/>
        <v>-0.14543597189835378</v>
      </c>
      <c r="X4611" s="2">
        <f ca="1"/>
        <v>86.305019786397295</v>
      </c>
      <c r="AG4611" s="2">
        <f ca="1"/>
        <v>1.6095590989806396E-4</v>
      </c>
      <c r="AH4611" s="2" t="str">
        <f ca="1"/>
        <v>Good</v>
      </c>
    </row>
    <row r="4612" spans="2:34" x14ac:dyDescent="0.2">
      <c r="B4612" s="2">
        <f ca="1"/>
        <v>0.19888189665376399</v>
      </c>
      <c r="O4612" s="2">
        <f ca="1"/>
        <v>-0.85930029347035763</v>
      </c>
      <c r="X4612" s="2">
        <f ca="1"/>
        <v>39.774386068431703</v>
      </c>
      <c r="AG4612" s="2">
        <f ca="1"/>
        <v>0.25394046181571106</v>
      </c>
      <c r="AH4612" s="2" t="str">
        <f ca="1"/>
        <v>OK</v>
      </c>
    </row>
    <row r="4613" spans="2:34" x14ac:dyDescent="0.2">
      <c r="B4613" s="2">
        <f ca="1"/>
        <v>0.43457135328581176</v>
      </c>
      <c r="O4613" s="2">
        <f ca="1"/>
        <v>-1.0804504856116459</v>
      </c>
      <c r="X4613" s="2">
        <f ca="1"/>
        <v>39.547916109339539</v>
      </c>
      <c r="AG4613" s="2">
        <f ca="1"/>
        <v>7.1995935396711674E-2</v>
      </c>
      <c r="AH4613" s="2" t="str">
        <f ca="1"/>
        <v>OK</v>
      </c>
    </row>
    <row r="4614" spans="2:34" x14ac:dyDescent="0.2">
      <c r="B4614" s="2">
        <f ca="1"/>
        <v>0.45299323307912798</v>
      </c>
      <c r="O4614" s="2">
        <f ca="1"/>
        <v>-1.1241993590068089E-2</v>
      </c>
      <c r="X4614" s="2">
        <f ca="1"/>
        <v>44.128523867789795</v>
      </c>
      <c r="AG4614" s="2">
        <f ca="1"/>
        <v>0.80926563034495191</v>
      </c>
      <c r="AH4614" s="2" t="str">
        <f ca="1"/>
        <v>Bad</v>
      </c>
    </row>
    <row r="4615" spans="2:34" x14ac:dyDescent="0.2">
      <c r="B4615" s="2">
        <f ca="1"/>
        <v>0.62001426232726331</v>
      </c>
      <c r="O4615" s="2">
        <f ca="1"/>
        <v>0.64327359573446596</v>
      </c>
      <c r="X4615" s="2">
        <f ca="1"/>
        <v>43.947855213089682</v>
      </c>
      <c r="AG4615" s="2">
        <f ca="1"/>
        <v>0.98755229031158298</v>
      </c>
      <c r="AH4615" s="2" t="str">
        <f ca="1"/>
        <v>Bad</v>
      </c>
    </row>
    <row r="4616" spans="2:34" x14ac:dyDescent="0.2">
      <c r="B4616" s="2">
        <f ca="1"/>
        <v>0.20127862779817818</v>
      </c>
      <c r="O4616" s="2">
        <f ca="1"/>
        <v>-1.6813395445563541</v>
      </c>
      <c r="X4616" s="2">
        <f ca="1"/>
        <v>89.158234169496481</v>
      </c>
      <c r="AG4616" s="2">
        <f ca="1"/>
        <v>0.14578071463786491</v>
      </c>
      <c r="AH4616" s="2" t="str">
        <f ca="1"/>
        <v>OK</v>
      </c>
    </row>
    <row r="4617" spans="2:34" x14ac:dyDescent="0.2">
      <c r="B4617" s="2">
        <f ca="1"/>
        <v>0.69032770359804352</v>
      </c>
      <c r="O4617" s="2">
        <f ca="1"/>
        <v>-1.3197151830557365</v>
      </c>
      <c r="X4617" s="2">
        <f ca="1"/>
        <v>17.189652942238101</v>
      </c>
      <c r="AG4617" s="2">
        <f ca="1"/>
        <v>0.17264377494324545</v>
      </c>
      <c r="AH4617" s="2" t="str">
        <f ca="1"/>
        <v>OK</v>
      </c>
    </row>
    <row r="4618" spans="2:34" x14ac:dyDescent="0.2">
      <c r="B4618" s="2">
        <f ca="1"/>
        <v>0.18752210237538836</v>
      </c>
      <c r="O4618" s="2">
        <f ca="1"/>
        <v>-2.5561186797138733</v>
      </c>
      <c r="X4618" s="2">
        <f ca="1"/>
        <v>35.308779666701305</v>
      </c>
      <c r="AG4618" s="2">
        <f ca="1"/>
        <v>0.98282927793149089</v>
      </c>
      <c r="AH4618" s="2" t="str">
        <f ca="1"/>
        <v>Bad</v>
      </c>
    </row>
    <row r="4619" spans="2:34" x14ac:dyDescent="0.2">
      <c r="B4619" s="2">
        <f ca="1"/>
        <v>0.48804891456285993</v>
      </c>
      <c r="O4619" s="2">
        <f ca="1"/>
        <v>-1.6991459753563605</v>
      </c>
      <c r="X4619" s="2">
        <f ca="1"/>
        <v>50.180767431211223</v>
      </c>
      <c r="AG4619" s="2">
        <f ca="1"/>
        <v>0.48341745542532766</v>
      </c>
      <c r="AH4619" s="2" t="str">
        <f ca="1"/>
        <v>Bad</v>
      </c>
    </row>
    <row r="4620" spans="2:34" x14ac:dyDescent="0.2">
      <c r="B4620" s="2">
        <f ca="1"/>
        <v>0.79990403231169416</v>
      </c>
      <c r="O4620" s="2">
        <f ca="1"/>
        <v>1.0921523630756969</v>
      </c>
      <c r="X4620" s="2">
        <f ca="1"/>
        <v>42.134766831124473</v>
      </c>
      <c r="AG4620" s="2">
        <f ca="1"/>
        <v>0.99614976854321413</v>
      </c>
      <c r="AH4620" s="2" t="str">
        <f ca="1"/>
        <v>Bad</v>
      </c>
    </row>
    <row r="4621" spans="2:34" x14ac:dyDescent="0.2">
      <c r="B4621" s="2">
        <f ca="1"/>
        <v>0.35556391645507324</v>
      </c>
      <c r="O4621" s="2">
        <f ca="1"/>
        <v>0.8755178484536783</v>
      </c>
      <c r="X4621" s="2">
        <f ca="1"/>
        <v>51.241591621932002</v>
      </c>
      <c r="AG4621" s="2">
        <f ca="1"/>
        <v>0.73130219209632785</v>
      </c>
      <c r="AH4621" s="2" t="str">
        <f ca="1"/>
        <v>Bad</v>
      </c>
    </row>
    <row r="4622" spans="2:34" x14ac:dyDescent="0.2">
      <c r="B4622" s="2">
        <f ca="1"/>
        <v>0.65520482577274031</v>
      </c>
      <c r="O4622" s="2">
        <f ca="1"/>
        <v>9.2176935960596437E-2</v>
      </c>
      <c r="X4622" s="2">
        <f ca="1"/>
        <v>38.724242311386583</v>
      </c>
      <c r="AG4622" s="2">
        <f ca="1"/>
        <v>0.99835870789622105</v>
      </c>
      <c r="AH4622" s="2" t="str">
        <f ca="1"/>
        <v>Bad</v>
      </c>
    </row>
    <row r="4623" spans="2:34" x14ac:dyDescent="0.2">
      <c r="B4623" s="2">
        <f ca="1"/>
        <v>0.14094737107575162</v>
      </c>
      <c r="O4623" s="2">
        <f ca="1"/>
        <v>0.53134876186390712</v>
      </c>
      <c r="X4623" s="2">
        <f ca="1"/>
        <v>41.735417159482537</v>
      </c>
      <c r="AG4623" s="2">
        <f ca="1"/>
        <v>0.89559537650378651</v>
      </c>
      <c r="AH4623" s="2" t="str">
        <f ca="1"/>
        <v>Bad</v>
      </c>
    </row>
    <row r="4624" spans="2:34" x14ac:dyDescent="0.2">
      <c r="B4624" s="2">
        <f ca="1"/>
        <v>0.24771418976602777</v>
      </c>
      <c r="O4624" s="2">
        <f ca="1"/>
        <v>0.82610997680077247</v>
      </c>
      <c r="X4624" s="2">
        <f ca="1"/>
        <v>82.0711900014945</v>
      </c>
      <c r="AG4624" s="2">
        <f ca="1"/>
        <v>0.84700785126064937</v>
      </c>
      <c r="AH4624" s="2" t="str">
        <f ca="1"/>
        <v>Bad</v>
      </c>
    </row>
    <row r="4625" spans="2:34" x14ac:dyDescent="0.2">
      <c r="B4625" s="2">
        <f ca="1"/>
        <v>0.68101646210239575</v>
      </c>
      <c r="O4625" s="2">
        <f ca="1"/>
        <v>0.98318641559166253</v>
      </c>
      <c r="X4625" s="2">
        <f ca="1"/>
        <v>47.944157473325944</v>
      </c>
      <c r="AG4625" s="2">
        <f ca="1"/>
        <v>0.72343485902725946</v>
      </c>
      <c r="AH4625" s="2" t="str">
        <f ca="1"/>
        <v>Bad</v>
      </c>
    </row>
    <row r="4626" spans="2:34" x14ac:dyDescent="0.2">
      <c r="B4626" s="2">
        <f ca="1"/>
        <v>0.62048260368289698</v>
      </c>
      <c r="O4626" s="2">
        <f ca="1"/>
        <v>1.5384834005633994</v>
      </c>
      <c r="X4626" s="2">
        <f ca="1"/>
        <v>61.219963868124559</v>
      </c>
      <c r="AG4626" s="2">
        <f ca="1"/>
        <v>0.84604345131815606</v>
      </c>
      <c r="AH4626" s="2" t="str">
        <f ca="1"/>
        <v>Bad</v>
      </c>
    </row>
    <row r="4627" spans="2:34" x14ac:dyDescent="0.2">
      <c r="B4627" s="2">
        <f ca="1"/>
        <v>0.79762837138042753</v>
      </c>
      <c r="O4627" s="2">
        <f ca="1"/>
        <v>0.12406959052911055</v>
      </c>
      <c r="X4627" s="2">
        <f ca="1"/>
        <v>51.649232310547653</v>
      </c>
      <c r="AG4627" s="2">
        <f ca="1"/>
        <v>0.33399637171152485</v>
      </c>
      <c r="AH4627" s="2" t="str">
        <f ca="1"/>
        <v>OK</v>
      </c>
    </row>
    <row r="4628" spans="2:34" x14ac:dyDescent="0.2">
      <c r="B4628" s="2">
        <f ca="1"/>
        <v>0.10871031543455656</v>
      </c>
      <c r="O4628" s="2">
        <f ca="1"/>
        <v>-0.11628845806534803</v>
      </c>
      <c r="X4628" s="2">
        <f ca="1"/>
        <v>47.438484628971047</v>
      </c>
      <c r="AG4628" s="2">
        <f ca="1"/>
        <v>0.20728481767040252</v>
      </c>
      <c r="AH4628" s="2" t="str">
        <f ca="1"/>
        <v>OK</v>
      </c>
    </row>
    <row r="4629" spans="2:34" x14ac:dyDescent="0.2">
      <c r="B4629" s="2">
        <f ca="1"/>
        <v>0.66408872150942222</v>
      </c>
      <c r="O4629" s="2">
        <f ca="1"/>
        <v>0.39845673443545521</v>
      </c>
      <c r="X4629" s="2">
        <f ca="1"/>
        <v>58.218825325832483</v>
      </c>
      <c r="AG4629" s="2">
        <f ca="1"/>
        <v>0.55145905997732547</v>
      </c>
      <c r="AH4629" s="2" t="str">
        <f ca="1"/>
        <v>Bad</v>
      </c>
    </row>
    <row r="4630" spans="2:34" x14ac:dyDescent="0.2">
      <c r="B4630" s="2">
        <f ca="1"/>
        <v>0.68221268061845519</v>
      </c>
      <c r="O4630" s="2">
        <f ca="1"/>
        <v>0.12304373340206419</v>
      </c>
      <c r="X4630" s="2">
        <f ca="1"/>
        <v>45.195613151648956</v>
      </c>
      <c r="AG4630" s="2">
        <f ca="1"/>
        <v>0.91391429027620519</v>
      </c>
      <c r="AH4630" s="2" t="str">
        <f ca="1"/>
        <v>Bad</v>
      </c>
    </row>
    <row r="4631" spans="2:34" x14ac:dyDescent="0.2">
      <c r="B4631" s="2">
        <f ca="1"/>
        <v>0.54858946667842834</v>
      </c>
      <c r="O4631" s="2">
        <f ca="1"/>
        <v>0.55714639426031798</v>
      </c>
      <c r="X4631" s="2">
        <f ca="1"/>
        <v>64.075803698166979</v>
      </c>
      <c r="AG4631" s="2">
        <f ca="1"/>
        <v>0.72133578425130107</v>
      </c>
      <c r="AH4631" s="2" t="str">
        <f ca="1"/>
        <v>Bad</v>
      </c>
    </row>
    <row r="4632" spans="2:34" x14ac:dyDescent="0.2">
      <c r="B4632" s="2">
        <f ca="1"/>
        <v>0.72133230318926955</v>
      </c>
      <c r="O4632" s="2">
        <f ca="1"/>
        <v>0.76577489942026389</v>
      </c>
      <c r="X4632" s="2">
        <f ca="1"/>
        <v>38.43683711115554</v>
      </c>
      <c r="AG4632" s="2">
        <f ca="1"/>
        <v>0.53066945879158656</v>
      </c>
      <c r="AH4632" s="2" t="str">
        <f ca="1"/>
        <v>Bad</v>
      </c>
    </row>
    <row r="4633" spans="2:34" x14ac:dyDescent="0.2">
      <c r="B4633" s="2">
        <f ca="1"/>
        <v>0.52646121900284704</v>
      </c>
      <c r="O4633" s="2">
        <f ca="1"/>
        <v>-1.7400737217914717</v>
      </c>
      <c r="X4633" s="2">
        <f ca="1"/>
        <v>70.226272598974703</v>
      </c>
      <c r="AG4633" s="2">
        <f ca="1"/>
        <v>0.55603427869880884</v>
      </c>
      <c r="AH4633" s="2" t="str">
        <f ca="1"/>
        <v>Bad</v>
      </c>
    </row>
    <row r="4634" spans="2:34" x14ac:dyDescent="0.2">
      <c r="B4634" s="2">
        <f ca="1"/>
        <v>0.37150107659898568</v>
      </c>
      <c r="O4634" s="2">
        <f ca="1"/>
        <v>0.96478021023940252</v>
      </c>
      <c r="X4634" s="2">
        <f ca="1"/>
        <v>59.972445126135128</v>
      </c>
      <c r="AG4634" s="2">
        <f ca="1"/>
        <v>0.3843589865952588</v>
      </c>
      <c r="AH4634" s="2" t="str">
        <f ca="1"/>
        <v>OK</v>
      </c>
    </row>
    <row r="4635" spans="2:34" x14ac:dyDescent="0.2">
      <c r="B4635" s="2">
        <f ca="1"/>
        <v>0.49923842198951762</v>
      </c>
      <c r="O4635" s="2">
        <f ca="1"/>
        <v>-1.3520228501597154</v>
      </c>
      <c r="X4635" s="2">
        <f ca="1"/>
        <v>30.572737819383157</v>
      </c>
      <c r="AG4635" s="2">
        <f ca="1"/>
        <v>0.75323564323425396</v>
      </c>
      <c r="AH4635" s="2" t="str">
        <f ca="1"/>
        <v>Bad</v>
      </c>
    </row>
    <row r="4636" spans="2:34" x14ac:dyDescent="0.2">
      <c r="B4636" s="2">
        <f ca="1"/>
        <v>0.26502750902770345</v>
      </c>
      <c r="O4636" s="2">
        <f ca="1"/>
        <v>0.84581840784428253</v>
      </c>
      <c r="X4636" s="2">
        <f ca="1"/>
        <v>60.223907697644769</v>
      </c>
      <c r="AG4636" s="2">
        <f ca="1"/>
        <v>0.91186705630582332</v>
      </c>
      <c r="AH4636" s="2" t="str">
        <f ca="1"/>
        <v>Bad</v>
      </c>
    </row>
    <row r="4637" spans="2:34" x14ac:dyDescent="0.2">
      <c r="B4637" s="2">
        <f ca="1"/>
        <v>0.61520120086283492</v>
      </c>
      <c r="O4637" s="2">
        <f ca="1"/>
        <v>-1.5882061187483902</v>
      </c>
      <c r="X4637" s="2">
        <f ca="1"/>
        <v>69.202012215487727</v>
      </c>
      <c r="AG4637" s="2">
        <f ca="1"/>
        <v>0.735282999128551</v>
      </c>
      <c r="AH4637" s="2" t="str">
        <f ca="1"/>
        <v>Bad</v>
      </c>
    </row>
    <row r="4638" spans="2:34" x14ac:dyDescent="0.2">
      <c r="B4638" s="2">
        <f ca="1"/>
        <v>0.33779185245155108</v>
      </c>
      <c r="O4638" s="2">
        <f ca="1"/>
        <v>-0.23799963294670773</v>
      </c>
      <c r="X4638" s="2">
        <f ca="1"/>
        <v>41.447721474664959</v>
      </c>
      <c r="AG4638" s="2">
        <f ca="1"/>
        <v>5.3663605818453197E-2</v>
      </c>
      <c r="AH4638" s="2" t="str">
        <f ca="1"/>
        <v>OK</v>
      </c>
    </row>
    <row r="4639" spans="2:34" x14ac:dyDescent="0.2">
      <c r="B4639" s="2">
        <f ca="1"/>
        <v>0.39213146062734161</v>
      </c>
      <c r="O4639" s="2">
        <f ca="1"/>
        <v>0.59104463414957586</v>
      </c>
      <c r="X4639" s="2">
        <f ca="1"/>
        <v>44.525450864487794</v>
      </c>
      <c r="AG4639" s="2">
        <f ca="1"/>
        <v>0.28891939696000168</v>
      </c>
      <c r="AH4639" s="2" t="str">
        <f ca="1"/>
        <v>OK</v>
      </c>
    </row>
    <row r="4640" spans="2:34" x14ac:dyDescent="0.2">
      <c r="B4640" s="2">
        <f ca="1"/>
        <v>0.80993954046660765</v>
      </c>
      <c r="O4640" s="2">
        <f ca="1"/>
        <v>0.16442326908722757</v>
      </c>
      <c r="X4640" s="2">
        <f ca="1"/>
        <v>48.361767218947882</v>
      </c>
      <c r="AG4640" s="2">
        <f ca="1"/>
        <v>0.60225192892452695</v>
      </c>
      <c r="AH4640" s="2" t="str">
        <f ca="1"/>
        <v>Bad</v>
      </c>
    </row>
    <row r="4641" spans="2:34" x14ac:dyDescent="0.2">
      <c r="B4641" s="2">
        <f ca="1"/>
        <v>0.86053505284426168</v>
      </c>
      <c r="O4641" s="2">
        <f ca="1"/>
        <v>1.1619140492995101</v>
      </c>
      <c r="X4641" s="2">
        <f ca="1"/>
        <v>47.154391629117328</v>
      </c>
      <c r="AG4641" s="2">
        <f ca="1"/>
        <v>0.75757771480280933</v>
      </c>
      <c r="AH4641" s="2" t="str">
        <f ca="1"/>
        <v>Bad</v>
      </c>
    </row>
    <row r="4642" spans="2:34" x14ac:dyDescent="0.2">
      <c r="B4642" s="2">
        <f ca="1"/>
        <v>0.96446907907734158</v>
      </c>
      <c r="O4642" s="2">
        <f ca="1"/>
        <v>0.25663659223247443</v>
      </c>
      <c r="X4642" s="2">
        <f ca="1"/>
        <v>64.549219124346678</v>
      </c>
      <c r="AG4642" s="2">
        <f ca="1"/>
        <v>3.4880184621277177E-2</v>
      </c>
      <c r="AH4642" s="2" t="str">
        <f ca="1"/>
        <v>Good</v>
      </c>
    </row>
    <row r="4643" spans="2:34" x14ac:dyDescent="0.2">
      <c r="B4643" s="2">
        <f ca="1"/>
        <v>0.84577252179661477</v>
      </c>
      <c r="O4643" s="2">
        <f ca="1"/>
        <v>0.47729636745332449</v>
      </c>
      <c r="X4643" s="2">
        <f ca="1"/>
        <v>44.77601126275313</v>
      </c>
      <c r="AG4643" s="2">
        <f ca="1"/>
        <v>0.87328969898428754</v>
      </c>
      <c r="AH4643" s="2" t="str">
        <f ca="1"/>
        <v>Bad</v>
      </c>
    </row>
    <row r="4644" spans="2:34" x14ac:dyDescent="0.2">
      <c r="B4644" s="2">
        <f ca="1"/>
        <v>2.0940283647212787E-3</v>
      </c>
      <c r="O4644" s="2">
        <f ca="1"/>
        <v>-1.2574997115859543</v>
      </c>
      <c r="X4644" s="2">
        <f ca="1"/>
        <v>29.602527194192643</v>
      </c>
      <c r="AG4644" s="2">
        <f ca="1"/>
        <v>9.4849435103741442E-2</v>
      </c>
      <c r="AH4644" s="2" t="str">
        <f ca="1"/>
        <v>OK</v>
      </c>
    </row>
    <row r="4645" spans="2:34" x14ac:dyDescent="0.2">
      <c r="B4645" s="2">
        <f ca="1"/>
        <v>0.72141205065525482</v>
      </c>
      <c r="O4645" s="2">
        <f ca="1"/>
        <v>-1.7515696415499631</v>
      </c>
      <c r="X4645" s="2">
        <f ca="1"/>
        <v>23.03071034834413</v>
      </c>
      <c r="AG4645" s="2">
        <f ca="1"/>
        <v>0.60227544977709169</v>
      </c>
      <c r="AH4645" s="2" t="str">
        <f ca="1"/>
        <v>Bad</v>
      </c>
    </row>
    <row r="4646" spans="2:34" x14ac:dyDescent="0.2">
      <c r="B4646" s="2">
        <f ca="1"/>
        <v>0.98081266284470714</v>
      </c>
      <c r="O4646" s="2">
        <f ca="1"/>
        <v>0.75426319442908174</v>
      </c>
      <c r="X4646" s="2">
        <f ca="1"/>
        <v>71.017086173000465</v>
      </c>
      <c r="AG4646" s="2">
        <f ca="1"/>
        <v>0.43490996940299853</v>
      </c>
      <c r="AH4646" s="2" t="str">
        <f ca="1"/>
        <v>Bad</v>
      </c>
    </row>
    <row r="4647" spans="2:34" x14ac:dyDescent="0.2">
      <c r="B4647" s="2">
        <f ca="1"/>
        <v>0.69924977995452076</v>
      </c>
      <c r="O4647" s="2">
        <f ca="1"/>
        <v>-1.0048060488400197</v>
      </c>
      <c r="X4647" s="2">
        <f ca="1"/>
        <v>42.748190300063278</v>
      </c>
      <c r="AG4647" s="2">
        <f ca="1"/>
        <v>0.95557381527775465</v>
      </c>
      <c r="AH4647" s="2" t="str">
        <f ca="1"/>
        <v>Bad</v>
      </c>
    </row>
    <row r="4648" spans="2:34" x14ac:dyDescent="0.2">
      <c r="B4648" s="2">
        <f ca="1"/>
        <v>0.9872254223721959</v>
      </c>
      <c r="O4648" s="2">
        <f ca="1"/>
        <v>0.88404228484923231</v>
      </c>
      <c r="X4648" s="2">
        <f ca="1"/>
        <v>46.815233186018126</v>
      </c>
      <c r="AG4648" s="2">
        <f ca="1"/>
        <v>0.48686711680327033</v>
      </c>
      <c r="AH4648" s="2" t="str">
        <f ca="1"/>
        <v>Bad</v>
      </c>
    </row>
    <row r="4649" spans="2:34" x14ac:dyDescent="0.2">
      <c r="B4649" s="2">
        <f ca="1"/>
        <v>0.95941989784841519</v>
      </c>
      <c r="O4649" s="2">
        <f ca="1"/>
        <v>0.16551281225705719</v>
      </c>
      <c r="X4649" s="2">
        <f ca="1"/>
        <v>60.091139672562178</v>
      </c>
      <c r="AG4649" s="2">
        <f ca="1"/>
        <v>0.83704104688559866</v>
      </c>
      <c r="AH4649" s="2" t="str">
        <f ca="1"/>
        <v>Bad</v>
      </c>
    </row>
    <row r="4650" spans="2:34" x14ac:dyDescent="0.2">
      <c r="B4650" s="2">
        <f ca="1"/>
        <v>0.39790871912485959</v>
      </c>
      <c r="O4650" s="2">
        <f ca="1"/>
        <v>-0.16270253914158425</v>
      </c>
      <c r="X4650" s="2">
        <f ca="1"/>
        <v>76.553101770829244</v>
      </c>
      <c r="AG4650" s="2">
        <f ca="1"/>
        <v>0.62090569251469629</v>
      </c>
      <c r="AH4650" s="2" t="str">
        <f ca="1"/>
        <v>Bad</v>
      </c>
    </row>
    <row r="4651" spans="2:34" x14ac:dyDescent="0.2">
      <c r="B4651" s="2">
        <f ca="1"/>
        <v>5.9464279874326786E-2</v>
      </c>
      <c r="O4651" s="2">
        <f ca="1"/>
        <v>-1.5783817832390599</v>
      </c>
      <c r="X4651" s="2">
        <f ca="1"/>
        <v>70.372986067170771</v>
      </c>
      <c r="AG4651" s="2">
        <f ca="1"/>
        <v>0.4219257511210861</v>
      </c>
      <c r="AH4651" s="2" t="str">
        <f ca="1"/>
        <v>Bad</v>
      </c>
    </row>
    <row r="4652" spans="2:34" x14ac:dyDescent="0.2">
      <c r="B4652" s="2">
        <f ca="1"/>
        <v>0.96048737256261418</v>
      </c>
      <c r="O4652" s="2">
        <f ca="1"/>
        <v>2.0680578824867273</v>
      </c>
      <c r="X4652" s="2">
        <f ca="1"/>
        <v>44.194537633031374</v>
      </c>
      <c r="AG4652" s="2">
        <f ca="1"/>
        <v>0.2863908361547185</v>
      </c>
      <c r="AH4652" s="2" t="str">
        <f ca="1"/>
        <v>OK</v>
      </c>
    </row>
    <row r="4653" spans="2:34" x14ac:dyDescent="0.2">
      <c r="B4653" s="2">
        <f ca="1"/>
        <v>0.18302977956608268</v>
      </c>
      <c r="O4653" s="2">
        <f ca="1"/>
        <v>1.2580041874503585</v>
      </c>
      <c r="X4653" s="2">
        <f ca="1"/>
        <v>51.219065846047059</v>
      </c>
      <c r="AG4653" s="2">
        <f ca="1"/>
        <v>2.2621944870769406E-2</v>
      </c>
      <c r="AH4653" s="2" t="str">
        <f ca="1"/>
        <v>Good</v>
      </c>
    </row>
    <row r="4654" spans="2:34" x14ac:dyDescent="0.2">
      <c r="B4654" s="2">
        <f ca="1"/>
        <v>0.56490885437955951</v>
      </c>
      <c r="O4654" s="2">
        <f ca="1"/>
        <v>-0.98825999457608982</v>
      </c>
      <c r="X4654" s="2">
        <f ca="1"/>
        <v>88.804730159690095</v>
      </c>
      <c r="AG4654" s="2">
        <f ca="1"/>
        <v>0.35797032038733434</v>
      </c>
      <c r="AH4654" s="2" t="str">
        <f ca="1"/>
        <v>OK</v>
      </c>
    </row>
    <row r="4655" spans="2:34" x14ac:dyDescent="0.2">
      <c r="B4655" s="2">
        <f ca="1"/>
        <v>0.33404597261656033</v>
      </c>
      <c r="O4655" s="2">
        <f ca="1"/>
        <v>-1.0786033139321896</v>
      </c>
      <c r="X4655" s="2">
        <f ca="1"/>
        <v>32.301114812569708</v>
      </c>
      <c r="AG4655" s="2">
        <f ca="1"/>
        <v>0.49115779749547617</v>
      </c>
      <c r="AH4655" s="2" t="str">
        <f ca="1"/>
        <v>Bad</v>
      </c>
    </row>
    <row r="4656" spans="2:34" x14ac:dyDescent="0.2">
      <c r="B4656" s="2">
        <f ca="1"/>
        <v>0.82826219700319448</v>
      </c>
      <c r="O4656" s="2">
        <f ca="1"/>
        <v>1.2817810480418055</v>
      </c>
      <c r="X4656" s="2">
        <f ca="1"/>
        <v>48.254740057872915</v>
      </c>
      <c r="AG4656" s="2">
        <f ca="1"/>
        <v>0.12573605359316575</v>
      </c>
      <c r="AH4656" s="2" t="str">
        <f ca="1"/>
        <v>OK</v>
      </c>
    </row>
    <row r="4657" spans="2:34" x14ac:dyDescent="0.2">
      <c r="B4657" s="2">
        <f ca="1"/>
        <v>0.40377124715081436</v>
      </c>
      <c r="O4657" s="2">
        <f ca="1"/>
        <v>-0.89281042257771248</v>
      </c>
      <c r="X4657" s="2">
        <f ca="1"/>
        <v>69.559316610915133</v>
      </c>
      <c r="AG4657" s="2">
        <f ca="1"/>
        <v>0.87243701432364107</v>
      </c>
      <c r="AH4657" s="2" t="str">
        <f ca="1"/>
        <v>Bad</v>
      </c>
    </row>
    <row r="4658" spans="2:34" x14ac:dyDescent="0.2">
      <c r="B4658" s="2">
        <f ca="1"/>
        <v>0.92950944934322344</v>
      </c>
      <c r="O4658" s="2">
        <f ca="1"/>
        <v>-0.25732621804776901</v>
      </c>
      <c r="X4658" s="2">
        <f ca="1"/>
        <v>88.671691556744733</v>
      </c>
      <c r="AG4658" s="2">
        <f ca="1"/>
        <v>0.90197601349238798</v>
      </c>
      <c r="AH4658" s="2" t="str">
        <f ca="1"/>
        <v>Bad</v>
      </c>
    </row>
    <row r="4659" spans="2:34" x14ac:dyDescent="0.2">
      <c r="B4659" s="2">
        <f ca="1"/>
        <v>0.91276648722580345</v>
      </c>
      <c r="O4659" s="2">
        <f ca="1"/>
        <v>4.2047705497764723E-2</v>
      </c>
      <c r="X4659" s="2">
        <f ca="1"/>
        <v>51.98605201734226</v>
      </c>
      <c r="AG4659" s="2">
        <f ca="1"/>
        <v>0.79481433444321858</v>
      </c>
      <c r="AH4659" s="2" t="str">
        <f ca="1"/>
        <v>Bad</v>
      </c>
    </row>
    <row r="4660" spans="2:34" x14ac:dyDescent="0.2">
      <c r="B4660" s="2">
        <f ca="1"/>
        <v>3.0570727831875644E-2</v>
      </c>
      <c r="O4660" s="2">
        <f ca="1"/>
        <v>2.4544408498113401E-2</v>
      </c>
      <c r="X4660" s="2">
        <f ca="1"/>
        <v>27.201527334272761</v>
      </c>
      <c r="AG4660" s="2">
        <f ca="1"/>
        <v>8.253702414810582E-2</v>
      </c>
      <c r="AH4660" s="2" t="str">
        <f ca="1"/>
        <v>OK</v>
      </c>
    </row>
    <row r="4661" spans="2:34" x14ac:dyDescent="0.2">
      <c r="B4661" s="2">
        <f ca="1"/>
        <v>0.4453283537712307</v>
      </c>
      <c r="O4661" s="2">
        <f ca="1"/>
        <v>-0.42389665100731083</v>
      </c>
      <c r="X4661" s="2">
        <f ca="1"/>
        <v>33.859467349463749</v>
      </c>
      <c r="AG4661" s="2">
        <f ca="1"/>
        <v>0.29752659279068938</v>
      </c>
      <c r="AH4661" s="2" t="str">
        <f ca="1"/>
        <v>OK</v>
      </c>
    </row>
    <row r="4662" spans="2:34" x14ac:dyDescent="0.2">
      <c r="B4662" s="2">
        <f ca="1"/>
        <v>0.29129489323308344</v>
      </c>
      <c r="O4662" s="2">
        <f ca="1"/>
        <v>0.19464541545122482</v>
      </c>
      <c r="X4662" s="2">
        <f ca="1"/>
        <v>64.534905508695033</v>
      </c>
      <c r="AG4662" s="2">
        <f ca="1"/>
        <v>0.87901817560085749</v>
      </c>
      <c r="AH4662" s="2" t="str">
        <f ca="1"/>
        <v>Bad</v>
      </c>
    </row>
    <row r="4663" spans="2:34" x14ac:dyDescent="0.2">
      <c r="B4663" s="2">
        <f ca="1"/>
        <v>0.82946130841475441</v>
      </c>
      <c r="O4663" s="2">
        <f ca="1"/>
        <v>0.77087857327609988</v>
      </c>
      <c r="X4663" s="2">
        <f ca="1"/>
        <v>69.934637461159269</v>
      </c>
      <c r="AG4663" s="2">
        <f ca="1"/>
        <v>0.28762377860001487</v>
      </c>
      <c r="AH4663" s="2" t="str">
        <f ca="1"/>
        <v>OK</v>
      </c>
    </row>
    <row r="4664" spans="2:34" x14ac:dyDescent="0.2">
      <c r="B4664" s="2">
        <f ca="1"/>
        <v>0.84189313751286043</v>
      </c>
      <c r="O4664" s="2">
        <f ca="1"/>
        <v>-1.2135459173684189</v>
      </c>
      <c r="X4664" s="2">
        <f ca="1"/>
        <v>73.901593435937542</v>
      </c>
      <c r="AG4664" s="2">
        <f ca="1"/>
        <v>0.55358297069882911</v>
      </c>
      <c r="AH4664" s="2" t="str">
        <f ca="1"/>
        <v>Bad</v>
      </c>
    </row>
    <row r="4665" spans="2:34" x14ac:dyDescent="0.2">
      <c r="B4665" s="2">
        <f ca="1"/>
        <v>0.16620032302423327</v>
      </c>
      <c r="O4665" s="2">
        <f ca="1"/>
        <v>7.1017683927201244E-2</v>
      </c>
      <c r="X4665" s="2">
        <f ca="1"/>
        <v>23.942469409569131</v>
      </c>
      <c r="AG4665" s="2">
        <f ca="1"/>
        <v>0.51188694521563827</v>
      </c>
      <c r="AH4665" s="2" t="str">
        <f ca="1"/>
        <v>Bad</v>
      </c>
    </row>
    <row r="4666" spans="2:34" x14ac:dyDescent="0.2">
      <c r="B4666" s="2">
        <f ca="1"/>
        <v>0.76380953645733629</v>
      </c>
      <c r="O4666" s="2">
        <f ca="1"/>
        <v>0.77175857167539519</v>
      </c>
      <c r="X4666" s="2">
        <f ca="1"/>
        <v>24.943189802747231</v>
      </c>
      <c r="AG4666" s="2">
        <f ca="1"/>
        <v>0.53007578863708771</v>
      </c>
      <c r="AH4666" s="2" t="str">
        <f ca="1"/>
        <v>Bad</v>
      </c>
    </row>
    <row r="4667" spans="2:34" x14ac:dyDescent="0.2">
      <c r="B4667" s="2">
        <f ca="1"/>
        <v>0.12936606083770452</v>
      </c>
      <c r="O4667" s="2">
        <f ca="1"/>
        <v>0.56984769582493633</v>
      </c>
      <c r="X4667" s="2">
        <f ca="1"/>
        <v>38.806116259682291</v>
      </c>
      <c r="AG4667" s="2">
        <f ca="1"/>
        <v>0.21791132396868584</v>
      </c>
      <c r="AH4667" s="2" t="str">
        <f ca="1"/>
        <v>OK</v>
      </c>
    </row>
    <row r="4668" spans="2:34" x14ac:dyDescent="0.2">
      <c r="B4668" s="2">
        <f ca="1"/>
        <v>0.38324425274945084</v>
      </c>
      <c r="O4668" s="2">
        <f ca="1"/>
        <v>2.2134374549086275</v>
      </c>
      <c r="X4668" s="2">
        <f ca="1"/>
        <v>38.952803627676545</v>
      </c>
      <c r="AG4668" s="2">
        <f ca="1"/>
        <v>0.37746406082323469</v>
      </c>
      <c r="AH4668" s="2" t="str">
        <f ca="1"/>
        <v>OK</v>
      </c>
    </row>
    <row r="4669" spans="2:34" x14ac:dyDescent="0.2">
      <c r="B4669" s="2">
        <f ca="1"/>
        <v>0.6908898817243343</v>
      </c>
      <c r="O4669" s="2">
        <f ca="1"/>
        <v>3.218923494381984E-3</v>
      </c>
      <c r="X4669" s="2">
        <f ca="1"/>
        <v>28.546921186632382</v>
      </c>
      <c r="AG4669" s="2">
        <f ca="1"/>
        <v>0.97015090298695394</v>
      </c>
      <c r="AH4669" s="2" t="str">
        <f ca="1"/>
        <v>Bad</v>
      </c>
    </row>
    <row r="4670" spans="2:34" x14ac:dyDescent="0.2">
      <c r="B4670" s="2">
        <f ca="1"/>
        <v>0.80233819081158453</v>
      </c>
      <c r="O4670" s="2">
        <f ca="1"/>
        <v>0.86184237776639649</v>
      </c>
      <c r="X4670" s="2">
        <f ca="1"/>
        <v>56.835051863256147</v>
      </c>
      <c r="AG4670" s="2">
        <f ca="1"/>
        <v>0.95042191580783553</v>
      </c>
      <c r="AH4670" s="2" t="str">
        <f ca="1"/>
        <v>Bad</v>
      </c>
    </row>
    <row r="4671" spans="2:34" x14ac:dyDescent="0.2">
      <c r="B4671" s="2">
        <f ca="1"/>
        <v>0.61797724812340782</v>
      </c>
      <c r="O4671" s="2">
        <f ca="1"/>
        <v>0.15732052963759691</v>
      </c>
      <c r="X4671" s="2">
        <f ca="1"/>
        <v>55.861142096194385</v>
      </c>
      <c r="AG4671" s="2">
        <f ca="1"/>
        <v>3.636873705479049E-3</v>
      </c>
      <c r="AH4671" s="2" t="str">
        <f ca="1"/>
        <v>Good</v>
      </c>
    </row>
    <row r="4672" spans="2:34" x14ac:dyDescent="0.2">
      <c r="B4672" s="2">
        <f ca="1"/>
        <v>0.5273660144379777</v>
      </c>
      <c r="O4672" s="2">
        <f ca="1"/>
        <v>-0.81232004227427168</v>
      </c>
      <c r="X4672" s="2">
        <f ca="1"/>
        <v>61.950349062246993</v>
      </c>
      <c r="AG4672" s="2">
        <f ca="1"/>
        <v>0.92969679374132053</v>
      </c>
      <c r="AH4672" s="2" t="str">
        <f ca="1"/>
        <v>Bad</v>
      </c>
    </row>
    <row r="4673" spans="2:34" x14ac:dyDescent="0.2">
      <c r="B4673" s="2">
        <f ca="1"/>
        <v>3.3448831050353123E-2</v>
      </c>
      <c r="O4673" s="2">
        <f ca="1"/>
        <v>0.67784470907445182</v>
      </c>
      <c r="X4673" s="2">
        <f ca="1"/>
        <v>23.654158188416016</v>
      </c>
      <c r="AG4673" s="2">
        <f ca="1"/>
        <v>0.65836155109908745</v>
      </c>
      <c r="AH4673" s="2" t="str">
        <f ca="1"/>
        <v>Bad</v>
      </c>
    </row>
    <row r="4674" spans="2:34" x14ac:dyDescent="0.2">
      <c r="B4674" s="2">
        <f ca="1"/>
        <v>0.44524072140797477</v>
      </c>
      <c r="O4674" s="2">
        <f ca="1"/>
        <v>-0.13935692737241701</v>
      </c>
      <c r="X4674" s="2">
        <f ca="1"/>
        <v>17.557741074270343</v>
      </c>
      <c r="AG4674" s="2">
        <f ca="1"/>
        <v>0.61771202892696175</v>
      </c>
      <c r="AH4674" s="2" t="str">
        <f ca="1"/>
        <v>Bad</v>
      </c>
    </row>
    <row r="4675" spans="2:34" x14ac:dyDescent="0.2">
      <c r="B4675" s="2">
        <f ca="1"/>
        <v>0.98250686232178452</v>
      </c>
      <c r="O4675" s="2">
        <f ca="1"/>
        <v>-0.82012671995190045</v>
      </c>
      <c r="X4675" s="2">
        <f ca="1"/>
        <v>46.076393564412292</v>
      </c>
      <c r="AG4675" s="2">
        <f ca="1"/>
        <v>0.11247192672435791</v>
      </c>
      <c r="AH4675" s="2" t="str">
        <f ca="1"/>
        <v>OK</v>
      </c>
    </row>
    <row r="4676" spans="2:34" x14ac:dyDescent="0.2">
      <c r="B4676" s="2">
        <f ca="1"/>
        <v>0.44981379738347682</v>
      </c>
      <c r="O4676" s="2">
        <f ca="1"/>
        <v>2.4425035397062405</v>
      </c>
      <c r="X4676" s="2">
        <f ca="1"/>
        <v>16.783021047211978</v>
      </c>
      <c r="AG4676" s="2">
        <f ca="1"/>
        <v>0.17561779056424576</v>
      </c>
      <c r="AH4676" s="2" t="str">
        <f ca="1"/>
        <v>OK</v>
      </c>
    </row>
    <row r="4677" spans="2:34" x14ac:dyDescent="0.2">
      <c r="B4677" s="2">
        <f ca="1"/>
        <v>7.5010104137957834E-2</v>
      </c>
      <c r="O4677" s="2">
        <f ca="1"/>
        <v>-0.20928986484892118</v>
      </c>
      <c r="X4677" s="2">
        <f ca="1"/>
        <v>59.198834262750424</v>
      </c>
      <c r="AG4677" s="2">
        <f ca="1"/>
        <v>0.94099323113135336</v>
      </c>
      <c r="AH4677" s="2" t="str">
        <f ca="1"/>
        <v>Bad</v>
      </c>
    </row>
    <row r="4678" spans="2:34" x14ac:dyDescent="0.2">
      <c r="B4678" s="2">
        <f ca="1"/>
        <v>0.51567108432058206</v>
      </c>
      <c r="O4678" s="2">
        <f ca="1"/>
        <v>1.0158074668813635</v>
      </c>
      <c r="X4678" s="2">
        <f ca="1"/>
        <v>73.790037964106943</v>
      </c>
      <c r="AG4678" s="2">
        <f ca="1"/>
        <v>0.58155921162302815</v>
      </c>
      <c r="AH4678" s="2" t="str">
        <f ca="1"/>
        <v>Bad</v>
      </c>
    </row>
    <row r="4679" spans="2:34" x14ac:dyDescent="0.2">
      <c r="B4679" s="2">
        <f ca="1"/>
        <v>0.63839723076832611</v>
      </c>
      <c r="O4679" s="2">
        <f ca="1"/>
        <v>0.26085971938234215</v>
      </c>
      <c r="X4679" s="2">
        <f ca="1"/>
        <v>57.293618852330439</v>
      </c>
      <c r="AG4679" s="2">
        <f ca="1"/>
        <v>0.33640534243333975</v>
      </c>
      <c r="AH4679" s="2" t="str">
        <f ca="1"/>
        <v>OK</v>
      </c>
    </row>
    <row r="4680" spans="2:34" x14ac:dyDescent="0.2">
      <c r="B4680" s="2">
        <f ca="1"/>
        <v>0.27897089302642541</v>
      </c>
      <c r="O4680" s="2">
        <f ca="1"/>
        <v>-0.19035503318469765</v>
      </c>
      <c r="X4680" s="2">
        <f ca="1"/>
        <v>38.690988019440915</v>
      </c>
      <c r="AG4680" s="2">
        <f ca="1"/>
        <v>0.47221996832092672</v>
      </c>
      <c r="AH4680" s="2" t="str">
        <f ca="1"/>
        <v>Bad</v>
      </c>
    </row>
    <row r="4681" spans="2:34" x14ac:dyDescent="0.2">
      <c r="B4681" s="2">
        <f ca="1"/>
        <v>0.85230480479784698</v>
      </c>
      <c r="O4681" s="2">
        <f ca="1"/>
        <v>-1.4935996236388871</v>
      </c>
      <c r="X4681" s="2">
        <f ca="1"/>
        <v>43.14989954625382</v>
      </c>
      <c r="AG4681" s="2">
        <f ca="1"/>
        <v>0.65695494870872273</v>
      </c>
      <c r="AH4681" s="2" t="str">
        <f ca="1"/>
        <v>Bad</v>
      </c>
    </row>
    <row r="4682" spans="2:34" x14ac:dyDescent="0.2">
      <c r="B4682" s="2">
        <f ca="1"/>
        <v>0.60833593825007215</v>
      </c>
      <c r="O4682" s="2">
        <f ca="1"/>
        <v>-1.4783535897388753</v>
      </c>
      <c r="X4682" s="2">
        <f ca="1"/>
        <v>67.369114220919215</v>
      </c>
      <c r="AG4682" s="2">
        <f ca="1"/>
        <v>5.15054099576715E-2</v>
      </c>
      <c r="AH4682" s="2" t="str">
        <f ca="1"/>
        <v>OK</v>
      </c>
    </row>
    <row r="4683" spans="2:34" x14ac:dyDescent="0.2">
      <c r="B4683" s="2">
        <f ca="1"/>
        <v>0.37705730398628035</v>
      </c>
      <c r="O4683" s="2">
        <f ca="1"/>
        <v>2.8028031237204387</v>
      </c>
      <c r="X4683" s="2">
        <f ca="1"/>
        <v>66.377215115991788</v>
      </c>
      <c r="AG4683" s="2">
        <f ca="1"/>
        <v>0.1596354977073251</v>
      </c>
      <c r="AH4683" s="2" t="str">
        <f ca="1"/>
        <v>OK</v>
      </c>
    </row>
    <row r="4684" spans="2:34" x14ac:dyDescent="0.2">
      <c r="B4684" s="2">
        <f ca="1"/>
        <v>0.12660566577021015</v>
      </c>
      <c r="O4684" s="2">
        <f ca="1"/>
        <v>-0.2808749707978534</v>
      </c>
      <c r="X4684" s="2">
        <f ca="1"/>
        <v>35.068901405172149</v>
      </c>
      <c r="AG4684" s="2">
        <f ca="1"/>
        <v>0.74532013998746316</v>
      </c>
      <c r="AH4684" s="2" t="str">
        <f ca="1"/>
        <v>Bad</v>
      </c>
    </row>
    <row r="4685" spans="2:34" x14ac:dyDescent="0.2">
      <c r="B4685" s="2">
        <f ca="1"/>
        <v>0.73300904357530672</v>
      </c>
      <c r="O4685" s="2">
        <f ca="1"/>
        <v>0.33924194147517656</v>
      </c>
      <c r="X4685" s="2">
        <f ca="1"/>
        <v>36.398632368899555</v>
      </c>
      <c r="AG4685" s="2">
        <f ca="1"/>
        <v>0.81020133961933904</v>
      </c>
      <c r="AH4685" s="2" t="str">
        <f ca="1"/>
        <v>Bad</v>
      </c>
    </row>
    <row r="4686" spans="2:34" x14ac:dyDescent="0.2">
      <c r="B4686" s="2">
        <f ca="1"/>
        <v>0.11704933618072721</v>
      </c>
      <c r="O4686" s="2">
        <f ca="1"/>
        <v>1.4554675931496395</v>
      </c>
      <c r="X4686" s="2">
        <f ca="1"/>
        <v>72.2402186761189</v>
      </c>
      <c r="AG4686" s="2">
        <f ca="1"/>
        <v>0.913480889727593</v>
      </c>
      <c r="AH4686" s="2" t="str">
        <f ca="1"/>
        <v>Bad</v>
      </c>
    </row>
    <row r="4687" spans="2:34" x14ac:dyDescent="0.2">
      <c r="B4687" s="2">
        <f ca="1"/>
        <v>0.31752180287950238</v>
      </c>
      <c r="O4687" s="2">
        <f ca="1"/>
        <v>-2.4083679545899113</v>
      </c>
      <c r="X4687" s="2">
        <f ca="1"/>
        <v>51.164277008796255</v>
      </c>
      <c r="AG4687" s="2">
        <f ca="1"/>
        <v>0.43517379656608357</v>
      </c>
      <c r="AH4687" s="2" t="str">
        <f ca="1"/>
        <v>Bad</v>
      </c>
    </row>
    <row r="4688" spans="2:34" x14ac:dyDescent="0.2">
      <c r="B4688" s="2">
        <f ca="1"/>
        <v>0.15456937986546015</v>
      </c>
      <c r="O4688" s="2">
        <f ca="1"/>
        <v>2.0110414519277642</v>
      </c>
      <c r="X4688" s="2">
        <f ca="1"/>
        <v>61.697683319755193</v>
      </c>
      <c r="AG4688" s="2">
        <f ca="1"/>
        <v>0.18018997323195896</v>
      </c>
      <c r="AH4688" s="2" t="str">
        <f ca="1"/>
        <v>OK</v>
      </c>
    </row>
    <row r="4689" spans="2:34" x14ac:dyDescent="0.2">
      <c r="B4689" s="2">
        <f ca="1"/>
        <v>0.93384592274790235</v>
      </c>
      <c r="O4689" s="2">
        <f ca="1"/>
        <v>-0.42084617565279869</v>
      </c>
      <c r="X4689" s="2">
        <f ca="1"/>
        <v>24.238694354257632</v>
      </c>
      <c r="AG4689" s="2">
        <f ca="1"/>
        <v>0.67821797904286329</v>
      </c>
      <c r="AH4689" s="2" t="str">
        <f ca="1"/>
        <v>Bad</v>
      </c>
    </row>
    <row r="4690" spans="2:34" x14ac:dyDescent="0.2">
      <c r="B4690" s="2">
        <f ca="1"/>
        <v>0.68065582432885985</v>
      </c>
      <c r="O4690" s="2">
        <f ca="1"/>
        <v>1.1929449653112125</v>
      </c>
      <c r="X4690" s="2">
        <f ca="1"/>
        <v>42.395392925154752</v>
      </c>
      <c r="AG4690" s="2">
        <f ca="1"/>
        <v>0.36008781141308299</v>
      </c>
      <c r="AH4690" s="2" t="str">
        <f ca="1"/>
        <v>OK</v>
      </c>
    </row>
    <row r="4691" spans="2:34" x14ac:dyDescent="0.2">
      <c r="B4691" s="2">
        <f ca="1"/>
        <v>0.86776480446215931</v>
      </c>
      <c r="O4691" s="2">
        <f ca="1"/>
        <v>-1.504623452643802</v>
      </c>
      <c r="X4691" s="2">
        <f ca="1"/>
        <v>42.73470215763632</v>
      </c>
      <c r="AG4691" s="2">
        <f ca="1"/>
        <v>0.71939671447205122</v>
      </c>
      <c r="AH4691" s="2" t="str">
        <f ca="1"/>
        <v>Bad</v>
      </c>
    </row>
    <row r="4692" spans="2:34" x14ac:dyDescent="0.2">
      <c r="B4692" s="2">
        <f ca="1"/>
        <v>0.23820387795553577</v>
      </c>
      <c r="O4692" s="2">
        <f ca="1"/>
        <v>7.9256011331749934E-2</v>
      </c>
      <c r="X4692" s="2">
        <f ca="1"/>
        <v>62.549896655662408</v>
      </c>
      <c r="AG4692" s="2">
        <f ca="1"/>
        <v>0.92006734957264102</v>
      </c>
      <c r="AH4692" s="2" t="str">
        <f ca="1"/>
        <v>Bad</v>
      </c>
    </row>
    <row r="4693" spans="2:34" x14ac:dyDescent="0.2">
      <c r="B4693" s="2">
        <f ca="1"/>
        <v>0.29646711032894513</v>
      </c>
      <c r="O4693" s="2">
        <f ca="1"/>
        <v>-0.69098855085354927</v>
      </c>
      <c r="X4693" s="2">
        <f ca="1"/>
        <v>57.155192704206868</v>
      </c>
      <c r="AG4693" s="2">
        <f ca="1"/>
        <v>0.64265488243612423</v>
      </c>
      <c r="AH4693" s="2" t="str">
        <f ca="1"/>
        <v>Bad</v>
      </c>
    </row>
    <row r="4694" spans="2:34" x14ac:dyDescent="0.2">
      <c r="B4694" s="2">
        <f ca="1"/>
        <v>5.583584135195907E-2</v>
      </c>
      <c r="O4694" s="2">
        <f ca="1"/>
        <v>1.0000734619486542</v>
      </c>
      <c r="X4694" s="2">
        <f ca="1"/>
        <v>30.888586913216773</v>
      </c>
      <c r="AG4694" s="2">
        <f ca="1"/>
        <v>0.31625506867200559</v>
      </c>
      <c r="AH4694" s="2" t="str">
        <f ca="1"/>
        <v>OK</v>
      </c>
    </row>
    <row r="4695" spans="2:34" x14ac:dyDescent="0.2">
      <c r="B4695" s="2">
        <f ca="1"/>
        <v>0.16298057221783013</v>
      </c>
      <c r="O4695" s="2">
        <f ca="1"/>
        <v>2.0160901463506198</v>
      </c>
      <c r="X4695" s="2">
        <f ca="1"/>
        <v>44.017355057295937</v>
      </c>
      <c r="AG4695" s="2">
        <f ca="1"/>
        <v>0.52371419946705822</v>
      </c>
      <c r="AH4695" s="2" t="str">
        <f ca="1"/>
        <v>Bad</v>
      </c>
    </row>
    <row r="4696" spans="2:34" x14ac:dyDescent="0.2">
      <c r="B4696" s="2">
        <f ca="1"/>
        <v>0.51035045842858984</v>
      </c>
      <c r="O4696" s="2">
        <f ca="1"/>
        <v>-1.5306265091945617</v>
      </c>
      <c r="X4696" s="2">
        <f ca="1"/>
        <v>31.328364151799736</v>
      </c>
      <c r="AG4696" s="2">
        <f ca="1"/>
        <v>0.41067672983785752</v>
      </c>
      <c r="AH4696" s="2" t="str">
        <f ca="1"/>
        <v>Bad</v>
      </c>
    </row>
    <row r="4697" spans="2:34" x14ac:dyDescent="0.2">
      <c r="B4697" s="2">
        <f ca="1"/>
        <v>0.93119215737567762</v>
      </c>
      <c r="O4697" s="2">
        <f ca="1"/>
        <v>0.42976918328861868</v>
      </c>
      <c r="X4697" s="2">
        <f ca="1"/>
        <v>37.707353246796728</v>
      </c>
      <c r="AG4697" s="2">
        <f ca="1"/>
        <v>7.4592825539132823E-2</v>
      </c>
      <c r="AH4697" s="2" t="str">
        <f ca="1"/>
        <v>OK</v>
      </c>
    </row>
    <row r="4698" spans="2:34" x14ac:dyDescent="0.2">
      <c r="B4698" s="2">
        <f ca="1"/>
        <v>0.58398388163770543</v>
      </c>
      <c r="O4698" s="2">
        <f ca="1"/>
        <v>0.5926426050111081</v>
      </c>
      <c r="X4698" s="2">
        <f ca="1"/>
        <v>57.110816432002352</v>
      </c>
      <c r="AG4698" s="2">
        <f ca="1"/>
        <v>0.85789772766272421</v>
      </c>
      <c r="AH4698" s="2" t="str">
        <f ca="1"/>
        <v>Bad</v>
      </c>
    </row>
    <row r="4699" spans="2:34" x14ac:dyDescent="0.2">
      <c r="B4699" s="2">
        <f ca="1"/>
        <v>0.95840145789327269</v>
      </c>
      <c r="O4699" s="2">
        <f ca="1"/>
        <v>1.0707915645188768</v>
      </c>
      <c r="X4699" s="2">
        <f ca="1"/>
        <v>45.470413394493043</v>
      </c>
      <c r="AG4699" s="2">
        <f ca="1"/>
        <v>0.57753606448818351</v>
      </c>
      <c r="AH4699" s="2" t="str">
        <f ca="1"/>
        <v>Bad</v>
      </c>
    </row>
    <row r="4700" spans="2:34" x14ac:dyDescent="0.2">
      <c r="B4700" s="2">
        <f ca="1"/>
        <v>5.4275717009835356E-2</v>
      </c>
      <c r="O4700" s="2">
        <f ca="1"/>
        <v>-0.97419824776722974</v>
      </c>
      <c r="X4700" s="2">
        <f ca="1"/>
        <v>43.942393754091491</v>
      </c>
      <c r="AG4700" s="2">
        <f ca="1"/>
        <v>0.64042379712812747</v>
      </c>
      <c r="AH4700" s="2" t="str">
        <f ca="1"/>
        <v>Bad</v>
      </c>
    </row>
    <row r="4701" spans="2:34" x14ac:dyDescent="0.2">
      <c r="B4701" s="2">
        <f ca="1"/>
        <v>0.11690892345890269</v>
      </c>
      <c r="O4701" s="2">
        <f ca="1"/>
        <v>2.9549215720079496E-2</v>
      </c>
      <c r="X4701" s="2">
        <f ca="1"/>
        <v>74.868137750569275</v>
      </c>
      <c r="AG4701" s="2">
        <f ca="1"/>
        <v>0.58590136432062967</v>
      </c>
      <c r="AH4701" s="2" t="str">
        <f ca="1"/>
        <v>Bad</v>
      </c>
    </row>
    <row r="4702" spans="2:34" x14ac:dyDescent="0.2">
      <c r="B4702" s="2">
        <f ca="1"/>
        <v>0.44845386704610068</v>
      </c>
      <c r="O4702" s="2">
        <f ca="1"/>
        <v>-1.8834893264778343</v>
      </c>
      <c r="X4702" s="2">
        <f ca="1"/>
        <v>104.93750719853105</v>
      </c>
      <c r="AG4702" s="2">
        <f ca="1"/>
        <v>0.25206737613914187</v>
      </c>
      <c r="AH4702" s="2" t="str">
        <f ca="1"/>
        <v>OK</v>
      </c>
    </row>
    <row r="4703" spans="2:34" x14ac:dyDescent="0.2">
      <c r="B4703" s="2">
        <f ca="1"/>
        <v>0.67187745597857385</v>
      </c>
      <c r="O4703" s="2">
        <f ca="1"/>
        <v>1.4673840240690417</v>
      </c>
      <c r="X4703" s="2">
        <f ca="1"/>
        <v>60.03931943465426</v>
      </c>
      <c r="AG4703" s="2">
        <f ca="1"/>
        <v>0.47671150114975092</v>
      </c>
      <c r="AH4703" s="2" t="str">
        <f ca="1"/>
        <v>Bad</v>
      </c>
    </row>
    <row r="4704" spans="2:34" x14ac:dyDescent="0.2">
      <c r="B4704" s="2">
        <f ca="1"/>
        <v>0.50260044055470865</v>
      </c>
      <c r="O4704" s="2">
        <f ca="1"/>
        <v>1.2947350684067294</v>
      </c>
      <c r="X4704" s="2">
        <f ca="1"/>
        <v>41.183356324031465</v>
      </c>
      <c r="AG4704" s="2">
        <f ca="1"/>
        <v>0.42902169400212098</v>
      </c>
      <c r="AH4704" s="2" t="str">
        <f ca="1"/>
        <v>Bad</v>
      </c>
    </row>
    <row r="4705" spans="2:34" x14ac:dyDescent="0.2">
      <c r="B4705" s="2">
        <f ca="1"/>
        <v>0.76236881692063041</v>
      </c>
      <c r="O4705" s="2">
        <f ca="1"/>
        <v>0.72709251739600833</v>
      </c>
      <c r="X4705" s="2">
        <f ca="1"/>
        <v>69.331827513755798</v>
      </c>
      <c r="AG4705" s="2">
        <f ca="1"/>
        <v>0.34841693347177327</v>
      </c>
      <c r="AH4705" s="2" t="str">
        <f ca="1"/>
        <v>OK</v>
      </c>
    </row>
    <row r="4706" spans="2:34" x14ac:dyDescent="0.2">
      <c r="B4706" s="2">
        <f ca="1"/>
        <v>0.51495203127483324</v>
      </c>
      <c r="O4706" s="2">
        <f ca="1"/>
        <v>-0.56538668642718082</v>
      </c>
      <c r="X4706" s="2">
        <f ca="1"/>
        <v>57.218450615076797</v>
      </c>
      <c r="AG4706" s="2">
        <f ca="1"/>
        <v>0.38123958893300758</v>
      </c>
      <c r="AH4706" s="2" t="str">
        <f ca="1"/>
        <v>OK</v>
      </c>
    </row>
    <row r="4707" spans="2:34" x14ac:dyDescent="0.2">
      <c r="B4707" s="2">
        <f ca="1"/>
        <v>0.12025493174022417</v>
      </c>
      <c r="O4707" s="2">
        <f ca="1"/>
        <v>-1.6390264515051587</v>
      </c>
      <c r="X4707" s="2">
        <f ca="1"/>
        <v>51.568759597958298</v>
      </c>
      <c r="AG4707" s="2">
        <f ca="1"/>
        <v>0.12676271035492648</v>
      </c>
      <c r="AH4707" s="2" t="str">
        <f ca="1"/>
        <v>OK</v>
      </c>
    </row>
    <row r="4708" spans="2:34" x14ac:dyDescent="0.2">
      <c r="B4708" s="2">
        <f ca="1"/>
        <v>1.7066629100454866E-2</v>
      </c>
      <c r="O4708" s="2">
        <f ca="1"/>
        <v>0.48349777486910878</v>
      </c>
      <c r="X4708" s="2">
        <f ca="1"/>
        <v>67.248393250097308</v>
      </c>
      <c r="AG4708" s="2">
        <f ca="1"/>
        <v>0.62750162200813286</v>
      </c>
      <c r="AH4708" s="2" t="str">
        <f ca="1"/>
        <v>Bad</v>
      </c>
    </row>
    <row r="4709" spans="2:34" x14ac:dyDescent="0.2">
      <c r="B4709" s="2">
        <f ca="1"/>
        <v>0.99359026629246716</v>
      </c>
      <c r="O4709" s="2">
        <f ca="1"/>
        <v>0.65489586578778702</v>
      </c>
      <c r="X4709" s="2">
        <f ca="1"/>
        <v>67.213375923653814</v>
      </c>
      <c r="AG4709" s="2">
        <f ca="1"/>
        <v>0.20628474393564211</v>
      </c>
      <c r="AH4709" s="2" t="str">
        <f ca="1"/>
        <v>OK</v>
      </c>
    </row>
    <row r="4710" spans="2:34" x14ac:dyDescent="0.2">
      <c r="B4710" s="2">
        <f ca="1"/>
        <v>0.4293184861639423</v>
      </c>
      <c r="O4710" s="2">
        <f ca="1"/>
        <v>1.2842095655841868</v>
      </c>
      <c r="X4710" s="2">
        <f ca="1"/>
        <v>29.809436746390841</v>
      </c>
      <c r="AG4710" s="2">
        <f ca="1"/>
        <v>3.1094875091325358E-2</v>
      </c>
      <c r="AH4710" s="2" t="str">
        <f ca="1"/>
        <v>Good</v>
      </c>
    </row>
    <row r="4711" spans="2:34" x14ac:dyDescent="0.2">
      <c r="B4711" s="2">
        <f ca="1"/>
        <v>2.642740982274927E-2</v>
      </c>
      <c r="O4711" s="2">
        <f ca="1"/>
        <v>-1.316547283962527</v>
      </c>
      <c r="X4711" s="2">
        <f ca="1"/>
        <v>83.041782350707877</v>
      </c>
      <c r="AG4711" s="2">
        <f ca="1"/>
        <v>0.38747867732039643</v>
      </c>
      <c r="AH4711" s="2" t="str">
        <f ca="1"/>
        <v>OK</v>
      </c>
    </row>
    <row r="4712" spans="2:34" x14ac:dyDescent="0.2">
      <c r="B4712" s="2">
        <f ca="1"/>
        <v>0.65449938460735257</v>
      </c>
      <c r="O4712" s="2">
        <f ca="1"/>
        <v>-1.8278993723377619</v>
      </c>
      <c r="X4712" s="2">
        <f ca="1"/>
        <v>35.291270251235787</v>
      </c>
      <c r="AG4712" s="2">
        <f ca="1"/>
        <v>0.38338362969234385</v>
      </c>
      <c r="AH4712" s="2" t="str">
        <f ca="1"/>
        <v>OK</v>
      </c>
    </row>
    <row r="4713" spans="2:34" x14ac:dyDescent="0.2">
      <c r="B4713" s="2">
        <f ca="1"/>
        <v>0.71831625521119524</v>
      </c>
      <c r="O4713" s="2">
        <f ca="1"/>
        <v>-0.79482263275901766</v>
      </c>
      <c r="X4713" s="2">
        <f ca="1"/>
        <v>47.63908499387162</v>
      </c>
      <c r="AG4713" s="2">
        <f ca="1"/>
        <v>0.62525185056233257</v>
      </c>
      <c r="AH4713" s="2" t="str">
        <f ca="1"/>
        <v>Bad</v>
      </c>
    </row>
    <row r="4714" spans="2:34" x14ac:dyDescent="0.2">
      <c r="B4714" s="2">
        <f ca="1"/>
        <v>0.83976398251559981</v>
      </c>
      <c r="O4714" s="2">
        <f ca="1"/>
        <v>-0.25497278680314051</v>
      </c>
      <c r="X4714" s="2">
        <f ca="1"/>
        <v>43.924389799160437</v>
      </c>
      <c r="AG4714" s="2">
        <f ca="1"/>
        <v>0.26433848164177487</v>
      </c>
      <c r="AH4714" s="2" t="str">
        <f ca="1"/>
        <v>OK</v>
      </c>
    </row>
    <row r="4715" spans="2:34" x14ac:dyDescent="0.2">
      <c r="B4715" s="2">
        <f ca="1"/>
        <v>0.37188696393426812</v>
      </c>
      <c r="O4715" s="2">
        <f ca="1"/>
        <v>-0.69051913600946824</v>
      </c>
      <c r="X4715" s="2">
        <f ca="1"/>
        <v>25.621671853433583</v>
      </c>
      <c r="AG4715" s="2">
        <f ca="1"/>
        <v>0.91923877580247204</v>
      </c>
      <c r="AH4715" s="2" t="str">
        <f ca="1"/>
        <v>Bad</v>
      </c>
    </row>
    <row r="4716" spans="2:34" x14ac:dyDescent="0.2">
      <c r="B4716" s="2">
        <f ca="1"/>
        <v>4.7518877070704901E-2</v>
      </c>
      <c r="O4716" s="2">
        <f ca="1"/>
        <v>4.1988275182005076E-2</v>
      </c>
      <c r="X4716" s="2">
        <f ca="1"/>
        <v>36.702268857660549</v>
      </c>
      <c r="AG4716" s="2">
        <f ca="1"/>
        <v>0.65410166490492649</v>
      </c>
      <c r="AH4716" s="2" t="str">
        <f ca="1"/>
        <v>Bad</v>
      </c>
    </row>
    <row r="4717" spans="2:34" x14ac:dyDescent="0.2">
      <c r="B4717" s="2">
        <f ca="1"/>
        <v>0.67781404851701632</v>
      </c>
      <c r="O4717" s="2">
        <f ca="1"/>
        <v>-1.1520056828711098</v>
      </c>
      <c r="X4717" s="2">
        <f ca="1"/>
        <v>25.281374952822336</v>
      </c>
      <c r="AG4717" s="2">
        <f ca="1"/>
        <v>0.5208668541830348</v>
      </c>
      <c r="AH4717" s="2" t="str">
        <f ca="1"/>
        <v>Bad</v>
      </c>
    </row>
    <row r="4718" spans="2:34" x14ac:dyDescent="0.2">
      <c r="B4718" s="2">
        <f ca="1"/>
        <v>0.75590680994537651</v>
      </c>
      <c r="O4718" s="2">
        <f ca="1"/>
        <v>9.3538049914961025E-3</v>
      </c>
      <c r="X4718" s="2">
        <f ca="1"/>
        <v>44.126292356255028</v>
      </c>
      <c r="AG4718" s="2">
        <f ca="1"/>
        <v>0.61617707112343512</v>
      </c>
      <c r="AH4718" s="2" t="str">
        <f ca="1"/>
        <v>Bad</v>
      </c>
    </row>
    <row r="4719" spans="2:34" x14ac:dyDescent="0.2">
      <c r="B4719" s="2">
        <f ca="1"/>
        <v>0.30974315536684238</v>
      </c>
      <c r="O4719" s="2">
        <f ca="1"/>
        <v>-0.1787267954580409</v>
      </c>
      <c r="X4719" s="2">
        <f ca="1"/>
        <v>37.160169770278685</v>
      </c>
      <c r="AG4719" s="2">
        <f ca="1"/>
        <v>0.99688544093443765</v>
      </c>
      <c r="AH4719" s="2" t="str">
        <f ca="1"/>
        <v>Bad</v>
      </c>
    </row>
    <row r="4720" spans="2:34" x14ac:dyDescent="0.2">
      <c r="B4720" s="2">
        <f ca="1"/>
        <v>0.69505616363825196</v>
      </c>
      <c r="O4720" s="2">
        <f ca="1"/>
        <v>-0.3426990428552692</v>
      </c>
      <c r="X4720" s="2">
        <f ca="1"/>
        <v>58.744944710419574</v>
      </c>
      <c r="AG4720" s="2">
        <f ca="1"/>
        <v>0.5598679770009396</v>
      </c>
      <c r="AH4720" s="2" t="str">
        <f ca="1"/>
        <v>Bad</v>
      </c>
    </row>
    <row r="4721" spans="2:34" x14ac:dyDescent="0.2">
      <c r="B4721" s="2">
        <f ca="1"/>
        <v>0.94590998673072679</v>
      </c>
      <c r="O4721" s="2">
        <f ca="1"/>
        <v>-0.40961355472507333</v>
      </c>
      <c r="X4721" s="2">
        <f ca="1"/>
        <v>40.202235766622053</v>
      </c>
      <c r="AG4721" s="2">
        <f ca="1"/>
        <v>0.335679575359908</v>
      </c>
      <c r="AH4721" s="2" t="str">
        <f ca="1"/>
        <v>OK</v>
      </c>
    </row>
    <row r="4722" spans="2:34" x14ac:dyDescent="0.2">
      <c r="B4722" s="2">
        <f ca="1"/>
        <v>0.58800428912065672</v>
      </c>
      <c r="O4722" s="2">
        <f ca="1"/>
        <v>0.70881352733413927</v>
      </c>
      <c r="X4722" s="2">
        <f ca="1"/>
        <v>41.468264255999443</v>
      </c>
      <c r="AG4722" s="2">
        <f ca="1"/>
        <v>0.8900725374110221</v>
      </c>
      <c r="AH4722" s="2" t="str">
        <f ca="1"/>
        <v>Bad</v>
      </c>
    </row>
    <row r="4723" spans="2:34" x14ac:dyDescent="0.2">
      <c r="B4723" s="2">
        <f ca="1"/>
        <v>9.5202991389208957E-2</v>
      </c>
      <c r="O4723" s="2">
        <f ca="1"/>
        <v>0.2045031104455497</v>
      </c>
      <c r="X4723" s="2">
        <f ca="1"/>
        <v>57.173107820257513</v>
      </c>
      <c r="AG4723" s="2">
        <f ca="1"/>
        <v>0.80164297084966263</v>
      </c>
      <c r="AH4723" s="2" t="str">
        <f ca="1"/>
        <v>Bad</v>
      </c>
    </row>
    <row r="4724" spans="2:34" x14ac:dyDescent="0.2">
      <c r="B4724" s="2">
        <f ca="1"/>
        <v>0.39480444141167315</v>
      </c>
      <c r="O4724" s="2">
        <f ca="1"/>
        <v>0.61320638119636495</v>
      </c>
      <c r="X4724" s="2">
        <f ca="1"/>
        <v>70.919846860370171</v>
      </c>
      <c r="AG4724" s="2">
        <f ca="1"/>
        <v>0.36331425261795536</v>
      </c>
      <c r="AH4724" s="2" t="str">
        <f ca="1"/>
        <v>OK</v>
      </c>
    </row>
    <row r="4725" spans="2:34" x14ac:dyDescent="0.2">
      <c r="B4725" s="2">
        <f ca="1"/>
        <v>0.40702496756616502</v>
      </c>
      <c r="O4725" s="2">
        <f ca="1"/>
        <v>0.78668758350964929</v>
      </c>
      <c r="X4725" s="2">
        <f ca="1"/>
        <v>46.708955889445633</v>
      </c>
      <c r="AG4725" s="2">
        <f ca="1"/>
        <v>0.20129867260724721</v>
      </c>
      <c r="AH4725" s="2" t="str">
        <f ca="1"/>
        <v>OK</v>
      </c>
    </row>
    <row r="4726" spans="2:34" x14ac:dyDescent="0.2">
      <c r="B4726" s="2">
        <f ca="1"/>
        <v>0.73301818179852507</v>
      </c>
      <c r="O4726" s="2">
        <f ca="1"/>
        <v>-0.26235587858365883</v>
      </c>
      <c r="X4726" s="2">
        <f ca="1"/>
        <v>48.069522904968608</v>
      </c>
      <c r="AG4726" s="2">
        <f ca="1"/>
        <v>0.69768953649969512</v>
      </c>
      <c r="AH4726" s="2" t="str">
        <f ca="1"/>
        <v>Bad</v>
      </c>
    </row>
    <row r="4727" spans="2:34" x14ac:dyDescent="0.2">
      <c r="B4727" s="2">
        <f ca="1"/>
        <v>0.8643819425895678</v>
      </c>
      <c r="O4727" s="2">
        <f ca="1"/>
        <v>0.59662444559972339</v>
      </c>
      <c r="X4727" s="2">
        <f ca="1"/>
        <v>46.407765250816226</v>
      </c>
      <c r="AG4727" s="2">
        <f ca="1"/>
        <v>0.36371575399472733</v>
      </c>
      <c r="AH4727" s="2" t="str">
        <f ca="1"/>
        <v>OK</v>
      </c>
    </row>
    <row r="4728" spans="2:34" x14ac:dyDescent="0.2">
      <c r="B4728" s="2">
        <f ca="1"/>
        <v>0.51073591438675758</v>
      </c>
      <c r="O4728" s="2">
        <f ca="1"/>
        <v>-0.57397708430761529</v>
      </c>
      <c r="X4728" s="2">
        <f ca="1"/>
        <v>48.224719464330292</v>
      </c>
      <c r="AG4728" s="2">
        <f ca="1"/>
        <v>0.38223413335443457</v>
      </c>
      <c r="AH4728" s="2" t="str">
        <f ca="1"/>
        <v>OK</v>
      </c>
    </row>
    <row r="4729" spans="2:34" x14ac:dyDescent="0.2">
      <c r="B4729" s="2">
        <f ca="1"/>
        <v>0.1118478528488569</v>
      </c>
      <c r="O4729" s="2">
        <f ca="1"/>
        <v>-0.23578218964174319</v>
      </c>
      <c r="X4729" s="2">
        <f ca="1"/>
        <v>62.387570579615065</v>
      </c>
      <c r="AG4729" s="2">
        <f ca="1"/>
        <v>0.65912676672975867</v>
      </c>
      <c r="AH4729" s="2" t="str">
        <f ca="1"/>
        <v>Bad</v>
      </c>
    </row>
    <row r="4730" spans="2:34" x14ac:dyDescent="0.2">
      <c r="B4730" s="2">
        <f ca="1"/>
        <v>0.69549916705131021</v>
      </c>
      <c r="O4730" s="2">
        <f ca="1"/>
        <v>-1.1503245390312116</v>
      </c>
      <c r="X4730" s="2">
        <f ca="1"/>
        <v>44.196646697197828</v>
      </c>
      <c r="AG4730" s="2">
        <f ca="1"/>
        <v>0.58015185309984685</v>
      </c>
      <c r="AH4730" s="2" t="str">
        <f ca="1"/>
        <v>Bad</v>
      </c>
    </row>
    <row r="4731" spans="2:34" x14ac:dyDescent="0.2">
      <c r="B4731" s="2">
        <f ca="1"/>
        <v>0.15787505184751227</v>
      </c>
      <c r="O4731" s="2">
        <f ca="1"/>
        <v>-1.2696617711041795</v>
      </c>
      <c r="X4731" s="2">
        <f ca="1"/>
        <v>33.968105044004972</v>
      </c>
      <c r="AG4731" s="2">
        <f ca="1"/>
        <v>0.90033815956175434</v>
      </c>
      <c r="AH4731" s="2" t="str">
        <f ca="1"/>
        <v>Bad</v>
      </c>
    </row>
    <row r="4732" spans="2:34" x14ac:dyDescent="0.2">
      <c r="B4732" s="2">
        <f ca="1"/>
        <v>0.65717182226093973</v>
      </c>
      <c r="O4732" s="2">
        <f ca="1"/>
        <v>0.49865584650530403</v>
      </c>
      <c r="X4732" s="2">
        <f ca="1"/>
        <v>44.804788985787489</v>
      </c>
      <c r="AG4732" s="2">
        <f ca="1"/>
        <v>0.55687979040479152</v>
      </c>
      <c r="AH4732" s="2" t="str">
        <f ca="1"/>
        <v>Bad</v>
      </c>
    </row>
    <row r="4733" spans="2:34" x14ac:dyDescent="0.2">
      <c r="B4733" s="2">
        <f ca="1"/>
        <v>0.1221668050810143</v>
      </c>
      <c r="O4733" s="2">
        <f ca="1"/>
        <v>-0.70372033918829213</v>
      </c>
      <c r="X4733" s="2">
        <f ca="1"/>
        <v>76.677959025420975</v>
      </c>
      <c r="AG4733" s="2">
        <f ca="1"/>
        <v>6.9501943222562756E-2</v>
      </c>
      <c r="AH4733" s="2" t="str">
        <f ca="1"/>
        <v>OK</v>
      </c>
    </row>
    <row r="4734" spans="2:34" x14ac:dyDescent="0.2">
      <c r="B4734" s="2">
        <f ca="1"/>
        <v>0.84498600619293063</v>
      </c>
      <c r="O4734" s="2">
        <f ca="1"/>
        <v>-0.41202954414370363</v>
      </c>
      <c r="X4734" s="2">
        <f ca="1"/>
        <v>27.285449702006414</v>
      </c>
      <c r="AG4734" s="2">
        <f ca="1"/>
        <v>0.80313957539886349</v>
      </c>
      <c r="AH4734" s="2" t="str">
        <f ca="1"/>
        <v>Bad</v>
      </c>
    </row>
    <row r="4735" spans="2:34" x14ac:dyDescent="0.2">
      <c r="B4735" s="2">
        <f ca="1"/>
        <v>0.63280094422409494</v>
      </c>
      <c r="O4735" s="2">
        <f ca="1"/>
        <v>0.37292337754723587</v>
      </c>
      <c r="X4735" s="2">
        <f ca="1"/>
        <v>32.62308632593875</v>
      </c>
      <c r="AG4735" s="2">
        <f ca="1"/>
        <v>0.23173217860183626</v>
      </c>
      <c r="AH4735" s="2" t="str">
        <f ca="1"/>
        <v>OK</v>
      </c>
    </row>
    <row r="4736" spans="2:34" x14ac:dyDescent="0.2">
      <c r="B4736" s="2">
        <f ca="1"/>
        <v>0.43417053144921502</v>
      </c>
      <c r="O4736" s="2">
        <f ca="1"/>
        <v>0.42989164689623938</v>
      </c>
      <c r="X4736" s="2">
        <f ca="1"/>
        <v>66.870333714512782</v>
      </c>
      <c r="AG4736" s="2">
        <f ca="1"/>
        <v>9.8203686642902355E-2</v>
      </c>
      <c r="AH4736" s="2" t="str">
        <f ca="1"/>
        <v>OK</v>
      </c>
    </row>
    <row r="4737" spans="2:34" x14ac:dyDescent="0.2">
      <c r="B4737" s="2">
        <f ca="1"/>
        <v>0.41978415077436737</v>
      </c>
      <c r="O4737" s="2">
        <f ca="1"/>
        <v>-2.1394478144235616</v>
      </c>
      <c r="X4737" s="2">
        <f ca="1"/>
        <v>39.406008909528389</v>
      </c>
      <c r="AG4737" s="2">
        <f ca="1"/>
        <v>0.27620646480817679</v>
      </c>
      <c r="AH4737" s="2" t="str">
        <f ca="1"/>
        <v>OK</v>
      </c>
    </row>
    <row r="4738" spans="2:34" x14ac:dyDescent="0.2">
      <c r="B4738" s="2">
        <f ca="1"/>
        <v>0.62075198689784261</v>
      </c>
      <c r="O4738" s="2">
        <f ca="1"/>
        <v>-0.23285758541275456</v>
      </c>
      <c r="X4738" s="2">
        <f ca="1"/>
        <v>54.253849618026535</v>
      </c>
      <c r="AG4738" s="2">
        <f ca="1"/>
        <v>0.91736407766432038</v>
      </c>
      <c r="AH4738" s="2" t="str">
        <f ca="1"/>
        <v>Bad</v>
      </c>
    </row>
    <row r="4739" spans="2:34" x14ac:dyDescent="0.2">
      <c r="B4739" s="2">
        <f ca="1"/>
        <v>0.56408197389138315</v>
      </c>
      <c r="O4739" s="2">
        <f ca="1"/>
        <v>1.3481407973686188</v>
      </c>
      <c r="X4739" s="2">
        <f ca="1"/>
        <v>66.786971871836315</v>
      </c>
      <c r="AG4739" s="2">
        <f ca="1"/>
        <v>0.40355580673445846</v>
      </c>
      <c r="AH4739" s="2" t="str">
        <f ca="1"/>
        <v>Bad</v>
      </c>
    </row>
    <row r="4740" spans="2:34" x14ac:dyDescent="0.2">
      <c r="B4740" s="2">
        <f ca="1"/>
        <v>0.80064074746646918</v>
      </c>
      <c r="O4740" s="2">
        <f ca="1"/>
        <v>-0.4124827365503787</v>
      </c>
      <c r="X4740" s="2">
        <f ca="1"/>
        <v>39.972440412819587</v>
      </c>
      <c r="AG4740" s="2">
        <f ca="1"/>
        <v>0.76727488401605082</v>
      </c>
      <c r="AH4740" s="2" t="str">
        <f ca="1"/>
        <v>Bad</v>
      </c>
    </row>
    <row r="4741" spans="2:34" x14ac:dyDescent="0.2">
      <c r="B4741" s="2">
        <f ca="1"/>
        <v>0.4035909001418041</v>
      </c>
      <c r="O4741" s="2">
        <f ca="1"/>
        <v>-1.5795130683398673</v>
      </c>
      <c r="X4741" s="2">
        <f ca="1"/>
        <v>42.636802936809431</v>
      </c>
      <c r="AG4741" s="2">
        <f ca="1"/>
        <v>0.40620984974290431</v>
      </c>
      <c r="AH4741" s="2" t="str">
        <f ca="1"/>
        <v>Bad</v>
      </c>
    </row>
    <row r="4742" spans="2:34" x14ac:dyDescent="0.2">
      <c r="B4742" s="2">
        <f ca="1"/>
        <v>0.15011836781888777</v>
      </c>
      <c r="O4742" s="2">
        <f ca="1"/>
        <v>5.2339521840047899E-2</v>
      </c>
      <c r="X4742" s="2">
        <f ca="1"/>
        <v>37.06958783864421</v>
      </c>
      <c r="AG4742" s="2">
        <f ca="1"/>
        <v>0.3386454920659121</v>
      </c>
      <c r="AH4742" s="2" t="str">
        <f ca="1"/>
        <v>OK</v>
      </c>
    </row>
    <row r="4743" spans="2:34" x14ac:dyDescent="0.2">
      <c r="B4743" s="2">
        <f ca="1"/>
        <v>0.16054714187458186</v>
      </c>
      <c r="O4743" s="2">
        <f ca="1"/>
        <v>-5.5897702142144519E-2</v>
      </c>
      <c r="X4743" s="2">
        <f ca="1"/>
        <v>70.212267749800375</v>
      </c>
      <c r="AG4743" s="2">
        <f ca="1"/>
        <v>0.39724197885946233</v>
      </c>
      <c r="AH4743" s="2" t="str">
        <f ca="1"/>
        <v>OK</v>
      </c>
    </row>
    <row r="4744" spans="2:34" x14ac:dyDescent="0.2">
      <c r="B4744" s="2">
        <f ca="1"/>
        <v>0.55750508034614565</v>
      </c>
      <c r="O4744" s="2">
        <f ca="1"/>
        <v>-1.1281204059808911</v>
      </c>
      <c r="X4744" s="2">
        <f ca="1"/>
        <v>62.337941229986562</v>
      </c>
      <c r="AG4744" s="2">
        <f ca="1"/>
        <v>1.3985958087690431E-2</v>
      </c>
      <c r="AH4744" s="2" t="str">
        <f ca="1"/>
        <v>Good</v>
      </c>
    </row>
    <row r="4745" spans="2:34" x14ac:dyDescent="0.2">
      <c r="B4745" s="2">
        <f ca="1"/>
        <v>6.6567599943280653E-2</v>
      </c>
      <c r="O4745" s="2">
        <f ca="1"/>
        <v>1.7344198047294603</v>
      </c>
      <c r="X4745" s="2">
        <f ca="1"/>
        <v>37.72665370525656</v>
      </c>
      <c r="AG4745" s="2">
        <f ca="1"/>
        <v>0.98465318249507616</v>
      </c>
      <c r="AH4745" s="2" t="str">
        <f ca="1"/>
        <v>Bad</v>
      </c>
    </row>
    <row r="4746" spans="2:34" x14ac:dyDescent="0.2">
      <c r="B4746" s="2">
        <f ca="1"/>
        <v>0.76864754253630241</v>
      </c>
      <c r="O4746" s="2">
        <f ca="1"/>
        <v>-0.36022872789042049</v>
      </c>
      <c r="X4746" s="2">
        <f ca="1"/>
        <v>46.538361417532641</v>
      </c>
      <c r="AG4746" s="2">
        <f ca="1"/>
        <v>0.3159821242529548</v>
      </c>
      <c r="AH4746" s="2" t="str">
        <f ca="1"/>
        <v>OK</v>
      </c>
    </row>
    <row r="4747" spans="2:34" x14ac:dyDescent="0.2">
      <c r="B4747" s="2">
        <f ca="1"/>
        <v>0.20064615436657451</v>
      </c>
      <c r="O4747" s="2">
        <f ca="1"/>
        <v>-0.34450768028281031</v>
      </c>
      <c r="X4747" s="2">
        <f ca="1"/>
        <v>53.294872274790599</v>
      </c>
      <c r="AG4747" s="2">
        <f ca="1"/>
        <v>0.28672289108604398</v>
      </c>
      <c r="AH4747" s="2" t="str">
        <f ca="1"/>
        <v>OK</v>
      </c>
    </row>
    <row r="4748" spans="2:34" x14ac:dyDescent="0.2">
      <c r="B4748" s="2">
        <f ca="1"/>
        <v>0.48026051616262366</v>
      </c>
      <c r="O4748" s="2">
        <f ca="1"/>
        <v>0.8272726691006006</v>
      </c>
      <c r="X4748" s="2">
        <f ca="1"/>
        <v>57.147152824652039</v>
      </c>
      <c r="AG4748" s="2">
        <f ca="1"/>
        <v>0.47525958468824503</v>
      </c>
      <c r="AH4748" s="2" t="str">
        <f ca="1"/>
        <v>Bad</v>
      </c>
    </row>
    <row r="4749" spans="2:34" x14ac:dyDescent="0.2">
      <c r="B4749" s="2">
        <f ca="1"/>
        <v>0.80683156555441293</v>
      </c>
      <c r="O4749" s="2">
        <f ca="1"/>
        <v>-0.91088141937309564</v>
      </c>
      <c r="X4749" s="2">
        <f ca="1"/>
        <v>70.382433054685961</v>
      </c>
      <c r="AG4749" s="2">
        <f ca="1"/>
        <v>0.15469380243133979</v>
      </c>
      <c r="AH4749" s="2" t="str">
        <f ca="1"/>
        <v>OK</v>
      </c>
    </row>
    <row r="4750" spans="2:34" x14ac:dyDescent="0.2">
      <c r="B4750" s="2">
        <f ca="1"/>
        <v>0.8091441909832553</v>
      </c>
      <c r="O4750" s="2">
        <f ca="1"/>
        <v>1.0290107725766</v>
      </c>
      <c r="X4750" s="2">
        <f ca="1"/>
        <v>75.775958316177892</v>
      </c>
      <c r="AG4750" s="2">
        <f ca="1"/>
        <v>0.61708170249667904</v>
      </c>
      <c r="AH4750" s="2" t="str">
        <f ca="1"/>
        <v>Bad</v>
      </c>
    </row>
    <row r="4751" spans="2:34" x14ac:dyDescent="0.2">
      <c r="B4751" s="2">
        <f ca="1"/>
        <v>0.35948619178940588</v>
      </c>
      <c r="O4751" s="2">
        <f ca="1"/>
        <v>-0.54057025832426275</v>
      </c>
      <c r="X4751" s="2">
        <f ca="1"/>
        <v>57.960347851972635</v>
      </c>
      <c r="AG4751" s="2">
        <f ca="1"/>
        <v>0.26536876138866528</v>
      </c>
      <c r="AH4751" s="2" t="str">
        <f ca="1"/>
        <v>OK</v>
      </c>
    </row>
    <row r="4752" spans="2:34" x14ac:dyDescent="0.2">
      <c r="B4752" s="2">
        <f ca="1"/>
        <v>0.57482179303985492</v>
      </c>
      <c r="O4752" s="2">
        <f ca="1"/>
        <v>-0.25091051979802803</v>
      </c>
      <c r="X4752" s="2">
        <f ca="1"/>
        <v>41.607582092436729</v>
      </c>
      <c r="AG4752" s="2">
        <f ca="1"/>
        <v>0.50279966106106944</v>
      </c>
      <c r="AH4752" s="2" t="str">
        <f ca="1"/>
        <v>Bad</v>
      </c>
    </row>
    <row r="4753" spans="2:34" x14ac:dyDescent="0.2">
      <c r="B4753" s="2">
        <f ca="1"/>
        <v>0.24999700500382471</v>
      </c>
      <c r="O4753" s="2">
        <f ca="1"/>
        <v>-2.1930321093949541</v>
      </c>
      <c r="X4753" s="2">
        <f ca="1"/>
        <v>48.990326600020751</v>
      </c>
      <c r="AG4753" s="2">
        <f ca="1"/>
        <v>0.98858824700024761</v>
      </c>
      <c r="AH4753" s="2" t="str">
        <f ca="1"/>
        <v>Bad</v>
      </c>
    </row>
    <row r="4754" spans="2:34" x14ac:dyDescent="0.2">
      <c r="B4754" s="2">
        <f ca="1"/>
        <v>0.9463030446163363</v>
      </c>
      <c r="O4754" s="2">
        <f ca="1"/>
        <v>0.14650453804964733</v>
      </c>
      <c r="X4754" s="2">
        <f ca="1"/>
        <v>56.020175527868943</v>
      </c>
      <c r="AG4754" s="2">
        <f ca="1"/>
        <v>0.84657232769809587</v>
      </c>
      <c r="AH4754" s="2" t="str">
        <f ca="1"/>
        <v>Bad</v>
      </c>
    </row>
    <row r="4755" spans="2:34" x14ac:dyDescent="0.2">
      <c r="B4755" s="2">
        <f ca="1"/>
        <v>0.18625776994432641</v>
      </c>
      <c r="O4755" s="2">
        <f ca="1"/>
        <v>1.1882116991014026E-2</v>
      </c>
      <c r="X4755" s="2">
        <f ca="1"/>
        <v>73.660006576483354</v>
      </c>
      <c r="AG4755" s="2">
        <f ca="1"/>
        <v>0.17663466506703718</v>
      </c>
      <c r="AH4755" s="2" t="str">
        <f ca="1"/>
        <v>OK</v>
      </c>
    </row>
    <row r="4756" spans="2:34" x14ac:dyDescent="0.2">
      <c r="B4756" s="2">
        <f ca="1"/>
        <v>0.36463643643034271</v>
      </c>
      <c r="O4756" s="2">
        <f ca="1"/>
        <v>-0.64398958937214801</v>
      </c>
      <c r="X4756" s="2">
        <f ca="1"/>
        <v>25.630580134843267</v>
      </c>
      <c r="AG4756" s="2">
        <f ca="1"/>
        <v>0.16641377097805221</v>
      </c>
      <c r="AH4756" s="2" t="str">
        <f ca="1"/>
        <v>OK</v>
      </c>
    </row>
    <row r="4757" spans="2:34" x14ac:dyDescent="0.2">
      <c r="B4757" s="2">
        <f ca="1"/>
        <v>4.1419210693690811E-2</v>
      </c>
      <c r="O4757" s="2">
        <f ca="1"/>
        <v>0.41636076686531054</v>
      </c>
      <c r="X4757" s="2">
        <f ca="1"/>
        <v>43.912390288156601</v>
      </c>
      <c r="AG4757" s="2">
        <f ca="1"/>
        <v>0.85086509004785782</v>
      </c>
      <c r="AH4757" s="2" t="str">
        <f ca="1"/>
        <v>Bad</v>
      </c>
    </row>
    <row r="4758" spans="2:34" x14ac:dyDescent="0.2">
      <c r="B4758" s="2">
        <f ca="1"/>
        <v>0.30331319110173949</v>
      </c>
      <c r="O4758" s="2">
        <f ca="1"/>
        <v>-0.23339374386299391</v>
      </c>
      <c r="X4758" s="2">
        <f ca="1"/>
        <v>56.997869967864254</v>
      </c>
      <c r="AG4758" s="2">
        <f ca="1"/>
        <v>0.72310308753423946</v>
      </c>
      <c r="AH4758" s="2" t="str">
        <f ca="1"/>
        <v>Bad</v>
      </c>
    </row>
    <row r="4759" spans="2:34" x14ac:dyDescent="0.2">
      <c r="B4759" s="2">
        <f ca="1"/>
        <v>0.24630527980893868</v>
      </c>
      <c r="O4759" s="2">
        <f ca="1"/>
        <v>0.17576390232239889</v>
      </c>
      <c r="X4759" s="2">
        <f ca="1"/>
        <v>53.00693024043813</v>
      </c>
      <c r="AG4759" s="2">
        <f ca="1"/>
        <v>0.9421718463209785</v>
      </c>
      <c r="AH4759" s="2" t="str">
        <f ca="1"/>
        <v>Bad</v>
      </c>
    </row>
    <row r="4760" spans="2:34" x14ac:dyDescent="0.2">
      <c r="B4760" s="2">
        <f ca="1"/>
        <v>0.25021244734767323</v>
      </c>
      <c r="O4760" s="2">
        <f ca="1"/>
        <v>-0.54227399775932639</v>
      </c>
      <c r="X4760" s="2">
        <f ca="1"/>
        <v>47.533746674002359</v>
      </c>
      <c r="AG4760" s="2">
        <f ca="1"/>
        <v>0.61232229188883824</v>
      </c>
      <c r="AH4760" s="2" t="str">
        <f ca="1"/>
        <v>Bad</v>
      </c>
    </row>
    <row r="4761" spans="2:34" x14ac:dyDescent="0.2">
      <c r="B4761" s="2">
        <f ca="1"/>
        <v>0.35023601567641771</v>
      </c>
      <c r="O4761" s="2">
        <f ca="1"/>
        <v>-5.6330947934497798E-2</v>
      </c>
      <c r="X4761" s="2">
        <f ca="1"/>
        <v>66.092779427166519</v>
      </c>
      <c r="AG4761" s="2">
        <f ca="1"/>
        <v>0.53410103998405178</v>
      </c>
      <c r="AH4761" s="2" t="str">
        <f ca="1"/>
        <v>Bad</v>
      </c>
    </row>
    <row r="4762" spans="2:34" x14ac:dyDescent="0.2">
      <c r="B4762" s="2">
        <f ca="1"/>
        <v>0.86065464272669145</v>
      </c>
      <c r="O4762" s="2">
        <f ca="1"/>
        <v>-1.3418013601797407</v>
      </c>
      <c r="X4762" s="2">
        <f ca="1"/>
        <v>30.826667953769451</v>
      </c>
      <c r="AG4762" s="2">
        <f ca="1"/>
        <v>0.92722158504734087</v>
      </c>
      <c r="AH4762" s="2" t="str">
        <f ca="1"/>
        <v>Bad</v>
      </c>
    </row>
    <row r="4763" spans="2:34" x14ac:dyDescent="0.2">
      <c r="B4763" s="2">
        <f ca="1"/>
        <v>0.26728629067538634</v>
      </c>
      <c r="O4763" s="2">
        <f ca="1"/>
        <v>0.4260538712262974</v>
      </c>
      <c r="X4763" s="2">
        <f ca="1"/>
        <v>35.835426055469945</v>
      </c>
      <c r="AG4763" s="2">
        <f ca="1"/>
        <v>0.53616081053282771</v>
      </c>
      <c r="AH4763" s="2" t="str">
        <f ca="1"/>
        <v>Bad</v>
      </c>
    </row>
    <row r="4764" spans="2:34" x14ac:dyDescent="0.2">
      <c r="B4764" s="2">
        <f ca="1"/>
        <v>0.17060252612475502</v>
      </c>
      <c r="O4764" s="2">
        <f ca="1"/>
        <v>-0.50419070018528434</v>
      </c>
      <c r="X4764" s="2">
        <f ca="1"/>
        <v>47.592161587142471</v>
      </c>
      <c r="AG4764" s="2">
        <f ca="1"/>
        <v>0.90794161390629835</v>
      </c>
      <c r="AH4764" s="2" t="str">
        <f ca="1"/>
        <v>Bad</v>
      </c>
    </row>
    <row r="4765" spans="2:34" x14ac:dyDescent="0.2">
      <c r="B4765" s="2">
        <f ca="1"/>
        <v>0.60708973904536445</v>
      </c>
      <c r="O4765" s="2">
        <f ca="1"/>
        <v>-1.2372507704668025</v>
      </c>
      <c r="X4765" s="2">
        <f ca="1"/>
        <v>39.868896819229732</v>
      </c>
      <c r="AG4765" s="2">
        <f ca="1"/>
        <v>0.14381365893148357</v>
      </c>
      <c r="AH4765" s="2" t="str">
        <f ca="1"/>
        <v>OK</v>
      </c>
    </row>
    <row r="4766" spans="2:34" x14ac:dyDescent="0.2">
      <c r="B4766" s="2">
        <f ca="1"/>
        <v>0.85744644468724385</v>
      </c>
      <c r="O4766" s="2">
        <f ca="1"/>
        <v>5.8549873747294388E-2</v>
      </c>
      <c r="X4766" s="2">
        <f ca="1"/>
        <v>60.126413823240014</v>
      </c>
      <c r="AG4766" s="2">
        <f ca="1"/>
        <v>0.27334117147751624</v>
      </c>
      <c r="AH4766" s="2" t="str">
        <f ca="1"/>
        <v>OK</v>
      </c>
    </row>
    <row r="4767" spans="2:34" x14ac:dyDescent="0.2">
      <c r="B4767" s="2">
        <f ca="1"/>
        <v>0.7093601472947908</v>
      </c>
      <c r="O4767" s="2">
        <f ca="1"/>
        <v>-2.215652297511054</v>
      </c>
      <c r="X4767" s="2">
        <f ca="1"/>
        <v>42.605197173204857</v>
      </c>
      <c r="AG4767" s="2">
        <f ca="1"/>
        <v>0.40207299979248012</v>
      </c>
      <c r="AH4767" s="2" t="str">
        <f ca="1"/>
        <v>Bad</v>
      </c>
    </row>
    <row r="4768" spans="2:34" x14ac:dyDescent="0.2">
      <c r="B4768" s="2">
        <f ca="1"/>
        <v>0.65584387685602707</v>
      </c>
      <c r="O4768" s="2">
        <f ca="1"/>
        <v>-1.8088620525943333</v>
      </c>
      <c r="X4768" s="2">
        <f ca="1"/>
        <v>37.839744085021849</v>
      </c>
      <c r="AG4768" s="2">
        <f ca="1"/>
        <v>0.36728232340563149</v>
      </c>
      <c r="AH4768" s="2" t="str">
        <f ca="1"/>
        <v>OK</v>
      </c>
    </row>
    <row r="4769" spans="2:34" x14ac:dyDescent="0.2">
      <c r="B4769" s="2">
        <f ca="1"/>
        <v>0.11448224088278658</v>
      </c>
      <c r="O4769" s="2">
        <f ca="1"/>
        <v>0.16866520527776185</v>
      </c>
      <c r="X4769" s="2">
        <f ca="1"/>
        <v>56.825498979778224</v>
      </c>
      <c r="AG4769" s="2">
        <f ca="1"/>
        <v>0.39435904853747128</v>
      </c>
      <c r="AH4769" s="2" t="str">
        <f ca="1"/>
        <v>OK</v>
      </c>
    </row>
    <row r="4770" spans="2:34" x14ac:dyDescent="0.2">
      <c r="B4770" s="2">
        <f ca="1"/>
        <v>0.84354636815053952</v>
      </c>
      <c r="O4770" s="2">
        <f ca="1"/>
        <v>0.46108485720346815</v>
      </c>
      <c r="X4770" s="2">
        <f ca="1"/>
        <v>45.589610604356928</v>
      </c>
      <c r="AG4770" s="2">
        <f ca="1"/>
        <v>0.56417333204881448</v>
      </c>
      <c r="AH4770" s="2" t="str">
        <f ca="1"/>
        <v>Bad</v>
      </c>
    </row>
    <row r="4771" spans="2:34" x14ac:dyDescent="0.2">
      <c r="B4771" s="2">
        <f ca="1"/>
        <v>0.71560192863641836</v>
      </c>
      <c r="O4771" s="2">
        <f ca="1"/>
        <v>-8.7801789817282011E-2</v>
      </c>
      <c r="X4771" s="2">
        <f ca="1"/>
        <v>67.044320437863391</v>
      </c>
      <c r="AG4771" s="2">
        <f ca="1"/>
        <v>0.33832548911739391</v>
      </c>
      <c r="AH4771" s="2" t="str">
        <f ca="1"/>
        <v>OK</v>
      </c>
    </row>
    <row r="4772" spans="2:34" x14ac:dyDescent="0.2">
      <c r="B4772" s="2">
        <f ca="1"/>
        <v>0.64177579547176355</v>
      </c>
      <c r="O4772" s="2">
        <f ca="1"/>
        <v>-0.61344144664104217</v>
      </c>
      <c r="X4772" s="2">
        <f ca="1"/>
        <v>66.62379021307747</v>
      </c>
      <c r="AG4772" s="2">
        <f ca="1"/>
        <v>0.87018295703798332</v>
      </c>
      <c r="AH4772" s="2" t="str">
        <f ca="1"/>
        <v>Bad</v>
      </c>
    </row>
    <row r="4773" spans="2:34" x14ac:dyDescent="0.2">
      <c r="B4773" s="2">
        <f ca="1"/>
        <v>0.1072748195740727</v>
      </c>
      <c r="O4773" s="2">
        <f ca="1"/>
        <v>-0.22987074588723105</v>
      </c>
      <c r="X4773" s="2">
        <f ca="1"/>
        <v>51.209807502768143</v>
      </c>
      <c r="AG4773" s="2">
        <f ca="1"/>
        <v>0.38205421345003843</v>
      </c>
      <c r="AH4773" s="2" t="str">
        <f ca="1"/>
        <v>OK</v>
      </c>
    </row>
    <row r="4774" spans="2:34" x14ac:dyDescent="0.2">
      <c r="B4774" s="2">
        <f ca="1"/>
        <v>0.6529157840047648</v>
      </c>
      <c r="O4774" s="2">
        <f ca="1"/>
        <v>1.6165821085466137</v>
      </c>
      <c r="X4774" s="2">
        <f ca="1"/>
        <v>33.482847991990582</v>
      </c>
      <c r="AG4774" s="2">
        <f ca="1"/>
        <v>0.68888970528582139</v>
      </c>
      <c r="AH4774" s="2" t="str">
        <f ca="1"/>
        <v>Bad</v>
      </c>
    </row>
    <row r="4775" spans="2:34" x14ac:dyDescent="0.2">
      <c r="B4775" s="2">
        <f ca="1"/>
        <v>0.93752377371950124</v>
      </c>
      <c r="O4775" s="2">
        <f ca="1"/>
        <v>-1.849353617969517E-2</v>
      </c>
      <c r="X4775" s="2">
        <f ca="1"/>
        <v>56.007918316976784</v>
      </c>
      <c r="AG4775" s="2">
        <f ca="1"/>
        <v>0.32793363223719485</v>
      </c>
      <c r="AH4775" s="2" t="str">
        <f ca="1"/>
        <v>OK</v>
      </c>
    </row>
    <row r="4776" spans="2:34" x14ac:dyDescent="0.2">
      <c r="B4776" s="2">
        <f ca="1"/>
        <v>0.92854700340067264</v>
      </c>
      <c r="O4776" s="2">
        <f ca="1"/>
        <v>-0.61180846942807543</v>
      </c>
      <c r="X4776" s="2">
        <f ca="1"/>
        <v>44.168316959743095</v>
      </c>
      <c r="AG4776" s="2">
        <f ca="1"/>
        <v>0.33742450332644469</v>
      </c>
      <c r="AH4776" s="2" t="str">
        <f ca="1"/>
        <v>OK</v>
      </c>
    </row>
    <row r="4777" spans="2:34" x14ac:dyDescent="0.2">
      <c r="B4777" s="2">
        <f ca="1"/>
        <v>0.24902873253629743</v>
      </c>
      <c r="O4777" s="2">
        <f ca="1"/>
        <v>1.7610507179835979</v>
      </c>
      <c r="X4777" s="2">
        <f ca="1"/>
        <v>68.956647744710608</v>
      </c>
      <c r="AG4777" s="2">
        <f ca="1"/>
        <v>0.45061889718282999</v>
      </c>
      <c r="AH4777" s="2" t="str">
        <f ca="1"/>
        <v>Bad</v>
      </c>
    </row>
    <row r="4778" spans="2:34" x14ac:dyDescent="0.2">
      <c r="B4778" s="2">
        <f ca="1"/>
        <v>0.27958274803606864</v>
      </c>
      <c r="O4778" s="2">
        <f ca="1"/>
        <v>-0.38451447605495248</v>
      </c>
      <c r="X4778" s="2">
        <f ca="1"/>
        <v>39.61594294893429</v>
      </c>
      <c r="AG4778" s="2">
        <f ca="1"/>
        <v>8.8715754855794859E-3</v>
      </c>
      <c r="AH4778" s="2" t="str">
        <f ca="1"/>
        <v>Good</v>
      </c>
    </row>
    <row r="4779" spans="2:34" x14ac:dyDescent="0.2">
      <c r="B4779" s="2">
        <f ca="1"/>
        <v>0.32681584092575489</v>
      </c>
      <c r="O4779" s="2">
        <f ca="1"/>
        <v>2.7418033167353895</v>
      </c>
      <c r="X4779" s="2">
        <f ca="1"/>
        <v>65.125859489289653</v>
      </c>
      <c r="AG4779" s="2">
        <f ca="1"/>
        <v>0.81258196458498988</v>
      </c>
      <c r="AH4779" s="2" t="str">
        <f ca="1"/>
        <v>Bad</v>
      </c>
    </row>
    <row r="4780" spans="2:34" x14ac:dyDescent="0.2">
      <c r="B4780" s="2">
        <f ca="1"/>
        <v>0.88482503970044757</v>
      </c>
      <c r="O4780" s="2">
        <f ca="1"/>
        <v>0.93839294978993404</v>
      </c>
      <c r="X4780" s="2">
        <f ca="1"/>
        <v>50.012612996986043</v>
      </c>
      <c r="AG4780" s="2">
        <f ca="1"/>
        <v>1.6956603281277571E-2</v>
      </c>
      <c r="AH4780" s="2" t="str">
        <f ca="1"/>
        <v>Good</v>
      </c>
    </row>
    <row r="4781" spans="2:34" x14ac:dyDescent="0.2">
      <c r="B4781" s="2">
        <f ca="1"/>
        <v>0.43160040682213774</v>
      </c>
      <c r="O4781" s="2">
        <f ca="1"/>
        <v>1.2223520412758229</v>
      </c>
      <c r="X4781" s="2">
        <f ca="1"/>
        <v>39.922054053438913</v>
      </c>
      <c r="AG4781" s="2">
        <f ca="1"/>
        <v>0.25837102978017845</v>
      </c>
      <c r="AH4781" s="2" t="str">
        <f ca="1"/>
        <v>OK</v>
      </c>
    </row>
    <row r="4782" spans="2:34" x14ac:dyDescent="0.2">
      <c r="B4782" s="2">
        <f ca="1"/>
        <v>0.67522141983175965</v>
      </c>
      <c r="O4782" s="2">
        <f ca="1"/>
        <v>0.66950718999499692</v>
      </c>
      <c r="X4782" s="2">
        <f ca="1"/>
        <v>23.300532779912132</v>
      </c>
      <c r="AG4782" s="2">
        <f ca="1"/>
        <v>0.6564709174836445</v>
      </c>
      <c r="AH4782" s="2" t="str">
        <f ca="1"/>
        <v>Bad</v>
      </c>
    </row>
    <row r="4783" spans="2:34" x14ac:dyDescent="0.2">
      <c r="B4783" s="2">
        <f ca="1"/>
        <v>0.77217859420179624</v>
      </c>
      <c r="O4783" s="2">
        <f ca="1"/>
        <v>-1.6016537941062505</v>
      </c>
      <c r="X4783" s="2">
        <f ca="1"/>
        <v>42.435060647718899</v>
      </c>
      <c r="AG4783" s="2">
        <f ca="1"/>
        <v>0.20164989150825474</v>
      </c>
      <c r="AH4783" s="2" t="str">
        <f ca="1"/>
        <v>OK</v>
      </c>
    </row>
    <row r="4784" spans="2:34" x14ac:dyDescent="0.2">
      <c r="B4784" s="2">
        <f ca="1"/>
        <v>0.9574320177751614</v>
      </c>
      <c r="O4784" s="2">
        <f ca="1"/>
        <v>-0.45411840314622837</v>
      </c>
      <c r="X4784" s="2">
        <f ca="1"/>
        <v>87.574273382210279</v>
      </c>
      <c r="AG4784" s="2">
        <f ca="1"/>
        <v>0.5882619605174102</v>
      </c>
      <c r="AH4784" s="2" t="str">
        <f ca="1"/>
        <v>Bad</v>
      </c>
    </row>
    <row r="4785" spans="2:34" x14ac:dyDescent="0.2">
      <c r="B4785" s="2">
        <f ca="1"/>
        <v>9.439616915850646E-2</v>
      </c>
      <c r="O4785" s="2">
        <f ca="1"/>
        <v>0.5643231776836537</v>
      </c>
      <c r="X4785" s="2">
        <f ca="1"/>
        <v>63.504930300805654</v>
      </c>
      <c r="AG4785" s="2">
        <f ca="1"/>
        <v>0.44196144367173118</v>
      </c>
      <c r="AH4785" s="2" t="str">
        <f ca="1"/>
        <v>Bad</v>
      </c>
    </row>
    <row r="4786" spans="2:34" x14ac:dyDescent="0.2">
      <c r="B4786" s="2">
        <f ca="1"/>
        <v>0.6470913474126867</v>
      </c>
      <c r="O4786" s="2">
        <f ca="1"/>
        <v>-0.57873828057383991</v>
      </c>
      <c r="X4786" s="2">
        <f ca="1"/>
        <v>47.517092233506432</v>
      </c>
      <c r="AG4786" s="2">
        <f ca="1"/>
        <v>0.3388729287726453</v>
      </c>
      <c r="AH4786" s="2" t="str">
        <f ca="1"/>
        <v>OK</v>
      </c>
    </row>
    <row r="4787" spans="2:34" x14ac:dyDescent="0.2">
      <c r="B4787" s="2">
        <f ca="1"/>
        <v>0.80023648374736434</v>
      </c>
      <c r="O4787" s="2">
        <f ca="1"/>
        <v>-0.70989001342905822</v>
      </c>
      <c r="X4787" s="2">
        <f ca="1"/>
        <v>23.049116970049152</v>
      </c>
      <c r="AG4787" s="2">
        <f ca="1"/>
        <v>0.39070402127880843</v>
      </c>
      <c r="AH4787" s="2" t="str">
        <f ca="1"/>
        <v>OK</v>
      </c>
    </row>
    <row r="4788" spans="2:34" x14ac:dyDescent="0.2">
      <c r="B4788" s="2">
        <f ca="1"/>
        <v>0.84908633567798453</v>
      </c>
      <c r="O4788" s="2">
        <f ca="1"/>
        <v>-1.0522010224127718</v>
      </c>
      <c r="X4788" s="2">
        <f ca="1"/>
        <v>80.772539481109476</v>
      </c>
      <c r="AG4788" s="2">
        <f ca="1"/>
        <v>0.30511724809660778</v>
      </c>
      <c r="AH4788" s="2" t="str">
        <f ca="1"/>
        <v>OK</v>
      </c>
    </row>
    <row r="4789" spans="2:34" x14ac:dyDescent="0.2">
      <c r="B4789" s="2">
        <f ca="1"/>
        <v>0.47663051784496591</v>
      </c>
      <c r="O4789" s="2">
        <f ca="1"/>
        <v>-1.0790418762346117</v>
      </c>
      <c r="X4789" s="2">
        <f ca="1"/>
        <v>32.7144136887255</v>
      </c>
      <c r="AG4789" s="2">
        <f ca="1"/>
        <v>0.57645575650542202</v>
      </c>
      <c r="AH4789" s="2" t="str">
        <f ca="1"/>
        <v>Bad</v>
      </c>
    </row>
    <row r="4790" spans="2:34" x14ac:dyDescent="0.2">
      <c r="B4790" s="2">
        <f ca="1"/>
        <v>0.34275431057632155</v>
      </c>
      <c r="O4790" s="2">
        <f ca="1"/>
        <v>0.27090958660303527</v>
      </c>
      <c r="X4790" s="2">
        <f ca="1"/>
        <v>75.853546824098402</v>
      </c>
      <c r="AG4790" s="2">
        <f ca="1"/>
        <v>0.55971943583934292</v>
      </c>
      <c r="AH4790" s="2" t="str">
        <f ca="1"/>
        <v>Bad</v>
      </c>
    </row>
    <row r="4791" spans="2:34" x14ac:dyDescent="0.2">
      <c r="B4791" s="2">
        <f ca="1"/>
        <v>0.65270862707862776</v>
      </c>
      <c r="O4791" s="2">
        <f ca="1"/>
        <v>-1.0155127978057856</v>
      </c>
      <c r="X4791" s="2">
        <f ca="1"/>
        <v>52.447370796844119</v>
      </c>
      <c r="AG4791" s="2">
        <f ca="1"/>
        <v>0.7909622856509273</v>
      </c>
      <c r="AH4791" s="2" t="str">
        <f ca="1"/>
        <v>Bad</v>
      </c>
    </row>
    <row r="4792" spans="2:34" x14ac:dyDescent="0.2">
      <c r="B4792" s="2">
        <f ca="1"/>
        <v>0.12524411416053849</v>
      </c>
      <c r="O4792" s="2">
        <f ca="1"/>
        <v>-0.37168127164855358</v>
      </c>
      <c r="X4792" s="2">
        <f ca="1"/>
        <v>53.834437136589479</v>
      </c>
      <c r="AG4792" s="2">
        <f ca="1"/>
        <v>0.36684036817058852</v>
      </c>
      <c r="AH4792" s="2" t="str">
        <f ca="1"/>
        <v>OK</v>
      </c>
    </row>
    <row r="4793" spans="2:34" x14ac:dyDescent="0.2">
      <c r="B4793" s="2">
        <f ca="1"/>
        <v>0.65065264850851556</v>
      </c>
      <c r="O4793" s="2">
        <f ca="1"/>
        <v>0.17939366500903894</v>
      </c>
      <c r="X4793" s="2">
        <f ca="1"/>
        <v>50.214048872859713</v>
      </c>
      <c r="AG4793" s="2">
        <f ca="1"/>
        <v>0.45838146825994763</v>
      </c>
      <c r="AH4793" s="2" t="str">
        <f ca="1"/>
        <v>Bad</v>
      </c>
    </row>
    <row r="4794" spans="2:34" x14ac:dyDescent="0.2">
      <c r="B4794" s="2">
        <f ca="1"/>
        <v>5.1991751073774628E-2</v>
      </c>
      <c r="O4794" s="2">
        <f ca="1"/>
        <v>0.20426138577123454</v>
      </c>
      <c r="X4794" s="2">
        <f ca="1"/>
        <v>70.0587579346669</v>
      </c>
      <c r="AG4794" s="2">
        <f ca="1"/>
        <v>0.97631130294426893</v>
      </c>
      <c r="AH4794" s="2" t="str">
        <f ca="1"/>
        <v>Bad</v>
      </c>
    </row>
    <row r="4795" spans="2:34" x14ac:dyDescent="0.2">
      <c r="B4795" s="2">
        <f ca="1"/>
        <v>8.623019416378197E-2</v>
      </c>
      <c r="O4795" s="2">
        <f ca="1"/>
        <v>-3.9710178106505865E-2</v>
      </c>
      <c r="X4795" s="2">
        <f ca="1"/>
        <v>51.19736631009463</v>
      </c>
      <c r="AG4795" s="2">
        <f ca="1"/>
        <v>0.97389241108618951</v>
      </c>
      <c r="AH4795" s="2" t="str">
        <f ca="1"/>
        <v>Bad</v>
      </c>
    </row>
    <row r="4796" spans="2:34" x14ac:dyDescent="0.2">
      <c r="B4796" s="2">
        <f ca="1"/>
        <v>0.55725841913120133</v>
      </c>
      <c r="O4796" s="2">
        <f ca="1"/>
        <v>1.2917629022557924</v>
      </c>
      <c r="X4796" s="2">
        <f ca="1"/>
        <v>23.958088520633755</v>
      </c>
      <c r="AG4796" s="2">
        <f ca="1"/>
        <v>0.97660495050345109</v>
      </c>
      <c r="AH4796" s="2" t="str">
        <f ca="1"/>
        <v>Bad</v>
      </c>
    </row>
    <row r="4797" spans="2:34" x14ac:dyDescent="0.2">
      <c r="B4797" s="2">
        <f ca="1"/>
        <v>0.59219716929002675</v>
      </c>
      <c r="O4797" s="2">
        <f ca="1"/>
        <v>-0.4702487504769654</v>
      </c>
      <c r="X4797" s="2">
        <f ca="1"/>
        <v>15.849686654445838</v>
      </c>
      <c r="AG4797" s="2">
        <f ca="1"/>
        <v>0.28480258307078721</v>
      </c>
      <c r="AH4797" s="2" t="str">
        <f ca="1"/>
        <v>OK</v>
      </c>
    </row>
    <row r="4798" spans="2:34" x14ac:dyDescent="0.2">
      <c r="B4798" s="2">
        <f ca="1"/>
        <v>0.47079524119150551</v>
      </c>
      <c r="O4798" s="2">
        <f ca="1"/>
        <v>-1.2409063129425739</v>
      </c>
      <c r="X4798" s="2">
        <f ca="1"/>
        <v>48.263907294836329</v>
      </c>
      <c r="AG4798" s="2">
        <f ca="1"/>
        <v>0.8603808065860119</v>
      </c>
      <c r="AH4798" s="2" t="str">
        <f ca="1"/>
        <v>Bad</v>
      </c>
    </row>
    <row r="4799" spans="2:34" x14ac:dyDescent="0.2">
      <c r="B4799" s="2">
        <f ca="1"/>
        <v>1.3921878088369422E-2</v>
      </c>
      <c r="O4799" s="2">
        <f ca="1"/>
        <v>0.39219284471308974</v>
      </c>
      <c r="X4799" s="2">
        <f ca="1"/>
        <v>36.997240179410518</v>
      </c>
      <c r="AG4799" s="2">
        <f ca="1"/>
        <v>0.55423054672439664</v>
      </c>
      <c r="AH4799" s="2" t="str">
        <f ca="1"/>
        <v>Bad</v>
      </c>
    </row>
    <row r="4800" spans="2:34" x14ac:dyDescent="0.2">
      <c r="B4800" s="2">
        <f ca="1"/>
        <v>0.62524541519255505</v>
      </c>
      <c r="O4800" s="2">
        <f ca="1"/>
        <v>0.69974580241448348</v>
      </c>
      <c r="X4800" s="2">
        <f ca="1"/>
        <v>50.156506625964411</v>
      </c>
      <c r="AG4800" s="2">
        <f ca="1"/>
        <v>0.99381740045239964</v>
      </c>
      <c r="AH4800" s="2" t="str">
        <f ca="1"/>
        <v>Bad</v>
      </c>
    </row>
    <row r="4801" spans="2:34" x14ac:dyDescent="0.2">
      <c r="B4801" s="2">
        <f ca="1"/>
        <v>0.27871335130151587</v>
      </c>
      <c r="O4801" s="2">
        <f ca="1"/>
        <v>0.35211504655013348</v>
      </c>
      <c r="X4801" s="2">
        <f ca="1"/>
        <v>40.789468051273246</v>
      </c>
      <c r="AG4801" s="2">
        <f ca="1"/>
        <v>0.83204498500613</v>
      </c>
      <c r="AH4801" s="2" t="str">
        <f ca="1"/>
        <v>Bad</v>
      </c>
    </row>
    <row r="4802" spans="2:34" x14ac:dyDescent="0.2">
      <c r="B4802" s="2">
        <f ca="1"/>
        <v>0.84451997333667195</v>
      </c>
      <c r="O4802" s="2">
        <f ca="1"/>
        <v>1.3055224763678528</v>
      </c>
      <c r="X4802" s="2">
        <f ca="1"/>
        <v>71.664982447782478</v>
      </c>
      <c r="AG4802" s="2">
        <f ca="1"/>
        <v>0.45795506140995368</v>
      </c>
      <c r="AH4802" s="2" t="str">
        <f ca="1"/>
        <v>Bad</v>
      </c>
    </row>
    <row r="4803" spans="2:34" x14ac:dyDescent="0.2">
      <c r="B4803" s="2">
        <f ca="1"/>
        <v>0.72358913980408124</v>
      </c>
      <c r="O4803" s="2">
        <f ca="1"/>
        <v>0.75977780820555163</v>
      </c>
      <c r="X4803" s="2">
        <f ca="1"/>
        <v>69.504716666167937</v>
      </c>
      <c r="AG4803" s="2">
        <f ca="1"/>
        <v>0.9461058577145216</v>
      </c>
      <c r="AH4803" s="2" t="str">
        <f ca="1"/>
        <v>Bad</v>
      </c>
    </row>
    <row r="4804" spans="2:34" x14ac:dyDescent="0.2">
      <c r="B4804" s="2">
        <f ca="1"/>
        <v>1.900093565608052E-2</v>
      </c>
      <c r="O4804" s="2">
        <f ca="1"/>
        <v>-0.71040767731723997</v>
      </c>
      <c r="X4804" s="2">
        <f ca="1"/>
        <v>67.963788365994247</v>
      </c>
      <c r="AG4804" s="2">
        <f ca="1"/>
        <v>0.13072316107708448</v>
      </c>
      <c r="AH4804" s="2" t="str">
        <f ca="1"/>
        <v>OK</v>
      </c>
    </row>
    <row r="4805" spans="2:34" x14ac:dyDescent="0.2">
      <c r="B4805" s="2">
        <f ca="1"/>
        <v>0.10480743284452809</v>
      </c>
      <c r="O4805" s="2">
        <f ca="1"/>
        <v>-0.72013286042627611</v>
      </c>
      <c r="X4805" s="2">
        <f ca="1"/>
        <v>42.785589744704794</v>
      </c>
      <c r="AG4805" s="2">
        <f ca="1"/>
        <v>0.35167371448219065</v>
      </c>
      <c r="AH4805" s="2" t="str">
        <f ca="1"/>
        <v>OK</v>
      </c>
    </row>
    <row r="4806" spans="2:34" x14ac:dyDescent="0.2">
      <c r="B4806" s="2">
        <f ca="1"/>
        <v>0.1171594698610221</v>
      </c>
      <c r="O4806" s="2">
        <f ca="1"/>
        <v>5.7422709572489666E-3</v>
      </c>
      <c r="X4806" s="2">
        <f ca="1"/>
        <v>80.865881644522602</v>
      </c>
      <c r="AG4806" s="2">
        <f ca="1"/>
        <v>0.48127415631088244</v>
      </c>
      <c r="AH4806" s="2" t="str">
        <f ca="1"/>
        <v>Bad</v>
      </c>
    </row>
    <row r="4807" spans="2:34" x14ac:dyDescent="0.2">
      <c r="B4807" s="2">
        <f ca="1"/>
        <v>0.36629385393826319</v>
      </c>
      <c r="O4807" s="2">
        <f ca="1"/>
        <v>-3.1009932024077074E-2</v>
      </c>
      <c r="X4807" s="2">
        <f ca="1"/>
        <v>74.897972015205596</v>
      </c>
      <c r="AG4807" s="2">
        <f ca="1"/>
        <v>0.26780262465145643</v>
      </c>
      <c r="AH4807" s="2" t="str">
        <f ca="1"/>
        <v>OK</v>
      </c>
    </row>
    <row r="4808" spans="2:34" x14ac:dyDescent="0.2">
      <c r="B4808" s="2">
        <f ca="1"/>
        <v>0.89188880899676248</v>
      </c>
      <c r="O4808" s="2">
        <f ca="1"/>
        <v>5.6745992377439713E-2</v>
      </c>
      <c r="X4808" s="2">
        <f ca="1"/>
        <v>37.941996641740204</v>
      </c>
      <c r="AG4808" s="2">
        <f ca="1"/>
        <v>0.25172604822455269</v>
      </c>
      <c r="AH4808" s="2" t="str">
        <f ca="1"/>
        <v>OK</v>
      </c>
    </row>
    <row r="4809" spans="2:34" x14ac:dyDescent="0.2">
      <c r="B4809" s="2">
        <f ca="1"/>
        <v>0.72850870906750154</v>
      </c>
      <c r="O4809" s="2">
        <f ca="1"/>
        <v>0.59433924905688951</v>
      </c>
      <c r="X4809" s="2">
        <f ca="1"/>
        <v>54.44420925847102</v>
      </c>
      <c r="AG4809" s="2">
        <f ca="1"/>
        <v>5.4408617282960092E-2</v>
      </c>
      <c r="AH4809" s="2" t="str">
        <f ca="1"/>
        <v>OK</v>
      </c>
    </row>
    <row r="4810" spans="2:34" x14ac:dyDescent="0.2">
      <c r="B4810" s="2">
        <f ca="1"/>
        <v>0.86784374472338732</v>
      </c>
      <c r="O4810" s="2">
        <f ca="1"/>
        <v>-1.085490385710892</v>
      </c>
      <c r="X4810" s="2">
        <f ca="1"/>
        <v>44.036387754095941</v>
      </c>
      <c r="AG4810" s="2">
        <f ca="1"/>
        <v>0.30110396174018583</v>
      </c>
      <c r="AH4810" s="2" t="str">
        <f ca="1"/>
        <v>OK</v>
      </c>
    </row>
    <row r="4811" spans="2:34" x14ac:dyDescent="0.2">
      <c r="B4811" s="2">
        <f ca="1"/>
        <v>0.71321408436646649</v>
      </c>
      <c r="O4811" s="2">
        <f ca="1"/>
        <v>0.76822523727145331</v>
      </c>
      <c r="X4811" s="2">
        <f ca="1"/>
        <v>41.801041597437091</v>
      </c>
      <c r="AG4811" s="2">
        <f ca="1"/>
        <v>0.90987436663546273</v>
      </c>
      <c r="AH4811" s="2" t="str">
        <f ca="1"/>
        <v>Bad</v>
      </c>
    </row>
    <row r="4812" spans="2:34" x14ac:dyDescent="0.2">
      <c r="B4812" s="2">
        <f ca="1"/>
        <v>4.2276059037777092E-2</v>
      </c>
      <c r="O4812" s="2">
        <f ca="1"/>
        <v>1.0527488065195547</v>
      </c>
      <c r="X4812" s="2">
        <f ca="1"/>
        <v>36.320279602854114</v>
      </c>
      <c r="AG4812" s="2">
        <f ca="1"/>
        <v>0.70817028410870853</v>
      </c>
      <c r="AH4812" s="2" t="str">
        <f ca="1"/>
        <v>Bad</v>
      </c>
    </row>
    <row r="4813" spans="2:34" x14ac:dyDescent="0.2">
      <c r="B4813" s="2">
        <f ca="1"/>
        <v>0.41513068404238895</v>
      </c>
      <c r="O4813" s="2">
        <f ca="1"/>
        <v>0.64915525328401613</v>
      </c>
      <c r="X4813" s="2">
        <f ca="1"/>
        <v>39.594946504553732</v>
      </c>
      <c r="AG4813" s="2">
        <f ca="1"/>
        <v>0.36162937354595104</v>
      </c>
      <c r="AH4813" s="2" t="str">
        <f ca="1"/>
        <v>OK</v>
      </c>
    </row>
    <row r="4814" spans="2:34" x14ac:dyDescent="0.2">
      <c r="B4814" s="2">
        <f ca="1"/>
        <v>0.13248285747559718</v>
      </c>
      <c r="O4814" s="2">
        <f ca="1"/>
        <v>0.32340572897744935</v>
      </c>
      <c r="X4814" s="2">
        <f ca="1"/>
        <v>112.1629801801712</v>
      </c>
      <c r="AG4814" s="2">
        <f ca="1"/>
        <v>0.71437656379720704</v>
      </c>
      <c r="AH4814" s="2" t="str">
        <f ca="1"/>
        <v>Bad</v>
      </c>
    </row>
    <row r="4815" spans="2:34" x14ac:dyDescent="0.2">
      <c r="B4815" s="2">
        <f ca="1"/>
        <v>0.83424758002591926</v>
      </c>
      <c r="O4815" s="2">
        <f ca="1"/>
        <v>-1.1970774301431719</v>
      </c>
      <c r="X4815" s="2">
        <f ca="1"/>
        <v>40.966936611809075</v>
      </c>
      <c r="AG4815" s="2">
        <f ca="1"/>
        <v>0.74056353058570568</v>
      </c>
      <c r="AH4815" s="2" t="str">
        <f ca="1"/>
        <v>Bad</v>
      </c>
    </row>
    <row r="4816" spans="2:34" x14ac:dyDescent="0.2">
      <c r="B4816" s="2">
        <f ca="1"/>
        <v>0.29150099812418206</v>
      </c>
      <c r="O4816" s="2">
        <f ca="1"/>
        <v>0.98944871649662991</v>
      </c>
      <c r="X4816" s="2">
        <f ca="1"/>
        <v>58.030253877496875</v>
      </c>
      <c r="AG4816" s="2">
        <f ca="1"/>
        <v>0.12112246102473212</v>
      </c>
      <c r="AH4816" s="2" t="str">
        <f ca="1"/>
        <v>OK</v>
      </c>
    </row>
    <row r="4817" spans="2:34" x14ac:dyDescent="0.2">
      <c r="B4817" s="2">
        <f ca="1"/>
        <v>0.99743543098017473</v>
      </c>
      <c r="O4817" s="2">
        <f ca="1"/>
        <v>-0.30013369960176289</v>
      </c>
      <c r="X4817" s="2">
        <f ca="1"/>
        <v>62.560841538673969</v>
      </c>
      <c r="AG4817" s="2">
        <f ca="1"/>
        <v>0.98154323165923607</v>
      </c>
      <c r="AH4817" s="2" t="str">
        <f ca="1"/>
        <v>Bad</v>
      </c>
    </row>
    <row r="4818" spans="2:34" x14ac:dyDescent="0.2">
      <c r="B4818" s="2">
        <f ca="1"/>
        <v>5.0136774106266602E-2</v>
      </c>
      <c r="O4818" s="2">
        <f ca="1"/>
        <v>-0.18622451347515886</v>
      </c>
      <c r="X4818" s="2">
        <f ca="1"/>
        <v>52.150994837353238</v>
      </c>
      <c r="AG4818" s="2">
        <f ca="1"/>
        <v>0.23941499717490222</v>
      </c>
      <c r="AH4818" s="2" t="str">
        <f ca="1"/>
        <v>OK</v>
      </c>
    </row>
    <row r="4819" spans="2:34" x14ac:dyDescent="0.2">
      <c r="B4819" s="2">
        <f ca="1"/>
        <v>0.17985082039643197</v>
      </c>
      <c r="O4819" s="2">
        <f ca="1"/>
        <v>-0.38299585247618767</v>
      </c>
      <c r="X4819" s="2">
        <f ca="1"/>
        <v>47.123501566098007</v>
      </c>
      <c r="AG4819" s="2">
        <f ca="1"/>
        <v>1.6012554875726615E-2</v>
      </c>
      <c r="AH4819" s="2" t="str">
        <f ca="1"/>
        <v>Good</v>
      </c>
    </row>
    <row r="4820" spans="2:34" x14ac:dyDescent="0.2">
      <c r="B4820" s="2">
        <f ca="1"/>
        <v>0.33621717416447594</v>
      </c>
      <c r="O4820" s="2">
        <f ca="1"/>
        <v>2.4414963481781746</v>
      </c>
      <c r="X4820" s="2">
        <f ca="1"/>
        <v>30.102720835124551</v>
      </c>
      <c r="AG4820" s="2">
        <f ca="1"/>
        <v>0.55560016755337505</v>
      </c>
      <c r="AH4820" s="2" t="str">
        <f ca="1"/>
        <v>Bad</v>
      </c>
    </row>
    <row r="4821" spans="2:34" x14ac:dyDescent="0.2">
      <c r="B4821" s="2">
        <f ca="1"/>
        <v>0.69134625728666332</v>
      </c>
      <c r="O4821" s="2">
        <f ca="1"/>
        <v>0.38216901676531628</v>
      </c>
      <c r="X4821" s="2">
        <f ca="1"/>
        <v>44.492342036101434</v>
      </c>
      <c r="AG4821" s="2">
        <f ca="1"/>
        <v>0.2241312065804304</v>
      </c>
      <c r="AH4821" s="2" t="str">
        <f ca="1"/>
        <v>OK</v>
      </c>
    </row>
    <row r="4822" spans="2:34" x14ac:dyDescent="0.2">
      <c r="B4822" s="2">
        <f ca="1"/>
        <v>0.34797542855316088</v>
      </c>
      <c r="O4822" s="2">
        <f ca="1"/>
        <v>1.3670469904850011</v>
      </c>
      <c r="X4822" s="2">
        <f ca="1"/>
        <v>39.848817436255509</v>
      </c>
      <c r="AG4822" s="2">
        <f ca="1"/>
        <v>0.40346531477752046</v>
      </c>
      <c r="AH4822" s="2" t="str">
        <f ca="1"/>
        <v>Bad</v>
      </c>
    </row>
    <row r="4823" spans="2:34" x14ac:dyDescent="0.2">
      <c r="B4823" s="2">
        <f ca="1"/>
        <v>9.5896902307858189E-2</v>
      </c>
      <c r="O4823" s="2">
        <f ca="1"/>
        <v>0.9488219831780107</v>
      </c>
      <c r="X4823" s="2">
        <f ca="1"/>
        <v>68.595908681564509</v>
      </c>
      <c r="AG4823" s="2">
        <f ca="1"/>
        <v>0.4805265829539227</v>
      </c>
      <c r="AH4823" s="2" t="str">
        <f ca="1"/>
        <v>Bad</v>
      </c>
    </row>
    <row r="4824" spans="2:34" x14ac:dyDescent="0.2">
      <c r="B4824" s="2">
        <f ca="1"/>
        <v>0.30836838168252512</v>
      </c>
      <c r="O4824" s="2">
        <f ca="1"/>
        <v>0.3924525480659069</v>
      </c>
      <c r="X4824" s="2">
        <f ca="1"/>
        <v>41.280500258232912</v>
      </c>
      <c r="AG4824" s="2">
        <f ca="1"/>
        <v>0.27622839582991743</v>
      </c>
      <c r="AH4824" s="2" t="str">
        <f ca="1"/>
        <v>OK</v>
      </c>
    </row>
    <row r="4825" spans="2:34" x14ac:dyDescent="0.2">
      <c r="B4825" s="2">
        <f ca="1"/>
        <v>1.462294284428256E-2</v>
      </c>
      <c r="O4825" s="2">
        <f ca="1"/>
        <v>0.78163389276934081</v>
      </c>
      <c r="X4825" s="2">
        <f ca="1"/>
        <v>66.145793188143685</v>
      </c>
      <c r="AG4825" s="2">
        <f ca="1"/>
        <v>0.63833977990131729</v>
      </c>
      <c r="AH4825" s="2" t="str">
        <f ca="1"/>
        <v>Bad</v>
      </c>
    </row>
    <row r="4826" spans="2:34" x14ac:dyDescent="0.2">
      <c r="B4826" s="2">
        <f ca="1"/>
        <v>0.96541550605300563</v>
      </c>
      <c r="O4826" s="2">
        <f ca="1"/>
        <v>0.30968447215189204</v>
      </c>
      <c r="X4826" s="2">
        <f ca="1"/>
        <v>21.922131969088831</v>
      </c>
      <c r="AG4826" s="2">
        <f ca="1"/>
        <v>0.2587128835369672</v>
      </c>
      <c r="AH4826" s="2" t="str">
        <f ca="1"/>
        <v>OK</v>
      </c>
    </row>
    <row r="4827" spans="2:34" x14ac:dyDescent="0.2">
      <c r="B4827" s="2">
        <f ca="1"/>
        <v>0.30696249505947604</v>
      </c>
      <c r="O4827" s="2">
        <f ca="1"/>
        <v>1.6536807027868914</v>
      </c>
      <c r="X4827" s="2">
        <f ca="1"/>
        <v>47.316920188023303</v>
      </c>
      <c r="AG4827" s="2">
        <f ca="1"/>
        <v>0.72805008427595719</v>
      </c>
      <c r="AH4827" s="2" t="str">
        <f ca="1"/>
        <v>Bad</v>
      </c>
    </row>
    <row r="4828" spans="2:34" x14ac:dyDescent="0.2">
      <c r="B4828" s="2">
        <f ca="1"/>
        <v>0.40159467976520946</v>
      </c>
      <c r="O4828" s="2">
        <f ca="1"/>
        <v>0.90146661595441302</v>
      </c>
      <c r="X4828" s="2">
        <f ca="1"/>
        <v>40.793991511836907</v>
      </c>
      <c r="AG4828" s="2">
        <f ca="1"/>
        <v>9.5176254518354986E-2</v>
      </c>
      <c r="AH4828" s="2" t="str">
        <f ca="1"/>
        <v>OK</v>
      </c>
    </row>
    <row r="4829" spans="2:34" x14ac:dyDescent="0.2">
      <c r="B4829" s="2">
        <f ca="1"/>
        <v>0.85415746865294384</v>
      </c>
      <c r="O4829" s="2">
        <f ca="1"/>
        <v>-1.1479797305827708</v>
      </c>
      <c r="X4829" s="2">
        <f ca="1"/>
        <v>52.457796624491081</v>
      </c>
      <c r="AG4829" s="2">
        <f ca="1"/>
        <v>0.90974861171003285</v>
      </c>
      <c r="AH4829" s="2" t="str">
        <f ca="1"/>
        <v>Bad</v>
      </c>
    </row>
    <row r="4830" spans="2:34" x14ac:dyDescent="0.2">
      <c r="B4830" s="2">
        <f ca="1"/>
        <v>0.50205487114800107</v>
      </c>
      <c r="O4830" s="2">
        <f ca="1"/>
        <v>-2.4537688259146417</v>
      </c>
      <c r="X4830" s="2">
        <f ca="1"/>
        <v>64.772031528004277</v>
      </c>
      <c r="AG4830" s="2">
        <f ca="1"/>
        <v>0.26555749623694647</v>
      </c>
      <c r="AH4830" s="2" t="str">
        <f ca="1"/>
        <v>OK</v>
      </c>
    </row>
    <row r="4831" spans="2:34" x14ac:dyDescent="0.2">
      <c r="B4831" s="2">
        <f ca="1"/>
        <v>7.6973539247058742E-2</v>
      </c>
      <c r="O4831" s="2">
        <f ca="1"/>
        <v>8.937362430872807E-2</v>
      </c>
      <c r="X4831" s="2">
        <f ca="1"/>
        <v>56.930216725307559</v>
      </c>
      <c r="AG4831" s="2">
        <f ca="1"/>
        <v>3.7939755581119394E-2</v>
      </c>
      <c r="AH4831" s="2" t="str">
        <f ca="1"/>
        <v>Good</v>
      </c>
    </row>
    <row r="4832" spans="2:34" x14ac:dyDescent="0.2">
      <c r="B4832" s="2">
        <f ca="1"/>
        <v>0.29213602821516416</v>
      </c>
      <c r="O4832" s="2">
        <f ca="1"/>
        <v>1.6915972332190405</v>
      </c>
      <c r="X4832" s="2">
        <f ca="1"/>
        <v>63.9630576287107</v>
      </c>
      <c r="AG4832" s="2">
        <f ca="1"/>
        <v>0.71974895686640905</v>
      </c>
      <c r="AH4832" s="2" t="str">
        <f ca="1"/>
        <v>Bad</v>
      </c>
    </row>
    <row r="4833" spans="2:34" x14ac:dyDescent="0.2">
      <c r="B4833" s="2">
        <f ca="1"/>
        <v>0.95275480507574084</v>
      </c>
      <c r="O4833" s="2">
        <f ca="1"/>
        <v>-1.0557230978781191</v>
      </c>
      <c r="X4833" s="2">
        <f ca="1"/>
        <v>45.404416554722715</v>
      </c>
      <c r="AG4833" s="2">
        <f ca="1"/>
        <v>0.59243741275209749</v>
      </c>
      <c r="AH4833" s="2" t="str">
        <f ca="1"/>
        <v>Bad</v>
      </c>
    </row>
    <row r="4834" spans="2:34" x14ac:dyDescent="0.2">
      <c r="B4834" s="2">
        <f ca="1"/>
        <v>0.92696769260290224</v>
      </c>
      <c r="O4834" s="2">
        <f ca="1"/>
        <v>0.66612074916287356</v>
      </c>
      <c r="X4834" s="2">
        <f ca="1"/>
        <v>56.576043768596691</v>
      </c>
      <c r="AG4834" s="2">
        <f ca="1"/>
        <v>0.58937901723421993</v>
      </c>
      <c r="AH4834" s="2" t="str">
        <f ca="1"/>
        <v>Bad</v>
      </c>
    </row>
    <row r="4835" spans="2:34" x14ac:dyDescent="0.2">
      <c r="B4835" s="2">
        <f ca="1"/>
        <v>0.28376749553114067</v>
      </c>
      <c r="O4835" s="2">
        <f ca="1"/>
        <v>-1.3093670585054713</v>
      </c>
      <c r="X4835" s="2">
        <f ca="1"/>
        <v>39.128888881855907</v>
      </c>
      <c r="AG4835" s="2">
        <f ca="1"/>
        <v>0.13378949484412961</v>
      </c>
      <c r="AH4835" s="2" t="str">
        <f ca="1"/>
        <v>OK</v>
      </c>
    </row>
    <row r="4836" spans="2:34" x14ac:dyDescent="0.2">
      <c r="B4836" s="2">
        <f ca="1"/>
        <v>0.15983352277753604</v>
      </c>
      <c r="O4836" s="2">
        <f ca="1"/>
        <v>1.3464188213136541</v>
      </c>
      <c r="X4836" s="2">
        <f ca="1"/>
        <v>33.043923378877821</v>
      </c>
      <c r="AG4836" s="2">
        <f ca="1"/>
        <v>0.42213156019257703</v>
      </c>
      <c r="AH4836" s="2" t="str">
        <f ca="1"/>
        <v>Bad</v>
      </c>
    </row>
    <row r="4837" spans="2:34" x14ac:dyDescent="0.2">
      <c r="B4837" s="2">
        <f ca="1"/>
        <v>0.89424518468282743</v>
      </c>
      <c r="O4837" s="2">
        <f ca="1"/>
        <v>-0.58509760661134713</v>
      </c>
      <c r="X4837" s="2">
        <f ca="1"/>
        <v>55.85383361072477</v>
      </c>
      <c r="AG4837" s="2">
        <f ca="1"/>
        <v>0.12785836574878817</v>
      </c>
      <c r="AH4837" s="2" t="str">
        <f ca="1"/>
        <v>OK</v>
      </c>
    </row>
    <row r="4838" spans="2:34" x14ac:dyDescent="0.2">
      <c r="B4838" s="2">
        <f ca="1"/>
        <v>0.55682172316612188</v>
      </c>
      <c r="O4838" s="2">
        <f ca="1"/>
        <v>-0.35961479974981253</v>
      </c>
      <c r="X4838" s="2">
        <f ca="1"/>
        <v>37.847215372785016</v>
      </c>
      <c r="AG4838" s="2">
        <f ca="1"/>
        <v>0.53963033820163386</v>
      </c>
      <c r="AH4838" s="2" t="str">
        <f ca="1"/>
        <v>Bad</v>
      </c>
    </row>
    <row r="4839" spans="2:34" x14ac:dyDescent="0.2">
      <c r="B4839" s="2">
        <f ca="1"/>
        <v>0.22973369702669166</v>
      </c>
      <c r="O4839" s="2">
        <f ca="1"/>
        <v>5.0479290334305343E-2</v>
      </c>
      <c r="X4839" s="2">
        <f ca="1"/>
        <v>41.951898631825024</v>
      </c>
      <c r="AG4839" s="2">
        <f ca="1"/>
        <v>0.97817629002274997</v>
      </c>
      <c r="AH4839" s="2" t="str">
        <f ca="1"/>
        <v>Bad</v>
      </c>
    </row>
    <row r="4840" spans="2:34" x14ac:dyDescent="0.2">
      <c r="B4840" s="2">
        <f ca="1"/>
        <v>0.34919784351043082</v>
      </c>
      <c r="O4840" s="2">
        <f ca="1"/>
        <v>-1.2373042807837333</v>
      </c>
      <c r="X4840" s="2">
        <f ca="1"/>
        <v>41.882290845642281</v>
      </c>
      <c r="AG4840" s="2">
        <f ca="1"/>
        <v>0.15498225064072413</v>
      </c>
      <c r="AH4840" s="2" t="str">
        <f ca="1"/>
        <v>OK</v>
      </c>
    </row>
    <row r="4841" spans="2:34" x14ac:dyDescent="0.2">
      <c r="B4841" s="2">
        <f ca="1"/>
        <v>0.82504812431975316</v>
      </c>
      <c r="O4841" s="2">
        <f ca="1"/>
        <v>0.94557422946733527</v>
      </c>
      <c r="X4841" s="2">
        <f ca="1"/>
        <v>52.213709030087742</v>
      </c>
      <c r="AG4841" s="2">
        <f ca="1"/>
        <v>0.47795598373040438</v>
      </c>
      <c r="AH4841" s="2" t="str">
        <f ca="1"/>
        <v>Bad</v>
      </c>
    </row>
    <row r="4842" spans="2:34" x14ac:dyDescent="0.2">
      <c r="B4842" s="2">
        <f ca="1"/>
        <v>0.50662874874896979</v>
      </c>
      <c r="O4842" s="2">
        <f ca="1"/>
        <v>0.68047879754536122</v>
      </c>
      <c r="X4842" s="2">
        <f ca="1"/>
        <v>70.137873939206841</v>
      </c>
      <c r="AG4842" s="2">
        <f ca="1"/>
        <v>0.72735489897578587</v>
      </c>
      <c r="AH4842" s="2" t="str">
        <f ca="1"/>
        <v>Bad</v>
      </c>
    </row>
    <row r="4843" spans="2:34" x14ac:dyDescent="0.2">
      <c r="B4843" s="2">
        <f ca="1"/>
        <v>0.45925189490625429</v>
      </c>
      <c r="O4843" s="2">
        <f ca="1"/>
        <v>0.54810724451275883</v>
      </c>
      <c r="X4843" s="2">
        <f ca="1"/>
        <v>30.845797578075974</v>
      </c>
      <c r="AG4843" s="2">
        <f ca="1"/>
        <v>0.64792594566207806</v>
      </c>
      <c r="AH4843" s="2" t="str">
        <f ca="1"/>
        <v>Bad</v>
      </c>
    </row>
    <row r="4844" spans="2:34" x14ac:dyDescent="0.2">
      <c r="B4844" s="2">
        <f ca="1"/>
        <v>0.39147209326162291</v>
      </c>
      <c r="O4844" s="2">
        <f ca="1"/>
        <v>-1.8432905894760978</v>
      </c>
      <c r="X4844" s="2">
        <f ca="1"/>
        <v>60.810605055584205</v>
      </c>
      <c r="AG4844" s="2">
        <f ca="1"/>
        <v>0.8284671214373216</v>
      </c>
      <c r="AH4844" s="2" t="str">
        <f ca="1"/>
        <v>Bad</v>
      </c>
    </row>
    <row r="4845" spans="2:34" x14ac:dyDescent="0.2">
      <c r="B4845" s="2">
        <f ca="1"/>
        <v>0.99295669425639077</v>
      </c>
      <c r="O4845" s="2">
        <f ca="1"/>
        <v>-2.1981276792047226</v>
      </c>
      <c r="X4845" s="2">
        <f ca="1"/>
        <v>56.019717326897329</v>
      </c>
      <c r="AG4845" s="2">
        <f ca="1"/>
        <v>0.32877458098557177</v>
      </c>
      <c r="AH4845" s="2" t="str">
        <f ca="1"/>
        <v>OK</v>
      </c>
    </row>
    <row r="4846" spans="2:34" x14ac:dyDescent="0.2">
      <c r="B4846" s="2">
        <f ca="1"/>
        <v>0.99504087064492719</v>
      </c>
      <c r="O4846" s="2">
        <f ca="1"/>
        <v>-0.82593323761747783</v>
      </c>
      <c r="X4846" s="2">
        <f ca="1"/>
        <v>42.646017956893246</v>
      </c>
      <c r="AG4846" s="2">
        <f ca="1"/>
        <v>0.16703225776523878</v>
      </c>
      <c r="AH4846" s="2" t="str">
        <f ca="1"/>
        <v>OK</v>
      </c>
    </row>
    <row r="4847" spans="2:34" x14ac:dyDescent="0.2">
      <c r="B4847" s="2">
        <f ca="1"/>
        <v>0.58261011604340918</v>
      </c>
      <c r="O4847" s="2">
        <f ca="1"/>
        <v>0.96712295205791754</v>
      </c>
      <c r="X4847" s="2">
        <f ca="1"/>
        <v>68.206434428559461</v>
      </c>
      <c r="AG4847" s="2">
        <f ca="1"/>
        <v>0.69249943133891279</v>
      </c>
      <c r="AH4847" s="2" t="str">
        <f ca="1"/>
        <v>Bad</v>
      </c>
    </row>
    <row r="4848" spans="2:34" x14ac:dyDescent="0.2">
      <c r="B4848" s="2">
        <f ca="1"/>
        <v>0.62202801757260473</v>
      </c>
      <c r="O4848" s="2">
        <f ca="1"/>
        <v>0.44785226650510518</v>
      </c>
      <c r="X4848" s="2">
        <f ca="1"/>
        <v>34.211778183379906</v>
      </c>
      <c r="AG4848" s="2">
        <f ca="1"/>
        <v>0.84251511850280347</v>
      </c>
      <c r="AH4848" s="2" t="str">
        <f ca="1"/>
        <v>Bad</v>
      </c>
    </row>
    <row r="4849" spans="2:34" x14ac:dyDescent="0.2">
      <c r="B4849" s="2">
        <f ca="1"/>
        <v>0.19585050827357398</v>
      </c>
      <c r="O4849" s="2">
        <f ca="1"/>
        <v>0.89900404967897296</v>
      </c>
      <c r="X4849" s="2">
        <f ca="1"/>
        <v>38.04165870686959</v>
      </c>
      <c r="AG4849" s="2">
        <f ca="1"/>
        <v>0.73724177962215198</v>
      </c>
      <c r="AH4849" s="2" t="str">
        <f ca="1"/>
        <v>Bad</v>
      </c>
    </row>
    <row r="4850" spans="2:34" x14ac:dyDescent="0.2">
      <c r="B4850" s="2">
        <f ca="1"/>
        <v>0.99229213546107342</v>
      </c>
      <c r="O4850" s="2">
        <f ca="1"/>
        <v>0.2762301189948233</v>
      </c>
      <c r="X4850" s="2">
        <f ca="1"/>
        <v>60.757795443470364</v>
      </c>
      <c r="AG4850" s="2">
        <f ca="1"/>
        <v>0.5240961245995106</v>
      </c>
      <c r="AH4850" s="2" t="str">
        <f ca="1"/>
        <v>Bad</v>
      </c>
    </row>
    <row r="4851" spans="2:34" x14ac:dyDescent="0.2">
      <c r="B4851" s="2">
        <f ca="1"/>
        <v>0.80019413471966305</v>
      </c>
      <c r="O4851" s="2">
        <f ca="1"/>
        <v>0.18470743280875529</v>
      </c>
      <c r="X4851" s="2">
        <f ca="1"/>
        <v>47.704238085777256</v>
      </c>
      <c r="AG4851" s="2">
        <f ca="1"/>
        <v>0.8476318989334537</v>
      </c>
      <c r="AH4851" s="2" t="str">
        <f ca="1"/>
        <v>Bad</v>
      </c>
    </row>
    <row r="4852" spans="2:34" x14ac:dyDescent="0.2">
      <c r="B4852" s="2">
        <f ca="1"/>
        <v>0.78848654436487808</v>
      </c>
      <c r="O4852" s="2">
        <f ca="1"/>
        <v>-0.86363733519444796</v>
      </c>
      <c r="X4852" s="2">
        <f ca="1"/>
        <v>61.223444013976717</v>
      </c>
      <c r="AG4852" s="2">
        <f ca="1"/>
        <v>0.13240508781420757</v>
      </c>
      <c r="AH4852" s="2" t="str">
        <f ca="1"/>
        <v>OK</v>
      </c>
    </row>
    <row r="4853" spans="2:34" x14ac:dyDescent="0.2">
      <c r="B4853" s="2">
        <f ca="1"/>
        <v>0.25720974233743443</v>
      </c>
      <c r="O4853" s="2">
        <f ca="1"/>
        <v>0.83802683993428462</v>
      </c>
      <c r="X4853" s="2">
        <f ca="1"/>
        <v>70.687573692077436</v>
      </c>
      <c r="AG4853" s="2">
        <f ca="1"/>
        <v>0.83591340635634381</v>
      </c>
      <c r="AH4853" s="2" t="str">
        <f ca="1"/>
        <v>Bad</v>
      </c>
    </row>
    <row r="4854" spans="2:34" x14ac:dyDescent="0.2">
      <c r="B4854" s="2">
        <f ca="1"/>
        <v>0.1252434060765153</v>
      </c>
      <c r="O4854" s="2">
        <f ca="1"/>
        <v>-0.45465584738303505</v>
      </c>
      <c r="X4854" s="2">
        <f ca="1"/>
        <v>46.865824657752313</v>
      </c>
      <c r="AG4854" s="2">
        <f ca="1"/>
        <v>0.85427455649701711</v>
      </c>
      <c r="AH4854" s="2" t="str">
        <f ca="1"/>
        <v>Bad</v>
      </c>
    </row>
    <row r="4855" spans="2:34" x14ac:dyDescent="0.2">
      <c r="B4855" s="2">
        <f ca="1"/>
        <v>0.57650069243511126</v>
      </c>
      <c r="O4855" s="2">
        <f ca="1"/>
        <v>-0.87659560138520365</v>
      </c>
      <c r="X4855" s="2">
        <f ca="1"/>
        <v>44.802261841962611</v>
      </c>
      <c r="AG4855" s="2">
        <f ca="1"/>
        <v>0.8851672090257241</v>
      </c>
      <c r="AH4855" s="2" t="str">
        <f ca="1"/>
        <v>Bad</v>
      </c>
    </row>
    <row r="4856" spans="2:34" x14ac:dyDescent="0.2">
      <c r="B4856" s="2">
        <f ca="1"/>
        <v>3.9496538731981889E-2</v>
      </c>
      <c r="O4856" s="2">
        <f ca="1"/>
        <v>-3.0718106577447467E-2</v>
      </c>
      <c r="X4856" s="2">
        <f ca="1"/>
        <v>80.480716406581081</v>
      </c>
      <c r="AG4856" s="2">
        <f ca="1"/>
        <v>0.38387099562803684</v>
      </c>
      <c r="AH4856" s="2" t="str">
        <f ca="1"/>
        <v>OK</v>
      </c>
    </row>
    <row r="4857" spans="2:34" x14ac:dyDescent="0.2">
      <c r="B4857" s="2">
        <f ca="1"/>
        <v>0.97966141017516928</v>
      </c>
      <c r="O4857" s="2">
        <f ca="1"/>
        <v>-0.32897226874760743</v>
      </c>
      <c r="X4857" s="2">
        <f ca="1"/>
        <v>44.697814251067669</v>
      </c>
      <c r="AG4857" s="2">
        <f ca="1"/>
        <v>0.47261452999222797</v>
      </c>
      <c r="AH4857" s="2" t="str">
        <f ca="1"/>
        <v>Bad</v>
      </c>
    </row>
    <row r="4858" spans="2:34" x14ac:dyDescent="0.2">
      <c r="B4858" s="2">
        <f ca="1"/>
        <v>0.54499550538266694</v>
      </c>
      <c r="O4858" s="2">
        <f ca="1"/>
        <v>-0.4737828167890577</v>
      </c>
      <c r="X4858" s="2">
        <f ca="1"/>
        <v>39.02565452151191</v>
      </c>
      <c r="AG4858" s="2">
        <f ca="1"/>
        <v>0.60999071040567454</v>
      </c>
      <c r="AH4858" s="2" t="str">
        <f ca="1"/>
        <v>Bad</v>
      </c>
    </row>
    <row r="4859" spans="2:34" x14ac:dyDescent="0.2">
      <c r="B4859" s="2">
        <f ca="1"/>
        <v>0.61459252039849144</v>
      </c>
      <c r="O4859" s="2">
        <f ca="1"/>
        <v>1.1150764962784432</v>
      </c>
      <c r="X4859" s="2">
        <f ca="1"/>
        <v>41.456390666277073</v>
      </c>
      <c r="AG4859" s="2">
        <f ca="1"/>
        <v>8.6477060854971866E-2</v>
      </c>
      <c r="AH4859" s="2" t="str">
        <f ca="1"/>
        <v>OK</v>
      </c>
    </row>
    <row r="4860" spans="2:34" x14ac:dyDescent="0.2">
      <c r="B4860" s="2">
        <f ca="1"/>
        <v>0.11487603859762907</v>
      </c>
      <c r="O4860" s="2">
        <f ca="1"/>
        <v>-0.32546148175660577</v>
      </c>
      <c r="X4860" s="2">
        <f ca="1"/>
        <v>55.378023290608887</v>
      </c>
      <c r="AG4860" s="2">
        <f ca="1"/>
        <v>0.584930475500407</v>
      </c>
      <c r="AH4860" s="2" t="str">
        <f ca="1"/>
        <v>Bad</v>
      </c>
    </row>
    <row r="4861" spans="2:34" x14ac:dyDescent="0.2">
      <c r="B4861" s="2">
        <f ca="1"/>
        <v>0.6814244854371827</v>
      </c>
      <c r="O4861" s="2">
        <f ca="1"/>
        <v>-0.86441561370212983</v>
      </c>
      <c r="X4861" s="2">
        <f ca="1"/>
        <v>93.821597411485115</v>
      </c>
      <c r="AG4861" s="2">
        <f ca="1"/>
        <v>0.552171631755767</v>
      </c>
      <c r="AH4861" s="2" t="str">
        <f ca="1"/>
        <v>Bad</v>
      </c>
    </row>
    <row r="4862" spans="2:34" x14ac:dyDescent="0.2">
      <c r="B4862" s="2">
        <f ca="1"/>
        <v>0.43079574810991517</v>
      </c>
      <c r="O4862" s="2">
        <f ca="1"/>
        <v>-1.3593469860424989</v>
      </c>
      <c r="X4862" s="2">
        <f ca="1"/>
        <v>53.798791390471507</v>
      </c>
      <c r="AG4862" s="2">
        <f ca="1"/>
        <v>0.55482936927100512</v>
      </c>
      <c r="AH4862" s="2" t="str">
        <f ca="1"/>
        <v>Bad</v>
      </c>
    </row>
    <row r="4863" spans="2:34" x14ac:dyDescent="0.2">
      <c r="B4863" s="2">
        <f ca="1"/>
        <v>0.19609222483781807</v>
      </c>
      <c r="O4863" s="2">
        <f ca="1"/>
        <v>-1.8627082919760116</v>
      </c>
      <c r="X4863" s="2">
        <f ca="1"/>
        <v>68.526480982488266</v>
      </c>
      <c r="AG4863" s="2">
        <f ca="1"/>
        <v>0.50799361205189175</v>
      </c>
      <c r="AH4863" s="2" t="str">
        <f ca="1"/>
        <v>Bad</v>
      </c>
    </row>
    <row r="4864" spans="2:34" x14ac:dyDescent="0.2">
      <c r="B4864" s="2">
        <f ca="1"/>
        <v>4.7381600715013406E-2</v>
      </c>
      <c r="O4864" s="2">
        <f ca="1"/>
        <v>-8.7660756764350006E-2</v>
      </c>
      <c r="X4864" s="2">
        <f ca="1"/>
        <v>38.001064020729679</v>
      </c>
      <c r="AG4864" s="2">
        <f ca="1"/>
        <v>0.15072348756393117</v>
      </c>
      <c r="AH4864" s="2" t="str">
        <f ca="1"/>
        <v>OK</v>
      </c>
    </row>
    <row r="4865" spans="2:34" x14ac:dyDescent="0.2">
      <c r="B4865" s="2">
        <f ca="1"/>
        <v>0.74821965420014758</v>
      </c>
      <c r="O4865" s="2">
        <f ca="1"/>
        <v>-0.1164889459002014</v>
      </c>
      <c r="X4865" s="2">
        <f ca="1"/>
        <v>30.59384754228839</v>
      </c>
      <c r="AG4865" s="2">
        <f ca="1"/>
        <v>0.9394154086326143</v>
      </c>
      <c r="AH4865" s="2" t="str">
        <f ca="1"/>
        <v>Bad</v>
      </c>
    </row>
    <row r="4866" spans="2:34" x14ac:dyDescent="0.2">
      <c r="B4866" s="2">
        <f ca="1"/>
        <v>0.56267273834374865</v>
      </c>
      <c r="O4866" s="2">
        <f ca="1"/>
        <v>0.37883530215653061</v>
      </c>
      <c r="X4866" s="2">
        <f ca="1"/>
        <v>50.425269931821298</v>
      </c>
      <c r="AG4866" s="2">
        <f ca="1"/>
        <v>0.39737637364197109</v>
      </c>
      <c r="AH4866" s="2" t="str">
        <f ca="1"/>
        <v>OK</v>
      </c>
    </row>
    <row r="4867" spans="2:34" x14ac:dyDescent="0.2">
      <c r="B4867" s="2">
        <f ca="1"/>
        <v>0.3774520094170708</v>
      </c>
      <c r="O4867" s="2">
        <f ca="1"/>
        <v>-0.37580821709382201</v>
      </c>
      <c r="X4867" s="2">
        <f ca="1"/>
        <v>46.501890768301728</v>
      </c>
      <c r="AG4867" s="2">
        <f ca="1"/>
        <v>0.11568324411764452</v>
      </c>
      <c r="AH4867" s="2" t="str">
        <f ca="1"/>
        <v>OK</v>
      </c>
    </row>
    <row r="4868" spans="2:34" x14ac:dyDescent="0.2">
      <c r="B4868" s="2">
        <f ca="1"/>
        <v>0.99679167183005912</v>
      </c>
      <c r="O4868" s="2">
        <f ca="1"/>
        <v>-7.3536408018258698E-2</v>
      </c>
      <c r="X4868" s="2">
        <f ca="1"/>
        <v>27.293213978635759</v>
      </c>
      <c r="AG4868" s="2">
        <f ca="1"/>
        <v>0.67571691816074608</v>
      </c>
      <c r="AH4868" s="2" t="str">
        <f ca="1"/>
        <v>Bad</v>
      </c>
    </row>
    <row r="4869" spans="2:34" x14ac:dyDescent="0.2">
      <c r="B4869" s="2">
        <f ca="1"/>
        <v>0.21100419816932781</v>
      </c>
      <c r="O4869" s="2">
        <f ca="1"/>
        <v>0.45657813353406618</v>
      </c>
      <c r="X4869" s="2">
        <f ca="1"/>
        <v>17.527665307746471</v>
      </c>
      <c r="AG4869" s="2">
        <f ca="1"/>
        <v>1.7801259006704484E-2</v>
      </c>
      <c r="AH4869" s="2" t="str">
        <f ca="1"/>
        <v>Good</v>
      </c>
    </row>
    <row r="4870" spans="2:34" x14ac:dyDescent="0.2">
      <c r="B4870" s="2">
        <f ca="1"/>
        <v>0.8685693111506374</v>
      </c>
      <c r="O4870" s="2">
        <f ca="1"/>
        <v>-0.55556074263631416</v>
      </c>
      <c r="X4870" s="2">
        <f ca="1"/>
        <v>50.543187305980759</v>
      </c>
      <c r="AG4870" s="2">
        <f ca="1"/>
        <v>0.96735950812163818</v>
      </c>
      <c r="AH4870" s="2" t="str">
        <f ca="1"/>
        <v>Bad</v>
      </c>
    </row>
    <row r="4871" spans="2:34" x14ac:dyDescent="0.2">
      <c r="B4871" s="2">
        <f ca="1"/>
        <v>0.82345611170420319</v>
      </c>
      <c r="O4871" s="2">
        <f ca="1"/>
        <v>3.014794070173811E-2</v>
      </c>
      <c r="X4871" s="2">
        <f ca="1"/>
        <v>34.673974035409145</v>
      </c>
      <c r="AG4871" s="2">
        <f ca="1"/>
        <v>0.71834293753000922</v>
      </c>
      <c r="AH4871" s="2" t="str">
        <f ca="1"/>
        <v>Bad</v>
      </c>
    </row>
    <row r="4872" spans="2:34" x14ac:dyDescent="0.2">
      <c r="B4872" s="2">
        <f ca="1"/>
        <v>0.12092446664093481</v>
      </c>
      <c r="O4872" s="2">
        <f ca="1"/>
        <v>0.37396822559196163</v>
      </c>
      <c r="X4872" s="2">
        <f ca="1"/>
        <v>43.806174453874085</v>
      </c>
      <c r="AG4872" s="2">
        <f ca="1"/>
        <v>0.57337821249138821</v>
      </c>
      <c r="AH4872" s="2" t="str">
        <f ca="1"/>
        <v>Bad</v>
      </c>
    </row>
    <row r="4873" spans="2:34" x14ac:dyDescent="0.2">
      <c r="B4873" s="2">
        <f ca="1"/>
        <v>0.54113833997011151</v>
      </c>
      <c r="O4873" s="2">
        <f ca="1"/>
        <v>-1.0975516629751416</v>
      </c>
      <c r="X4873" s="2">
        <f ca="1"/>
        <v>28.049074619934281</v>
      </c>
      <c r="AG4873" s="2">
        <f ca="1"/>
        <v>0.38188055269078047</v>
      </c>
      <c r="AH4873" s="2" t="str">
        <f ca="1"/>
        <v>OK</v>
      </c>
    </row>
    <row r="4874" spans="2:34" x14ac:dyDescent="0.2">
      <c r="B4874" s="2">
        <f ca="1"/>
        <v>0.48378020797092636</v>
      </c>
      <c r="O4874" s="2">
        <f ca="1"/>
        <v>-0.40584289659743755</v>
      </c>
      <c r="X4874" s="2">
        <f ca="1"/>
        <v>36.564034628975016</v>
      </c>
      <c r="AG4874" s="2">
        <f ca="1"/>
        <v>0.56044782835749585</v>
      </c>
      <c r="AH4874" s="2" t="str">
        <f ca="1"/>
        <v>Bad</v>
      </c>
    </row>
    <row r="4875" spans="2:34" x14ac:dyDescent="0.2">
      <c r="B4875" s="2">
        <f ca="1"/>
        <v>0.93147880224145374</v>
      </c>
      <c r="O4875" s="2">
        <f ca="1"/>
        <v>-0.44550282140258107</v>
      </c>
      <c r="X4875" s="2">
        <f ca="1"/>
        <v>52.892343942252367</v>
      </c>
      <c r="AG4875" s="2">
        <f ca="1"/>
        <v>0.77025086382923003</v>
      </c>
      <c r="AH4875" s="2" t="str">
        <f ca="1"/>
        <v>Bad</v>
      </c>
    </row>
    <row r="4876" spans="2:34" x14ac:dyDescent="0.2">
      <c r="B4876" s="2">
        <f ca="1"/>
        <v>8.4688417532295279E-2</v>
      </c>
      <c r="O4876" s="2">
        <f ca="1"/>
        <v>1.7312898148705418</v>
      </c>
      <c r="X4876" s="2">
        <f ca="1"/>
        <v>42.655634739126953</v>
      </c>
      <c r="AG4876" s="2">
        <f ca="1"/>
        <v>0.11857062655531259</v>
      </c>
      <c r="AH4876" s="2" t="str">
        <f ca="1"/>
        <v>OK</v>
      </c>
    </row>
    <row r="4877" spans="2:34" x14ac:dyDescent="0.2">
      <c r="B4877" s="2">
        <f ca="1"/>
        <v>0.43840279882200384</v>
      </c>
      <c r="O4877" s="2">
        <f ca="1"/>
        <v>-0.67691435545653211</v>
      </c>
      <c r="X4877" s="2">
        <f ca="1"/>
        <v>49.655255839557981</v>
      </c>
      <c r="AG4877" s="2">
        <f ca="1"/>
        <v>0.57290476267412327</v>
      </c>
      <c r="AH4877" s="2" t="str">
        <f ca="1"/>
        <v>Bad</v>
      </c>
    </row>
    <row r="4878" spans="2:34" x14ac:dyDescent="0.2">
      <c r="B4878" s="2">
        <f ca="1"/>
        <v>0.58409805594923125</v>
      </c>
      <c r="O4878" s="2">
        <f ca="1"/>
        <v>-0.51031503575135118</v>
      </c>
      <c r="X4878" s="2">
        <f ca="1"/>
        <v>52.805128290409598</v>
      </c>
      <c r="AG4878" s="2">
        <f ca="1"/>
        <v>0.65777613797791856</v>
      </c>
      <c r="AH4878" s="2" t="str">
        <f ca="1"/>
        <v>Bad</v>
      </c>
    </row>
    <row r="4879" spans="2:34" x14ac:dyDescent="0.2">
      <c r="B4879" s="2">
        <f ca="1"/>
        <v>0.85233221175504315</v>
      </c>
      <c r="O4879" s="2">
        <f ca="1"/>
        <v>1.9980608196237051E-2</v>
      </c>
      <c r="X4879" s="2">
        <f ca="1"/>
        <v>35.31219470702063</v>
      </c>
      <c r="AG4879" s="2">
        <f ca="1"/>
        <v>0.22327366705684115</v>
      </c>
      <c r="AH4879" s="2" t="str">
        <f ca="1"/>
        <v>OK</v>
      </c>
    </row>
    <row r="4880" spans="2:34" x14ac:dyDescent="0.2">
      <c r="B4880" s="2">
        <f ca="1"/>
        <v>0.89257055705109845</v>
      </c>
      <c r="O4880" s="2">
        <f ca="1"/>
        <v>-0.18104877668921998</v>
      </c>
      <c r="X4880" s="2">
        <f ca="1"/>
        <v>27.759550874769431</v>
      </c>
      <c r="AG4880" s="2">
        <f ca="1"/>
        <v>0.34607318358947481</v>
      </c>
      <c r="AH4880" s="2" t="str">
        <f ca="1"/>
        <v>OK</v>
      </c>
    </row>
    <row r="4881" spans="2:34" x14ac:dyDescent="0.2">
      <c r="B4881" s="2">
        <f ca="1"/>
        <v>0.67561549647550878</v>
      </c>
      <c r="O4881" s="2">
        <f ca="1"/>
        <v>0.50869200592116004</v>
      </c>
      <c r="X4881" s="2">
        <f ca="1"/>
        <v>58.37442528916533</v>
      </c>
      <c r="AG4881" s="2">
        <f ca="1"/>
        <v>0.10390109966995187</v>
      </c>
      <c r="AH4881" s="2" t="str">
        <f ca="1"/>
        <v>OK</v>
      </c>
    </row>
    <row r="4882" spans="2:34" x14ac:dyDescent="0.2">
      <c r="B4882" s="2">
        <f ca="1"/>
        <v>0.4309293695533607</v>
      </c>
      <c r="O4882" s="2">
        <f ca="1"/>
        <v>0.22345247211891139</v>
      </c>
      <c r="X4882" s="2">
        <f ca="1"/>
        <v>38.305909430065192</v>
      </c>
      <c r="AG4882" s="2">
        <f ca="1"/>
        <v>0.39706583624425051</v>
      </c>
      <c r="AH4882" s="2" t="str">
        <f ca="1"/>
        <v>OK</v>
      </c>
    </row>
    <row r="4883" spans="2:34" x14ac:dyDescent="0.2">
      <c r="B4883" s="2">
        <f ca="1"/>
        <v>0.78260667037161125</v>
      </c>
      <c r="O4883" s="2">
        <f ca="1"/>
        <v>-0.50462173905770247</v>
      </c>
      <c r="X4883" s="2">
        <f ca="1"/>
        <v>47.255113035809245</v>
      </c>
      <c r="AG4883" s="2">
        <f ca="1"/>
        <v>0.5308887057231062</v>
      </c>
      <c r="AH4883" s="2" t="str">
        <f ca="1"/>
        <v>Bad</v>
      </c>
    </row>
    <row r="4884" spans="2:34" x14ac:dyDescent="0.2">
      <c r="B4884" s="2">
        <f ca="1"/>
        <v>6.9517251609305664E-3</v>
      </c>
      <c r="O4884" s="2">
        <f ca="1"/>
        <v>-0.14574301745978033</v>
      </c>
      <c r="X4884" s="2">
        <f ca="1"/>
        <v>62.166439319067507</v>
      </c>
      <c r="AG4884" s="2">
        <f ca="1"/>
        <v>0.92952050882110049</v>
      </c>
      <c r="AH4884" s="2" t="str">
        <f ca="1"/>
        <v>Bad</v>
      </c>
    </row>
    <row r="4885" spans="2:34" x14ac:dyDescent="0.2">
      <c r="B4885" s="2">
        <f ca="1"/>
        <v>0.50866186773135458</v>
      </c>
      <c r="O4885" s="2">
        <f ca="1"/>
        <v>0.83778299923156296</v>
      </c>
      <c r="X4885" s="2">
        <f ca="1"/>
        <v>43.222918809877811</v>
      </c>
      <c r="AG4885" s="2">
        <f ca="1"/>
        <v>0.82061736275831598</v>
      </c>
      <c r="AH4885" s="2" t="str">
        <f ca="1"/>
        <v>Bad</v>
      </c>
    </row>
    <row r="4886" spans="2:34" x14ac:dyDescent="0.2">
      <c r="B4886" s="2">
        <f ca="1"/>
        <v>0.82997813013321076</v>
      </c>
      <c r="O4886" s="2">
        <f ca="1"/>
        <v>3.1352536464528506E-2</v>
      </c>
      <c r="X4886" s="2">
        <f ca="1"/>
        <v>34.209746007872084</v>
      </c>
      <c r="AG4886" s="2">
        <f ca="1"/>
        <v>7.8766280821159329E-2</v>
      </c>
      <c r="AH4886" s="2" t="str">
        <f ca="1"/>
        <v>OK</v>
      </c>
    </row>
    <row r="4887" spans="2:34" x14ac:dyDescent="0.2">
      <c r="B4887" s="2">
        <f ca="1"/>
        <v>0.19273850678876459</v>
      </c>
      <c r="O4887" s="2">
        <f ca="1"/>
        <v>1.783177761610053</v>
      </c>
      <c r="X4887" s="2">
        <f ca="1"/>
        <v>52.370558746963603</v>
      </c>
      <c r="AG4887" s="2">
        <f ca="1"/>
        <v>0.65615595759419532</v>
      </c>
      <c r="AH4887" s="2" t="str">
        <f ca="1"/>
        <v>Bad</v>
      </c>
    </row>
    <row r="4888" spans="2:34" x14ac:dyDescent="0.2">
      <c r="B4888" s="2">
        <f ca="1"/>
        <v>0.84930278902457923</v>
      </c>
      <c r="O4888" s="2">
        <f ca="1"/>
        <v>1.0449200021024225</v>
      </c>
      <c r="X4888" s="2">
        <f ca="1"/>
        <v>52.642741043449931</v>
      </c>
      <c r="AG4888" s="2">
        <f ca="1"/>
        <v>0.61848193275734675</v>
      </c>
      <c r="AH4888" s="2" t="str">
        <f ca="1"/>
        <v>Bad</v>
      </c>
    </row>
    <row r="4889" spans="2:34" x14ac:dyDescent="0.2">
      <c r="B4889" s="2">
        <f ca="1"/>
        <v>9.9064765120271625E-2</v>
      </c>
      <c r="O4889" s="2">
        <f ca="1"/>
        <v>-2.6074039914777321</v>
      </c>
      <c r="X4889" s="2">
        <f ca="1"/>
        <v>30.013648235253928</v>
      </c>
      <c r="AG4889" s="2">
        <f ca="1"/>
        <v>0.64001064488310822</v>
      </c>
      <c r="AH4889" s="2" t="str">
        <f ca="1"/>
        <v>Bad</v>
      </c>
    </row>
    <row r="4890" spans="2:34" x14ac:dyDescent="0.2">
      <c r="B4890" s="2">
        <f ca="1"/>
        <v>0.91200044642356071</v>
      </c>
      <c r="O4890" s="2">
        <f ca="1"/>
        <v>-2.4680025586314827</v>
      </c>
      <c r="X4890" s="2">
        <f ca="1"/>
        <v>39.161222438876344</v>
      </c>
      <c r="AG4890" s="2">
        <f ca="1"/>
        <v>0.10915840913181607</v>
      </c>
      <c r="AH4890" s="2" t="str">
        <f ca="1"/>
        <v>OK</v>
      </c>
    </row>
    <row r="4891" spans="2:34" x14ac:dyDescent="0.2">
      <c r="B4891" s="2">
        <f ca="1"/>
        <v>0.84380434952275252</v>
      </c>
      <c r="O4891" s="2">
        <f ca="1"/>
        <v>1.4587411452945787E-2</v>
      </c>
      <c r="X4891" s="2">
        <f ca="1"/>
        <v>31.661661574753136</v>
      </c>
      <c r="AG4891" s="2">
        <f ca="1"/>
        <v>0.21556853083069938</v>
      </c>
      <c r="AH4891" s="2" t="str">
        <f ca="1"/>
        <v>OK</v>
      </c>
    </row>
    <row r="4892" spans="2:34" x14ac:dyDescent="0.2">
      <c r="B4892" s="2">
        <f ca="1"/>
        <v>0.90698197054881291</v>
      </c>
      <c r="O4892" s="2">
        <f ca="1"/>
        <v>0.2341757069969595</v>
      </c>
      <c r="X4892" s="2">
        <f ca="1"/>
        <v>51.897611876487062</v>
      </c>
      <c r="AG4892" s="2">
        <f ca="1"/>
        <v>0.23042207152645222</v>
      </c>
      <c r="AH4892" s="2" t="str">
        <f ca="1"/>
        <v>OK</v>
      </c>
    </row>
    <row r="4893" spans="2:34" x14ac:dyDescent="0.2">
      <c r="B4893" s="2">
        <f ca="1"/>
        <v>1.4621086722759857E-2</v>
      </c>
      <c r="O4893" s="2">
        <f ca="1"/>
        <v>0.49573652105720412</v>
      </c>
      <c r="X4893" s="2">
        <f ca="1"/>
        <v>36.546605842277089</v>
      </c>
      <c r="AG4893" s="2">
        <f ca="1"/>
        <v>0.36750570725874687</v>
      </c>
      <c r="AH4893" s="2" t="str">
        <f ca="1"/>
        <v>OK</v>
      </c>
    </row>
    <row r="4894" spans="2:34" x14ac:dyDescent="0.2">
      <c r="B4894" s="2">
        <f ca="1"/>
        <v>0.4154148273617766</v>
      </c>
      <c r="O4894" s="2">
        <f ca="1"/>
        <v>0.25589832613655794</v>
      </c>
      <c r="X4894" s="2">
        <f ca="1"/>
        <v>38.141764537313286</v>
      </c>
      <c r="AG4894" s="2">
        <f ca="1"/>
        <v>0.98973663909287479</v>
      </c>
      <c r="AH4894" s="2" t="str">
        <f ca="1"/>
        <v>Bad</v>
      </c>
    </row>
    <row r="4895" spans="2:34" x14ac:dyDescent="0.2">
      <c r="B4895" s="2">
        <f ca="1"/>
        <v>0.83840843310939928</v>
      </c>
      <c r="O4895" s="2">
        <f ca="1"/>
        <v>-0.42446843593952843</v>
      </c>
      <c r="X4895" s="2">
        <f ca="1"/>
        <v>62.454698097914331</v>
      </c>
      <c r="AG4895" s="2">
        <f ca="1"/>
        <v>0.90456201518797785</v>
      </c>
      <c r="AH4895" s="2" t="str">
        <f ca="1"/>
        <v>Bad</v>
      </c>
    </row>
    <row r="4896" spans="2:34" x14ac:dyDescent="0.2">
      <c r="B4896" s="2">
        <f ca="1"/>
        <v>0.20909870898806182</v>
      </c>
      <c r="O4896" s="2">
        <f ca="1"/>
        <v>0.99416944004083196</v>
      </c>
      <c r="X4896" s="2">
        <f ca="1"/>
        <v>39.796672911403157</v>
      </c>
      <c r="AG4896" s="2">
        <f ca="1"/>
        <v>0.84114727684855217</v>
      </c>
      <c r="AH4896" s="2" t="str">
        <f ca="1"/>
        <v>Bad</v>
      </c>
    </row>
    <row r="4897" spans="2:34" x14ac:dyDescent="0.2">
      <c r="B4897" s="2">
        <f ca="1"/>
        <v>0.28673404221834264</v>
      </c>
      <c r="O4897" s="2">
        <f ca="1"/>
        <v>1.0112326460181709</v>
      </c>
      <c r="X4897" s="2">
        <f ca="1"/>
        <v>29.337983153667949</v>
      </c>
      <c r="AG4897" s="2">
        <f ca="1"/>
        <v>0.95076591652952991</v>
      </c>
      <c r="AH4897" s="2" t="str">
        <f ca="1"/>
        <v>Bad</v>
      </c>
    </row>
    <row r="4898" spans="2:34" x14ac:dyDescent="0.2">
      <c r="B4898" s="2">
        <f ca="1"/>
        <v>0.37408947538205561</v>
      </c>
      <c r="O4898" s="2">
        <f ca="1"/>
        <v>-1.4751992455255361</v>
      </c>
      <c r="X4898" s="2">
        <f ca="1"/>
        <v>49.377818710269857</v>
      </c>
      <c r="AG4898" s="2">
        <f ca="1"/>
        <v>0.99060563480649821</v>
      </c>
      <c r="AH4898" s="2" t="str">
        <f ca="1"/>
        <v>Bad</v>
      </c>
    </row>
    <row r="4899" spans="2:34" x14ac:dyDescent="0.2">
      <c r="B4899" s="2">
        <f ca="1"/>
        <v>0.87801472587364926</v>
      </c>
      <c r="O4899" s="2">
        <f ca="1"/>
        <v>-0.20838285037902432</v>
      </c>
      <c r="X4899" s="2">
        <f ca="1"/>
        <v>46.064847460857081</v>
      </c>
      <c r="AG4899" s="2">
        <f ca="1"/>
        <v>0.39645805628564412</v>
      </c>
      <c r="AH4899" s="2" t="str">
        <f ca="1"/>
        <v>OK</v>
      </c>
    </row>
    <row r="4900" spans="2:34" x14ac:dyDescent="0.2">
      <c r="B4900" s="2">
        <f ca="1"/>
        <v>0.84857212438932339</v>
      </c>
      <c r="O4900" s="2">
        <f ca="1"/>
        <v>1.6693099249637577</v>
      </c>
      <c r="X4900" s="2">
        <f ca="1"/>
        <v>32.217825987191532</v>
      </c>
      <c r="AG4900" s="2">
        <f ca="1"/>
        <v>5.6337639797703343E-2</v>
      </c>
      <c r="AH4900" s="2" t="str">
        <f ca="1"/>
        <v>OK</v>
      </c>
    </row>
    <row r="4901" spans="2:34" x14ac:dyDescent="0.2">
      <c r="B4901" s="2">
        <f ca="1"/>
        <v>0.78367947339206623</v>
      </c>
      <c r="O4901" s="2">
        <f ca="1"/>
        <v>-1.3388997678009407</v>
      </c>
      <c r="X4901" s="2">
        <f ca="1"/>
        <v>60.478904346638629</v>
      </c>
      <c r="AG4901" s="2">
        <f ca="1"/>
        <v>0.98192076820276553</v>
      </c>
      <c r="AH4901" s="2" t="str">
        <f ca="1"/>
        <v>Bad</v>
      </c>
    </row>
    <row r="4902" spans="2:34" x14ac:dyDescent="0.2">
      <c r="B4902" s="2">
        <f ca="1"/>
        <v>0.70109350634324397</v>
      </c>
      <c r="O4902" s="2">
        <f ca="1"/>
        <v>-1.2843807373284468</v>
      </c>
      <c r="X4902" s="2">
        <f ca="1"/>
        <v>34.050820244245728</v>
      </c>
      <c r="AG4902" s="2">
        <f ca="1"/>
        <v>0.16884115009246403</v>
      </c>
      <c r="AH4902" s="2" t="str">
        <f ca="1"/>
        <v>OK</v>
      </c>
    </row>
    <row r="4903" spans="2:34" x14ac:dyDescent="0.2">
      <c r="B4903" s="2">
        <f ca="1"/>
        <v>0.54255604937045687</v>
      </c>
      <c r="O4903" s="2">
        <f ca="1"/>
        <v>-0.38174951031874116</v>
      </c>
      <c r="X4903" s="2">
        <f ca="1"/>
        <v>45.718224998675296</v>
      </c>
      <c r="AG4903" s="2">
        <f ca="1"/>
        <v>0.52925661277981595</v>
      </c>
      <c r="AH4903" s="2" t="str">
        <f ca="1"/>
        <v>Bad</v>
      </c>
    </row>
    <row r="4904" spans="2:34" x14ac:dyDescent="0.2">
      <c r="B4904" s="2">
        <f ca="1"/>
        <v>0.76853480242642758</v>
      </c>
      <c r="O4904" s="2">
        <f ca="1"/>
        <v>-0.63177553944293363</v>
      </c>
      <c r="X4904" s="2">
        <f ca="1"/>
        <v>51.549331186650633</v>
      </c>
      <c r="AG4904" s="2">
        <f ca="1"/>
        <v>0.63783428991254665</v>
      </c>
      <c r="AH4904" s="2" t="str">
        <f ca="1"/>
        <v>Bad</v>
      </c>
    </row>
    <row r="4905" spans="2:34" x14ac:dyDescent="0.2">
      <c r="B4905" s="2">
        <f ca="1"/>
        <v>0.92665845161673421</v>
      </c>
      <c r="O4905" s="2">
        <f ca="1"/>
        <v>-0.21032607792270933</v>
      </c>
      <c r="X4905" s="2">
        <f ca="1"/>
        <v>55.431014472821488</v>
      </c>
      <c r="AG4905" s="2">
        <f ca="1"/>
        <v>0.82367239643932688</v>
      </c>
      <c r="AH4905" s="2" t="str">
        <f ca="1"/>
        <v>Bad</v>
      </c>
    </row>
    <row r="4906" spans="2:34" x14ac:dyDescent="0.2">
      <c r="B4906" s="2">
        <f ca="1"/>
        <v>0.93110002222788735</v>
      </c>
      <c r="O4906" s="2">
        <f ca="1"/>
        <v>-0.68297642302608152</v>
      </c>
      <c r="X4906" s="2">
        <f ca="1"/>
        <v>35.254149056236301</v>
      </c>
      <c r="AG4906" s="2">
        <f ca="1"/>
        <v>0.27951604098119986</v>
      </c>
      <c r="AH4906" s="2" t="str">
        <f ca="1"/>
        <v>OK</v>
      </c>
    </row>
    <row r="4907" spans="2:34" x14ac:dyDescent="0.2">
      <c r="B4907" s="2">
        <f ca="1"/>
        <v>0.52322666470486845</v>
      </c>
      <c r="O4907" s="2">
        <f ca="1"/>
        <v>0.56592254350537263</v>
      </c>
      <c r="X4907" s="2">
        <f ca="1"/>
        <v>65.343473392101401</v>
      </c>
      <c r="AG4907" s="2">
        <f ca="1"/>
        <v>0.55205492537421019</v>
      </c>
      <c r="AH4907" s="2" t="str">
        <f ca="1"/>
        <v>Bad</v>
      </c>
    </row>
    <row r="4908" spans="2:34" x14ac:dyDescent="0.2">
      <c r="B4908" s="2">
        <f ca="1"/>
        <v>1.1674098727497473E-2</v>
      </c>
      <c r="O4908" s="2">
        <f ca="1"/>
        <v>0.11682884656959942</v>
      </c>
      <c r="X4908" s="2">
        <f ca="1"/>
        <v>24.245746703620974</v>
      </c>
      <c r="AG4908" s="2">
        <f ca="1"/>
        <v>0.66151136563429369</v>
      </c>
      <c r="AH4908" s="2" t="str">
        <f ca="1"/>
        <v>Bad</v>
      </c>
    </row>
    <row r="4909" spans="2:34" x14ac:dyDescent="0.2">
      <c r="B4909" s="2">
        <f ca="1"/>
        <v>0.11867973254234143</v>
      </c>
      <c r="O4909" s="2">
        <f ca="1"/>
        <v>0.96274519491050992</v>
      </c>
      <c r="X4909" s="2">
        <f ca="1"/>
        <v>37.144611358190637</v>
      </c>
      <c r="AG4909" s="2">
        <f ca="1"/>
        <v>0.61942776216729545</v>
      </c>
      <c r="AH4909" s="2" t="str">
        <f ca="1"/>
        <v>Bad</v>
      </c>
    </row>
    <row r="4910" spans="2:34" x14ac:dyDescent="0.2">
      <c r="B4910" s="2">
        <f ca="1"/>
        <v>0.55205019346613216</v>
      </c>
      <c r="O4910" s="2">
        <f ca="1"/>
        <v>-0.91616721869643325</v>
      </c>
      <c r="X4910" s="2">
        <f ca="1"/>
        <v>78.47214404009722</v>
      </c>
      <c r="AG4910" s="2">
        <f ca="1"/>
        <v>0.45269102254939142</v>
      </c>
      <c r="AH4910" s="2" t="str">
        <f ca="1"/>
        <v>Bad</v>
      </c>
    </row>
    <row r="4911" spans="2:34" x14ac:dyDescent="0.2">
      <c r="B4911" s="2">
        <f ca="1"/>
        <v>0.21596972044492535</v>
      </c>
      <c r="O4911" s="2">
        <f ca="1"/>
        <v>1.0256379579531352</v>
      </c>
      <c r="X4911" s="2">
        <f ca="1"/>
        <v>37.094847766221683</v>
      </c>
      <c r="AG4911" s="2">
        <f ca="1"/>
        <v>0.52517341761085778</v>
      </c>
      <c r="AH4911" s="2" t="str">
        <f ca="1"/>
        <v>Bad</v>
      </c>
    </row>
    <row r="4912" spans="2:34" x14ac:dyDescent="0.2">
      <c r="B4912" s="2">
        <f ca="1"/>
        <v>0.88436540866434954</v>
      </c>
      <c r="O4912" s="2">
        <f ca="1"/>
        <v>-0.96586612343484002</v>
      </c>
      <c r="X4912" s="2">
        <f ca="1"/>
        <v>32.966643797965858</v>
      </c>
      <c r="AG4912" s="2">
        <f ca="1"/>
        <v>0.84633417247125475</v>
      </c>
      <c r="AH4912" s="2" t="str">
        <f ca="1"/>
        <v>Bad</v>
      </c>
    </row>
    <row r="4913" spans="2:34" x14ac:dyDescent="0.2">
      <c r="B4913" s="2">
        <f ca="1"/>
        <v>0.79806149655378955</v>
      </c>
      <c r="O4913" s="2">
        <f ca="1"/>
        <v>5.7289850160165044E-2</v>
      </c>
      <c r="X4913" s="2">
        <f ca="1"/>
        <v>66.537135742155144</v>
      </c>
      <c r="AG4913" s="2">
        <f ca="1"/>
        <v>0.83307419257649751</v>
      </c>
      <c r="AH4913" s="2" t="str">
        <f ca="1"/>
        <v>Bad</v>
      </c>
    </row>
    <row r="4914" spans="2:34" x14ac:dyDescent="0.2">
      <c r="B4914" s="2">
        <f ca="1"/>
        <v>0.62094539203453492</v>
      </c>
      <c r="O4914" s="2">
        <f ca="1"/>
        <v>0.34877578081860344</v>
      </c>
      <c r="X4914" s="2">
        <f ca="1"/>
        <v>113.77820963299976</v>
      </c>
      <c r="AG4914" s="2">
        <f ca="1"/>
        <v>0.52111068638742086</v>
      </c>
      <c r="AH4914" s="2" t="str">
        <f ca="1"/>
        <v>Bad</v>
      </c>
    </row>
    <row r="4915" spans="2:34" x14ac:dyDescent="0.2">
      <c r="B4915" s="2">
        <f ca="1"/>
        <v>0.95453680727313572</v>
      </c>
      <c r="O4915" s="2">
        <f ca="1"/>
        <v>-0.31873393709459574</v>
      </c>
      <c r="X4915" s="2">
        <f ca="1"/>
        <v>42.208976594156731</v>
      </c>
      <c r="AG4915" s="2">
        <f ca="1"/>
        <v>0.99864262312043883</v>
      </c>
      <c r="AH4915" s="2" t="str">
        <f ca="1"/>
        <v>Bad</v>
      </c>
    </row>
    <row r="4916" spans="2:34" x14ac:dyDescent="0.2">
      <c r="B4916" s="2">
        <f ca="1"/>
        <v>0.52667777143595962</v>
      </c>
      <c r="O4916" s="2">
        <f ca="1"/>
        <v>-0.22459388404403866</v>
      </c>
      <c r="X4916" s="2">
        <f ca="1"/>
        <v>44.423173920437563</v>
      </c>
      <c r="AG4916" s="2">
        <f ca="1"/>
        <v>1.4385357325237935E-2</v>
      </c>
      <c r="AH4916" s="2" t="str">
        <f ca="1"/>
        <v>Good</v>
      </c>
    </row>
    <row r="4917" spans="2:34" x14ac:dyDescent="0.2">
      <c r="B4917" s="2">
        <f ca="1"/>
        <v>0.6424485737100214</v>
      </c>
      <c r="O4917" s="2">
        <f ca="1"/>
        <v>0.48585938390683747</v>
      </c>
      <c r="X4917" s="2">
        <f ca="1"/>
        <v>29.853754480060001</v>
      </c>
      <c r="AG4917" s="2">
        <f ca="1"/>
        <v>0.26525853298763913</v>
      </c>
      <c r="AH4917" s="2" t="str">
        <f ca="1"/>
        <v>OK</v>
      </c>
    </row>
    <row r="4918" spans="2:34" x14ac:dyDescent="0.2">
      <c r="B4918" s="2">
        <f ca="1"/>
        <v>0.58683513385107666</v>
      </c>
      <c r="O4918" s="2">
        <f ca="1"/>
        <v>-0.33776698743989875</v>
      </c>
      <c r="X4918" s="2">
        <f ca="1"/>
        <v>44.595933418215793</v>
      </c>
      <c r="AG4918" s="2">
        <f ca="1"/>
        <v>0.26223935220102224</v>
      </c>
      <c r="AH4918" s="2" t="str">
        <f ca="1"/>
        <v>OK</v>
      </c>
    </row>
    <row r="4919" spans="2:34" x14ac:dyDescent="0.2">
      <c r="B4919" s="2">
        <f ca="1"/>
        <v>7.8035030251405013E-2</v>
      </c>
      <c r="O4919" s="2">
        <f ca="1"/>
        <v>-0.56399066701542411</v>
      </c>
      <c r="X4919" s="2">
        <f ca="1"/>
        <v>46.973244097658835</v>
      </c>
      <c r="AG4919" s="2">
        <f ca="1"/>
        <v>0.65941689298696549</v>
      </c>
      <c r="AH4919" s="2" t="str">
        <f ca="1"/>
        <v>Bad</v>
      </c>
    </row>
    <row r="4920" spans="2:34" x14ac:dyDescent="0.2">
      <c r="B4920" s="2">
        <f ca="1"/>
        <v>0.29129557724534427</v>
      </c>
      <c r="O4920" s="2">
        <f ca="1"/>
        <v>0.87834370658828997</v>
      </c>
      <c r="X4920" s="2">
        <f ca="1"/>
        <v>53.81422931262825</v>
      </c>
      <c r="AG4920" s="2">
        <f ca="1"/>
        <v>0.94180845918873479</v>
      </c>
      <c r="AH4920" s="2" t="str">
        <f ca="1"/>
        <v>Bad</v>
      </c>
    </row>
    <row r="4921" spans="2:34" x14ac:dyDescent="0.2">
      <c r="B4921" s="2">
        <f ca="1"/>
        <v>0.62115382179764933</v>
      </c>
      <c r="O4921" s="2">
        <f ca="1"/>
        <v>-0.7260041555914738</v>
      </c>
      <c r="X4921" s="2">
        <f ca="1"/>
        <v>46.299989624866839</v>
      </c>
      <c r="AG4921" s="2">
        <f ca="1"/>
        <v>0.19009333244309778</v>
      </c>
      <c r="AH4921" s="2" t="str">
        <f ca="1"/>
        <v>OK</v>
      </c>
    </row>
    <row r="4922" spans="2:34" x14ac:dyDescent="0.2">
      <c r="B4922" s="2">
        <f ca="1"/>
        <v>0.42684136418560303</v>
      </c>
      <c r="O4922" s="2">
        <f ca="1"/>
        <v>-8.7804027746672605E-2</v>
      </c>
      <c r="X4922" s="2">
        <f ca="1"/>
        <v>60.256878067475803</v>
      </c>
      <c r="AG4922" s="2">
        <f ca="1"/>
        <v>0.70342522379410721</v>
      </c>
      <c r="AH4922" s="2" t="str">
        <f ca="1"/>
        <v>Bad</v>
      </c>
    </row>
    <row r="4923" spans="2:34" x14ac:dyDescent="0.2">
      <c r="B4923" s="2">
        <f ca="1"/>
        <v>0.28846421912665354</v>
      </c>
      <c r="O4923" s="2">
        <f ca="1"/>
        <v>0.17494223246964705</v>
      </c>
      <c r="X4923" s="2">
        <f ca="1"/>
        <v>36.779388165794614</v>
      </c>
      <c r="AG4923" s="2">
        <f ca="1"/>
        <v>0.53499598733256049</v>
      </c>
      <c r="AH4923" s="2" t="str">
        <f ca="1"/>
        <v>Bad</v>
      </c>
    </row>
    <row r="4924" spans="2:34" x14ac:dyDescent="0.2">
      <c r="B4924" s="2">
        <f ca="1"/>
        <v>0.2884448990987496</v>
      </c>
      <c r="O4924" s="2">
        <f ca="1"/>
        <v>-0.3496616668322558</v>
      </c>
      <c r="X4924" s="2">
        <f ca="1"/>
        <v>43.256502057492852</v>
      </c>
      <c r="AG4924" s="2">
        <f ca="1"/>
        <v>0.19947959109561419</v>
      </c>
      <c r="AH4924" s="2" t="str">
        <f ca="1"/>
        <v>OK</v>
      </c>
    </row>
    <row r="4925" spans="2:34" x14ac:dyDescent="0.2">
      <c r="B4925" s="2">
        <f ca="1"/>
        <v>0.21277623475864682</v>
      </c>
      <c r="O4925" s="2">
        <f ca="1"/>
        <v>0.65137500776590829</v>
      </c>
      <c r="X4925" s="2">
        <f ca="1"/>
        <v>59.67023142193986</v>
      </c>
      <c r="AG4925" s="2">
        <f ca="1"/>
        <v>0.67470218135270699</v>
      </c>
      <c r="AH4925" s="2" t="str">
        <f ca="1"/>
        <v>Bad</v>
      </c>
    </row>
    <row r="4926" spans="2:34" x14ac:dyDescent="0.2">
      <c r="B4926" s="2">
        <f ca="1"/>
        <v>0.82982825382508874</v>
      </c>
      <c r="O4926" s="2">
        <f ca="1"/>
        <v>2.3286601974025039</v>
      </c>
      <c r="X4926" s="2">
        <f ca="1"/>
        <v>46.612096740634065</v>
      </c>
      <c r="AG4926" s="2">
        <f ca="1"/>
        <v>0.48418921336136478</v>
      </c>
      <c r="AH4926" s="2" t="str">
        <f ca="1"/>
        <v>Bad</v>
      </c>
    </row>
    <row r="4927" spans="2:34" x14ac:dyDescent="0.2">
      <c r="B4927" s="2">
        <f ca="1"/>
        <v>0.43190892996233798</v>
      </c>
      <c r="O4927" s="2">
        <f ca="1"/>
        <v>-1.2766085535116685</v>
      </c>
      <c r="X4927" s="2">
        <f ca="1"/>
        <v>29.037595585650607</v>
      </c>
      <c r="AG4927" s="2">
        <f ca="1"/>
        <v>0.68569230831621053</v>
      </c>
      <c r="AH4927" s="2" t="str">
        <f ca="1"/>
        <v>Bad</v>
      </c>
    </row>
    <row r="4928" spans="2:34" x14ac:dyDescent="0.2">
      <c r="B4928" s="2">
        <f ca="1"/>
        <v>0.5394399205065048</v>
      </c>
      <c r="O4928" s="2">
        <f ca="1"/>
        <v>2.7520629052401167</v>
      </c>
      <c r="X4928" s="2">
        <f ca="1"/>
        <v>45.762251045830567</v>
      </c>
      <c r="AG4928" s="2">
        <f ca="1"/>
        <v>0.6086170904949415</v>
      </c>
      <c r="AH4928" s="2" t="str">
        <f ca="1"/>
        <v>Bad</v>
      </c>
    </row>
    <row r="4929" spans="2:34" x14ac:dyDescent="0.2">
      <c r="B4929" s="2">
        <f ca="1"/>
        <v>0.44548460839947146</v>
      </c>
      <c r="O4929" s="2">
        <f ca="1"/>
        <v>1.7435289965931458</v>
      </c>
      <c r="X4929" s="2">
        <f ca="1"/>
        <v>48.699041800836881</v>
      </c>
      <c r="AG4929" s="2">
        <f ca="1"/>
        <v>0.48595534039669053</v>
      </c>
      <c r="AH4929" s="2" t="str">
        <f ca="1"/>
        <v>Bad</v>
      </c>
    </row>
    <row r="4930" spans="2:34" x14ac:dyDescent="0.2">
      <c r="B4930" s="2">
        <f ca="1"/>
        <v>0.66744066955025283</v>
      </c>
      <c r="O4930" s="2">
        <f ca="1"/>
        <v>0.49957032533575718</v>
      </c>
      <c r="X4930" s="2">
        <f ca="1"/>
        <v>56.53882020072971</v>
      </c>
      <c r="AG4930" s="2">
        <f ca="1"/>
        <v>0.54310560509162142</v>
      </c>
      <c r="AH4930" s="2" t="str">
        <f ca="1"/>
        <v>Bad</v>
      </c>
    </row>
    <row r="4931" spans="2:34" x14ac:dyDescent="0.2">
      <c r="B4931" s="2">
        <f ca="1"/>
        <v>0.9228953544710421</v>
      </c>
      <c r="O4931" s="2">
        <f ca="1"/>
        <v>0.29266359058593377</v>
      </c>
      <c r="X4931" s="2">
        <f ca="1"/>
        <v>36.266511988559024</v>
      </c>
      <c r="AG4931" s="2">
        <f ca="1"/>
        <v>0.7727850368207192</v>
      </c>
      <c r="AH4931" s="2" t="str">
        <f ca="1"/>
        <v>Bad</v>
      </c>
    </row>
    <row r="4932" spans="2:34" x14ac:dyDescent="0.2">
      <c r="B4932" s="2">
        <f ca="1"/>
        <v>0.83270606532130054</v>
      </c>
      <c r="O4932" s="2">
        <f ca="1"/>
        <v>-0.50530609021969464</v>
      </c>
      <c r="X4932" s="2">
        <f ca="1"/>
        <v>71.8217763687244</v>
      </c>
      <c r="AG4932" s="2">
        <f ca="1"/>
        <v>0.23837937235300588</v>
      </c>
      <c r="AH4932" s="2" t="str">
        <f ca="1"/>
        <v>OK</v>
      </c>
    </row>
    <row r="4933" spans="2:34" x14ac:dyDescent="0.2">
      <c r="B4933" s="2">
        <f ca="1"/>
        <v>0.82174697087142379</v>
      </c>
      <c r="O4933" s="2">
        <f ca="1"/>
        <v>0.23861385683828315</v>
      </c>
      <c r="X4933" s="2">
        <f ca="1"/>
        <v>45.700606171877702</v>
      </c>
      <c r="AG4933" s="2">
        <f ca="1"/>
        <v>0.79634655437443436</v>
      </c>
      <c r="AH4933" s="2" t="str">
        <f ca="1"/>
        <v>Bad</v>
      </c>
    </row>
    <row r="4934" spans="2:34" x14ac:dyDescent="0.2">
      <c r="B4934" s="2">
        <f ca="1"/>
        <v>0.63208355010449013</v>
      </c>
      <c r="O4934" s="2">
        <f ca="1"/>
        <v>0.9223861468213943</v>
      </c>
      <c r="X4934" s="2">
        <f ca="1"/>
        <v>27.66387368465157</v>
      </c>
      <c r="AG4934" s="2">
        <f ca="1"/>
        <v>0.72311188341445254</v>
      </c>
      <c r="AH4934" s="2" t="str">
        <f ca="1"/>
        <v>Bad</v>
      </c>
    </row>
    <row r="4935" spans="2:34" x14ac:dyDescent="0.2">
      <c r="B4935" s="2">
        <f ca="1"/>
        <v>0.472633144466442</v>
      </c>
      <c r="O4935" s="2">
        <f ca="1"/>
        <v>1.2108739904479175</v>
      </c>
      <c r="X4935" s="2">
        <f ca="1"/>
        <v>36.016133828419157</v>
      </c>
      <c r="AG4935" s="2">
        <f ca="1"/>
        <v>0.14639729577874783</v>
      </c>
      <c r="AH4935" s="2" t="str">
        <f ca="1"/>
        <v>OK</v>
      </c>
    </row>
    <row r="4936" spans="2:34" x14ac:dyDescent="0.2">
      <c r="B4936" s="2">
        <f ca="1"/>
        <v>7.2368616535380736E-2</v>
      </c>
      <c r="O4936" s="2">
        <f ca="1"/>
        <v>-2.847986258770713</v>
      </c>
      <c r="X4936" s="2">
        <f ca="1"/>
        <v>20.482777209912125</v>
      </c>
      <c r="AG4936" s="2">
        <f ca="1"/>
        <v>0.75289698448919862</v>
      </c>
      <c r="AH4936" s="2" t="str">
        <f ca="1"/>
        <v>Bad</v>
      </c>
    </row>
    <row r="4937" spans="2:34" x14ac:dyDescent="0.2">
      <c r="B4937" s="2">
        <f ca="1"/>
        <v>0.56546088225006641</v>
      </c>
      <c r="O4937" s="2">
        <f ca="1"/>
        <v>-1.3039862177897548</v>
      </c>
      <c r="X4937" s="2">
        <f ca="1"/>
        <v>60.615546257169733</v>
      </c>
      <c r="AG4937" s="2">
        <f ca="1"/>
        <v>0.35402596707299194</v>
      </c>
      <c r="AH4937" s="2" t="str">
        <f ca="1"/>
        <v>OK</v>
      </c>
    </row>
    <row r="4938" spans="2:34" x14ac:dyDescent="0.2">
      <c r="B4938" s="2">
        <f ca="1"/>
        <v>0.55309446229790837</v>
      </c>
      <c r="O4938" s="2">
        <f ca="1"/>
        <v>-1.16162957374798</v>
      </c>
      <c r="X4938" s="2">
        <f ca="1"/>
        <v>81.629208362904677</v>
      </c>
      <c r="AG4938" s="2">
        <f ca="1"/>
        <v>0.39786850883207592</v>
      </c>
      <c r="AH4938" s="2" t="str">
        <f ca="1"/>
        <v>OK</v>
      </c>
    </row>
    <row r="4939" spans="2:34" x14ac:dyDescent="0.2">
      <c r="B4939" s="2">
        <f ca="1"/>
        <v>0.55892162988850136</v>
      </c>
      <c r="O4939" s="2">
        <f ca="1"/>
        <v>-1.5978873164144034</v>
      </c>
      <c r="X4939" s="2">
        <f ca="1"/>
        <v>31.545276488476336</v>
      </c>
      <c r="AG4939" s="2">
        <f ca="1"/>
        <v>0.33048877596074733</v>
      </c>
      <c r="AH4939" s="2" t="str">
        <f ca="1"/>
        <v>OK</v>
      </c>
    </row>
    <row r="4940" spans="2:34" x14ac:dyDescent="0.2">
      <c r="B4940" s="2">
        <f ca="1"/>
        <v>0.29516704495635904</v>
      </c>
      <c r="O4940" s="2">
        <f ca="1"/>
        <v>-1.5580238781303142</v>
      </c>
      <c r="X4940" s="2">
        <f ca="1"/>
        <v>34.343206847206176</v>
      </c>
      <c r="AG4940" s="2">
        <f ca="1"/>
        <v>0.1085871910193803</v>
      </c>
      <c r="AH4940" s="2" t="str">
        <f ca="1"/>
        <v>OK</v>
      </c>
    </row>
    <row r="4941" spans="2:34" x14ac:dyDescent="0.2">
      <c r="B4941" s="2">
        <f ca="1"/>
        <v>0.41648421882420128</v>
      </c>
      <c r="O4941" s="2">
        <f ca="1"/>
        <v>0.63074355098880619</v>
      </c>
      <c r="X4941" s="2">
        <f ca="1"/>
        <v>81.155781669949064</v>
      </c>
      <c r="AG4941" s="2">
        <f ca="1"/>
        <v>0.70977989967132404</v>
      </c>
      <c r="AH4941" s="2" t="str">
        <f ca="1"/>
        <v>Bad</v>
      </c>
    </row>
    <row r="4942" spans="2:34" x14ac:dyDescent="0.2">
      <c r="B4942" s="2">
        <f ca="1"/>
        <v>0.84668499476392678</v>
      </c>
      <c r="O4942" s="2">
        <f ca="1"/>
        <v>-1.1666328255799279</v>
      </c>
      <c r="X4942" s="2">
        <f ca="1"/>
        <v>42.646341877254628</v>
      </c>
      <c r="AG4942" s="2">
        <f ca="1"/>
        <v>0.53268534539788437</v>
      </c>
      <c r="AH4942" s="2" t="str">
        <f ca="1"/>
        <v>Bad</v>
      </c>
    </row>
    <row r="4943" spans="2:34" x14ac:dyDescent="0.2">
      <c r="B4943" s="2">
        <f ca="1"/>
        <v>0.79195964361163806</v>
      </c>
      <c r="O4943" s="2">
        <f ca="1"/>
        <v>-0.46956390370670642</v>
      </c>
      <c r="X4943" s="2">
        <f ca="1"/>
        <v>66.705895293452897</v>
      </c>
      <c r="AG4943" s="2">
        <f ca="1"/>
        <v>0.49778946176419869</v>
      </c>
      <c r="AH4943" s="2" t="str">
        <f ca="1"/>
        <v>Bad</v>
      </c>
    </row>
    <row r="4944" spans="2:34" x14ac:dyDescent="0.2">
      <c r="B4944" s="2">
        <f ca="1"/>
        <v>0.40850049239088171</v>
      </c>
      <c r="O4944" s="2">
        <f ca="1"/>
        <v>1.4756742723065623</v>
      </c>
      <c r="X4944" s="2">
        <f ca="1"/>
        <v>45.125899867926819</v>
      </c>
      <c r="AG4944" s="2">
        <f ca="1"/>
        <v>0.32877112281470566</v>
      </c>
      <c r="AH4944" s="2" t="str">
        <f ca="1"/>
        <v>OK</v>
      </c>
    </row>
    <row r="4945" spans="2:34" x14ac:dyDescent="0.2">
      <c r="B4945" s="2">
        <f ca="1"/>
        <v>0.27127806445546976</v>
      </c>
      <c r="O4945" s="2">
        <f ca="1"/>
        <v>4.8429798480930993E-2</v>
      </c>
      <c r="X4945" s="2">
        <f ca="1"/>
        <v>44.299197808646596</v>
      </c>
      <c r="AG4945" s="2">
        <f ca="1"/>
        <v>0.12488102163419335</v>
      </c>
      <c r="AH4945" s="2" t="str">
        <f ca="1"/>
        <v>OK</v>
      </c>
    </row>
    <row r="4946" spans="2:34" x14ac:dyDescent="0.2">
      <c r="B4946" s="2">
        <f ca="1"/>
        <v>0.30955149544484728</v>
      </c>
      <c r="O4946" s="2">
        <f ca="1"/>
        <v>1.2857670554786622</v>
      </c>
      <c r="X4946" s="2">
        <f ca="1"/>
        <v>67.051750677720591</v>
      </c>
      <c r="AG4946" s="2">
        <f ca="1"/>
        <v>0.80388674172052954</v>
      </c>
      <c r="AH4946" s="2" t="str">
        <f ca="1"/>
        <v>Bad</v>
      </c>
    </row>
    <row r="4947" spans="2:34" x14ac:dyDescent="0.2">
      <c r="B4947" s="2">
        <f ca="1"/>
        <v>0.53270279375239338</v>
      </c>
      <c r="O4947" s="2">
        <f ca="1"/>
        <v>-0.78524200852000181</v>
      </c>
      <c r="X4947" s="2">
        <f ca="1"/>
        <v>35.531925736943897</v>
      </c>
      <c r="AG4947" s="2">
        <f ca="1"/>
        <v>0.35591347779795734</v>
      </c>
      <c r="AH4947" s="2" t="str">
        <f ca="1"/>
        <v>OK</v>
      </c>
    </row>
    <row r="4948" spans="2:34" x14ac:dyDescent="0.2">
      <c r="B4948" s="2">
        <f ca="1"/>
        <v>0.55117917075034994</v>
      </c>
      <c r="O4948" s="2">
        <f ca="1"/>
        <v>1.5702490939694178</v>
      </c>
      <c r="X4948" s="2">
        <f ca="1"/>
        <v>22.274667748259564</v>
      </c>
      <c r="AG4948" s="2">
        <f ca="1"/>
        <v>2.2772366932659605E-2</v>
      </c>
      <c r="AH4948" s="2" t="str">
        <f ca="1"/>
        <v>Good</v>
      </c>
    </row>
    <row r="4949" spans="2:34" x14ac:dyDescent="0.2">
      <c r="B4949" s="2">
        <f ca="1"/>
        <v>0.503574755933895</v>
      </c>
      <c r="O4949" s="2">
        <f ca="1"/>
        <v>-0.29636667928501459</v>
      </c>
      <c r="X4949" s="2">
        <f ca="1"/>
        <v>21.620825935712315</v>
      </c>
      <c r="AG4949" s="2">
        <f ca="1"/>
        <v>0.28029466268481951</v>
      </c>
      <c r="AH4949" s="2" t="str">
        <f ca="1"/>
        <v>OK</v>
      </c>
    </row>
    <row r="4950" spans="2:34" x14ac:dyDescent="0.2">
      <c r="B4950" s="2">
        <f ca="1"/>
        <v>0.92440146533653045</v>
      </c>
      <c r="O4950" s="2">
        <f ca="1"/>
        <v>0.29452908930253818</v>
      </c>
      <c r="X4950" s="2">
        <f ca="1"/>
        <v>53.042481152633755</v>
      </c>
      <c r="AG4950" s="2">
        <f ca="1"/>
        <v>0.1514423004930574</v>
      </c>
      <c r="AH4950" s="2" t="str">
        <f ca="1"/>
        <v>OK</v>
      </c>
    </row>
    <row r="4951" spans="2:34" x14ac:dyDescent="0.2">
      <c r="B4951" s="2">
        <f ca="1"/>
        <v>0.13790186212722122</v>
      </c>
      <c r="O4951" s="2">
        <f ca="1"/>
        <v>1.676386869883032</v>
      </c>
      <c r="X4951" s="2">
        <f ca="1"/>
        <v>91.622101663788911</v>
      </c>
      <c r="AG4951" s="2">
        <f ca="1"/>
        <v>0.10438551398738261</v>
      </c>
      <c r="AH4951" s="2" t="str">
        <f ca="1"/>
        <v>OK</v>
      </c>
    </row>
    <row r="4952" spans="2:34" x14ac:dyDescent="0.2">
      <c r="B4952" s="2">
        <f ca="1"/>
        <v>0.29687384399296635</v>
      </c>
      <c r="O4952" s="2">
        <f ca="1"/>
        <v>-1.6768074771681054</v>
      </c>
      <c r="X4952" s="2">
        <f ca="1"/>
        <v>44.686179719704725</v>
      </c>
      <c r="AG4952" s="2">
        <f ca="1"/>
        <v>0.89525685263652521</v>
      </c>
      <c r="AH4952" s="2" t="str">
        <f ca="1"/>
        <v>Bad</v>
      </c>
    </row>
    <row r="4953" spans="2:34" x14ac:dyDescent="0.2">
      <c r="B4953" s="2">
        <f ca="1"/>
        <v>0.61842462322739289</v>
      </c>
      <c r="O4953" s="2">
        <f ca="1"/>
        <v>-0.4958416849075713</v>
      </c>
      <c r="X4953" s="2">
        <f ca="1"/>
        <v>57.362947474248514</v>
      </c>
      <c r="AG4953" s="2">
        <f ca="1"/>
        <v>0.4779849177510167</v>
      </c>
      <c r="AH4953" s="2" t="str">
        <f ca="1"/>
        <v>Bad</v>
      </c>
    </row>
    <row r="4954" spans="2:34" x14ac:dyDescent="0.2">
      <c r="B4954" s="2">
        <f ca="1"/>
        <v>0.86318629855205198</v>
      </c>
      <c r="O4954" s="2">
        <f ca="1"/>
        <v>1.3350847595227493</v>
      </c>
      <c r="X4954" s="2">
        <f ca="1"/>
        <v>47.747944529964613</v>
      </c>
      <c r="AG4954" s="2">
        <f ca="1"/>
        <v>9.2383950636976575E-2</v>
      </c>
      <c r="AH4954" s="2" t="str">
        <f ca="1"/>
        <v>OK</v>
      </c>
    </row>
    <row r="4955" spans="2:34" x14ac:dyDescent="0.2">
      <c r="B4955" s="2">
        <f ca="1"/>
        <v>0.76992320758144839</v>
      </c>
      <c r="O4955" s="2">
        <f ca="1"/>
        <v>1.5326147957895626</v>
      </c>
      <c r="X4955" s="2">
        <f ca="1"/>
        <v>35.624687420448772</v>
      </c>
      <c r="AG4955" s="2">
        <f ca="1"/>
        <v>0.80442943197902661</v>
      </c>
      <c r="AH4955" s="2" t="str">
        <f ca="1"/>
        <v>Bad</v>
      </c>
    </row>
    <row r="4956" spans="2:34" x14ac:dyDescent="0.2">
      <c r="B4956" s="2">
        <f ca="1"/>
        <v>0.33343480751208299</v>
      </c>
      <c r="O4956" s="2">
        <f ca="1"/>
        <v>0.83092380125310306</v>
      </c>
      <c r="X4956" s="2">
        <f ca="1"/>
        <v>63.925166158522046</v>
      </c>
      <c r="AG4956" s="2">
        <f ca="1"/>
        <v>0.7579250797746353</v>
      </c>
      <c r="AH4956" s="2" t="str">
        <f ca="1"/>
        <v>Bad</v>
      </c>
    </row>
    <row r="4957" spans="2:34" x14ac:dyDescent="0.2">
      <c r="B4957" s="2">
        <f ca="1"/>
        <v>0.88781312553226299</v>
      </c>
      <c r="O4957" s="2">
        <f ca="1"/>
        <v>-1.1141861387106835</v>
      </c>
      <c r="X4957" s="2">
        <f ca="1"/>
        <v>33.643951249851234</v>
      </c>
      <c r="AG4957" s="2">
        <f ca="1"/>
        <v>0.54900748561938784</v>
      </c>
      <c r="AH4957" s="2" t="str">
        <f ca="1"/>
        <v>Bad</v>
      </c>
    </row>
    <row r="4958" spans="2:34" x14ac:dyDescent="0.2">
      <c r="B4958" s="2">
        <f ca="1"/>
        <v>0.64053329308323392</v>
      </c>
      <c r="O4958" s="2">
        <f ca="1"/>
        <v>-0.15510497286717578</v>
      </c>
      <c r="X4958" s="2">
        <f ca="1"/>
        <v>45.359320687353666</v>
      </c>
      <c r="AG4958" s="2">
        <f ca="1"/>
        <v>0.98245257531716113</v>
      </c>
      <c r="AH4958" s="2" t="str">
        <f ca="1"/>
        <v>Bad</v>
      </c>
    </row>
    <row r="4959" spans="2:34" x14ac:dyDescent="0.2">
      <c r="B4959" s="2">
        <f ca="1"/>
        <v>0.22990573479641285</v>
      </c>
      <c r="O4959" s="2">
        <f ca="1"/>
        <v>-0.43695076274684275</v>
      </c>
      <c r="X4959" s="2">
        <f ca="1"/>
        <v>37.201660582455901</v>
      </c>
      <c r="AG4959" s="2">
        <f ca="1"/>
        <v>0.50662451509692707</v>
      </c>
      <c r="AH4959" s="2" t="str">
        <f ca="1"/>
        <v>Bad</v>
      </c>
    </row>
    <row r="4960" spans="2:34" x14ac:dyDescent="0.2">
      <c r="B4960" s="2">
        <f ca="1"/>
        <v>0.21742385044499768</v>
      </c>
      <c r="O4960" s="2">
        <f ca="1"/>
        <v>0.69963547327405329</v>
      </c>
      <c r="X4960" s="2">
        <f ca="1"/>
        <v>48.938508518431789</v>
      </c>
      <c r="AG4960" s="2">
        <f ca="1"/>
        <v>0.16051857188556751</v>
      </c>
      <c r="AH4960" s="2" t="str">
        <f ca="1"/>
        <v>OK</v>
      </c>
    </row>
    <row r="4961" spans="2:34" x14ac:dyDescent="0.2">
      <c r="B4961" s="2">
        <f ca="1"/>
        <v>0.34643573267634897</v>
      </c>
      <c r="O4961" s="2">
        <f ca="1"/>
        <v>7.7150839605587787E-2</v>
      </c>
      <c r="X4961" s="2">
        <f ca="1"/>
        <v>34.568439253168805</v>
      </c>
      <c r="AG4961" s="2">
        <f ca="1"/>
        <v>0.72232597467950255</v>
      </c>
      <c r="AH4961" s="2" t="str">
        <f ca="1"/>
        <v>Bad</v>
      </c>
    </row>
    <row r="4962" spans="2:34" x14ac:dyDescent="0.2">
      <c r="B4962" s="2">
        <f ca="1"/>
        <v>0.79658580542489354</v>
      </c>
      <c r="O4962" s="2">
        <f ca="1"/>
        <v>-1.8392737121947687</v>
      </c>
      <c r="X4962" s="2">
        <f ca="1"/>
        <v>50.411576711876364</v>
      </c>
      <c r="AG4962" s="2">
        <f ca="1"/>
        <v>0.3878036696797369</v>
      </c>
      <c r="AH4962" s="2" t="str">
        <f ca="1"/>
        <v>OK</v>
      </c>
    </row>
    <row r="4963" spans="2:34" x14ac:dyDescent="0.2">
      <c r="B4963" s="2">
        <f ca="1"/>
        <v>0.90015994528905385</v>
      </c>
      <c r="O4963" s="2">
        <f ca="1"/>
        <v>0.19135332461819035</v>
      </c>
      <c r="X4963" s="2">
        <f ca="1"/>
        <v>80.99597505303359</v>
      </c>
      <c r="AG4963" s="2">
        <f ca="1"/>
        <v>0.72617728920808355</v>
      </c>
      <c r="AH4963" s="2" t="str">
        <f ca="1"/>
        <v>Bad</v>
      </c>
    </row>
    <row r="4964" spans="2:34" x14ac:dyDescent="0.2">
      <c r="B4964" s="2">
        <f ca="1"/>
        <v>0.41561975883326063</v>
      </c>
      <c r="O4964" s="2">
        <f ca="1"/>
        <v>0.36121068439220311</v>
      </c>
      <c r="X4964" s="2">
        <f ca="1"/>
        <v>56.262751565400293</v>
      </c>
      <c r="AG4964" s="2">
        <f ca="1"/>
        <v>7.8698623439139803E-2</v>
      </c>
      <c r="AH4964" s="2" t="str">
        <f ca="1"/>
        <v>OK</v>
      </c>
    </row>
    <row r="4965" spans="2:34" x14ac:dyDescent="0.2">
      <c r="B4965" s="2">
        <f ca="1"/>
        <v>0.81243363172861227</v>
      </c>
      <c r="O4965" s="2">
        <f ca="1"/>
        <v>0.63281080556793878</v>
      </c>
      <c r="X4965" s="2">
        <f ca="1"/>
        <v>40.677959347314768</v>
      </c>
      <c r="AG4965" s="2">
        <f ca="1"/>
        <v>5.3301040651979603E-2</v>
      </c>
      <c r="AH4965" s="2" t="str">
        <f ca="1"/>
        <v>OK</v>
      </c>
    </row>
    <row r="4966" spans="2:34" x14ac:dyDescent="0.2">
      <c r="B4966" s="2">
        <f ca="1"/>
        <v>0.78341189580664805</v>
      </c>
      <c r="O4966" s="2">
        <f ca="1"/>
        <v>-5.0409953423808954E-2</v>
      </c>
      <c r="X4966" s="2">
        <f ca="1"/>
        <v>29.433153129953233</v>
      </c>
      <c r="AG4966" s="2">
        <f ca="1"/>
        <v>9.4757014294258868E-2</v>
      </c>
      <c r="AH4966" s="2" t="str">
        <f ca="1"/>
        <v>OK</v>
      </c>
    </row>
    <row r="4967" spans="2:34" x14ac:dyDescent="0.2">
      <c r="B4967" s="2">
        <f ca="1"/>
        <v>0.39361334888548916</v>
      </c>
      <c r="O4967" s="2">
        <f ca="1"/>
        <v>-0.39918379003285104</v>
      </c>
      <c r="X4967" s="2">
        <f ca="1"/>
        <v>29.551147211705047</v>
      </c>
      <c r="AG4967" s="2">
        <f ca="1"/>
        <v>0.77090314198749854</v>
      </c>
      <c r="AH4967" s="2" t="str">
        <f ca="1"/>
        <v>Bad</v>
      </c>
    </row>
    <row r="4968" spans="2:34" x14ac:dyDescent="0.2">
      <c r="B4968" s="2">
        <f ca="1"/>
        <v>0.89357181766746807</v>
      </c>
      <c r="O4968" s="2">
        <f ca="1"/>
        <v>0.44535521244564935</v>
      </c>
      <c r="X4968" s="2">
        <f ca="1"/>
        <v>56.337511519998799</v>
      </c>
      <c r="AG4968" s="2">
        <f ca="1"/>
        <v>9.041679759310095E-2</v>
      </c>
      <c r="AH4968" s="2" t="str">
        <f ca="1"/>
        <v>OK</v>
      </c>
    </row>
    <row r="4969" spans="2:34" x14ac:dyDescent="0.2">
      <c r="B4969" s="2">
        <f ca="1"/>
        <v>0.92251368964860125</v>
      </c>
      <c r="O4969" s="2">
        <f ca="1"/>
        <v>-1.3673252067475867</v>
      </c>
      <c r="X4969" s="2">
        <f ca="1"/>
        <v>54.562542372486369</v>
      </c>
      <c r="AG4969" s="2">
        <f ca="1"/>
        <v>0.49263544357407696</v>
      </c>
      <c r="AH4969" s="2" t="str">
        <f ca="1"/>
        <v>Bad</v>
      </c>
    </row>
    <row r="4970" spans="2:34" x14ac:dyDescent="0.2">
      <c r="B4970" s="2">
        <f ca="1"/>
        <v>0.89363073070535237</v>
      </c>
      <c r="O4970" s="2">
        <f ca="1"/>
        <v>0.22079848233584626</v>
      </c>
      <c r="X4970" s="2">
        <f ca="1"/>
        <v>54.845185966723342</v>
      </c>
      <c r="AG4970" s="2">
        <f ca="1"/>
        <v>0.90099834816404711</v>
      </c>
      <c r="AH4970" s="2" t="str">
        <f ca="1"/>
        <v>Bad</v>
      </c>
    </row>
    <row r="4971" spans="2:34" x14ac:dyDescent="0.2">
      <c r="B4971" s="2">
        <f ca="1"/>
        <v>0.70108819396131516</v>
      </c>
      <c r="O4971" s="2">
        <f ca="1"/>
        <v>0.74122395990621004</v>
      </c>
      <c r="X4971" s="2">
        <f ca="1"/>
        <v>26.174440093601937</v>
      </c>
      <c r="AG4971" s="2">
        <f ca="1"/>
        <v>0.40606092251898773</v>
      </c>
      <c r="AH4971" s="2" t="str">
        <f ca="1"/>
        <v>Bad</v>
      </c>
    </row>
    <row r="4972" spans="2:34" x14ac:dyDescent="0.2">
      <c r="B4972" s="2">
        <f ca="1"/>
        <v>0.34249878760388874</v>
      </c>
      <c r="O4972" s="2">
        <f ca="1"/>
        <v>1.196507481018857</v>
      </c>
      <c r="X4972" s="2">
        <f ca="1"/>
        <v>31.647873388659811</v>
      </c>
      <c r="AG4972" s="2">
        <f ca="1"/>
        <v>0.54473366873866369</v>
      </c>
      <c r="AH4972" s="2" t="str">
        <f ca="1"/>
        <v>Bad</v>
      </c>
    </row>
    <row r="4973" spans="2:34" x14ac:dyDescent="0.2">
      <c r="B4973" s="2">
        <f ca="1"/>
        <v>0.38985081717402137</v>
      </c>
      <c r="O4973" s="2">
        <f ca="1"/>
        <v>0.55091188108791411</v>
      </c>
      <c r="X4973" s="2">
        <f ca="1"/>
        <v>42.668755639972417</v>
      </c>
      <c r="AG4973" s="2">
        <f ca="1"/>
        <v>0.70266398271166941</v>
      </c>
      <c r="AH4973" s="2" t="str">
        <f ca="1"/>
        <v>Bad</v>
      </c>
    </row>
    <row r="4974" spans="2:34" x14ac:dyDescent="0.2">
      <c r="B4974" s="2">
        <f ca="1"/>
        <v>0.16812263153110352</v>
      </c>
      <c r="O4974" s="2">
        <f ca="1"/>
        <v>0.61176122578129599</v>
      </c>
      <c r="X4974" s="2">
        <f ca="1"/>
        <v>37.491786715504965</v>
      </c>
      <c r="AG4974" s="2">
        <f ca="1"/>
        <v>2.120896063787292E-2</v>
      </c>
      <c r="AH4974" s="2" t="str">
        <f ca="1"/>
        <v>Good</v>
      </c>
    </row>
    <row r="4975" spans="2:34" x14ac:dyDescent="0.2">
      <c r="B4975" s="2">
        <f ca="1"/>
        <v>7.905222694477998E-2</v>
      </c>
      <c r="O4975" s="2">
        <f ca="1"/>
        <v>-0.7324384513628881</v>
      </c>
      <c r="X4975" s="2">
        <f ca="1"/>
        <v>49.684115398802803</v>
      </c>
      <c r="AG4975" s="2">
        <f ca="1"/>
        <v>0.50119383520118022</v>
      </c>
      <c r="AH4975" s="2" t="str">
        <f ca="1"/>
        <v>Bad</v>
      </c>
    </row>
    <row r="4976" spans="2:34" x14ac:dyDescent="0.2">
      <c r="B4976" s="2">
        <f ca="1"/>
        <v>0.11137104255669161</v>
      </c>
      <c r="O4976" s="2">
        <f ca="1"/>
        <v>-1.1116521558703485</v>
      </c>
      <c r="X4976" s="2">
        <f ca="1"/>
        <v>47.192995304163134</v>
      </c>
      <c r="AG4976" s="2">
        <f ca="1"/>
        <v>0.81370147376065161</v>
      </c>
      <c r="AH4976" s="2" t="str">
        <f ca="1"/>
        <v>Bad</v>
      </c>
    </row>
    <row r="4977" spans="2:34" x14ac:dyDescent="0.2">
      <c r="B4977" s="2">
        <f ca="1"/>
        <v>0.58010309082501887</v>
      </c>
      <c r="O4977" s="2">
        <f ca="1"/>
        <v>-0.58238334468834796</v>
      </c>
      <c r="X4977" s="2">
        <f ca="1"/>
        <v>40.384187666046323</v>
      </c>
      <c r="AG4977" s="2">
        <f ca="1"/>
        <v>0.55193441876435978</v>
      </c>
      <c r="AH4977" s="2" t="str">
        <f ca="1"/>
        <v>Bad</v>
      </c>
    </row>
    <row r="4978" spans="2:34" x14ac:dyDescent="0.2">
      <c r="B4978" s="2">
        <f ca="1"/>
        <v>0.23038034062941715</v>
      </c>
      <c r="O4978" s="2">
        <f ca="1"/>
        <v>-0.10427601835480098</v>
      </c>
      <c r="X4978" s="2">
        <f ca="1"/>
        <v>34.821419329532148</v>
      </c>
      <c r="AG4978" s="2">
        <f ca="1"/>
        <v>0.2933147167337431</v>
      </c>
      <c r="AH4978" s="2" t="str">
        <f ca="1"/>
        <v>OK</v>
      </c>
    </row>
    <row r="4979" spans="2:34" x14ac:dyDescent="0.2">
      <c r="B4979" s="2">
        <f ca="1"/>
        <v>0.83583700389733084</v>
      </c>
      <c r="O4979" s="2">
        <f ca="1"/>
        <v>-1.4528534576494334</v>
      </c>
      <c r="X4979" s="2">
        <f ca="1"/>
        <v>29.108326324267892</v>
      </c>
      <c r="AG4979" s="2">
        <f ca="1"/>
        <v>3.9618556937580429E-2</v>
      </c>
      <c r="AH4979" s="2" t="str">
        <f ca="1"/>
        <v>Good</v>
      </c>
    </row>
    <row r="4980" spans="2:34" x14ac:dyDescent="0.2">
      <c r="B4980" s="2">
        <f ca="1"/>
        <v>0.1885273813543753</v>
      </c>
      <c r="O4980" s="2">
        <f ca="1"/>
        <v>0.21441573387424101</v>
      </c>
      <c r="X4980" s="2">
        <f ca="1"/>
        <v>67.872961641850736</v>
      </c>
      <c r="AG4980" s="2">
        <f ca="1"/>
        <v>0.52742644944825634</v>
      </c>
      <c r="AH4980" s="2" t="str">
        <f ca="1"/>
        <v>Bad</v>
      </c>
    </row>
    <row r="4981" spans="2:34" x14ac:dyDescent="0.2">
      <c r="B4981" s="2">
        <f ca="1"/>
        <v>0.9182716580596646</v>
      </c>
      <c r="O4981" s="2">
        <f ca="1"/>
        <v>-0.11256948991859389</v>
      </c>
      <c r="X4981" s="2">
        <f ca="1"/>
        <v>60.258204004004583</v>
      </c>
      <c r="AG4981" s="2">
        <f ca="1"/>
        <v>0.44314577829848534</v>
      </c>
      <c r="AH4981" s="2" t="str">
        <f ca="1"/>
        <v>Bad</v>
      </c>
    </row>
    <row r="4982" spans="2:34" x14ac:dyDescent="0.2">
      <c r="B4982" s="2">
        <f ca="1"/>
        <v>1.8824685477482284E-2</v>
      </c>
      <c r="O4982" s="2">
        <f ca="1"/>
        <v>1.4466916858959618</v>
      </c>
      <c r="X4982" s="2">
        <f ca="1"/>
        <v>51.342616228984291</v>
      </c>
      <c r="AG4982" s="2">
        <f ca="1"/>
        <v>0.18693936090906282</v>
      </c>
      <c r="AH4982" s="2" t="str">
        <f ca="1"/>
        <v>OK</v>
      </c>
    </row>
    <row r="4983" spans="2:34" x14ac:dyDescent="0.2">
      <c r="B4983" s="2">
        <f ca="1"/>
        <v>0.45269844006089444</v>
      </c>
      <c r="O4983" s="2">
        <f ca="1"/>
        <v>-2.8843569930964846E-2</v>
      </c>
      <c r="X4983" s="2">
        <f ca="1"/>
        <v>15.636823893650902</v>
      </c>
      <c r="AG4983" s="2">
        <f ca="1"/>
        <v>0.60365908758959752</v>
      </c>
      <c r="AH4983" s="2" t="str">
        <f ca="1"/>
        <v>Bad</v>
      </c>
    </row>
    <row r="4984" spans="2:34" x14ac:dyDescent="0.2">
      <c r="B4984" s="2">
        <f ca="1"/>
        <v>9.1788794859887668E-2</v>
      </c>
      <c r="O4984" s="2">
        <f ca="1"/>
        <v>2.5537554477003206</v>
      </c>
      <c r="X4984" s="2">
        <f ca="1"/>
        <v>33.59090269995508</v>
      </c>
      <c r="AG4984" s="2">
        <f ca="1"/>
        <v>0.71776082475654457</v>
      </c>
      <c r="AH4984" s="2" t="str">
        <f ca="1"/>
        <v>Bad</v>
      </c>
    </row>
    <row r="4985" spans="2:34" x14ac:dyDescent="0.2">
      <c r="B4985" s="2">
        <f ca="1"/>
        <v>0.76838574810503957</v>
      </c>
      <c r="O4985" s="2">
        <f ca="1"/>
        <v>-0.62404271288601698</v>
      </c>
      <c r="X4985" s="2">
        <f ca="1"/>
        <v>34.948138837528816</v>
      </c>
      <c r="AG4985" s="2">
        <f ca="1"/>
        <v>0.16353066899550628</v>
      </c>
      <c r="AH4985" s="2" t="str">
        <f ca="1"/>
        <v>OK</v>
      </c>
    </row>
    <row r="4986" spans="2:34" x14ac:dyDescent="0.2">
      <c r="B4986" s="2">
        <f ca="1"/>
        <v>0.11531376588832809</v>
      </c>
      <c r="O4986" s="2">
        <f ca="1"/>
        <v>-0.2208638123130324</v>
      </c>
      <c r="X4986" s="2">
        <f ca="1"/>
        <v>34.830987097871933</v>
      </c>
      <c r="AG4986" s="2">
        <f ca="1"/>
        <v>0.51446623021736926</v>
      </c>
      <c r="AH4986" s="2" t="str">
        <f ca="1"/>
        <v>Bad</v>
      </c>
    </row>
    <row r="4987" spans="2:34" x14ac:dyDescent="0.2">
      <c r="B4987" s="2">
        <f ca="1"/>
        <v>0.94399732277418469</v>
      </c>
      <c r="O4987" s="2">
        <f ca="1"/>
        <v>-0.2183057541340406</v>
      </c>
      <c r="X4987" s="2">
        <f ca="1"/>
        <v>40.825322044311001</v>
      </c>
      <c r="AG4987" s="2">
        <f ca="1"/>
        <v>1.9489394142812255E-2</v>
      </c>
      <c r="AH4987" s="2" t="str">
        <f ca="1"/>
        <v>Good</v>
      </c>
    </row>
    <row r="4988" spans="2:34" x14ac:dyDescent="0.2">
      <c r="B4988" s="2">
        <f ca="1"/>
        <v>0.63827345248768608</v>
      </c>
      <c r="O4988" s="2">
        <f ca="1"/>
        <v>-0.6074290925799829</v>
      </c>
      <c r="X4988" s="2">
        <f ca="1"/>
        <v>26.845363818697841</v>
      </c>
      <c r="AG4988" s="2">
        <f ca="1"/>
        <v>0.83537691281587145</v>
      </c>
      <c r="AH4988" s="2" t="str">
        <f ca="1"/>
        <v>Bad</v>
      </c>
    </row>
    <row r="4989" spans="2:34" x14ac:dyDescent="0.2">
      <c r="B4989" s="2">
        <f ca="1"/>
        <v>0.93752509766880365</v>
      </c>
      <c r="O4989" s="2">
        <f ca="1"/>
        <v>0.66643154236061797</v>
      </c>
      <c r="X4989" s="2">
        <f ca="1"/>
        <v>38.476404810390996</v>
      </c>
      <c r="AG4989" s="2">
        <f ca="1"/>
        <v>0.92695416111387341</v>
      </c>
      <c r="AH4989" s="2" t="str">
        <f ca="1"/>
        <v>Bad</v>
      </c>
    </row>
    <row r="4990" spans="2:34" x14ac:dyDescent="0.2">
      <c r="B4990" s="2">
        <f ca="1"/>
        <v>0.64648683844194021</v>
      </c>
      <c r="O4990" s="2">
        <f ca="1"/>
        <v>0.78941825576278557</v>
      </c>
      <c r="X4990" s="2">
        <f ca="1"/>
        <v>38.091918079790197</v>
      </c>
      <c r="AG4990" s="2">
        <f ca="1"/>
        <v>0.2598184483467838</v>
      </c>
      <c r="AH4990" s="2" t="str">
        <f ca="1"/>
        <v>OK</v>
      </c>
    </row>
    <row r="4991" spans="2:34" x14ac:dyDescent="0.2">
      <c r="B4991" s="2">
        <f ca="1"/>
        <v>0.25790303515380142</v>
      </c>
      <c r="O4991" s="2">
        <f ca="1"/>
        <v>0.72205313067866117</v>
      </c>
      <c r="X4991" s="2">
        <f ca="1"/>
        <v>77.272612581638796</v>
      </c>
      <c r="AG4991" s="2">
        <f ca="1"/>
        <v>7.2274517887490619E-2</v>
      </c>
      <c r="AH4991" s="2" t="str">
        <f ca="1"/>
        <v>OK</v>
      </c>
    </row>
    <row r="4992" spans="2:34" x14ac:dyDescent="0.2">
      <c r="B4992" s="2">
        <f ca="1"/>
        <v>0.84600770340916309</v>
      </c>
      <c r="O4992" s="2">
        <f ca="1"/>
        <v>5.6006819517787536E-3</v>
      </c>
      <c r="X4992" s="2">
        <f ca="1"/>
        <v>43.226497565393757</v>
      </c>
      <c r="AG4992" s="2">
        <f ca="1"/>
        <v>0.34521298020372115</v>
      </c>
      <c r="AH4992" s="2" t="str">
        <f ca="1"/>
        <v>OK</v>
      </c>
    </row>
    <row r="4993" spans="2:34" x14ac:dyDescent="0.2">
      <c r="B4993" s="2">
        <f ca="1"/>
        <v>0.85898340554995656</v>
      </c>
      <c r="O4993" s="2">
        <f ca="1"/>
        <v>-0.92760482241265485</v>
      </c>
      <c r="X4993" s="2">
        <f ca="1"/>
        <v>26.570726140073408</v>
      </c>
      <c r="AG4993" s="2">
        <f ca="1"/>
        <v>0.49016117625445155</v>
      </c>
      <c r="AH4993" s="2" t="str">
        <f ca="1"/>
        <v>Bad</v>
      </c>
    </row>
    <row r="4994" spans="2:34" x14ac:dyDescent="0.2">
      <c r="B4994" s="2">
        <f ca="1"/>
        <v>0.79078153700397991</v>
      </c>
      <c r="O4994" s="2">
        <f ca="1"/>
        <v>0.46490788450872578</v>
      </c>
      <c r="X4994" s="2">
        <f ca="1"/>
        <v>35.926691214139176</v>
      </c>
      <c r="AG4994" s="2">
        <f ca="1"/>
        <v>0.55947842711017959</v>
      </c>
      <c r="AH4994" s="2" t="str">
        <f ca="1"/>
        <v>Bad</v>
      </c>
    </row>
    <row r="4995" spans="2:34" x14ac:dyDescent="0.2">
      <c r="B4995" s="2">
        <f ca="1"/>
        <v>0.70030886975152562</v>
      </c>
      <c r="O4995" s="2">
        <f ca="1"/>
        <v>4.6682952103736367E-2</v>
      </c>
      <c r="X4995" s="2">
        <f ca="1"/>
        <v>47.198692171933587</v>
      </c>
      <c r="AG4995" s="2">
        <f ca="1"/>
        <v>0.98561066442696288</v>
      </c>
      <c r="AH4995" s="2" t="str">
        <f ca="1"/>
        <v>Bad</v>
      </c>
    </row>
    <row r="4996" spans="2:34" x14ac:dyDescent="0.2">
      <c r="B4996" s="2">
        <f ca="1"/>
        <v>0.73280210317909145</v>
      </c>
      <c r="O4996" s="2">
        <f ca="1"/>
        <v>-0.97409808691279454</v>
      </c>
      <c r="X4996" s="2">
        <f ca="1"/>
        <v>41.821771710068887</v>
      </c>
      <c r="AG4996" s="2">
        <f ca="1"/>
        <v>2.2544453702947109E-2</v>
      </c>
      <c r="AH4996" s="2" t="str">
        <f ca="1"/>
        <v>Good</v>
      </c>
    </row>
    <row r="4997" spans="2:34" x14ac:dyDescent="0.2">
      <c r="B4997" s="2">
        <f ca="1"/>
        <v>0.16403846832231395</v>
      </c>
      <c r="O4997" s="2">
        <f ca="1"/>
        <v>-0.13133489143072677</v>
      </c>
      <c r="X4997" s="2">
        <f ca="1"/>
        <v>52.198627714073538</v>
      </c>
      <c r="AG4997" s="2">
        <f ca="1"/>
        <v>8.6105210873388405E-2</v>
      </c>
      <c r="AH4997" s="2" t="str">
        <f ca="1"/>
        <v>OK</v>
      </c>
    </row>
    <row r="4998" spans="2:34" x14ac:dyDescent="0.2">
      <c r="B4998" s="2">
        <f ca="1"/>
        <v>0.59354871928088748</v>
      </c>
      <c r="O4998" s="2">
        <f ca="1"/>
        <v>0.60362863574797099</v>
      </c>
      <c r="X4998" s="2">
        <f ca="1"/>
        <v>27.608005111716317</v>
      </c>
      <c r="AG4998" s="2">
        <f ca="1"/>
        <v>0.1072163801791286</v>
      </c>
      <c r="AH4998" s="2" t="str">
        <f ca="1"/>
        <v>OK</v>
      </c>
    </row>
    <row r="4999" spans="2:34" x14ac:dyDescent="0.2">
      <c r="B4999" s="2">
        <f ca="1"/>
        <v>5.6241310407248335E-2</v>
      </c>
      <c r="O4999" s="2">
        <f ca="1"/>
        <v>-2.080108483686173</v>
      </c>
      <c r="X4999" s="2">
        <f ca="1"/>
        <v>65.891509919935814</v>
      </c>
      <c r="AG4999" s="2">
        <f ca="1"/>
        <v>0.35641825451556852</v>
      </c>
      <c r="AH4999" s="2" t="str">
        <f ca="1"/>
        <v>OK</v>
      </c>
    </row>
    <row r="5000" spans="2:34" x14ac:dyDescent="0.2">
      <c r="B5000" s="2">
        <f ca="1"/>
        <v>0.54423649320518108</v>
      </c>
      <c r="O5000" s="2">
        <f ca="1"/>
        <v>-0.17853128738642007</v>
      </c>
      <c r="X5000" s="2">
        <f ca="1"/>
        <v>45.572743413981044</v>
      </c>
      <c r="AG5000" s="2">
        <f ca="1"/>
        <v>0.88774856308503192</v>
      </c>
      <c r="AH5000" s="2" t="str">
        <f ca="1"/>
        <v>Bad</v>
      </c>
    </row>
    <row r="5001" spans="2:34" x14ac:dyDescent="0.2">
      <c r="B5001" s="2">
        <f ca="1"/>
        <v>0.51505612717656479</v>
      </c>
      <c r="O5001" s="2">
        <f ca="1"/>
        <v>6.3966112255885485E-2</v>
      </c>
      <c r="X5001" s="2">
        <f ca="1"/>
        <v>31.156773108900992</v>
      </c>
      <c r="AG5001" s="2">
        <f ca="1"/>
        <v>0.45467524992035746</v>
      </c>
      <c r="AH5001" s="2" t="str">
        <f ca="1"/>
        <v>Bad</v>
      </c>
    </row>
    <row r="5002" spans="2:34" x14ac:dyDescent="0.2">
      <c r="B5002" s="2">
        <f ca="1"/>
        <v>0.14585226467849632</v>
      </c>
      <c r="O5002" s="2">
        <f ca="1"/>
        <v>-0.25910841716508226</v>
      </c>
      <c r="X5002" s="2">
        <f ca="1"/>
        <v>86.419671866471845</v>
      </c>
      <c r="AG5002" s="2">
        <f ca="1"/>
        <v>0.78355223660128281</v>
      </c>
      <c r="AH5002" s="2" t="str">
        <f ca="1"/>
        <v>Bad</v>
      </c>
    </row>
    <row r="5003" spans="2:34" x14ac:dyDescent="0.2">
      <c r="B5003" s="2">
        <f ca="1"/>
        <v>0.87872486911726888</v>
      </c>
      <c r="O5003" s="2">
        <f ca="1"/>
        <v>1.1217613365351844</v>
      </c>
      <c r="X5003" s="2">
        <f ca="1"/>
        <v>32.947000259932899</v>
      </c>
      <c r="AG5003" s="2">
        <f ca="1"/>
        <v>0.54607414310823832</v>
      </c>
      <c r="AH5003" s="2" t="str">
        <f ca="1"/>
        <v>Bad</v>
      </c>
    </row>
    <row r="5004" spans="2:34" x14ac:dyDescent="0.2">
      <c r="B5004" s="2">
        <f ca="1"/>
        <v>0.32550054075805068</v>
      </c>
      <c r="O5004" s="2">
        <f ca="1"/>
        <v>0.73976149310116068</v>
      </c>
      <c r="X5004" s="2">
        <f ca="1"/>
        <v>66.411275441885039</v>
      </c>
      <c r="AG5004" s="2">
        <f ca="1"/>
        <v>0.78615260987947599</v>
      </c>
      <c r="AH5004" s="2" t="str">
        <f ca="1"/>
        <v>Bad</v>
      </c>
    </row>
    <row r="5005" spans="2:34" x14ac:dyDescent="0.2">
      <c r="B5005" s="2">
        <f ca="1"/>
        <v>0.3230615586020531</v>
      </c>
      <c r="O5005" s="2">
        <f ca="1"/>
        <v>-0.3302648687792093</v>
      </c>
      <c r="X5005" s="2">
        <f ca="1"/>
        <v>59.323826012165526</v>
      </c>
      <c r="AG5005" s="2">
        <f ca="1"/>
        <v>0.26256064965952763</v>
      </c>
      <c r="AH5005" s="2" t="str">
        <f ca="1"/>
        <v>OK</v>
      </c>
    </row>
    <row r="5006" spans="2:34" x14ac:dyDescent="0.2">
      <c r="B5006" s="2">
        <f ca="1"/>
        <v>0.35293899387056094</v>
      </c>
      <c r="O5006" s="2">
        <f ca="1"/>
        <v>2.5728341074520014</v>
      </c>
      <c r="X5006" s="2">
        <f ca="1"/>
        <v>60.837369911116625</v>
      </c>
      <c r="AG5006" s="2">
        <f ca="1"/>
        <v>0.36340192124313075</v>
      </c>
      <c r="AH5006" s="2" t="str">
        <f ca="1"/>
        <v>OK</v>
      </c>
    </row>
    <row r="5007" spans="2:34" x14ac:dyDescent="0.2">
      <c r="B5007" s="2">
        <f ca="1"/>
        <v>0.47108841038326776</v>
      </c>
      <c r="O5007" s="2">
        <f ca="1"/>
        <v>-4.9383645383016872E-2</v>
      </c>
      <c r="X5007" s="2">
        <f ca="1"/>
        <v>48.8798600160343</v>
      </c>
      <c r="AG5007" s="2">
        <f ca="1"/>
        <v>0.89666287031642433</v>
      </c>
      <c r="AH5007" s="2" t="str">
        <f ca="1"/>
        <v>Bad</v>
      </c>
    </row>
    <row r="5008" spans="2:34" x14ac:dyDescent="0.2">
      <c r="B5008" s="2">
        <f ca="1"/>
        <v>0.45093161777346658</v>
      </c>
      <c r="O5008" s="2">
        <f ca="1"/>
        <v>0.44540719362230718</v>
      </c>
      <c r="X5008" s="2">
        <f ca="1"/>
        <v>50.734873962748352</v>
      </c>
      <c r="AG5008" s="2">
        <f ca="1"/>
        <v>0.65123648787479094</v>
      </c>
      <c r="AH5008" s="2" t="str">
        <f ca="1"/>
        <v>Bad</v>
      </c>
    </row>
    <row r="5009" spans="2:34" x14ac:dyDescent="0.2">
      <c r="B5009" s="2">
        <f ca="1"/>
        <v>0.6945892455326943</v>
      </c>
      <c r="O5009" s="2">
        <f ca="1"/>
        <v>0.83822162843361436</v>
      </c>
      <c r="X5009" s="2">
        <f ca="1"/>
        <v>49.391317551629072</v>
      </c>
      <c r="AG5009" s="2">
        <f ca="1"/>
        <v>3.8346875673302083E-2</v>
      </c>
      <c r="AH5009" s="2" t="str">
        <f ca="1"/>
        <v>Good</v>
      </c>
    </row>
    <row r="5010" spans="2:34" x14ac:dyDescent="0.2">
      <c r="B5010" s="2">
        <f ca="1"/>
        <v>6.0741321273563242E-2</v>
      </c>
      <c r="O5010" s="2">
        <f ca="1"/>
        <v>-9.6964556638281046E-2</v>
      </c>
      <c r="X5010" s="2">
        <f ca="1"/>
        <v>51.370938717033397</v>
      </c>
      <c r="AG5010" s="2">
        <f ca="1"/>
        <v>0.22043275200075385</v>
      </c>
      <c r="AH5010" s="2" t="str">
        <f ca="1"/>
        <v>OK</v>
      </c>
    </row>
    <row r="5011" spans="2:34" x14ac:dyDescent="0.2">
      <c r="B5011" s="2">
        <f ca="1"/>
        <v>0.97956141626338167</v>
      </c>
      <c r="O5011" s="2">
        <f ca="1"/>
        <v>-0.52223927176189322</v>
      </c>
      <c r="X5011" s="2">
        <f ca="1"/>
        <v>44.4966558121628</v>
      </c>
      <c r="AG5011" s="2">
        <f ca="1"/>
        <v>0.72146420024260416</v>
      </c>
      <c r="AH5011" s="2" t="str">
        <f ca="1"/>
        <v>Bad</v>
      </c>
    </row>
    <row r="5012" spans="2:34" x14ac:dyDescent="0.2">
      <c r="B5012" s="2">
        <f ca="1"/>
        <v>9.445937366394741E-2</v>
      </c>
      <c r="O5012" s="2">
        <f ca="1"/>
        <v>-0.8798659735647365</v>
      </c>
      <c r="X5012" s="2">
        <f ca="1"/>
        <v>54.673435929754035</v>
      </c>
      <c r="AG5012" s="2">
        <f ca="1"/>
        <v>0.91681016571256291</v>
      </c>
      <c r="AH5012" s="2" t="str">
        <f ca="1"/>
        <v>Bad</v>
      </c>
    </row>
    <row r="5013" spans="2:34" x14ac:dyDescent="0.2">
      <c r="B5013" s="2">
        <f ca="1"/>
        <v>0.85393958212091148</v>
      </c>
      <c r="O5013" s="2">
        <f ca="1"/>
        <v>-0.10116183089915089</v>
      </c>
      <c r="X5013" s="2">
        <f ca="1"/>
        <v>72.019556289013337</v>
      </c>
      <c r="AG5013" s="2">
        <f ca="1"/>
        <v>0.10625329439632036</v>
      </c>
      <c r="AH5013" s="2" t="str">
        <f ca="1"/>
        <v>OK</v>
      </c>
    </row>
    <row r="5014" spans="2:34" x14ac:dyDescent="0.2">
      <c r="B5014" s="2">
        <f ca="1"/>
        <v>0.14947285651203024</v>
      </c>
      <c r="O5014" s="2">
        <f ca="1"/>
        <v>0.33711063635326705</v>
      </c>
      <c r="X5014" s="2">
        <f ca="1"/>
        <v>29.11554978972115</v>
      </c>
      <c r="AG5014" s="2">
        <f ca="1"/>
        <v>0.16358845735196481</v>
      </c>
      <c r="AH5014" s="2" t="str">
        <f ca="1"/>
        <v>OK</v>
      </c>
    </row>
    <row r="5015" spans="2:34" x14ac:dyDescent="0.2">
      <c r="B5015" s="2">
        <f ca="1"/>
        <v>0.91835924727325779</v>
      </c>
      <c r="O5015" s="2">
        <f ca="1"/>
        <v>-1.0171839926789252</v>
      </c>
      <c r="X5015" s="2">
        <f ca="1"/>
        <v>72.817820453410107</v>
      </c>
      <c r="AG5015" s="2">
        <f ca="1"/>
        <v>0.4544940000698785</v>
      </c>
      <c r="AH5015" s="2" t="str">
        <f ca="1"/>
        <v>Bad</v>
      </c>
    </row>
    <row r="5016" spans="2:34" x14ac:dyDescent="0.2">
      <c r="B5016" s="2">
        <f ca="1"/>
        <v>0.92639805756904225</v>
      </c>
      <c r="O5016" s="2">
        <f ca="1"/>
        <v>-0.26529999575992647</v>
      </c>
      <c r="X5016" s="2">
        <f ca="1"/>
        <v>28.360120055127858</v>
      </c>
      <c r="AG5016" s="2">
        <f ca="1"/>
        <v>0.90109345469412672</v>
      </c>
      <c r="AH5016" s="2" t="str">
        <f ca="1"/>
        <v>Bad</v>
      </c>
    </row>
    <row r="5017" spans="2:34" x14ac:dyDescent="0.2">
      <c r="B5017" s="2">
        <f ca="1"/>
        <v>0.12256584746192267</v>
      </c>
      <c r="O5017" s="2">
        <f ca="1"/>
        <v>1.4930834125869101</v>
      </c>
      <c r="X5017" s="2">
        <f ca="1"/>
        <v>34.560848575869024</v>
      </c>
      <c r="AG5017" s="2">
        <f ca="1"/>
        <v>0.6946703953599318</v>
      </c>
      <c r="AH5017" s="2" t="str">
        <f ca="1"/>
        <v>Bad</v>
      </c>
    </row>
    <row r="5018" spans="2:34" x14ac:dyDescent="0.2">
      <c r="B5018" s="2">
        <f ca="1"/>
        <v>0.66100346151318035</v>
      </c>
      <c r="O5018" s="2">
        <f ca="1"/>
        <v>-0.75281218471744282</v>
      </c>
      <c r="X5018" s="2">
        <f ca="1"/>
        <v>20.916315433865186</v>
      </c>
      <c r="AG5018" s="2">
        <f ca="1"/>
        <v>6.1946649112545549E-2</v>
      </c>
      <c r="AH5018" s="2" t="str">
        <f ca="1"/>
        <v>OK</v>
      </c>
    </row>
    <row r="5019" spans="2:34" x14ac:dyDescent="0.2">
      <c r="B5019" s="2">
        <f ca="1"/>
        <v>0.31742263960577977</v>
      </c>
      <c r="O5019" s="2">
        <f ca="1"/>
        <v>-1.0678955455634396</v>
      </c>
      <c r="X5019" s="2">
        <f ca="1"/>
        <v>17.242864624586524</v>
      </c>
      <c r="AG5019" s="2">
        <f ca="1"/>
        <v>0.24444849632426391</v>
      </c>
      <c r="AH5019" s="2" t="str">
        <f ca="1"/>
        <v>OK</v>
      </c>
    </row>
    <row r="5020" spans="2:34" x14ac:dyDescent="0.2">
      <c r="B5020" s="2">
        <f ca="1"/>
        <v>0.54397212972521314</v>
      </c>
      <c r="O5020" s="2">
        <f ca="1"/>
        <v>1.4120276278088679</v>
      </c>
      <c r="X5020" s="2">
        <f ca="1"/>
        <v>43.611201511820212</v>
      </c>
      <c r="AG5020" s="2">
        <f ca="1"/>
        <v>0.87927196184001111</v>
      </c>
      <c r="AH5020" s="2" t="str">
        <f ca="1"/>
        <v>Bad</v>
      </c>
    </row>
    <row r="5021" spans="2:34" x14ac:dyDescent="0.2">
      <c r="B5021" s="2">
        <f ca="1"/>
        <v>0.32327064604463174</v>
      </c>
      <c r="O5021" s="2">
        <f ca="1"/>
        <v>-1.1563251829306997</v>
      </c>
      <c r="X5021" s="2">
        <f ca="1"/>
        <v>51.149625743120957</v>
      </c>
      <c r="AG5021" s="2">
        <f ca="1"/>
        <v>0.46112018149875245</v>
      </c>
      <c r="AH5021" s="2" t="str">
        <f ca="1"/>
        <v>Bad</v>
      </c>
    </row>
    <row r="5022" spans="2:34" x14ac:dyDescent="0.2">
      <c r="B5022" s="2">
        <f ca="1"/>
        <v>0.31099696975313007</v>
      </c>
      <c r="O5022" s="2">
        <f ca="1"/>
        <v>0.96037282697086745</v>
      </c>
      <c r="X5022" s="2">
        <f ca="1"/>
        <v>59.812006982357005</v>
      </c>
      <c r="AG5022" s="2">
        <f ca="1"/>
        <v>0.59348949973825738</v>
      </c>
      <c r="AH5022" s="2" t="str">
        <f ca="1"/>
        <v>Bad</v>
      </c>
    </row>
    <row r="5023" spans="2:34" x14ac:dyDescent="0.2">
      <c r="B5023" s="2">
        <f ca="1"/>
        <v>0.30906271950985253</v>
      </c>
      <c r="O5023" s="2">
        <f ca="1"/>
        <v>-0.21320667281597303</v>
      </c>
      <c r="X5023" s="2">
        <f ca="1"/>
        <v>43.017580488437076</v>
      </c>
      <c r="AG5023" s="2">
        <f ca="1"/>
        <v>2.5826196288842196E-2</v>
      </c>
      <c r="AH5023" s="2" t="str">
        <f ca="1"/>
        <v>Good</v>
      </c>
    </row>
    <row r="5024" spans="2:34" x14ac:dyDescent="0.2">
      <c r="B5024" s="2">
        <f ca="1"/>
        <v>0.8524902355111339</v>
      </c>
      <c r="O5024" s="2">
        <f ca="1"/>
        <v>1.2195084050435305</v>
      </c>
      <c r="X5024" s="2">
        <f ca="1"/>
        <v>42.655448872686854</v>
      </c>
      <c r="AG5024" s="2">
        <f ca="1"/>
        <v>0.65553020470132295</v>
      </c>
      <c r="AH5024" s="2" t="str">
        <f ca="1"/>
        <v>Bad</v>
      </c>
    </row>
    <row r="5025" spans="2:34" x14ac:dyDescent="0.2">
      <c r="B5025" s="2">
        <f ca="1"/>
        <v>0.62917536346610059</v>
      </c>
      <c r="O5025" s="2">
        <f ca="1"/>
        <v>-1.260172484246999</v>
      </c>
      <c r="X5025" s="2">
        <f ca="1"/>
        <v>41.002389204172268</v>
      </c>
      <c r="AG5025" s="2">
        <f ca="1"/>
        <v>0.3467075755431086</v>
      </c>
      <c r="AH5025" s="2" t="str">
        <f ca="1"/>
        <v>OK</v>
      </c>
    </row>
    <row r="5026" spans="2:34" x14ac:dyDescent="0.2">
      <c r="B5026" s="2">
        <f ca="1"/>
        <v>0.85211270230082681</v>
      </c>
      <c r="O5026" s="2">
        <f ca="1"/>
        <v>0.23909927164161632</v>
      </c>
      <c r="X5026" s="2">
        <f ca="1"/>
        <v>50.792747342356876</v>
      </c>
      <c r="AG5026" s="2">
        <f ca="1"/>
        <v>1.2579463069591679E-2</v>
      </c>
      <c r="AH5026" s="2" t="str">
        <f ca="1"/>
        <v>Good</v>
      </c>
    </row>
    <row r="5027" spans="2:34" x14ac:dyDescent="0.2">
      <c r="B5027" s="2">
        <f ca="1"/>
        <v>0.72618216703736449</v>
      </c>
      <c r="O5027" s="2">
        <f ca="1"/>
        <v>-1.5336811005605107</v>
      </c>
      <c r="X5027" s="2">
        <f ca="1"/>
        <v>38.107936694910009</v>
      </c>
      <c r="AG5027" s="2">
        <f ca="1"/>
        <v>0.17788879742627617</v>
      </c>
      <c r="AH5027" s="2" t="str">
        <f ca="1"/>
        <v>OK</v>
      </c>
    </row>
    <row r="5028" spans="2:34" x14ac:dyDescent="0.2">
      <c r="B5028" s="2">
        <f ca="1"/>
        <v>0.43289023179655151</v>
      </c>
      <c r="O5028" s="2">
        <f ca="1"/>
        <v>-0.32634094363904381</v>
      </c>
      <c r="X5028" s="2">
        <f ca="1"/>
        <v>81.314787753335992</v>
      </c>
      <c r="AG5028" s="2">
        <f ca="1"/>
        <v>0.6394811161143068</v>
      </c>
      <c r="AH5028" s="2" t="str">
        <f ca="1"/>
        <v>Bad</v>
      </c>
    </row>
    <row r="5029" spans="2:34" x14ac:dyDescent="0.2">
      <c r="B5029" s="2">
        <f ca="1"/>
        <v>9.2318854810033324E-2</v>
      </c>
      <c r="O5029" s="2">
        <f ca="1"/>
        <v>1.090606832927381</v>
      </c>
      <c r="X5029" s="2">
        <f ca="1"/>
        <v>36.76464832836232</v>
      </c>
      <c r="AG5029" s="2">
        <f ca="1"/>
        <v>0.20942609150539093</v>
      </c>
      <c r="AH5029" s="2" t="str">
        <f ca="1"/>
        <v>OK</v>
      </c>
    </row>
    <row r="5030" spans="2:34" x14ac:dyDescent="0.2">
      <c r="B5030" s="2">
        <f ca="1"/>
        <v>0.96407380018240785</v>
      </c>
      <c r="O5030" s="2">
        <f ca="1"/>
        <v>-0.97993219921410368</v>
      </c>
      <c r="X5030" s="2">
        <f ca="1"/>
        <v>73.607041015216538</v>
      </c>
      <c r="AG5030" s="2">
        <f ca="1"/>
        <v>0.53482079894336176</v>
      </c>
      <c r="AH5030" s="2" t="str">
        <f ca="1"/>
        <v>Bad</v>
      </c>
    </row>
    <row r="5031" spans="2:34" x14ac:dyDescent="0.2">
      <c r="B5031" s="2">
        <f ca="1"/>
        <v>0.65960266774080178</v>
      </c>
      <c r="O5031" s="2">
        <f ca="1"/>
        <v>-0.71605791651193962</v>
      </c>
      <c r="X5031" s="2">
        <f ca="1"/>
        <v>47.133999425475835</v>
      </c>
      <c r="AG5031" s="2">
        <f ca="1"/>
        <v>0.7313668738001009</v>
      </c>
      <c r="AH5031" s="2" t="str">
        <f ca="1"/>
        <v>Bad</v>
      </c>
    </row>
    <row r="5032" spans="2:34" x14ac:dyDescent="0.2">
      <c r="B5032" s="2">
        <f ca="1"/>
        <v>0.97504591461442303</v>
      </c>
      <c r="O5032" s="2">
        <f ca="1"/>
        <v>-0.19775255111035678</v>
      </c>
      <c r="X5032" s="2">
        <f ca="1"/>
        <v>59.708422504994857</v>
      </c>
      <c r="AG5032" s="2">
        <f ca="1"/>
        <v>0.2622626247213804</v>
      </c>
      <c r="AH5032" s="2" t="str">
        <f ca="1"/>
        <v>OK</v>
      </c>
    </row>
    <row r="5033" spans="2:34" x14ac:dyDescent="0.2">
      <c r="B5033" s="2">
        <f ca="1"/>
        <v>0.10658862237152178</v>
      </c>
      <c r="O5033" s="2">
        <f ca="1"/>
        <v>-1.1094321398385179</v>
      </c>
      <c r="X5033" s="2">
        <f ca="1"/>
        <v>19.401161922079869</v>
      </c>
      <c r="AG5033" s="2">
        <f ca="1"/>
        <v>0.67881076887042946</v>
      </c>
      <c r="AH5033" s="2" t="str">
        <f ca="1"/>
        <v>Bad</v>
      </c>
    </row>
    <row r="5034" spans="2:34" x14ac:dyDescent="0.2">
      <c r="B5034" s="2">
        <f ca="1"/>
        <v>0.51093834900676804</v>
      </c>
      <c r="O5034" s="2">
        <f ca="1"/>
        <v>-7.9373525395783524E-3</v>
      </c>
      <c r="X5034" s="2">
        <f ca="1"/>
        <v>52.953645612120951</v>
      </c>
      <c r="AG5034" s="2">
        <f ca="1"/>
        <v>0.52425599076606777</v>
      </c>
      <c r="AH5034" s="2" t="str">
        <f ca="1"/>
        <v>Bad</v>
      </c>
    </row>
    <row r="5035" spans="2:34" x14ac:dyDescent="0.2">
      <c r="B5035" s="2">
        <f ca="1"/>
        <v>0.97370073207202257</v>
      </c>
      <c r="O5035" s="2">
        <f ca="1"/>
        <v>1.8973105978513856</v>
      </c>
      <c r="X5035" s="2">
        <f ca="1"/>
        <v>42.096535742165734</v>
      </c>
      <c r="AG5035" s="2">
        <f ca="1"/>
        <v>6.1581032002983482E-2</v>
      </c>
      <c r="AH5035" s="2" t="str">
        <f ca="1"/>
        <v>OK</v>
      </c>
    </row>
    <row r="5036" spans="2:34" x14ac:dyDescent="0.2">
      <c r="B5036" s="2">
        <f ca="1"/>
        <v>0.94459357159086554</v>
      </c>
      <c r="O5036" s="2">
        <f ca="1"/>
        <v>1.4517575155157039</v>
      </c>
      <c r="X5036" s="2">
        <f ca="1"/>
        <v>34.022952692371824</v>
      </c>
      <c r="AG5036" s="2">
        <f ca="1"/>
        <v>0.10039338480831272</v>
      </c>
      <c r="AH5036" s="2" t="str">
        <f ca="1"/>
        <v>OK</v>
      </c>
    </row>
    <row r="5037" spans="2:34" x14ac:dyDescent="0.2">
      <c r="B5037" s="2">
        <f ca="1"/>
        <v>0.98345319079272886</v>
      </c>
      <c r="O5037" s="2">
        <f ca="1"/>
        <v>0.54876237989063359</v>
      </c>
      <c r="X5037" s="2">
        <f ca="1"/>
        <v>33.826737793722877</v>
      </c>
      <c r="AG5037" s="2">
        <f ca="1"/>
        <v>0.73610150147808673</v>
      </c>
      <c r="AH5037" s="2" t="str">
        <f ca="1"/>
        <v>Bad</v>
      </c>
    </row>
    <row r="5038" spans="2:34" x14ac:dyDescent="0.2">
      <c r="B5038" s="2">
        <f ca="1"/>
        <v>0.2153102823285804</v>
      </c>
      <c r="O5038" s="2">
        <f ca="1"/>
        <v>0.64363754732149825</v>
      </c>
      <c r="X5038" s="2">
        <f ca="1"/>
        <v>38.483653603672884</v>
      </c>
      <c r="AG5038" s="2">
        <f ca="1"/>
        <v>0.18674273486950166</v>
      </c>
      <c r="AH5038" s="2" t="str">
        <f ca="1"/>
        <v>OK</v>
      </c>
    </row>
    <row r="5039" spans="2:34" x14ac:dyDescent="0.2">
      <c r="B5039" s="2">
        <f ca="1"/>
        <v>0.64499872885679821</v>
      </c>
      <c r="O5039" s="2">
        <f ca="1"/>
        <v>-0.15867648178731478</v>
      </c>
      <c r="X5039" s="2">
        <f ca="1"/>
        <v>33.215888145735917</v>
      </c>
      <c r="AG5039" s="2">
        <f ca="1"/>
        <v>0.53911602813010506</v>
      </c>
      <c r="AH5039" s="2" t="str">
        <f ca="1"/>
        <v>Bad</v>
      </c>
    </row>
    <row r="5040" spans="2:34" x14ac:dyDescent="0.2">
      <c r="B5040" s="2">
        <f ca="1"/>
        <v>0.55992122662612265</v>
      </c>
      <c r="O5040" s="2">
        <f ca="1"/>
        <v>-0.74219228977054263</v>
      </c>
      <c r="X5040" s="2">
        <f ca="1"/>
        <v>81.637556432282963</v>
      </c>
      <c r="AG5040" s="2">
        <f ca="1"/>
        <v>0.54066775360530794</v>
      </c>
      <c r="AH5040" s="2" t="str">
        <f ca="1"/>
        <v>Bad</v>
      </c>
    </row>
    <row r="5041" spans="2:34" x14ac:dyDescent="0.2">
      <c r="B5041" s="2">
        <f ca="1"/>
        <v>0.5910995098464662</v>
      </c>
      <c r="O5041" s="2">
        <f ca="1"/>
        <v>-1.2728456491795799</v>
      </c>
      <c r="X5041" s="2">
        <f ca="1"/>
        <v>44.481871585008612</v>
      </c>
      <c r="AG5041" s="2">
        <f ca="1"/>
        <v>0.16632445266488305</v>
      </c>
      <c r="AH5041" s="2" t="str">
        <f ca="1"/>
        <v>OK</v>
      </c>
    </row>
    <row r="5042" spans="2:34" x14ac:dyDescent="0.2">
      <c r="B5042" s="2">
        <f ca="1"/>
        <v>0.41547401814240503</v>
      </c>
      <c r="O5042" s="2">
        <f ca="1"/>
        <v>-0.45840352717777033</v>
      </c>
      <c r="X5042" s="2">
        <f ca="1"/>
        <v>63.823506927369571</v>
      </c>
      <c r="AG5042" s="2">
        <f ca="1"/>
        <v>0.52179508452869716</v>
      </c>
      <c r="AH5042" s="2" t="str">
        <f ca="1"/>
        <v>Bad</v>
      </c>
    </row>
    <row r="5043" spans="2:34" x14ac:dyDescent="0.2">
      <c r="B5043" s="2">
        <f ca="1"/>
        <v>0.78664286407154393</v>
      </c>
      <c r="O5043" s="2">
        <f ca="1"/>
        <v>-2.1312736570222444</v>
      </c>
      <c r="X5043" s="2">
        <f ca="1"/>
        <v>67.21264467696875</v>
      </c>
      <c r="AG5043" s="2">
        <f ca="1"/>
        <v>0.13018569955179515</v>
      </c>
      <c r="AH5043" s="2" t="str">
        <f ca="1"/>
        <v>OK</v>
      </c>
    </row>
    <row r="5044" spans="2:34" x14ac:dyDescent="0.2">
      <c r="B5044" s="2">
        <f ca="1"/>
        <v>0.46917368857616215</v>
      </c>
      <c r="O5044" s="2">
        <f ca="1"/>
        <v>7.0125036825826825E-2</v>
      </c>
      <c r="X5044" s="2">
        <f ca="1"/>
        <v>44.223116788013151</v>
      </c>
      <c r="AG5044" s="2">
        <f ca="1"/>
        <v>0.75073703599917163</v>
      </c>
      <c r="AH5044" s="2" t="str">
        <f ca="1"/>
        <v>Bad</v>
      </c>
    </row>
    <row r="5045" spans="2:34" x14ac:dyDescent="0.2">
      <c r="B5045" s="2">
        <f ca="1"/>
        <v>0.23120907190511053</v>
      </c>
      <c r="O5045" s="2">
        <f ca="1"/>
        <v>1.6025750735735682</v>
      </c>
      <c r="X5045" s="2">
        <f ca="1"/>
        <v>55.176449023303618</v>
      </c>
      <c r="AG5045" s="2">
        <f ca="1"/>
        <v>0.48046211405889938</v>
      </c>
      <c r="AH5045" s="2" t="str">
        <f ca="1"/>
        <v>Bad</v>
      </c>
    </row>
    <row r="5046" spans="2:34" x14ac:dyDescent="0.2">
      <c r="B5046" s="2">
        <f ca="1"/>
        <v>0.11571174124291717</v>
      </c>
      <c r="O5046" s="2">
        <f ca="1"/>
        <v>-2.1001250858490161</v>
      </c>
      <c r="X5046" s="2">
        <f ca="1"/>
        <v>48.503205592411867</v>
      </c>
      <c r="AG5046" s="2">
        <f ca="1"/>
        <v>0.3763693501589116</v>
      </c>
      <c r="AH5046" s="2" t="str">
        <f ca="1"/>
        <v>OK</v>
      </c>
    </row>
    <row r="5047" spans="2:34" x14ac:dyDescent="0.2">
      <c r="B5047" s="2">
        <f ca="1"/>
        <v>0.80046221525348593</v>
      </c>
      <c r="O5047" s="2">
        <f ca="1"/>
        <v>0.30047356077982973</v>
      </c>
      <c r="X5047" s="2">
        <f ca="1"/>
        <v>45.107637646761475</v>
      </c>
      <c r="AG5047" s="2">
        <f ca="1"/>
        <v>0.86374884285314923</v>
      </c>
      <c r="AH5047" s="2" t="str">
        <f ca="1"/>
        <v>Bad</v>
      </c>
    </row>
    <row r="5048" spans="2:34" x14ac:dyDescent="0.2">
      <c r="B5048" s="2">
        <f ca="1"/>
        <v>3.1229224491477803E-2</v>
      </c>
      <c r="O5048" s="2">
        <f ca="1"/>
        <v>0.16909955026018939</v>
      </c>
      <c r="X5048" s="2">
        <f ca="1"/>
        <v>41.112451852846732</v>
      </c>
      <c r="AG5048" s="2">
        <f ca="1"/>
        <v>0.72233147946009968</v>
      </c>
      <c r="AH5048" s="2" t="str">
        <f ca="1"/>
        <v>Bad</v>
      </c>
    </row>
    <row r="5049" spans="2:34" x14ac:dyDescent="0.2">
      <c r="B5049" s="2">
        <f ca="1"/>
        <v>0.45168237373204967</v>
      </c>
      <c r="O5049" s="2">
        <f ca="1"/>
        <v>0.9427723412879776</v>
      </c>
      <c r="X5049" s="2">
        <f ca="1"/>
        <v>25.564819184199862</v>
      </c>
      <c r="AG5049" s="2">
        <f ca="1"/>
        <v>6.7941970904681792E-2</v>
      </c>
      <c r="AH5049" s="2" t="str">
        <f ca="1"/>
        <v>OK</v>
      </c>
    </row>
    <row r="5050" spans="2:34" x14ac:dyDescent="0.2">
      <c r="B5050" s="2">
        <f ca="1"/>
        <v>0.56826650204417439</v>
      </c>
      <c r="O5050" s="2">
        <f ca="1"/>
        <v>-0.74575400558861948</v>
      </c>
      <c r="X5050" s="2">
        <f ca="1"/>
        <v>33.027184370942848</v>
      </c>
      <c r="AG5050" s="2">
        <f ca="1"/>
        <v>0.88500839906958473</v>
      </c>
      <c r="AH5050" s="2" t="str">
        <f ca="1"/>
        <v>Bad</v>
      </c>
    </row>
    <row r="5051" spans="2:34" x14ac:dyDescent="0.2">
      <c r="B5051" s="2">
        <f ca="1"/>
        <v>0.71534199855377212</v>
      </c>
      <c r="O5051" s="2">
        <f ca="1"/>
        <v>-0.73595948573774139</v>
      </c>
      <c r="X5051" s="2">
        <f ca="1"/>
        <v>43.856693444090936</v>
      </c>
      <c r="AG5051" s="2">
        <f ca="1"/>
        <v>0.9227628857176946</v>
      </c>
      <c r="AH5051" s="2" t="str">
        <f ca="1"/>
        <v>Bad</v>
      </c>
    </row>
    <row r="5052" spans="2:34" x14ac:dyDescent="0.2">
      <c r="B5052" s="2">
        <f ca="1"/>
        <v>0.34973849890031361</v>
      </c>
      <c r="O5052" s="2">
        <f ca="1"/>
        <v>-1.4174418065089274</v>
      </c>
      <c r="X5052" s="2">
        <f ca="1"/>
        <v>35.224219239855032</v>
      </c>
      <c r="AG5052" s="2">
        <f ca="1"/>
        <v>0.98096499972204954</v>
      </c>
      <c r="AH5052" s="2" t="str">
        <f ca="1"/>
        <v>Bad</v>
      </c>
    </row>
    <row r="5053" spans="2:34" x14ac:dyDescent="0.2">
      <c r="B5053" s="2">
        <f ca="1"/>
        <v>0.28443062415350839</v>
      </c>
      <c r="O5053" s="2">
        <f ca="1"/>
        <v>-0.55177901063330104</v>
      </c>
      <c r="X5053" s="2">
        <f ca="1"/>
        <v>47.529562781253468</v>
      </c>
      <c r="AG5053" s="2">
        <f ca="1"/>
        <v>0.6326197704781682</v>
      </c>
      <c r="AH5053" s="2" t="str">
        <f ca="1"/>
        <v>Bad</v>
      </c>
    </row>
    <row r="5054" spans="2:34" x14ac:dyDescent="0.2">
      <c r="B5054" s="2">
        <f ca="1"/>
        <v>0.93022441950022827</v>
      </c>
      <c r="O5054" s="2">
        <f ca="1"/>
        <v>1.2740354031625682</v>
      </c>
      <c r="X5054" s="2">
        <f ca="1"/>
        <v>62.516186650240932</v>
      </c>
      <c r="AG5054" s="2">
        <f ca="1"/>
        <v>2.1382754578381347E-2</v>
      </c>
      <c r="AH5054" s="2" t="str">
        <f ca="1"/>
        <v>Good</v>
      </c>
    </row>
    <row r="5055" spans="2:34" x14ac:dyDescent="0.2">
      <c r="B5055" s="2">
        <f ca="1"/>
        <v>0.25039055841798441</v>
      </c>
      <c r="O5055" s="2">
        <f ca="1"/>
        <v>-0.84328193991090139</v>
      </c>
      <c r="X5055" s="2">
        <f ca="1"/>
        <v>79.420935335462303</v>
      </c>
      <c r="AG5055" s="2">
        <f ca="1"/>
        <v>0.1657006365403404</v>
      </c>
      <c r="AH5055" s="2" t="str">
        <f ca="1"/>
        <v>OK</v>
      </c>
    </row>
    <row r="5056" spans="2:34" x14ac:dyDescent="0.2">
      <c r="B5056" s="2">
        <f ca="1"/>
        <v>0.95030038216372503</v>
      </c>
      <c r="O5056" s="2">
        <f ca="1"/>
        <v>0.45811342067724353</v>
      </c>
      <c r="X5056" s="2">
        <f ca="1"/>
        <v>81.101002956958013</v>
      </c>
      <c r="AG5056" s="2">
        <f ca="1"/>
        <v>0.8697033587735703</v>
      </c>
      <c r="AH5056" s="2" t="str">
        <f ca="1"/>
        <v>Bad</v>
      </c>
    </row>
    <row r="5057" spans="2:34" x14ac:dyDescent="0.2">
      <c r="B5057" s="2">
        <f ca="1"/>
        <v>0.96324379851021358</v>
      </c>
      <c r="O5057" s="2">
        <f ca="1"/>
        <v>5.7523119290875453E-2</v>
      </c>
      <c r="X5057" s="2">
        <f ca="1"/>
        <v>54.08093643344003</v>
      </c>
      <c r="AG5057" s="2">
        <f ca="1"/>
        <v>0.82177752668386073</v>
      </c>
      <c r="AH5057" s="2" t="str">
        <f ca="1"/>
        <v>Bad</v>
      </c>
    </row>
    <row r="5058" spans="2:34" x14ac:dyDescent="0.2">
      <c r="B5058" s="2">
        <f ca="1"/>
        <v>0.75639184233745649</v>
      </c>
      <c r="O5058" s="2">
        <f ca="1"/>
        <v>-0.55120274804433667</v>
      </c>
      <c r="X5058" s="2">
        <f ca="1"/>
        <v>37.672197044023889</v>
      </c>
      <c r="AG5058" s="2">
        <f ca="1"/>
        <v>0.66068438399498164</v>
      </c>
      <c r="AH5058" s="2" t="str">
        <f ca="1"/>
        <v>Bad</v>
      </c>
    </row>
    <row r="5059" spans="2:34" x14ac:dyDescent="0.2">
      <c r="B5059" s="2">
        <f ca="1"/>
        <v>0.89283928949702784</v>
      </c>
      <c r="O5059" s="2">
        <f ca="1"/>
        <v>-9.3414306374248884E-2</v>
      </c>
      <c r="X5059" s="2">
        <f ca="1"/>
        <v>34.846328091110983</v>
      </c>
      <c r="AG5059" s="2">
        <f ca="1"/>
        <v>9.1529681034246524E-2</v>
      </c>
      <c r="AH5059" s="2" t="str">
        <f ca="1"/>
        <v>OK</v>
      </c>
    </row>
    <row r="5060" spans="2:34" x14ac:dyDescent="0.2">
      <c r="B5060" s="2">
        <f ca="1"/>
        <v>0.4828697215774489</v>
      </c>
      <c r="O5060" s="2">
        <f ca="1"/>
        <v>-1.8423941845455201</v>
      </c>
      <c r="X5060" s="2">
        <f ca="1"/>
        <v>48.439487291410224</v>
      </c>
      <c r="AG5060" s="2">
        <f ca="1"/>
        <v>0.58196673099898644</v>
      </c>
      <c r="AH5060" s="2" t="str">
        <f ca="1"/>
        <v>Bad</v>
      </c>
    </row>
    <row r="5061" spans="2:34" x14ac:dyDescent="0.2">
      <c r="B5061" s="2">
        <f ca="1"/>
        <v>8.1683502716092482E-2</v>
      </c>
      <c r="O5061" s="2">
        <f ca="1"/>
        <v>-0.18803298161386878</v>
      </c>
      <c r="X5061" s="2">
        <f ca="1"/>
        <v>56.294376258651255</v>
      </c>
      <c r="AG5061" s="2">
        <f ca="1"/>
        <v>0.38502621881469601</v>
      </c>
      <c r="AH5061" s="2" t="str">
        <f ca="1"/>
        <v>OK</v>
      </c>
    </row>
    <row r="5062" spans="2:34" x14ac:dyDescent="0.2">
      <c r="B5062" s="2">
        <f ca="1"/>
        <v>0.86944866661966458</v>
      </c>
      <c r="O5062" s="2">
        <f ca="1"/>
        <v>-0.84602780622869223</v>
      </c>
      <c r="X5062" s="2">
        <f ca="1"/>
        <v>55.454053641375879</v>
      </c>
      <c r="AG5062" s="2">
        <f ca="1"/>
        <v>8.5588923053327992E-2</v>
      </c>
      <c r="AH5062" s="2" t="str">
        <f ca="1"/>
        <v>OK</v>
      </c>
    </row>
    <row r="5063" spans="2:34" x14ac:dyDescent="0.2">
      <c r="B5063" s="2">
        <f ca="1"/>
        <v>7.6885461969664393E-2</v>
      </c>
      <c r="O5063" s="2">
        <f ca="1"/>
        <v>-0.99853388057145798</v>
      </c>
      <c r="X5063" s="2">
        <f ca="1"/>
        <v>43.792756800297958</v>
      </c>
      <c r="AG5063" s="2">
        <f ca="1"/>
        <v>4.5037642437030012E-2</v>
      </c>
      <c r="AH5063" s="2" t="str">
        <f ca="1"/>
        <v>Good</v>
      </c>
    </row>
    <row r="5064" spans="2:34" x14ac:dyDescent="0.2">
      <c r="B5064" s="2">
        <f ca="1"/>
        <v>0.3560507222550402</v>
      </c>
      <c r="O5064" s="2">
        <f ca="1"/>
        <v>0.95886988243191928</v>
      </c>
      <c r="X5064" s="2">
        <f ca="1"/>
        <v>22.086672343643151</v>
      </c>
      <c r="AG5064" s="2">
        <f ca="1"/>
        <v>0.75446398860150432</v>
      </c>
      <c r="AH5064" s="2" t="str">
        <f ca="1"/>
        <v>Bad</v>
      </c>
    </row>
    <row r="5065" spans="2:34" x14ac:dyDescent="0.2">
      <c r="B5065" s="2">
        <f ca="1"/>
        <v>0.22077228404804017</v>
      </c>
      <c r="O5065" s="2">
        <f ca="1"/>
        <v>1.5596061107006081</v>
      </c>
      <c r="X5065" s="2">
        <f ca="1"/>
        <v>43.278719151148913</v>
      </c>
      <c r="AG5065" s="2">
        <f ca="1"/>
        <v>0.67540266921148229</v>
      </c>
      <c r="AH5065" s="2" t="str">
        <f ca="1"/>
        <v>Bad</v>
      </c>
    </row>
    <row r="5066" spans="2:34" x14ac:dyDescent="0.2">
      <c r="B5066" s="2">
        <f ca="1"/>
        <v>7.4097685020473092E-2</v>
      </c>
      <c r="O5066" s="2">
        <f ca="1"/>
        <v>-0.1856201678349832</v>
      </c>
      <c r="X5066" s="2">
        <f ca="1"/>
        <v>106.07546021762928</v>
      </c>
      <c r="AG5066" s="2">
        <f ca="1"/>
        <v>0.7741218603296558</v>
      </c>
      <c r="AH5066" s="2" t="str">
        <f ca="1"/>
        <v>Bad</v>
      </c>
    </row>
    <row r="5067" spans="2:34" x14ac:dyDescent="0.2">
      <c r="B5067" s="2">
        <f ca="1"/>
        <v>0.55504064034262801</v>
      </c>
      <c r="O5067" s="2">
        <f ca="1"/>
        <v>1.1434000417736638</v>
      </c>
      <c r="X5067" s="2">
        <f ca="1"/>
        <v>69.501602957006611</v>
      </c>
      <c r="AG5067" s="2">
        <f ca="1"/>
        <v>0.60542044146974638</v>
      </c>
      <c r="AH5067" s="2" t="str">
        <f ca="1"/>
        <v>Bad</v>
      </c>
    </row>
    <row r="5068" spans="2:34" x14ac:dyDescent="0.2">
      <c r="B5068" s="2">
        <f ca="1"/>
        <v>0.94723656194348127</v>
      </c>
      <c r="O5068" s="2">
        <f ca="1"/>
        <v>0.64718018350852446</v>
      </c>
      <c r="X5068" s="2">
        <f ca="1"/>
        <v>80.203450901724565</v>
      </c>
      <c r="AG5068" s="2">
        <f ca="1"/>
        <v>0.4663608535133339</v>
      </c>
      <c r="AH5068" s="2" t="str">
        <f ca="1"/>
        <v>Bad</v>
      </c>
    </row>
    <row r="5069" spans="2:34" x14ac:dyDescent="0.2">
      <c r="B5069" s="2">
        <f ca="1"/>
        <v>0.55710248795487738</v>
      </c>
      <c r="O5069" s="2">
        <f ca="1"/>
        <v>-0.61118850641889966</v>
      </c>
      <c r="X5069" s="2">
        <f ca="1"/>
        <v>45.08713441010957</v>
      </c>
      <c r="AG5069" s="2">
        <f ca="1"/>
        <v>0.15141371496709111</v>
      </c>
      <c r="AH5069" s="2" t="str">
        <f ca="1"/>
        <v>OK</v>
      </c>
    </row>
    <row r="5070" spans="2:34" x14ac:dyDescent="0.2">
      <c r="B5070" s="2">
        <f ca="1"/>
        <v>0.10876506376110595</v>
      </c>
      <c r="O5070" s="2">
        <f ca="1"/>
        <v>0.62847359749297305</v>
      </c>
      <c r="X5070" s="2">
        <f ca="1"/>
        <v>54.409123444458302</v>
      </c>
      <c r="AG5070" s="2">
        <f ca="1"/>
        <v>0.24454544824397062</v>
      </c>
      <c r="AH5070" s="2" t="str">
        <f ca="1"/>
        <v>OK</v>
      </c>
    </row>
    <row r="5071" spans="2:34" x14ac:dyDescent="0.2">
      <c r="B5071" s="2">
        <f ca="1"/>
        <v>0.22842674237827465</v>
      </c>
      <c r="O5071" s="2">
        <f ca="1"/>
        <v>2.1922104598846436E-2</v>
      </c>
      <c r="X5071" s="2">
        <f ca="1"/>
        <v>68.127956837645627</v>
      </c>
      <c r="AG5071" s="2">
        <f ca="1"/>
        <v>0.21134946129350363</v>
      </c>
      <c r="AH5071" s="2" t="str">
        <f ca="1"/>
        <v>OK</v>
      </c>
    </row>
    <row r="5072" spans="2:34" x14ac:dyDescent="0.2">
      <c r="B5072" s="2">
        <f ca="1"/>
        <v>0.4280956815717909</v>
      </c>
      <c r="O5072" s="2">
        <f ca="1"/>
        <v>1.0180423274707413</v>
      </c>
      <c r="X5072" s="2">
        <f ca="1"/>
        <v>64.557437452158894</v>
      </c>
      <c r="AG5072" s="2">
        <f ca="1"/>
        <v>0.77226709514579439</v>
      </c>
      <c r="AH5072" s="2" t="str">
        <f ca="1"/>
        <v>Bad</v>
      </c>
    </row>
    <row r="5073" spans="2:34" x14ac:dyDescent="0.2">
      <c r="B5073" s="2">
        <f ca="1"/>
        <v>0.35258031045112315</v>
      </c>
      <c r="O5073" s="2">
        <f ca="1"/>
        <v>0.35285392010898053</v>
      </c>
      <c r="X5073" s="2">
        <f ca="1"/>
        <v>32.31667124886367</v>
      </c>
      <c r="AG5073" s="2">
        <f ca="1"/>
        <v>0.18426558119818481</v>
      </c>
      <c r="AH5073" s="2" t="str">
        <f ca="1"/>
        <v>OK</v>
      </c>
    </row>
    <row r="5074" spans="2:34" x14ac:dyDescent="0.2">
      <c r="B5074" s="2">
        <f ca="1"/>
        <v>0.13297070016078005</v>
      </c>
      <c r="O5074" s="2">
        <f ca="1"/>
        <v>0.68550408870748847</v>
      </c>
      <c r="X5074" s="2">
        <f ca="1"/>
        <v>60.528712926219157</v>
      </c>
      <c r="AG5074" s="2">
        <f ca="1"/>
        <v>0.74046481964609523</v>
      </c>
      <c r="AH5074" s="2" t="str">
        <f ca="1"/>
        <v>Bad</v>
      </c>
    </row>
    <row r="5075" spans="2:34" x14ac:dyDescent="0.2">
      <c r="B5075" s="2">
        <f ca="1"/>
        <v>4.9558808106134888E-2</v>
      </c>
      <c r="O5075" s="2">
        <f ca="1"/>
        <v>-1.3780533806238506</v>
      </c>
      <c r="X5075" s="2">
        <f ca="1"/>
        <v>38.827103439639316</v>
      </c>
      <c r="AG5075" s="2">
        <f ca="1"/>
        <v>0.46468571860544294</v>
      </c>
      <c r="AH5075" s="2" t="str">
        <f ca="1"/>
        <v>Bad</v>
      </c>
    </row>
    <row r="5076" spans="2:34" x14ac:dyDescent="0.2">
      <c r="B5076" s="2">
        <f ca="1"/>
        <v>0.60534593999637409</v>
      </c>
      <c r="O5076" s="2">
        <f ca="1"/>
        <v>-1.2350096402510131</v>
      </c>
      <c r="X5076" s="2">
        <f ca="1"/>
        <v>46.14099862698852</v>
      </c>
      <c r="AG5076" s="2">
        <f ca="1"/>
        <v>0.99397654442229944</v>
      </c>
      <c r="AH5076" s="2" t="str">
        <f ca="1"/>
        <v>Bad</v>
      </c>
    </row>
    <row r="5077" spans="2:34" x14ac:dyDescent="0.2">
      <c r="B5077" s="2">
        <f ca="1"/>
        <v>0.28788512618710982</v>
      </c>
      <c r="O5077" s="2">
        <f ca="1"/>
        <v>-0.50465661801074835</v>
      </c>
      <c r="X5077" s="2">
        <f ca="1"/>
        <v>41.822621207011316</v>
      </c>
      <c r="AG5077" s="2">
        <f ca="1"/>
        <v>0.4653326615578921</v>
      </c>
      <c r="AH5077" s="2" t="str">
        <f ca="1"/>
        <v>Bad</v>
      </c>
    </row>
    <row r="5078" spans="2:34" x14ac:dyDescent="0.2">
      <c r="B5078" s="2">
        <f ca="1"/>
        <v>4.7684690180678668E-2</v>
      </c>
      <c r="O5078" s="2">
        <f ca="1"/>
        <v>-0.22621511562798319</v>
      </c>
      <c r="X5078" s="2">
        <f ca="1"/>
        <v>68.075406245085858</v>
      </c>
      <c r="AG5078" s="2">
        <f ca="1"/>
        <v>0.63971668889705491</v>
      </c>
      <c r="AH5078" s="2" t="str">
        <f ca="1"/>
        <v>Bad</v>
      </c>
    </row>
    <row r="5079" spans="2:34" x14ac:dyDescent="0.2">
      <c r="B5079" s="2">
        <f ca="1"/>
        <v>0.50893284135604122</v>
      </c>
      <c r="O5079" s="2">
        <f ca="1"/>
        <v>0.30139062947901085</v>
      </c>
      <c r="X5079" s="2">
        <f ca="1"/>
        <v>62.392283557340761</v>
      </c>
      <c r="AG5079" s="2">
        <f ca="1"/>
        <v>0.11252321734213688</v>
      </c>
      <c r="AH5079" s="2" t="str">
        <f ca="1"/>
        <v>OK</v>
      </c>
    </row>
    <row r="5080" spans="2:34" x14ac:dyDescent="0.2">
      <c r="B5080" s="2">
        <f ca="1"/>
        <v>0.44950578776528727</v>
      </c>
      <c r="O5080" s="2">
        <f ca="1"/>
        <v>-6.7767013791010203E-2</v>
      </c>
      <c r="X5080" s="2">
        <f ca="1"/>
        <v>34.427851623252181</v>
      </c>
      <c r="AG5080" s="2">
        <f ca="1"/>
        <v>0.68563186047801539</v>
      </c>
      <c r="AH5080" s="2" t="str">
        <f ca="1"/>
        <v>Bad</v>
      </c>
    </row>
    <row r="5081" spans="2:34" x14ac:dyDescent="0.2">
      <c r="B5081" s="2">
        <f ca="1"/>
        <v>0.48232895838556922</v>
      </c>
      <c r="O5081" s="2">
        <f ca="1"/>
        <v>-1.2680752985552639</v>
      </c>
      <c r="X5081" s="2">
        <f ca="1"/>
        <v>63.34609117332473</v>
      </c>
      <c r="AG5081" s="2">
        <f ca="1"/>
        <v>9.0945081439943287E-2</v>
      </c>
      <c r="AH5081" s="2" t="str">
        <f ca="1"/>
        <v>OK</v>
      </c>
    </row>
    <row r="5082" spans="2:34" x14ac:dyDescent="0.2">
      <c r="B5082" s="2">
        <f ca="1"/>
        <v>0.18536559645889605</v>
      </c>
      <c r="O5082" s="2">
        <f ca="1"/>
        <v>0.91553324965016414</v>
      </c>
      <c r="X5082" s="2">
        <f ca="1"/>
        <v>73.432388906112052</v>
      </c>
      <c r="AG5082" s="2">
        <f ca="1"/>
        <v>0.91938220724838149</v>
      </c>
      <c r="AH5082" s="2" t="str">
        <f ca="1"/>
        <v>Bad</v>
      </c>
    </row>
    <row r="5083" spans="2:34" x14ac:dyDescent="0.2">
      <c r="B5083" s="2">
        <f ca="1"/>
        <v>0.82182393057287562</v>
      </c>
      <c r="O5083" s="2">
        <f ca="1"/>
        <v>1.2348294323319324</v>
      </c>
      <c r="X5083" s="2">
        <f ca="1"/>
        <v>77.126206168232272</v>
      </c>
      <c r="AG5083" s="2">
        <f ca="1"/>
        <v>0.35073050525834115</v>
      </c>
      <c r="AH5083" s="2" t="str">
        <f ca="1"/>
        <v>OK</v>
      </c>
    </row>
    <row r="5084" spans="2:34" x14ac:dyDescent="0.2">
      <c r="B5084" s="2">
        <f ca="1"/>
        <v>0.54310372706362031</v>
      </c>
      <c r="O5084" s="2">
        <f ca="1"/>
        <v>-0.68045095155133739</v>
      </c>
      <c r="X5084" s="2">
        <f ca="1"/>
        <v>43.562145981739448</v>
      </c>
      <c r="AG5084" s="2">
        <f ca="1"/>
        <v>0.55003586441596175</v>
      </c>
      <c r="AH5084" s="2" t="str">
        <f ca="1"/>
        <v>Bad</v>
      </c>
    </row>
    <row r="5085" spans="2:34" x14ac:dyDescent="0.2">
      <c r="B5085" s="2">
        <f ca="1"/>
        <v>0.62759190332151404</v>
      </c>
      <c r="O5085" s="2">
        <f ca="1"/>
        <v>-1.9256871915958025</v>
      </c>
      <c r="X5085" s="2">
        <f ca="1"/>
        <v>33.241535173046984</v>
      </c>
      <c r="AG5085" s="2">
        <f ca="1"/>
        <v>0.94641967017247519</v>
      </c>
      <c r="AH5085" s="2" t="str">
        <f ca="1"/>
        <v>Bad</v>
      </c>
    </row>
    <row r="5086" spans="2:34" x14ac:dyDescent="0.2">
      <c r="B5086" s="2">
        <f ca="1"/>
        <v>0.88811978183804485</v>
      </c>
      <c r="O5086" s="2">
        <f ca="1"/>
        <v>0.54688648593218347</v>
      </c>
      <c r="X5086" s="2">
        <f ca="1"/>
        <v>69.277920068563589</v>
      </c>
      <c r="AG5086" s="2">
        <f ca="1"/>
        <v>8.0578598781619215E-2</v>
      </c>
      <c r="AH5086" s="2" t="str">
        <f ca="1"/>
        <v>OK</v>
      </c>
    </row>
    <row r="5087" spans="2:34" x14ac:dyDescent="0.2">
      <c r="B5087" s="2">
        <f ca="1"/>
        <v>0.37292011319001306</v>
      </c>
      <c r="O5087" s="2">
        <f ca="1"/>
        <v>-0.56042013890468467</v>
      </c>
      <c r="X5087" s="2">
        <f ca="1"/>
        <v>45.730376939534843</v>
      </c>
      <c r="AG5087" s="2">
        <f ca="1"/>
        <v>0.5040198900731514</v>
      </c>
      <c r="AH5087" s="2" t="str">
        <f ca="1"/>
        <v>Bad</v>
      </c>
    </row>
    <row r="5088" spans="2:34" x14ac:dyDescent="0.2">
      <c r="B5088" s="2">
        <f ca="1"/>
        <v>0.97583063800442105</v>
      </c>
      <c r="O5088" s="2">
        <f ca="1"/>
        <v>-1.5681138069512512</v>
      </c>
      <c r="X5088" s="2">
        <f ca="1"/>
        <v>49.786940640714718</v>
      </c>
      <c r="AG5088" s="2">
        <f ca="1"/>
        <v>0.67333924332411832</v>
      </c>
      <c r="AH5088" s="2" t="str">
        <f ca="1"/>
        <v>Bad</v>
      </c>
    </row>
    <row r="5089" spans="2:34" x14ac:dyDescent="0.2">
      <c r="B5089" s="2">
        <f ca="1"/>
        <v>0.24065574738504303</v>
      </c>
      <c r="O5089" s="2">
        <f ca="1"/>
        <v>0.65767204753017583</v>
      </c>
      <c r="X5089" s="2">
        <f ca="1"/>
        <v>63.608400319878442</v>
      </c>
      <c r="AG5089" s="2">
        <f ca="1"/>
        <v>0.1030227469580085</v>
      </c>
      <c r="AH5089" s="2" t="str">
        <f ca="1"/>
        <v>OK</v>
      </c>
    </row>
    <row r="5090" spans="2:34" x14ac:dyDescent="0.2">
      <c r="B5090" s="2">
        <f ca="1"/>
        <v>0.84886294627539671</v>
      </c>
      <c r="O5090" s="2">
        <f ca="1"/>
        <v>0.98189281949758989</v>
      </c>
      <c r="X5090" s="2">
        <f ca="1"/>
        <v>41.023120275150774</v>
      </c>
      <c r="AG5090" s="2">
        <f ca="1"/>
        <v>0.2959217484503176</v>
      </c>
      <c r="AH5090" s="2" t="str">
        <f ca="1"/>
        <v>OK</v>
      </c>
    </row>
    <row r="5091" spans="2:34" x14ac:dyDescent="0.2">
      <c r="B5091" s="2">
        <f ca="1"/>
        <v>0.16242167861252277</v>
      </c>
      <c r="O5091" s="2">
        <f ca="1"/>
        <v>-1.8207602416739959</v>
      </c>
      <c r="X5091" s="2">
        <f ca="1"/>
        <v>37.846317382370984</v>
      </c>
      <c r="AG5091" s="2">
        <f ca="1"/>
        <v>0.37188017634830151</v>
      </c>
      <c r="AH5091" s="2" t="str">
        <f ca="1"/>
        <v>OK</v>
      </c>
    </row>
    <row r="5092" spans="2:34" x14ac:dyDescent="0.2">
      <c r="B5092" s="2">
        <f ca="1"/>
        <v>0.68468908023075192</v>
      </c>
      <c r="O5092" s="2">
        <f ca="1"/>
        <v>4.9651066400398916E-2</v>
      </c>
      <c r="X5092" s="2">
        <f ca="1"/>
        <v>54.103201606274581</v>
      </c>
      <c r="AG5092" s="2">
        <f ca="1"/>
        <v>0.94206444337954109</v>
      </c>
      <c r="AH5092" s="2" t="str">
        <f ca="1"/>
        <v>Bad</v>
      </c>
    </row>
    <row r="5093" spans="2:34" x14ac:dyDescent="0.2">
      <c r="B5093" s="2">
        <f ca="1"/>
        <v>0.76763256498285326</v>
      </c>
      <c r="O5093" s="2">
        <f ca="1"/>
        <v>-0.43949515837069114</v>
      </c>
      <c r="X5093" s="2">
        <f ca="1"/>
        <v>77.605181186817049</v>
      </c>
      <c r="AG5093" s="2">
        <f ca="1"/>
        <v>0.8565675996329889</v>
      </c>
      <c r="AH5093" s="2" t="str">
        <f ca="1"/>
        <v>Bad</v>
      </c>
    </row>
    <row r="5094" spans="2:34" x14ac:dyDescent="0.2">
      <c r="B5094" s="2">
        <f ca="1"/>
        <v>0.92805790397312293</v>
      </c>
      <c r="O5094" s="2">
        <f ca="1"/>
        <v>-1.7992100492568677</v>
      </c>
      <c r="X5094" s="2">
        <f ca="1"/>
        <v>63.715512977976815</v>
      </c>
      <c r="AG5094" s="2">
        <f ca="1"/>
        <v>0.64103806579456268</v>
      </c>
      <c r="AH5094" s="2" t="str">
        <f ca="1"/>
        <v>Bad</v>
      </c>
    </row>
    <row r="5095" spans="2:34" x14ac:dyDescent="0.2">
      <c r="B5095" s="2">
        <f ca="1"/>
        <v>0.16777347035030199</v>
      </c>
      <c r="O5095" s="2">
        <f ca="1"/>
        <v>-0.42002033318461474</v>
      </c>
      <c r="X5095" s="2">
        <f ca="1"/>
        <v>67.115934878313084</v>
      </c>
      <c r="AG5095" s="2">
        <f ca="1"/>
        <v>0.5039189458936939</v>
      </c>
      <c r="AH5095" s="2" t="str">
        <f ca="1"/>
        <v>Bad</v>
      </c>
    </row>
    <row r="5096" spans="2:34" x14ac:dyDescent="0.2">
      <c r="B5096" s="2">
        <f ca="1"/>
        <v>4.3007652391492845E-2</v>
      </c>
      <c r="O5096" s="2">
        <f ca="1"/>
        <v>0.14830848084808829</v>
      </c>
      <c r="X5096" s="2">
        <f ca="1"/>
        <v>48.906829132696465</v>
      </c>
      <c r="AG5096" s="2">
        <f ca="1"/>
        <v>0.88253496980510215</v>
      </c>
      <c r="AH5096" s="2" t="str">
        <f ca="1"/>
        <v>Bad</v>
      </c>
    </row>
    <row r="5097" spans="2:34" x14ac:dyDescent="0.2">
      <c r="B5097" s="2">
        <f ca="1"/>
        <v>1.6923065972559881E-2</v>
      </c>
      <c r="O5097" s="2">
        <f ca="1"/>
        <v>0.24252929728164874</v>
      </c>
      <c r="X5097" s="2">
        <f ca="1"/>
        <v>61.617429308786782</v>
      </c>
      <c r="AG5097" s="2">
        <f ca="1"/>
        <v>0.12109090652142673</v>
      </c>
      <c r="AH5097" s="2" t="str">
        <f ca="1"/>
        <v>OK</v>
      </c>
    </row>
    <row r="5098" spans="2:34" x14ac:dyDescent="0.2">
      <c r="B5098" s="2">
        <f ca="1"/>
        <v>0.83169243712422891</v>
      </c>
      <c r="O5098" s="2">
        <f ca="1"/>
        <v>-0.62927928254743215</v>
      </c>
      <c r="X5098" s="2">
        <f ca="1"/>
        <v>62.850205095606519</v>
      </c>
      <c r="AG5098" s="2">
        <f ca="1"/>
        <v>0.97686055823508156</v>
      </c>
      <c r="AH5098" s="2" t="str">
        <f ca="1"/>
        <v>Bad</v>
      </c>
    </row>
    <row r="5099" spans="2:34" x14ac:dyDescent="0.2">
      <c r="B5099" s="2">
        <f ca="1"/>
        <v>2.9455773342397462E-2</v>
      </c>
      <c r="O5099" s="2">
        <f ca="1"/>
        <v>1.7755300110659704</v>
      </c>
      <c r="X5099" s="2">
        <f ca="1"/>
        <v>37.274800692933418</v>
      </c>
      <c r="AG5099" s="2">
        <f ca="1"/>
        <v>0.1775887614718259</v>
      </c>
      <c r="AH5099" s="2" t="str">
        <f ca="1"/>
        <v>OK</v>
      </c>
    </row>
    <row r="5100" spans="2:34" x14ac:dyDescent="0.2">
      <c r="B5100" s="2">
        <f ca="1"/>
        <v>9.9364580219080123E-2</v>
      </c>
      <c r="O5100" s="2">
        <f ca="1"/>
        <v>-0.40871499043317283</v>
      </c>
      <c r="X5100" s="2">
        <f ca="1"/>
        <v>31.508864680633732</v>
      </c>
      <c r="AG5100" s="2">
        <f ca="1"/>
        <v>0.2815000701039938</v>
      </c>
      <c r="AH5100" s="2" t="str">
        <f ca="1"/>
        <v>OK</v>
      </c>
    </row>
    <row r="5101" spans="2:34" x14ac:dyDescent="0.2">
      <c r="B5101" s="2">
        <f ca="1"/>
        <v>0.96802962269781512</v>
      </c>
      <c r="O5101" s="2">
        <f ca="1"/>
        <v>0.88663420259410064</v>
      </c>
      <c r="X5101" s="2">
        <f ca="1"/>
        <v>54.767998321097124</v>
      </c>
      <c r="AG5101" s="2">
        <f ca="1"/>
        <v>0.99854639568241499</v>
      </c>
      <c r="AH5101" s="2" t="str">
        <f ca="1"/>
        <v>Bad</v>
      </c>
    </row>
    <row r="5102" spans="2:34" x14ac:dyDescent="0.2">
      <c r="B5102" s="2">
        <f ca="1"/>
        <v>0.91278730520986695</v>
      </c>
      <c r="O5102" s="2">
        <f ca="1"/>
        <v>1.6831313128594454</v>
      </c>
      <c r="X5102" s="2">
        <f ca="1"/>
        <v>39.292693608601375</v>
      </c>
      <c r="AG5102" s="2">
        <f ca="1"/>
        <v>0.16018870840538657</v>
      </c>
      <c r="AH5102" s="2" t="str">
        <f ca="1"/>
        <v>OK</v>
      </c>
    </row>
    <row r="5103" spans="2:34" x14ac:dyDescent="0.2">
      <c r="B5103" s="2">
        <f ca="1"/>
        <v>0.73804643240814727</v>
      </c>
      <c r="O5103" s="2">
        <f ca="1"/>
        <v>-0.19408866243356504</v>
      </c>
      <c r="X5103" s="2">
        <f ca="1"/>
        <v>37.569815962412875</v>
      </c>
      <c r="AG5103" s="2">
        <f ca="1"/>
        <v>4.2584945386747952E-2</v>
      </c>
      <c r="AH5103" s="2" t="str">
        <f ca="1"/>
        <v>Good</v>
      </c>
    </row>
    <row r="5104" spans="2:34" x14ac:dyDescent="0.2">
      <c r="B5104" s="2">
        <f ca="1"/>
        <v>0.70153504036459924</v>
      </c>
      <c r="O5104" s="2">
        <f ca="1"/>
        <v>-1.4779595744940501</v>
      </c>
      <c r="X5104" s="2">
        <f ca="1"/>
        <v>64.063501549091569</v>
      </c>
      <c r="AG5104" s="2">
        <f ca="1"/>
        <v>0.72417802115199104</v>
      </c>
      <c r="AH5104" s="2" t="str">
        <f ca="1"/>
        <v>Bad</v>
      </c>
    </row>
    <row r="5105" spans="2:34" x14ac:dyDescent="0.2">
      <c r="B5105" s="2">
        <f ca="1"/>
        <v>0.64217466319986416</v>
      </c>
      <c r="O5105" s="2">
        <f ca="1"/>
        <v>0.65603382299361301</v>
      </c>
      <c r="X5105" s="2">
        <f ca="1"/>
        <v>83.597474564653297</v>
      </c>
      <c r="AG5105" s="2">
        <f ca="1"/>
        <v>0.60244033339268532</v>
      </c>
      <c r="AH5105" s="2" t="str">
        <f ca="1"/>
        <v>Bad</v>
      </c>
    </row>
    <row r="5106" spans="2:34" x14ac:dyDescent="0.2">
      <c r="B5106" s="2">
        <f ca="1"/>
        <v>6.6142991682990315E-2</v>
      </c>
      <c r="O5106" s="2">
        <f ca="1"/>
        <v>2.0541820873619434</v>
      </c>
      <c r="X5106" s="2">
        <f ca="1"/>
        <v>33.927517755822826</v>
      </c>
      <c r="AG5106" s="2">
        <f ca="1"/>
        <v>0.31755685884640839</v>
      </c>
      <c r="AH5106" s="2" t="str">
        <f ca="1"/>
        <v>OK</v>
      </c>
    </row>
    <row r="5107" spans="2:34" x14ac:dyDescent="0.2">
      <c r="B5107" s="2">
        <f ca="1"/>
        <v>0.87178922352787191</v>
      </c>
      <c r="O5107" s="2">
        <f ca="1"/>
        <v>1.4866951371776774E-2</v>
      </c>
      <c r="X5107" s="2">
        <f ca="1"/>
        <v>45.150163145606356</v>
      </c>
      <c r="AG5107" s="2">
        <f ca="1"/>
        <v>0.98572021124028653</v>
      </c>
      <c r="AH5107" s="2" t="str">
        <f ca="1"/>
        <v>Bad</v>
      </c>
    </row>
    <row r="5108" spans="2:34" x14ac:dyDescent="0.2">
      <c r="B5108" s="2">
        <f ca="1"/>
        <v>0.97752541926644931</v>
      </c>
      <c r="O5108" s="2">
        <f ca="1"/>
        <v>-0.82430628253426141</v>
      </c>
      <c r="X5108" s="2">
        <f ca="1"/>
        <v>74.314871452007125</v>
      </c>
      <c r="AG5108" s="2">
        <f ca="1"/>
        <v>0.99865180866912096</v>
      </c>
      <c r="AH5108" s="2" t="str">
        <f ca="1"/>
        <v>Bad</v>
      </c>
    </row>
    <row r="5109" spans="2:34" x14ac:dyDescent="0.2">
      <c r="B5109" s="2">
        <f ca="1"/>
        <v>0.50805736545106073</v>
      </c>
      <c r="O5109" s="2">
        <f ca="1"/>
        <v>0.42157896627194785</v>
      </c>
      <c r="X5109" s="2">
        <f ca="1"/>
        <v>31.952667378072334</v>
      </c>
      <c r="AG5109" s="2">
        <f ca="1"/>
        <v>0.3370476884296385</v>
      </c>
      <c r="AH5109" s="2" t="str">
        <f ca="1"/>
        <v>OK</v>
      </c>
    </row>
    <row r="5110" spans="2:34" x14ac:dyDescent="0.2">
      <c r="B5110" s="2">
        <f ca="1"/>
        <v>0.20612277494737086</v>
      </c>
      <c r="O5110" s="2">
        <f ca="1"/>
        <v>-0.53780270160016708</v>
      </c>
      <c r="X5110" s="2">
        <f ca="1"/>
        <v>38.696568026931828</v>
      </c>
      <c r="AG5110" s="2">
        <f ca="1"/>
        <v>0.63989918769550225</v>
      </c>
      <c r="AH5110" s="2" t="str">
        <f ca="1"/>
        <v>Bad</v>
      </c>
    </row>
    <row r="5111" spans="2:34" x14ac:dyDescent="0.2">
      <c r="B5111" s="2">
        <f ca="1"/>
        <v>0.20969544997830325</v>
      </c>
      <c r="O5111" s="2">
        <f ca="1"/>
        <v>-0.43435151393956334</v>
      </c>
      <c r="X5111" s="2">
        <f ca="1"/>
        <v>29.11413278854171</v>
      </c>
      <c r="AG5111" s="2">
        <f ca="1"/>
        <v>2.5163423307618116E-2</v>
      </c>
      <c r="AH5111" s="2" t="str">
        <f ca="1"/>
        <v>Good</v>
      </c>
    </row>
    <row r="5112" spans="2:34" x14ac:dyDescent="0.2">
      <c r="B5112" s="2">
        <f ca="1"/>
        <v>0.89208377773635794</v>
      </c>
      <c r="O5112" s="2">
        <f ca="1"/>
        <v>0.73082730882516722</v>
      </c>
      <c r="X5112" s="2">
        <f ca="1"/>
        <v>35.49801228081828</v>
      </c>
      <c r="AG5112" s="2">
        <f ca="1"/>
        <v>0.71560151517171611</v>
      </c>
      <c r="AH5112" s="2" t="str">
        <f ca="1"/>
        <v>Bad</v>
      </c>
    </row>
    <row r="5113" spans="2:34" x14ac:dyDescent="0.2">
      <c r="B5113" s="2">
        <f ca="1"/>
        <v>1.8497536953500981E-2</v>
      </c>
      <c r="O5113" s="2">
        <f ca="1"/>
        <v>1.3098522682280671</v>
      </c>
      <c r="X5113" s="2">
        <f ca="1"/>
        <v>46.034823295009339</v>
      </c>
      <c r="AG5113" s="2">
        <f ca="1"/>
        <v>9.5454095113001181E-4</v>
      </c>
      <c r="AH5113" s="2" t="str">
        <f ca="1"/>
        <v>Good</v>
      </c>
    </row>
    <row r="5114" spans="2:34" x14ac:dyDescent="0.2">
      <c r="B5114" s="2">
        <f ca="1"/>
        <v>0.31846863130053427</v>
      </c>
      <c r="O5114" s="2">
        <f ca="1"/>
        <v>-1.815180799658215</v>
      </c>
      <c r="X5114" s="2">
        <f ca="1"/>
        <v>39.200146313107567</v>
      </c>
      <c r="AG5114" s="2">
        <f ca="1"/>
        <v>3.1053917895151883E-4</v>
      </c>
      <c r="AH5114" s="2" t="str">
        <f ca="1"/>
        <v>Good</v>
      </c>
    </row>
    <row r="5115" spans="2:34" x14ac:dyDescent="0.2">
      <c r="B5115" s="2">
        <f ca="1"/>
        <v>0.90677871683073796</v>
      </c>
      <c r="O5115" s="2">
        <f ca="1"/>
        <v>0.92360338974383815</v>
      </c>
      <c r="X5115" s="2">
        <f ca="1"/>
        <v>68.853325025561134</v>
      </c>
      <c r="AG5115" s="2">
        <f ca="1"/>
        <v>0.83040615095839687</v>
      </c>
      <c r="AH5115" s="2" t="str">
        <f ca="1"/>
        <v>Bad</v>
      </c>
    </row>
    <row r="5116" spans="2:34" x14ac:dyDescent="0.2">
      <c r="B5116" s="2">
        <f ca="1"/>
        <v>0.67164514126587371</v>
      </c>
      <c r="O5116" s="2">
        <f ca="1"/>
        <v>0.46587848629816148</v>
      </c>
      <c r="X5116" s="2">
        <f ca="1"/>
        <v>48.104192739541809</v>
      </c>
      <c r="AG5116" s="2">
        <f ca="1"/>
        <v>0.3620515807161877</v>
      </c>
      <c r="AH5116" s="2" t="str">
        <f ca="1"/>
        <v>OK</v>
      </c>
    </row>
    <row r="5117" spans="2:34" x14ac:dyDescent="0.2">
      <c r="B5117" s="2">
        <f ca="1"/>
        <v>0.29721649515369775</v>
      </c>
      <c r="O5117" s="2">
        <f ca="1"/>
        <v>0.499223814774863</v>
      </c>
      <c r="X5117" s="2">
        <f ca="1"/>
        <v>59.715798802197149</v>
      </c>
      <c r="AG5117" s="2">
        <f ca="1"/>
        <v>0.13450212384529014</v>
      </c>
      <c r="AH5117" s="2" t="str">
        <f ca="1"/>
        <v>OK</v>
      </c>
    </row>
    <row r="5118" spans="2:34" x14ac:dyDescent="0.2">
      <c r="B5118" s="2">
        <f ca="1"/>
        <v>0.4583315649356976</v>
      </c>
      <c r="O5118" s="2">
        <f ca="1"/>
        <v>-1.5387405431874046</v>
      </c>
      <c r="X5118" s="2">
        <f ca="1"/>
        <v>42.239977857852942</v>
      </c>
      <c r="AG5118" s="2">
        <f ca="1"/>
        <v>0.64471039429249233</v>
      </c>
      <c r="AH5118" s="2" t="str">
        <f ca="1"/>
        <v>Bad</v>
      </c>
    </row>
    <row r="5119" spans="2:34" x14ac:dyDescent="0.2">
      <c r="B5119" s="2">
        <f ca="1"/>
        <v>0.27466959303704575</v>
      </c>
      <c r="O5119" s="2">
        <f ca="1"/>
        <v>-0.18740982487946381</v>
      </c>
      <c r="X5119" s="2">
        <f ca="1"/>
        <v>39.937049872274514</v>
      </c>
      <c r="AG5119" s="2">
        <f ca="1"/>
        <v>0.55792440056989179</v>
      </c>
      <c r="AH5119" s="2" t="str">
        <f ca="1"/>
        <v>Bad</v>
      </c>
    </row>
    <row r="5120" spans="2:34" x14ac:dyDescent="0.2">
      <c r="B5120" s="2">
        <f ca="1"/>
        <v>0.98535882015151377</v>
      </c>
      <c r="O5120" s="2">
        <f ca="1"/>
        <v>0.96909104168468596</v>
      </c>
      <c r="X5120" s="2">
        <f ca="1"/>
        <v>64.635544474966593</v>
      </c>
      <c r="AG5120" s="2">
        <f ca="1"/>
        <v>0.56700343642251516</v>
      </c>
      <c r="AH5120" s="2" t="str">
        <f ca="1"/>
        <v>Bad</v>
      </c>
    </row>
    <row r="5121" spans="2:34" x14ac:dyDescent="0.2">
      <c r="B5121" s="2">
        <f ca="1"/>
        <v>0.22429519375790297</v>
      </c>
      <c r="O5121" s="2">
        <f ca="1"/>
        <v>-2.4340422411436884</v>
      </c>
      <c r="X5121" s="2">
        <f ca="1"/>
        <v>31.819132615258784</v>
      </c>
      <c r="AG5121" s="2">
        <f ca="1"/>
        <v>0.3063163660893935</v>
      </c>
      <c r="AH5121" s="2" t="str">
        <f ca="1"/>
        <v>OK</v>
      </c>
    </row>
    <row r="5122" spans="2:34" x14ac:dyDescent="0.2">
      <c r="B5122" s="2">
        <f ca="1"/>
        <v>7.8503007522280122E-2</v>
      </c>
      <c r="O5122" s="2">
        <f ca="1"/>
        <v>-1.2686588355933848</v>
      </c>
      <c r="X5122" s="2">
        <f ca="1"/>
        <v>52.324989045024246</v>
      </c>
      <c r="AG5122" s="2">
        <f ca="1"/>
        <v>0.45887337958743268</v>
      </c>
      <c r="AH5122" s="2" t="str">
        <f ca="1"/>
        <v>Bad</v>
      </c>
    </row>
    <row r="5123" spans="2:34" x14ac:dyDescent="0.2">
      <c r="B5123" s="2">
        <f ca="1"/>
        <v>0.3930193276327365</v>
      </c>
      <c r="O5123" s="2">
        <f ca="1"/>
        <v>-1.0282609854410383</v>
      </c>
      <c r="X5123" s="2">
        <f ca="1"/>
        <v>64.681814826009713</v>
      </c>
      <c r="AG5123" s="2">
        <f ca="1"/>
        <v>0.37331399248947905</v>
      </c>
      <c r="AH5123" s="2" t="str">
        <f ca="1"/>
        <v>OK</v>
      </c>
    </row>
    <row r="5124" spans="2:34" x14ac:dyDescent="0.2">
      <c r="B5124" s="2">
        <f ca="1"/>
        <v>0.31566229700591841</v>
      </c>
      <c r="O5124" s="2">
        <f ca="1"/>
        <v>0.95696718629370392</v>
      </c>
      <c r="X5124" s="2">
        <f ca="1"/>
        <v>40.481920556843988</v>
      </c>
      <c r="AG5124" s="2">
        <f ca="1"/>
        <v>0.69742077185202911</v>
      </c>
      <c r="AH5124" s="2" t="str">
        <f ca="1"/>
        <v>Bad</v>
      </c>
    </row>
    <row r="5125" spans="2:34" x14ac:dyDescent="0.2">
      <c r="B5125" s="2">
        <f ca="1"/>
        <v>0.42262699783571134</v>
      </c>
      <c r="O5125" s="2">
        <f ca="1"/>
        <v>-0.30584239054020085</v>
      </c>
      <c r="X5125" s="2">
        <f ca="1"/>
        <v>54.861678883434934</v>
      </c>
      <c r="AG5125" s="2">
        <f ca="1"/>
        <v>0.65965314182548629</v>
      </c>
      <c r="AH5125" s="2" t="str">
        <f ca="1"/>
        <v>Bad</v>
      </c>
    </row>
    <row r="5126" spans="2:34" x14ac:dyDescent="0.2">
      <c r="B5126" s="2">
        <f ca="1"/>
        <v>0.79024176123554346</v>
      </c>
      <c r="O5126" s="2">
        <f ca="1"/>
        <v>0.94842233903433193</v>
      </c>
      <c r="X5126" s="2">
        <f ca="1"/>
        <v>38.274513549073092</v>
      </c>
      <c r="AG5126" s="2">
        <f ca="1"/>
        <v>0.72917319580147533</v>
      </c>
      <c r="AH5126" s="2" t="str">
        <f ca="1"/>
        <v>Bad</v>
      </c>
    </row>
    <row r="5127" spans="2:34" x14ac:dyDescent="0.2">
      <c r="B5127" s="2">
        <f ca="1"/>
        <v>0.41904461830234352</v>
      </c>
      <c r="O5127" s="2">
        <f ca="1"/>
        <v>-6.3400494274372082E-2</v>
      </c>
      <c r="X5127" s="2">
        <f ca="1"/>
        <v>55.610052932650731</v>
      </c>
      <c r="AG5127" s="2">
        <f ca="1"/>
        <v>0.68118144927670721</v>
      </c>
      <c r="AH5127" s="2" t="str">
        <f ca="1"/>
        <v>Bad</v>
      </c>
    </row>
    <row r="5128" spans="2:34" x14ac:dyDescent="0.2">
      <c r="B5128" s="2">
        <f ca="1"/>
        <v>0.79684267361776762</v>
      </c>
      <c r="O5128" s="2">
        <f ca="1"/>
        <v>-1.432045368481653</v>
      </c>
      <c r="X5128" s="2">
        <f ca="1"/>
        <v>83.049903132479912</v>
      </c>
      <c r="AG5128" s="2">
        <f ca="1"/>
        <v>3.0127933951824337E-2</v>
      </c>
      <c r="AH5128" s="2" t="str">
        <f ca="1"/>
        <v>Good</v>
      </c>
    </row>
    <row r="5129" spans="2:34" x14ac:dyDescent="0.2">
      <c r="B5129" s="2">
        <f ca="1"/>
        <v>0.23750653182186521</v>
      </c>
      <c r="O5129" s="2">
        <f ca="1"/>
        <v>0.54266190791598123</v>
      </c>
      <c r="X5129" s="2">
        <f ca="1"/>
        <v>32.988911540659331</v>
      </c>
      <c r="AG5129" s="2">
        <f ca="1"/>
        <v>0.66262748879824418</v>
      </c>
      <c r="AH5129" s="2" t="str">
        <f ca="1"/>
        <v>Bad</v>
      </c>
    </row>
    <row r="5130" spans="2:34" x14ac:dyDescent="0.2">
      <c r="B5130" s="2">
        <f ca="1"/>
        <v>0.59775694599212592</v>
      </c>
      <c r="O5130" s="2">
        <f ca="1"/>
        <v>-1.0859651563430655</v>
      </c>
      <c r="X5130" s="2">
        <f ca="1"/>
        <v>40.969167630407661</v>
      </c>
      <c r="AG5130" s="2">
        <f ca="1"/>
        <v>0.44311384714201485</v>
      </c>
      <c r="AH5130" s="2" t="str">
        <f ca="1"/>
        <v>Bad</v>
      </c>
    </row>
    <row r="5131" spans="2:34" x14ac:dyDescent="0.2">
      <c r="B5131" s="2">
        <f ca="1"/>
        <v>9.177150167875836E-2</v>
      </c>
      <c r="O5131" s="2">
        <f ca="1"/>
        <v>0.9367657888936094</v>
      </c>
      <c r="X5131" s="2">
        <f ca="1"/>
        <v>50.459221885973903</v>
      </c>
      <c r="AG5131" s="2">
        <f ca="1"/>
        <v>0.91781301341278265</v>
      </c>
      <c r="AH5131" s="2" t="str">
        <f ca="1"/>
        <v>Bad</v>
      </c>
    </row>
    <row r="5132" spans="2:34" x14ac:dyDescent="0.2">
      <c r="B5132" s="2">
        <f ca="1"/>
        <v>0.99986083503808065</v>
      </c>
      <c r="O5132" s="2">
        <f ca="1"/>
        <v>-1.1620933176505159E-2</v>
      </c>
      <c r="X5132" s="2">
        <f ca="1"/>
        <v>52.222924153514612</v>
      </c>
      <c r="AG5132" s="2">
        <f ca="1"/>
        <v>0.42167605864893076</v>
      </c>
      <c r="AH5132" s="2" t="str">
        <f ca="1"/>
        <v>Bad</v>
      </c>
    </row>
    <row r="5133" spans="2:34" x14ac:dyDescent="0.2">
      <c r="B5133" s="2">
        <f ca="1"/>
        <v>0.71473444277053888</v>
      </c>
      <c r="O5133" s="2">
        <f ca="1"/>
        <v>-1.0889303490221562</v>
      </c>
      <c r="X5133" s="2">
        <f ca="1"/>
        <v>70.205983462314364</v>
      </c>
      <c r="AG5133" s="2">
        <f ca="1"/>
        <v>0.8491676046138672</v>
      </c>
      <c r="AH5133" s="2" t="str">
        <f ca="1"/>
        <v>Bad</v>
      </c>
    </row>
    <row r="5134" spans="2:34" x14ac:dyDescent="0.2">
      <c r="B5134" s="2">
        <f ca="1"/>
        <v>0.22674612225575586</v>
      </c>
      <c r="O5134" s="2">
        <f ca="1"/>
        <v>-0.54535262810725615</v>
      </c>
      <c r="X5134" s="2">
        <f ca="1"/>
        <v>60.547354955401936</v>
      </c>
      <c r="AG5134" s="2">
        <f ca="1"/>
        <v>0.85194257776473803</v>
      </c>
      <c r="AH5134" s="2" t="str">
        <f ca="1"/>
        <v>Bad</v>
      </c>
    </row>
    <row r="5135" spans="2:34" x14ac:dyDescent="0.2">
      <c r="B5135" s="2">
        <f ca="1"/>
        <v>0.43979676724628058</v>
      </c>
      <c r="O5135" s="2">
        <f ca="1"/>
        <v>0.22932014040664264</v>
      </c>
      <c r="X5135" s="2">
        <f ca="1"/>
        <v>47.614568297358069</v>
      </c>
      <c r="AG5135" s="2">
        <f ca="1"/>
        <v>0.15589134123812021</v>
      </c>
      <c r="AH5135" s="2" t="str">
        <f ca="1"/>
        <v>OK</v>
      </c>
    </row>
    <row r="5136" spans="2:34" x14ac:dyDescent="0.2">
      <c r="B5136" s="2">
        <f ca="1"/>
        <v>0.63320481085121849</v>
      </c>
      <c r="O5136" s="2">
        <f ca="1"/>
        <v>-0.2744423089520262</v>
      </c>
      <c r="X5136" s="2">
        <f ca="1"/>
        <v>70.956689707202301</v>
      </c>
      <c r="AG5136" s="2">
        <f ca="1"/>
        <v>0.52594760649598382</v>
      </c>
      <c r="AH5136" s="2" t="str">
        <f ca="1"/>
        <v>Bad</v>
      </c>
    </row>
    <row r="5137" spans="2:34" x14ac:dyDescent="0.2">
      <c r="B5137" s="2">
        <f ca="1"/>
        <v>0.94908707052508046</v>
      </c>
      <c r="O5137" s="2">
        <f ca="1"/>
        <v>0.56420284185393721</v>
      </c>
      <c r="X5137" s="2">
        <f ca="1"/>
        <v>48.636130002430129</v>
      </c>
      <c r="AG5137" s="2">
        <f ca="1"/>
        <v>0.51704064464338662</v>
      </c>
      <c r="AH5137" s="2" t="str">
        <f ca="1"/>
        <v>Bad</v>
      </c>
    </row>
    <row r="5138" spans="2:34" x14ac:dyDescent="0.2">
      <c r="B5138" s="2">
        <f ca="1"/>
        <v>0.46897992505892461</v>
      </c>
      <c r="O5138" s="2">
        <f ca="1"/>
        <v>-0.5285124929850229</v>
      </c>
      <c r="X5138" s="2">
        <f ca="1"/>
        <v>63.85300788168508</v>
      </c>
      <c r="AG5138" s="2">
        <f ca="1"/>
        <v>0.15612265233266664</v>
      </c>
      <c r="AH5138" s="2" t="str">
        <f ca="1"/>
        <v>OK</v>
      </c>
    </row>
    <row r="5139" spans="2:34" x14ac:dyDescent="0.2">
      <c r="B5139" s="2">
        <f ca="1"/>
        <v>0.76337945049999667</v>
      </c>
      <c r="O5139" s="2">
        <f ca="1"/>
        <v>-0.52923234393355933</v>
      </c>
      <c r="X5139" s="2">
        <f ca="1"/>
        <v>52.715827654336223</v>
      </c>
      <c r="AG5139" s="2">
        <f ca="1"/>
        <v>0.83092101975219479</v>
      </c>
      <c r="AH5139" s="2" t="str">
        <f ca="1"/>
        <v>Bad</v>
      </c>
    </row>
    <row r="5140" spans="2:34" x14ac:dyDescent="0.2">
      <c r="B5140" s="2">
        <f ca="1"/>
        <v>0.27590083492101969</v>
      </c>
      <c r="O5140" s="2">
        <f ca="1"/>
        <v>-0.3660051448985483</v>
      </c>
      <c r="X5140" s="2">
        <f ca="1"/>
        <v>33.43087577887318</v>
      </c>
      <c r="AG5140" s="2">
        <f ca="1"/>
        <v>0.29820843522112672</v>
      </c>
      <c r="AH5140" s="2" t="str">
        <f ca="1"/>
        <v>OK</v>
      </c>
    </row>
    <row r="5141" spans="2:34" x14ac:dyDescent="0.2">
      <c r="B5141" s="2">
        <f ca="1"/>
        <v>0.12388778938869471</v>
      </c>
      <c r="O5141" s="2">
        <f ca="1"/>
        <v>0.47718381729963621</v>
      </c>
      <c r="X5141" s="2">
        <f ca="1"/>
        <v>61.928834261173506</v>
      </c>
      <c r="AG5141" s="2">
        <f ca="1"/>
        <v>0.78544642770655093</v>
      </c>
      <c r="AH5141" s="2" t="str">
        <f ca="1"/>
        <v>Bad</v>
      </c>
    </row>
    <row r="5142" spans="2:34" x14ac:dyDescent="0.2">
      <c r="B5142" s="2">
        <f ca="1"/>
        <v>1.4700810771864248E-2</v>
      </c>
      <c r="O5142" s="2">
        <f ca="1"/>
        <v>-0.74040048137129477</v>
      </c>
      <c r="X5142" s="2">
        <f ca="1"/>
        <v>41.505457229391098</v>
      </c>
      <c r="AG5142" s="2">
        <f ca="1"/>
        <v>0.75242008692007833</v>
      </c>
      <c r="AH5142" s="2" t="str">
        <f ca="1"/>
        <v>Bad</v>
      </c>
    </row>
    <row r="5143" spans="2:34" x14ac:dyDescent="0.2">
      <c r="B5143" s="2">
        <f ca="1"/>
        <v>0.77417261484808608</v>
      </c>
      <c r="O5143" s="2">
        <f ca="1"/>
        <v>-0.6191526567941833</v>
      </c>
      <c r="X5143" s="2">
        <f ca="1"/>
        <v>39.335589242378894</v>
      </c>
      <c r="AG5143" s="2">
        <f ca="1"/>
        <v>0.51588720046995706</v>
      </c>
      <c r="AH5143" s="2" t="str">
        <f ca="1"/>
        <v>Bad</v>
      </c>
    </row>
    <row r="5144" spans="2:34" x14ac:dyDescent="0.2">
      <c r="B5144" s="2">
        <f ca="1"/>
        <v>6.7386078705250485E-2</v>
      </c>
      <c r="O5144" s="2">
        <f ca="1"/>
        <v>0.3800873763133979</v>
      </c>
      <c r="X5144" s="2">
        <f ca="1"/>
        <v>21.303010879490408</v>
      </c>
      <c r="AG5144" s="2">
        <f ca="1"/>
        <v>0.56235120470104039</v>
      </c>
      <c r="AH5144" s="2" t="str">
        <f ca="1"/>
        <v>Bad</v>
      </c>
    </row>
    <row r="5145" spans="2:34" x14ac:dyDescent="0.2">
      <c r="B5145" s="2">
        <f ca="1"/>
        <v>0.73550860112715988</v>
      </c>
      <c r="O5145" s="2">
        <f ca="1"/>
        <v>1.3356411894019589</v>
      </c>
      <c r="X5145" s="2">
        <f ca="1"/>
        <v>51.309649094305165</v>
      </c>
      <c r="AG5145" s="2">
        <f ca="1"/>
        <v>0.24742664099796041</v>
      </c>
      <c r="AH5145" s="2" t="str">
        <f ca="1"/>
        <v>OK</v>
      </c>
    </row>
    <row r="5146" spans="2:34" x14ac:dyDescent="0.2">
      <c r="B5146" s="2">
        <f ca="1"/>
        <v>0.55897139722212308</v>
      </c>
      <c r="O5146" s="2">
        <f ca="1"/>
        <v>-3.9464475478232924E-2</v>
      </c>
      <c r="X5146" s="2">
        <f ca="1"/>
        <v>46.96706336335717</v>
      </c>
      <c r="AG5146" s="2">
        <f ca="1"/>
        <v>1.50555533987351E-4</v>
      </c>
      <c r="AH5146" s="2" t="str">
        <f ca="1"/>
        <v>Good</v>
      </c>
    </row>
    <row r="5147" spans="2:34" x14ac:dyDescent="0.2">
      <c r="B5147" s="2">
        <f ca="1"/>
        <v>0.50044273526401062</v>
      </c>
      <c r="O5147" s="2">
        <f ca="1"/>
        <v>-0.90821424652879534</v>
      </c>
      <c r="X5147" s="2">
        <f ca="1"/>
        <v>47.171296069841311</v>
      </c>
      <c r="AG5147" s="2">
        <f ca="1"/>
        <v>0.69074338329019902</v>
      </c>
      <c r="AH5147" s="2" t="str">
        <f ca="1"/>
        <v>Bad</v>
      </c>
    </row>
    <row r="5148" spans="2:34" x14ac:dyDescent="0.2">
      <c r="B5148" s="2">
        <f ca="1"/>
        <v>0.73191426511681112</v>
      </c>
      <c r="O5148" s="2">
        <f ca="1"/>
        <v>-0.13981476681290042</v>
      </c>
      <c r="X5148" s="2">
        <f ca="1"/>
        <v>60.500996076784531</v>
      </c>
      <c r="AG5148" s="2">
        <f ca="1"/>
        <v>0.47891052081674634</v>
      </c>
      <c r="AH5148" s="2" t="str">
        <f ca="1"/>
        <v>Bad</v>
      </c>
    </row>
    <row r="5149" spans="2:34" x14ac:dyDescent="0.2">
      <c r="B5149" s="2">
        <f ca="1"/>
        <v>0.25019018748513089</v>
      </c>
      <c r="O5149" s="2">
        <f ca="1"/>
        <v>2.1329717644963799</v>
      </c>
      <c r="X5149" s="2">
        <f ca="1"/>
        <v>52.9589670610588</v>
      </c>
      <c r="AG5149" s="2">
        <f ca="1"/>
        <v>0.30835702241091978</v>
      </c>
      <c r="AH5149" s="2" t="str">
        <f ca="1"/>
        <v>OK</v>
      </c>
    </row>
    <row r="5150" spans="2:34" x14ac:dyDescent="0.2">
      <c r="B5150" s="2">
        <f ca="1"/>
        <v>0.64113136927152081</v>
      </c>
      <c r="O5150" s="2">
        <f ca="1"/>
        <v>1.0339559541016838</v>
      </c>
      <c r="X5150" s="2">
        <f ca="1"/>
        <v>31.747235586362571</v>
      </c>
      <c r="AG5150" s="2">
        <f ca="1"/>
        <v>0.21787997054796859</v>
      </c>
      <c r="AH5150" s="2" t="str">
        <f ca="1"/>
        <v>OK</v>
      </c>
    </row>
    <row r="5151" spans="2:34" x14ac:dyDescent="0.2">
      <c r="B5151" s="2">
        <f ca="1"/>
        <v>0.37617403928663262</v>
      </c>
      <c r="O5151" s="2">
        <f ca="1"/>
        <v>-0.17392597324569201</v>
      </c>
      <c r="X5151" s="2">
        <f ca="1"/>
        <v>73.79015393939325</v>
      </c>
      <c r="AG5151" s="2">
        <f ca="1"/>
        <v>0.34705215915564769</v>
      </c>
      <c r="AH5151" s="2" t="str">
        <f ca="1"/>
        <v>OK</v>
      </c>
    </row>
    <row r="5152" spans="2:34" x14ac:dyDescent="0.2">
      <c r="B5152" s="2">
        <f ca="1"/>
        <v>0.29453279989046877</v>
      </c>
      <c r="O5152" s="2">
        <f ca="1"/>
        <v>2.7706006051237257</v>
      </c>
      <c r="X5152" s="2">
        <f ca="1"/>
        <v>60.97378377317483</v>
      </c>
      <c r="AG5152" s="2">
        <f ca="1"/>
        <v>0.16146142009192288</v>
      </c>
      <c r="AH5152" s="2" t="str">
        <f ca="1"/>
        <v>OK</v>
      </c>
    </row>
    <row r="5153" spans="2:34" x14ac:dyDescent="0.2">
      <c r="B5153" s="2">
        <f ca="1"/>
        <v>0.28804431014219922</v>
      </c>
      <c r="O5153" s="2">
        <f ca="1"/>
        <v>-0.86269990917379191</v>
      </c>
      <c r="X5153" s="2">
        <f ca="1"/>
        <v>27.166549257359137</v>
      </c>
      <c r="AG5153" s="2">
        <f ca="1"/>
        <v>0.1749522837926929</v>
      </c>
      <c r="AH5153" s="2" t="str">
        <f ca="1"/>
        <v>OK</v>
      </c>
    </row>
    <row r="5154" spans="2:34" x14ac:dyDescent="0.2">
      <c r="B5154" s="2">
        <f ca="1"/>
        <v>0.56542001812569209</v>
      </c>
      <c r="O5154" s="2">
        <f ca="1"/>
        <v>2.0906251935150451</v>
      </c>
      <c r="X5154" s="2">
        <f ca="1"/>
        <v>40.907093441623942</v>
      </c>
      <c r="AG5154" s="2">
        <f ca="1"/>
        <v>0.57335799400457677</v>
      </c>
      <c r="AH5154" s="2" t="str">
        <f ca="1"/>
        <v>Bad</v>
      </c>
    </row>
    <row r="5155" spans="2:34" x14ac:dyDescent="0.2">
      <c r="B5155" s="2">
        <f ca="1"/>
        <v>0.26472124061088365</v>
      </c>
      <c r="O5155" s="2">
        <f ca="1"/>
        <v>-0.10054624638666627</v>
      </c>
      <c r="X5155" s="2">
        <f ca="1"/>
        <v>64.601806486928851</v>
      </c>
      <c r="AG5155" s="2">
        <f ca="1"/>
        <v>0.73870948243545698</v>
      </c>
      <c r="AH5155" s="2" t="str">
        <f ca="1"/>
        <v>Bad</v>
      </c>
    </row>
    <row r="5156" spans="2:34" x14ac:dyDescent="0.2">
      <c r="B5156" s="2">
        <f ca="1"/>
        <v>0.13596948785653384</v>
      </c>
      <c r="O5156" s="2">
        <f ca="1"/>
        <v>0.63257541202600009</v>
      </c>
      <c r="X5156" s="2">
        <f ca="1"/>
        <v>33.353807159124578</v>
      </c>
      <c r="AG5156" s="2">
        <f ca="1"/>
        <v>0.35511171494417071</v>
      </c>
      <c r="AH5156" s="2" t="str">
        <f ca="1"/>
        <v>OK</v>
      </c>
    </row>
    <row r="5157" spans="2:34" x14ac:dyDescent="0.2">
      <c r="B5157" s="2">
        <f ca="1"/>
        <v>0.49163422136467783</v>
      </c>
      <c r="O5157" s="2">
        <f ca="1"/>
        <v>-1.1891761184973035</v>
      </c>
      <c r="X5157" s="2">
        <f ca="1"/>
        <v>48.119413075505705</v>
      </c>
      <c r="AG5157" s="2">
        <f ca="1"/>
        <v>0.29347993511536474</v>
      </c>
      <c r="AH5157" s="2" t="str">
        <f ca="1"/>
        <v>OK</v>
      </c>
    </row>
    <row r="5158" spans="2:34" x14ac:dyDescent="0.2">
      <c r="B5158" s="2">
        <f ca="1"/>
        <v>0.23341255811288986</v>
      </c>
      <c r="O5158" s="2">
        <f ca="1"/>
        <v>-0.3246673926883113</v>
      </c>
      <c r="X5158" s="2">
        <f ca="1"/>
        <v>79.084081355892607</v>
      </c>
      <c r="AG5158" s="2">
        <f ca="1"/>
        <v>0.58701087515479133</v>
      </c>
      <c r="AH5158" s="2" t="str">
        <f ca="1"/>
        <v>Bad</v>
      </c>
    </row>
    <row r="5159" spans="2:34" x14ac:dyDescent="0.2">
      <c r="B5159" s="2">
        <f ca="1"/>
        <v>0.84667277249041528</v>
      </c>
      <c r="O5159" s="2">
        <f ca="1"/>
        <v>0.17318026612094267</v>
      </c>
      <c r="X5159" s="2">
        <f ca="1"/>
        <v>78.653622725555039</v>
      </c>
      <c r="AG5159" s="2">
        <f ca="1"/>
        <v>0.54055536891754019</v>
      </c>
      <c r="AH5159" s="2" t="str">
        <f ca="1"/>
        <v>Bad</v>
      </c>
    </row>
    <row r="5160" spans="2:34" x14ac:dyDescent="0.2">
      <c r="B5160" s="2">
        <f ca="1"/>
        <v>6.1833494995850113E-2</v>
      </c>
      <c r="O5160" s="2">
        <f ca="1"/>
        <v>0.51294533544718246</v>
      </c>
      <c r="X5160" s="2">
        <f ca="1"/>
        <v>54.81797027282159</v>
      </c>
      <c r="AG5160" s="2">
        <f ca="1"/>
        <v>8.0850933402193847E-2</v>
      </c>
      <c r="AH5160" s="2" t="str">
        <f ca="1"/>
        <v>OK</v>
      </c>
    </row>
    <row r="5161" spans="2:34" x14ac:dyDescent="0.2">
      <c r="B5161" s="2">
        <f ca="1"/>
        <v>0.78413778980194748</v>
      </c>
      <c r="O5161" s="2">
        <f ca="1"/>
        <v>-0.68438908380209074</v>
      </c>
      <c r="X5161" s="2">
        <f ca="1"/>
        <v>44.156423223324978</v>
      </c>
      <c r="AG5161" s="2">
        <f ca="1"/>
        <v>0.95251343354166584</v>
      </c>
      <c r="AH5161" s="2" t="str">
        <f ca="1"/>
        <v>Bad</v>
      </c>
    </row>
    <row r="5162" spans="2:34" x14ac:dyDescent="0.2">
      <c r="B5162" s="2">
        <f ca="1"/>
        <v>0.98314755685801014</v>
      </c>
      <c r="O5162" s="2">
        <f ca="1"/>
        <v>3.4081928403219761</v>
      </c>
      <c r="X5162" s="2">
        <f ca="1"/>
        <v>74.379008869413127</v>
      </c>
      <c r="AG5162" s="2">
        <f ca="1"/>
        <v>0.68629539932331163</v>
      </c>
      <c r="AH5162" s="2" t="str">
        <f ca="1"/>
        <v>Bad</v>
      </c>
    </row>
    <row r="5163" spans="2:34" x14ac:dyDescent="0.2">
      <c r="B5163" s="2">
        <f ca="1"/>
        <v>0.16809392646898669</v>
      </c>
      <c r="O5163" s="2">
        <f ca="1"/>
        <v>0.33989048361498403</v>
      </c>
      <c r="X5163" s="2">
        <f ca="1"/>
        <v>56.655245625028662</v>
      </c>
      <c r="AG5163" s="2">
        <f ca="1"/>
        <v>0.71265477278354261</v>
      </c>
      <c r="AH5163" s="2" t="str">
        <f ca="1"/>
        <v>Bad</v>
      </c>
    </row>
    <row r="5164" spans="2:34" x14ac:dyDescent="0.2">
      <c r="B5164" s="2">
        <f ca="1"/>
        <v>0.29887181360543447</v>
      </c>
      <c r="O5164" s="2">
        <f ca="1"/>
        <v>-1.7975325588474471</v>
      </c>
      <c r="X5164" s="2">
        <f ca="1"/>
        <v>29.924216136906665</v>
      </c>
      <c r="AG5164" s="2">
        <f ca="1"/>
        <v>0.67951930242514069</v>
      </c>
      <c r="AH5164" s="2" t="str">
        <f ca="1"/>
        <v>Bad</v>
      </c>
    </row>
    <row r="5165" spans="2:34" x14ac:dyDescent="0.2">
      <c r="B5165" s="2">
        <f ca="1"/>
        <v>0.87700835691264478</v>
      </c>
      <c r="O5165" s="2">
        <f ca="1"/>
        <v>0.83580502479676511</v>
      </c>
      <c r="X5165" s="2">
        <f ca="1"/>
        <v>45.493799968699008</v>
      </c>
      <c r="AG5165" s="2">
        <f ca="1"/>
        <v>0.30232725483875478</v>
      </c>
      <c r="AH5165" s="2" t="str">
        <f ca="1"/>
        <v>OK</v>
      </c>
    </row>
    <row r="5166" spans="2:34" x14ac:dyDescent="0.2">
      <c r="B5166" s="2">
        <f ca="1"/>
        <v>0.42391748919753836</v>
      </c>
      <c r="O5166" s="2">
        <f ca="1"/>
        <v>-0.4156988562361934</v>
      </c>
      <c r="X5166" s="2">
        <f ca="1"/>
        <v>52.30437986512964</v>
      </c>
      <c r="AG5166" s="2">
        <f ca="1"/>
        <v>0.24842701213041352</v>
      </c>
      <c r="AH5166" s="2" t="str">
        <f ca="1"/>
        <v>OK</v>
      </c>
    </row>
    <row r="5167" spans="2:34" x14ac:dyDescent="0.2">
      <c r="B5167" s="2">
        <f ca="1"/>
        <v>0.28030249940642937</v>
      </c>
      <c r="O5167" s="2">
        <f ca="1"/>
        <v>0.90931203688280171</v>
      </c>
      <c r="X5167" s="2">
        <f ca="1"/>
        <v>77.643283191479995</v>
      </c>
      <c r="AG5167" s="2">
        <f ca="1"/>
        <v>0.32914599429061875</v>
      </c>
      <c r="AH5167" s="2" t="str">
        <f ca="1"/>
        <v>OK</v>
      </c>
    </row>
    <row r="5168" spans="2:34" x14ac:dyDescent="0.2">
      <c r="B5168" s="2">
        <f ca="1"/>
        <v>0.25214887437038724</v>
      </c>
      <c r="O5168" s="2">
        <f ca="1"/>
        <v>0.59138802410871305</v>
      </c>
      <c r="X5168" s="2">
        <f ca="1"/>
        <v>36.643529628439126</v>
      </c>
      <c r="AG5168" s="2">
        <f ca="1"/>
        <v>0.50910225863062375</v>
      </c>
      <c r="AH5168" s="2" t="str">
        <f ca="1"/>
        <v>Bad</v>
      </c>
    </row>
    <row r="5169" spans="2:34" x14ac:dyDescent="0.2">
      <c r="B5169" s="2">
        <f ca="1"/>
        <v>0.34503666909203656</v>
      </c>
      <c r="O5169" s="2">
        <f ca="1"/>
        <v>1.7574877832240765</v>
      </c>
      <c r="X5169" s="2">
        <f ca="1"/>
        <v>50.81664749432295</v>
      </c>
      <c r="AG5169" s="2">
        <f ca="1"/>
        <v>3.7967223023456897E-2</v>
      </c>
      <c r="AH5169" s="2" t="str">
        <f ca="1"/>
        <v>Good</v>
      </c>
    </row>
    <row r="5170" spans="2:34" x14ac:dyDescent="0.2">
      <c r="B5170" s="2">
        <f ca="1"/>
        <v>0.53522353626254748</v>
      </c>
      <c r="O5170" s="2">
        <f ca="1"/>
        <v>0.76066624470259858</v>
      </c>
      <c r="X5170" s="2">
        <f ca="1"/>
        <v>41.717692645495163</v>
      </c>
      <c r="AG5170" s="2">
        <f ca="1"/>
        <v>0.53608163938216569</v>
      </c>
      <c r="AH5170" s="2" t="str">
        <f ca="1"/>
        <v>Bad</v>
      </c>
    </row>
    <row r="5171" spans="2:34" x14ac:dyDescent="0.2">
      <c r="B5171" s="2">
        <f ca="1"/>
        <v>0.26880179785025105</v>
      </c>
      <c r="O5171" s="2">
        <f ca="1"/>
        <v>-1.4867294162901756</v>
      </c>
      <c r="X5171" s="2">
        <f ca="1"/>
        <v>65.987706991719207</v>
      </c>
      <c r="AG5171" s="2">
        <f ca="1"/>
        <v>0.34703100568786605</v>
      </c>
      <c r="AH5171" s="2" t="str">
        <f ca="1"/>
        <v>OK</v>
      </c>
    </row>
    <row r="5172" spans="2:34" x14ac:dyDescent="0.2">
      <c r="B5172" s="2">
        <f ca="1"/>
        <v>0.33999625496918728</v>
      </c>
      <c r="O5172" s="2">
        <f ca="1"/>
        <v>0.34237349274316931</v>
      </c>
      <c r="X5172" s="2">
        <f ca="1"/>
        <v>34.448098021410864</v>
      </c>
      <c r="AG5172" s="2">
        <f ca="1"/>
        <v>0.87341533747714806</v>
      </c>
      <c r="AH5172" s="2" t="str">
        <f ca="1"/>
        <v>Bad</v>
      </c>
    </row>
    <row r="5173" spans="2:34" x14ac:dyDescent="0.2">
      <c r="B5173" s="2">
        <f ca="1"/>
        <v>0.22756627914953009</v>
      </c>
      <c r="O5173" s="2">
        <f ca="1"/>
        <v>-0.83042124903985814</v>
      </c>
      <c r="X5173" s="2">
        <f ca="1"/>
        <v>48.269713988789313</v>
      </c>
      <c r="AG5173" s="2">
        <f ca="1"/>
        <v>0.10218694455728383</v>
      </c>
      <c r="AH5173" s="2" t="str">
        <f ca="1"/>
        <v>OK</v>
      </c>
    </row>
    <row r="5174" spans="2:34" x14ac:dyDescent="0.2">
      <c r="B5174" s="2">
        <f ca="1"/>
        <v>0.75798738601610549</v>
      </c>
      <c r="O5174" s="2">
        <f ca="1"/>
        <v>0.9929195944025746</v>
      </c>
      <c r="X5174" s="2">
        <f ca="1"/>
        <v>25.581607912751778</v>
      </c>
      <c r="AG5174" s="2">
        <f ca="1"/>
        <v>0.90867181605149616</v>
      </c>
      <c r="AH5174" s="2" t="str">
        <f ca="1"/>
        <v>Bad</v>
      </c>
    </row>
    <row r="5175" spans="2:34" x14ac:dyDescent="0.2">
      <c r="B5175" s="2">
        <f ca="1"/>
        <v>1.6235399817759566E-2</v>
      </c>
      <c r="O5175" s="2">
        <f ca="1"/>
        <v>-0.15603683841518273</v>
      </c>
      <c r="X5175" s="2">
        <f ca="1"/>
        <v>70.575509790455243</v>
      </c>
      <c r="AG5175" s="2">
        <f ca="1"/>
        <v>0.52346984570835398</v>
      </c>
      <c r="AH5175" s="2" t="str">
        <f ca="1"/>
        <v>Bad</v>
      </c>
    </row>
    <row r="5176" spans="2:34" x14ac:dyDescent="0.2">
      <c r="B5176" s="2">
        <f ca="1"/>
        <v>0.61640495615946023</v>
      </c>
      <c r="O5176" s="2">
        <f ca="1"/>
        <v>0.57570251995984689</v>
      </c>
      <c r="X5176" s="2">
        <f ca="1"/>
        <v>30.065987594185117</v>
      </c>
      <c r="AG5176" s="2">
        <f ca="1"/>
        <v>0.99023260026391524</v>
      </c>
      <c r="AH5176" s="2" t="str">
        <f ca="1"/>
        <v>Bad</v>
      </c>
    </row>
    <row r="5177" spans="2:34" x14ac:dyDescent="0.2">
      <c r="B5177" s="2">
        <f ca="1"/>
        <v>0.15225979791304733</v>
      </c>
      <c r="O5177" s="2">
        <f ca="1"/>
        <v>-0.13481445141846168</v>
      </c>
      <c r="X5177" s="2">
        <f ca="1"/>
        <v>54.699729061771023</v>
      </c>
      <c r="AG5177" s="2">
        <f ca="1"/>
        <v>0.72399634535184587</v>
      </c>
      <c r="AH5177" s="2" t="str">
        <f ca="1"/>
        <v>Bad</v>
      </c>
    </row>
    <row r="5178" spans="2:34" x14ac:dyDescent="0.2">
      <c r="B5178" s="2">
        <f ca="1"/>
        <v>0.84119486374185537</v>
      </c>
      <c r="O5178" s="2">
        <f ca="1"/>
        <v>5.7504268397972957E-2</v>
      </c>
      <c r="X5178" s="2">
        <f ca="1"/>
        <v>67.589138867730568</v>
      </c>
      <c r="AG5178" s="2">
        <f ca="1"/>
        <v>0.31791052795441366</v>
      </c>
      <c r="AH5178" s="2" t="str">
        <f ca="1"/>
        <v>OK</v>
      </c>
    </row>
    <row r="5179" spans="2:34" x14ac:dyDescent="0.2">
      <c r="B5179" s="2">
        <f ca="1"/>
        <v>0.41905700489713027</v>
      </c>
      <c r="O5179" s="2">
        <f ca="1"/>
        <v>-0.74918416768198237</v>
      </c>
      <c r="X5179" s="2">
        <f ca="1"/>
        <v>44.775008608030831</v>
      </c>
      <c r="AG5179" s="2">
        <f ca="1"/>
        <v>0.60245250614285539</v>
      </c>
      <c r="AH5179" s="2" t="str">
        <f ca="1"/>
        <v>Bad</v>
      </c>
    </row>
    <row r="5180" spans="2:34" x14ac:dyDescent="0.2">
      <c r="B5180" s="2">
        <f ca="1"/>
        <v>0.97748783825422314</v>
      </c>
      <c r="O5180" s="2">
        <f ca="1"/>
        <v>-0.42766005708067006</v>
      </c>
      <c r="X5180" s="2">
        <f ca="1"/>
        <v>71.464982620267278</v>
      </c>
      <c r="AG5180" s="2">
        <f ca="1"/>
        <v>0.26356603800130074</v>
      </c>
      <c r="AH5180" s="2" t="str">
        <f ca="1"/>
        <v>OK</v>
      </c>
    </row>
    <row r="5181" spans="2:34" x14ac:dyDescent="0.2">
      <c r="B5181" s="2">
        <f ca="1"/>
        <v>0.81432884632458213</v>
      </c>
      <c r="O5181" s="2">
        <f ca="1"/>
        <v>0.23314991672726054</v>
      </c>
      <c r="X5181" s="2">
        <f ca="1"/>
        <v>24.913744047259918</v>
      </c>
      <c r="AG5181" s="2">
        <f ca="1"/>
        <v>0.38895092189257841</v>
      </c>
      <c r="AH5181" s="2" t="str">
        <f ca="1"/>
        <v>OK</v>
      </c>
    </row>
    <row r="5182" spans="2:34" x14ac:dyDescent="0.2">
      <c r="B5182" s="2">
        <f ca="1"/>
        <v>0.6633166159481767</v>
      </c>
      <c r="O5182" s="2">
        <f ca="1"/>
        <v>-0.11516799298650328</v>
      </c>
      <c r="X5182" s="2">
        <f ca="1"/>
        <v>55.238137756883283</v>
      </c>
      <c r="AG5182" s="2">
        <f ca="1"/>
        <v>0.43628420526469314</v>
      </c>
      <c r="AH5182" s="2" t="str">
        <f ca="1"/>
        <v>Bad</v>
      </c>
    </row>
    <row r="5183" spans="2:34" x14ac:dyDescent="0.2">
      <c r="B5183" s="2">
        <f ca="1"/>
        <v>0.25592838876452384</v>
      </c>
      <c r="O5183" s="2">
        <f ca="1"/>
        <v>-0.59796601243655123</v>
      </c>
      <c r="X5183" s="2">
        <f ca="1"/>
        <v>47.269719929540095</v>
      </c>
      <c r="AG5183" s="2">
        <f ca="1"/>
        <v>0.12300053879033079</v>
      </c>
      <c r="AH5183" s="2" t="str">
        <f ca="1"/>
        <v>OK</v>
      </c>
    </row>
    <row r="5184" spans="2:34" x14ac:dyDescent="0.2">
      <c r="B5184" s="2">
        <f ca="1"/>
        <v>0.58728530373021082</v>
      </c>
      <c r="O5184" s="2">
        <f ca="1"/>
        <v>-0.72116485897875671</v>
      </c>
      <c r="X5184" s="2">
        <f ca="1"/>
        <v>31.254449476077735</v>
      </c>
      <c r="AG5184" s="2">
        <f ca="1"/>
        <v>0.25538060788384631</v>
      </c>
      <c r="AH5184" s="2" t="str">
        <f ca="1"/>
        <v>OK</v>
      </c>
    </row>
    <row r="5185" spans="2:34" x14ac:dyDescent="0.2">
      <c r="B5185" s="2">
        <f ca="1"/>
        <v>0.88335419778816249</v>
      </c>
      <c r="O5185" s="2">
        <f ca="1"/>
        <v>-0.50051319775475089</v>
      </c>
      <c r="X5185" s="2">
        <f ca="1"/>
        <v>43.98395326774753</v>
      </c>
      <c r="AG5185" s="2">
        <f ca="1"/>
        <v>0.90599531753595697</v>
      </c>
      <c r="AH5185" s="2" t="str">
        <f ca="1"/>
        <v>Bad</v>
      </c>
    </row>
    <row r="5186" spans="2:34" x14ac:dyDescent="0.2">
      <c r="B5186" s="2">
        <f ca="1"/>
        <v>0.71808988469113144</v>
      </c>
      <c r="O5186" s="2">
        <f ca="1"/>
        <v>-0.61116245683874582</v>
      </c>
      <c r="X5186" s="2">
        <f ca="1"/>
        <v>46.454241947495383</v>
      </c>
      <c r="AG5186" s="2">
        <f ca="1"/>
        <v>0.62633947377694632</v>
      </c>
      <c r="AH5186" s="2" t="str">
        <f ca="1"/>
        <v>Bad</v>
      </c>
    </row>
    <row r="5187" spans="2:34" x14ac:dyDescent="0.2">
      <c r="B5187" s="2">
        <f ca="1"/>
        <v>0.72694451534894156</v>
      </c>
      <c r="O5187" s="2">
        <f ca="1"/>
        <v>-0.40996932127433872</v>
      </c>
      <c r="X5187" s="2">
        <f ca="1"/>
        <v>70.205885251440435</v>
      </c>
      <c r="AG5187" s="2">
        <f ca="1"/>
        <v>0.9388129659174056</v>
      </c>
      <c r="AH5187" s="2" t="str">
        <f ca="1"/>
        <v>Bad</v>
      </c>
    </row>
    <row r="5188" spans="2:34" x14ac:dyDescent="0.2">
      <c r="B5188" s="2">
        <f ca="1"/>
        <v>0.37237118608001651</v>
      </c>
      <c r="O5188" s="2">
        <f ca="1"/>
        <v>1.265262485532729</v>
      </c>
      <c r="X5188" s="2">
        <f ca="1"/>
        <v>40.415693731686858</v>
      </c>
      <c r="AG5188" s="2">
        <f ca="1"/>
        <v>0.23571826218880321</v>
      </c>
      <c r="AH5188" s="2" t="str">
        <f ca="1"/>
        <v>OK</v>
      </c>
    </row>
    <row r="5189" spans="2:34" x14ac:dyDescent="0.2">
      <c r="B5189" s="2">
        <f ca="1"/>
        <v>4.6029941011551001E-2</v>
      </c>
      <c r="O5189" s="2">
        <f ca="1"/>
        <v>-1.2516911055930497E-2</v>
      </c>
      <c r="X5189" s="2">
        <f ca="1"/>
        <v>45.701157765863115</v>
      </c>
      <c r="AG5189" s="2">
        <f ca="1"/>
        <v>0.22550534343094397</v>
      </c>
      <c r="AH5189" s="2" t="str">
        <f ca="1"/>
        <v>OK</v>
      </c>
    </row>
    <row r="5190" spans="2:34" x14ac:dyDescent="0.2">
      <c r="B5190" s="2">
        <f ca="1"/>
        <v>0.45384828270870758</v>
      </c>
      <c r="O5190" s="2">
        <f ca="1"/>
        <v>1.5794100053197311</v>
      </c>
      <c r="X5190" s="2">
        <f ca="1"/>
        <v>47.732177727109345</v>
      </c>
      <c r="AG5190" s="2">
        <f ca="1"/>
        <v>0.79878514436099279</v>
      </c>
      <c r="AH5190" s="2" t="str">
        <f ca="1"/>
        <v>Bad</v>
      </c>
    </row>
    <row r="5191" spans="2:34" x14ac:dyDescent="0.2">
      <c r="B5191" s="2">
        <f ca="1"/>
        <v>0.2352406791920576</v>
      </c>
      <c r="O5191" s="2">
        <f ca="1"/>
        <v>-1.0590055948992878</v>
      </c>
      <c r="X5191" s="2">
        <f ca="1"/>
        <v>28.48210807737415</v>
      </c>
      <c r="AG5191" s="2">
        <f ca="1"/>
        <v>0.4121224103647485</v>
      </c>
      <c r="AH5191" s="2" t="str">
        <f ca="1"/>
        <v>Bad</v>
      </c>
    </row>
    <row r="5192" spans="2:34" x14ac:dyDescent="0.2">
      <c r="B5192" s="2">
        <f ca="1"/>
        <v>0.87660329844535934</v>
      </c>
      <c r="O5192" s="2">
        <f ca="1"/>
        <v>0.22334261114313167</v>
      </c>
      <c r="X5192" s="2">
        <f ca="1"/>
        <v>30.766081300716145</v>
      </c>
      <c r="AG5192" s="2">
        <f ca="1"/>
        <v>0.69184959556683134</v>
      </c>
      <c r="AH5192" s="2" t="str">
        <f ca="1"/>
        <v>Bad</v>
      </c>
    </row>
    <row r="5193" spans="2:34" x14ac:dyDescent="0.2">
      <c r="B5193" s="2">
        <f ca="1"/>
        <v>0.52136619956860808</v>
      </c>
      <c r="O5193" s="2">
        <f ca="1"/>
        <v>-0.73091682405565472</v>
      </c>
      <c r="X5193" s="2">
        <f ca="1"/>
        <v>44.512767103274982</v>
      </c>
      <c r="AG5193" s="2">
        <f ca="1"/>
        <v>0.57354790770706754</v>
      </c>
      <c r="AH5193" s="2" t="str">
        <f ca="1"/>
        <v>Bad</v>
      </c>
    </row>
    <row r="5194" spans="2:34" x14ac:dyDescent="0.2">
      <c r="B5194" s="2">
        <f ca="1"/>
        <v>7.8105883887115368E-2</v>
      </c>
      <c r="O5194" s="2">
        <f ca="1"/>
        <v>-0.34729625933514818</v>
      </c>
      <c r="X5194" s="2">
        <f ca="1"/>
        <v>44.050886785191921</v>
      </c>
      <c r="AG5194" s="2">
        <f ca="1"/>
        <v>0.55200370591865777</v>
      </c>
      <c r="AH5194" s="2" t="str">
        <f ca="1"/>
        <v>Bad</v>
      </c>
    </row>
    <row r="5195" spans="2:34" x14ac:dyDescent="0.2">
      <c r="B5195" s="2">
        <f ca="1"/>
        <v>0.32299400405626044</v>
      </c>
      <c r="O5195" s="2">
        <f ca="1"/>
        <v>1.6635136822017849</v>
      </c>
      <c r="X5195" s="2">
        <f ca="1"/>
        <v>53.044862642419176</v>
      </c>
      <c r="AG5195" s="2">
        <f ca="1"/>
        <v>0.23041379725702127</v>
      </c>
      <c r="AH5195" s="2" t="str">
        <f ca="1"/>
        <v>OK</v>
      </c>
    </row>
    <row r="5196" spans="2:34" x14ac:dyDescent="0.2">
      <c r="B5196" s="2">
        <f ca="1"/>
        <v>0.1267768101391813</v>
      </c>
      <c r="O5196" s="2">
        <f ca="1"/>
        <v>-1.2452008235902186</v>
      </c>
      <c r="X5196" s="2">
        <f ca="1"/>
        <v>26.323440828229412</v>
      </c>
      <c r="AG5196" s="2">
        <f ca="1"/>
        <v>0.24957466077251511</v>
      </c>
      <c r="AH5196" s="2" t="str">
        <f ca="1"/>
        <v>OK</v>
      </c>
    </row>
    <row r="5197" spans="2:34" x14ac:dyDescent="0.2">
      <c r="B5197" s="2">
        <f ca="1"/>
        <v>0.90171278335196847</v>
      </c>
      <c r="O5197" s="2">
        <f ca="1"/>
        <v>0.34080858597513286</v>
      </c>
      <c r="X5197" s="2">
        <f ca="1"/>
        <v>96.810075993562577</v>
      </c>
      <c r="AG5197" s="2">
        <f ca="1"/>
        <v>0.19623961698143888</v>
      </c>
      <c r="AH5197" s="2" t="str">
        <f ca="1"/>
        <v>OK</v>
      </c>
    </row>
    <row r="5198" spans="2:34" x14ac:dyDescent="0.2">
      <c r="B5198" s="2">
        <f ca="1"/>
        <v>0.34395763058948936</v>
      </c>
      <c r="O5198" s="2">
        <f ca="1"/>
        <v>3.9954235876409609E-2</v>
      </c>
      <c r="X5198" s="2">
        <f ca="1"/>
        <v>49.713682649225639</v>
      </c>
      <c r="AG5198" s="2">
        <f ca="1"/>
        <v>0.38000424809224298</v>
      </c>
      <c r="AH5198" s="2" t="str">
        <f ca="1"/>
        <v>OK</v>
      </c>
    </row>
    <row r="5199" spans="2:34" x14ac:dyDescent="0.2">
      <c r="B5199" s="2">
        <f ca="1"/>
        <v>0.38149427479126063</v>
      </c>
      <c r="O5199" s="2">
        <f ca="1"/>
        <v>1.0398013602872682</v>
      </c>
      <c r="X5199" s="2">
        <f ca="1"/>
        <v>76.1286221930377</v>
      </c>
      <c r="AG5199" s="2">
        <f ca="1"/>
        <v>8.8191231270434711E-2</v>
      </c>
      <c r="AH5199" s="2" t="str">
        <f ca="1"/>
        <v>OK</v>
      </c>
    </row>
    <row r="5200" spans="2:34" x14ac:dyDescent="0.2">
      <c r="B5200" s="2">
        <f ca="1"/>
        <v>0.61214129136647255</v>
      </c>
      <c r="O5200" s="2">
        <f ca="1"/>
        <v>8.4423244025366606E-2</v>
      </c>
      <c r="X5200" s="2">
        <f ca="1"/>
        <v>73.736133220828336</v>
      </c>
      <c r="AG5200" s="2">
        <f ca="1"/>
        <v>0.12589727750808444</v>
      </c>
      <c r="AH5200" s="2" t="str">
        <f ca="1"/>
        <v>OK</v>
      </c>
    </row>
    <row r="5201" spans="2:34" x14ac:dyDescent="0.2">
      <c r="B5201" s="2">
        <f ca="1"/>
        <v>0.94640613986111033</v>
      </c>
      <c r="O5201" s="2">
        <f ca="1"/>
        <v>-1.1604339169798079</v>
      </c>
      <c r="X5201" s="2">
        <f ca="1"/>
        <v>49.408917239788508</v>
      </c>
      <c r="AG5201" s="2">
        <f ca="1"/>
        <v>0.26203660609311208</v>
      </c>
      <c r="AH5201" s="2" t="str">
        <f ca="1"/>
        <v>OK</v>
      </c>
    </row>
    <row r="5202" spans="2:34" x14ac:dyDescent="0.2">
      <c r="B5202" s="2">
        <f ca="1"/>
        <v>0.59426015959235601</v>
      </c>
      <c r="O5202" s="2">
        <f ca="1"/>
        <v>1.3367696355160255</v>
      </c>
      <c r="X5202" s="2">
        <f ca="1"/>
        <v>60.896275612571856</v>
      </c>
      <c r="AG5202" s="2">
        <f ca="1"/>
        <v>0.42006609779109771</v>
      </c>
      <c r="AH5202" s="2" t="str">
        <f ca="1"/>
        <v>Bad</v>
      </c>
    </row>
    <row r="5203" spans="2:34" x14ac:dyDescent="0.2">
      <c r="B5203" s="2">
        <f ca="1"/>
        <v>0.19429204815207046</v>
      </c>
      <c r="O5203" s="2">
        <f ca="1"/>
        <v>-0.35079416545083403</v>
      </c>
      <c r="X5203" s="2">
        <f ca="1"/>
        <v>43.75953360073008</v>
      </c>
      <c r="AG5203" s="2">
        <f ca="1"/>
        <v>0.14961902780410674</v>
      </c>
      <c r="AH5203" s="2" t="str">
        <f ca="1"/>
        <v>OK</v>
      </c>
    </row>
    <row r="5204" spans="2:34" x14ac:dyDescent="0.2">
      <c r="B5204" s="2">
        <f ca="1"/>
        <v>0.33431997100821453</v>
      </c>
      <c r="O5204" s="2">
        <f ca="1"/>
        <v>0.45820891512648332</v>
      </c>
      <c r="X5204" s="2">
        <f ca="1"/>
        <v>37.399108919525197</v>
      </c>
      <c r="AG5204" s="2">
        <f ca="1"/>
        <v>0.30111702382496497</v>
      </c>
      <c r="AH5204" s="2" t="str">
        <f ca="1"/>
        <v>OK</v>
      </c>
    </row>
    <row r="5205" spans="2:34" x14ac:dyDescent="0.2">
      <c r="B5205" s="2">
        <f ca="1"/>
        <v>0.50110187761572744</v>
      </c>
      <c r="O5205" s="2">
        <f ca="1"/>
        <v>-0.30624491633588086</v>
      </c>
      <c r="X5205" s="2">
        <f ca="1"/>
        <v>68.61087252744349</v>
      </c>
      <c r="AG5205" s="2">
        <f ca="1"/>
        <v>0.77090054245736095</v>
      </c>
      <c r="AH5205" s="2" t="str">
        <f ca="1"/>
        <v>Bad</v>
      </c>
    </row>
    <row r="5206" spans="2:34" x14ac:dyDescent="0.2">
      <c r="B5206" s="2">
        <f ca="1"/>
        <v>0.44793846482855515</v>
      </c>
      <c r="O5206" s="2">
        <f ca="1"/>
        <v>-0.2234559235737123</v>
      </c>
      <c r="X5206" s="2">
        <f ca="1"/>
        <v>54.432537560591321</v>
      </c>
      <c r="AG5206" s="2">
        <f ca="1"/>
        <v>0.82216904234207089</v>
      </c>
      <c r="AH5206" s="2" t="str">
        <f ca="1"/>
        <v>Bad</v>
      </c>
    </row>
    <row r="5207" spans="2:34" x14ac:dyDescent="0.2">
      <c r="B5207" s="2">
        <f ca="1"/>
        <v>0.43908931829960629</v>
      </c>
      <c r="O5207" s="2">
        <f ca="1"/>
        <v>0.443791561752157</v>
      </c>
      <c r="X5207" s="2">
        <f ca="1"/>
        <v>68.023074235896303</v>
      </c>
      <c r="AG5207" s="2">
        <f ca="1"/>
        <v>0.97402949382196846</v>
      </c>
      <c r="AH5207" s="2" t="str">
        <f ca="1"/>
        <v>Bad</v>
      </c>
    </row>
    <row r="5208" spans="2:34" x14ac:dyDescent="0.2">
      <c r="B5208" s="2">
        <f ca="1"/>
        <v>0.67333986688750058</v>
      </c>
      <c r="O5208" s="2">
        <f ca="1"/>
        <v>8.8537483109926585E-3</v>
      </c>
      <c r="X5208" s="2">
        <f ca="1"/>
        <v>36.675544105722047</v>
      </c>
      <c r="AG5208" s="2">
        <f ca="1"/>
        <v>0.10425720103992675</v>
      </c>
      <c r="AH5208" s="2" t="str">
        <f ca="1"/>
        <v>OK</v>
      </c>
    </row>
    <row r="5209" spans="2:34" x14ac:dyDescent="0.2">
      <c r="B5209" s="2">
        <f ca="1"/>
        <v>0.4035816223589197</v>
      </c>
      <c r="O5209" s="2">
        <f ca="1"/>
        <v>-1.4752590633754241</v>
      </c>
      <c r="X5209" s="2">
        <f ca="1"/>
        <v>29.016766796130121</v>
      </c>
      <c r="AG5209" s="2">
        <f ca="1"/>
        <v>0.73623236295588468</v>
      </c>
      <c r="AH5209" s="2" t="str">
        <f ca="1"/>
        <v>Bad</v>
      </c>
    </row>
    <row r="5210" spans="2:34" x14ac:dyDescent="0.2">
      <c r="B5210" s="2">
        <f ca="1"/>
        <v>0.36892457464299699</v>
      </c>
      <c r="O5210" s="2">
        <f ca="1"/>
        <v>-0.44061555518123047</v>
      </c>
      <c r="X5210" s="2">
        <f ca="1"/>
        <v>45.672271273123705</v>
      </c>
      <c r="AG5210" s="2">
        <f ca="1"/>
        <v>5.2768624632697936E-2</v>
      </c>
      <c r="AH5210" s="2" t="str">
        <f ca="1"/>
        <v>OK</v>
      </c>
    </row>
    <row r="5211" spans="2:34" x14ac:dyDescent="0.2">
      <c r="B5211" s="2">
        <f ca="1"/>
        <v>0.64407012653601781</v>
      </c>
      <c r="O5211" s="2">
        <f ca="1"/>
        <v>-0.16299528494560364</v>
      </c>
      <c r="X5211" s="2">
        <f ca="1"/>
        <v>47.394528981175824</v>
      </c>
      <c r="AG5211" s="2">
        <f ca="1"/>
        <v>0.79724190708449383</v>
      </c>
      <c r="AH5211" s="2" t="str">
        <f ca="1"/>
        <v>Bad</v>
      </c>
    </row>
    <row r="5212" spans="2:34" x14ac:dyDescent="0.2">
      <c r="B5212" s="2">
        <f ca="1"/>
        <v>0.79884899867303272</v>
      </c>
      <c r="O5212" s="2">
        <f ca="1"/>
        <v>-1.11550680462646</v>
      </c>
      <c r="X5212" s="2">
        <f ca="1"/>
        <v>59.679154367964756</v>
      </c>
      <c r="AG5212" s="2">
        <f ca="1"/>
        <v>0.77425859023741839</v>
      </c>
      <c r="AH5212" s="2" t="str">
        <f ca="1"/>
        <v>Bad</v>
      </c>
    </row>
    <row r="5213" spans="2:34" x14ac:dyDescent="0.2">
      <c r="B5213" s="2">
        <f ca="1"/>
        <v>0.86593410215522026</v>
      </c>
      <c r="O5213" s="2">
        <f ca="1"/>
        <v>2.1313147584254999</v>
      </c>
      <c r="X5213" s="2">
        <f ca="1"/>
        <v>57.578880637334507</v>
      </c>
      <c r="AG5213" s="2">
        <f ca="1"/>
        <v>0.29305907489808836</v>
      </c>
      <c r="AH5213" s="2" t="str">
        <f ca="1"/>
        <v>OK</v>
      </c>
    </row>
    <row r="5214" spans="2:34" x14ac:dyDescent="0.2">
      <c r="B5214" s="2">
        <f ca="1"/>
        <v>0.75361633109399784</v>
      </c>
      <c r="O5214" s="2">
        <f ca="1"/>
        <v>1.0793429581293179</v>
      </c>
      <c r="X5214" s="2">
        <f ca="1"/>
        <v>69.20480016385693</v>
      </c>
      <c r="AG5214" s="2">
        <f ca="1"/>
        <v>7.3233280888989949E-2</v>
      </c>
      <c r="AH5214" s="2" t="str">
        <f ca="1"/>
        <v>OK</v>
      </c>
    </row>
    <row r="5215" spans="2:34" x14ac:dyDescent="0.2">
      <c r="B5215" s="2">
        <f ca="1"/>
        <v>0.75592988593350641</v>
      </c>
      <c r="O5215" s="2">
        <f ca="1"/>
        <v>-0.96748509481918932</v>
      </c>
      <c r="X5215" s="2">
        <f ca="1"/>
        <v>60.055308560520757</v>
      </c>
      <c r="AG5215" s="2">
        <f ca="1"/>
        <v>0.33056991906833111</v>
      </c>
      <c r="AH5215" s="2" t="str">
        <f ca="1"/>
        <v>OK</v>
      </c>
    </row>
    <row r="5216" spans="2:34" x14ac:dyDescent="0.2">
      <c r="B5216" s="2">
        <f ca="1"/>
        <v>0.93750809197461238</v>
      </c>
      <c r="O5216" s="2">
        <f ca="1"/>
        <v>-0.30363933916621172</v>
      </c>
      <c r="X5216" s="2">
        <f ca="1"/>
        <v>53.539656560282296</v>
      </c>
      <c r="AG5216" s="2">
        <f ca="1"/>
        <v>0.59069770483691975</v>
      </c>
      <c r="AH5216" s="2" t="str">
        <f ca="1"/>
        <v>Bad</v>
      </c>
    </row>
    <row r="5217" spans="2:34" x14ac:dyDescent="0.2">
      <c r="B5217" s="2">
        <f ca="1"/>
        <v>0.79724798495509996</v>
      </c>
      <c r="O5217" s="2">
        <f ca="1"/>
        <v>0.5449979715930181</v>
      </c>
      <c r="X5217" s="2">
        <f ca="1"/>
        <v>46.925841846683731</v>
      </c>
      <c r="AG5217" s="2">
        <f ca="1"/>
        <v>0.9065103964523118</v>
      </c>
      <c r="AH5217" s="2" t="str">
        <f ca="1"/>
        <v>Bad</v>
      </c>
    </row>
    <row r="5218" spans="2:34" x14ac:dyDescent="0.2">
      <c r="B5218" s="2">
        <f ca="1"/>
        <v>0.33144226702794777</v>
      </c>
      <c r="O5218" s="2">
        <f ca="1"/>
        <v>-1.2369558508893521</v>
      </c>
      <c r="X5218" s="2">
        <f ca="1"/>
        <v>37.34399753693053</v>
      </c>
      <c r="AG5218" s="2">
        <f ca="1"/>
        <v>3.9787150225587986E-2</v>
      </c>
      <c r="AH5218" s="2" t="str">
        <f ca="1"/>
        <v>Good</v>
      </c>
    </row>
    <row r="5219" spans="2:34" x14ac:dyDescent="0.2">
      <c r="B5219" s="2">
        <f ca="1"/>
        <v>0.8225421443501264</v>
      </c>
      <c r="O5219" s="2">
        <f ca="1"/>
        <v>-1.1093874748737502</v>
      </c>
      <c r="X5219" s="2">
        <f ca="1"/>
        <v>51.684629525192001</v>
      </c>
      <c r="AG5219" s="2">
        <f ca="1"/>
        <v>0.14587527858730676</v>
      </c>
      <c r="AH5219" s="2" t="str">
        <f ca="1"/>
        <v>OK</v>
      </c>
    </row>
    <row r="5220" spans="2:34" x14ac:dyDescent="0.2">
      <c r="B5220" s="2">
        <f ca="1"/>
        <v>0.95937824924702508</v>
      </c>
      <c r="O5220" s="2">
        <f ca="1"/>
        <v>-0.59022530965128472</v>
      </c>
      <c r="X5220" s="2">
        <f ca="1"/>
        <v>35.611670536756804</v>
      </c>
      <c r="AG5220" s="2">
        <f ca="1"/>
        <v>0.98286568961944609</v>
      </c>
      <c r="AH5220" s="2" t="str">
        <f ca="1"/>
        <v>Bad</v>
      </c>
    </row>
    <row r="5221" spans="2:34" x14ac:dyDescent="0.2">
      <c r="B5221" s="2">
        <f ca="1"/>
        <v>0.36554330920556088</v>
      </c>
      <c r="O5221" s="2">
        <f ca="1"/>
        <v>-0.28429185081334912</v>
      </c>
      <c r="X5221" s="2">
        <f ca="1"/>
        <v>40.235739118300174</v>
      </c>
      <c r="AG5221" s="2">
        <f ca="1"/>
        <v>0.98601225617482435</v>
      </c>
      <c r="AH5221" s="2" t="str">
        <f ca="1"/>
        <v>Bad</v>
      </c>
    </row>
    <row r="5222" spans="2:34" x14ac:dyDescent="0.2">
      <c r="B5222" s="2">
        <f ca="1"/>
        <v>0.67278327190256837</v>
      </c>
      <c r="O5222" s="2">
        <f ca="1"/>
        <v>0.39710362650451148</v>
      </c>
      <c r="X5222" s="2">
        <f ca="1"/>
        <v>29.664967166776432</v>
      </c>
      <c r="AG5222" s="2">
        <f ca="1"/>
        <v>0.82738066084619533</v>
      </c>
      <c r="AH5222" s="2" t="str">
        <f ca="1"/>
        <v>Bad</v>
      </c>
    </row>
    <row r="5223" spans="2:34" x14ac:dyDescent="0.2">
      <c r="B5223" s="2">
        <f ca="1"/>
        <v>2.1472876378207273E-2</v>
      </c>
      <c r="O5223" s="2">
        <f ca="1"/>
        <v>-0.11539147515477627</v>
      </c>
      <c r="X5223" s="2">
        <f ca="1"/>
        <v>46.667900723029689</v>
      </c>
      <c r="AG5223" s="2">
        <f ca="1"/>
        <v>3.4304681768159817E-2</v>
      </c>
      <c r="AH5223" s="2" t="str">
        <f ca="1"/>
        <v>Good</v>
      </c>
    </row>
    <row r="5224" spans="2:34" x14ac:dyDescent="0.2">
      <c r="B5224" s="2">
        <f ca="1"/>
        <v>0.74999020961167795</v>
      </c>
      <c r="O5224" s="2">
        <f ca="1"/>
        <v>-0.66860496919022538</v>
      </c>
      <c r="X5224" s="2">
        <f ca="1"/>
        <v>21.397391037357604</v>
      </c>
      <c r="AG5224" s="2">
        <f ca="1"/>
        <v>7.7822785021685936E-2</v>
      </c>
      <c r="AH5224" s="2" t="str">
        <f ca="1"/>
        <v>OK</v>
      </c>
    </row>
    <row r="5225" spans="2:34" x14ac:dyDescent="0.2">
      <c r="B5225" s="2">
        <f ca="1"/>
        <v>0.3889292505371067</v>
      </c>
      <c r="O5225" s="2">
        <f ca="1"/>
        <v>0.7536565354836704</v>
      </c>
      <c r="X5225" s="2">
        <f ca="1"/>
        <v>37.105773532279606</v>
      </c>
      <c r="AG5225" s="2">
        <f ca="1"/>
        <v>0.57570866379545449</v>
      </c>
      <c r="AH5225" s="2" t="str">
        <f ca="1"/>
        <v>Bad</v>
      </c>
    </row>
    <row r="5226" spans="2:34" x14ac:dyDescent="0.2">
      <c r="B5226" s="2">
        <f ca="1"/>
        <v>0.90434927286792988</v>
      </c>
      <c r="O5226" s="2">
        <f ca="1"/>
        <v>1.4319783875303664</v>
      </c>
      <c r="X5226" s="2">
        <f ca="1"/>
        <v>69.051501093034403</v>
      </c>
      <c r="AG5226" s="2">
        <f ca="1"/>
        <v>0.10434039338786905</v>
      </c>
      <c r="AH5226" s="2" t="str">
        <f ca="1"/>
        <v>OK</v>
      </c>
    </row>
    <row r="5227" spans="2:34" x14ac:dyDescent="0.2">
      <c r="B5227" s="2">
        <f ca="1"/>
        <v>0.33427019487214604</v>
      </c>
      <c r="O5227" s="2">
        <f ca="1"/>
        <v>1.9389494065433088</v>
      </c>
      <c r="X5227" s="2">
        <f ca="1"/>
        <v>40.272682274350672</v>
      </c>
      <c r="AG5227" s="2">
        <f ca="1"/>
        <v>0.25656219249033629</v>
      </c>
      <c r="AH5227" s="2" t="str">
        <f ca="1"/>
        <v>OK</v>
      </c>
    </row>
    <row r="5228" spans="2:34" x14ac:dyDescent="0.2">
      <c r="B5228" s="2">
        <f ca="1"/>
        <v>0.86445097709298202</v>
      </c>
      <c r="O5228" s="2">
        <f ca="1"/>
        <v>-1.1247352572273042</v>
      </c>
      <c r="X5228" s="2">
        <f ca="1"/>
        <v>80.074920611499039</v>
      </c>
      <c r="AG5228" s="2">
        <f ca="1"/>
        <v>0.5721027742523781</v>
      </c>
      <c r="AH5228" s="2" t="str">
        <f ca="1"/>
        <v>Bad</v>
      </c>
    </row>
    <row r="5229" spans="2:34" x14ac:dyDescent="0.2">
      <c r="B5229" s="2">
        <f ca="1"/>
        <v>0.52035807906512876</v>
      </c>
      <c r="O5229" s="2">
        <f ca="1"/>
        <v>0.60955964021788078</v>
      </c>
      <c r="X5229" s="2">
        <f ca="1"/>
        <v>41.8627864863535</v>
      </c>
      <c r="AG5229" s="2">
        <f ca="1"/>
        <v>0.79720567241967055</v>
      </c>
      <c r="AH5229" s="2" t="str">
        <f ca="1"/>
        <v>Bad</v>
      </c>
    </row>
    <row r="5230" spans="2:34" x14ac:dyDescent="0.2">
      <c r="B5230" s="2">
        <f ca="1"/>
        <v>0.28251345153928176</v>
      </c>
      <c r="O5230" s="2">
        <f ca="1"/>
        <v>-0.30857270648620239</v>
      </c>
      <c r="X5230" s="2">
        <f ca="1"/>
        <v>96.89374147958705</v>
      </c>
      <c r="AG5230" s="2">
        <f ca="1"/>
        <v>0.92004714071311122</v>
      </c>
      <c r="AH5230" s="2" t="str">
        <f ca="1"/>
        <v>Bad</v>
      </c>
    </row>
    <row r="5231" spans="2:34" x14ac:dyDescent="0.2">
      <c r="B5231" s="2">
        <f ca="1"/>
        <v>0.88832468312850166</v>
      </c>
      <c r="O5231" s="2">
        <f ca="1"/>
        <v>4.1154435527580135E-2</v>
      </c>
      <c r="X5231" s="2">
        <f ca="1"/>
        <v>72.178372491279802</v>
      </c>
      <c r="AG5231" s="2">
        <f ca="1"/>
        <v>5.2347038140425628E-3</v>
      </c>
      <c r="AH5231" s="2" t="str">
        <f ca="1"/>
        <v>Good</v>
      </c>
    </row>
    <row r="5232" spans="2:34" x14ac:dyDescent="0.2">
      <c r="B5232" s="2">
        <f ca="1"/>
        <v>5.9072838947722417E-2</v>
      </c>
      <c r="O5232" s="2">
        <f ca="1"/>
        <v>0.95409765796557067</v>
      </c>
      <c r="X5232" s="2">
        <f ca="1"/>
        <v>57.930511774947526</v>
      </c>
      <c r="AG5232" s="2">
        <f ca="1"/>
        <v>0.35689070177667492</v>
      </c>
      <c r="AH5232" s="2" t="str">
        <f ca="1"/>
        <v>OK</v>
      </c>
    </row>
    <row r="5233" spans="2:34" x14ac:dyDescent="0.2">
      <c r="B5233" s="2">
        <f ca="1"/>
        <v>0.38293501813838038</v>
      </c>
      <c r="O5233" s="2">
        <f ca="1"/>
        <v>-2.4133686633424749</v>
      </c>
      <c r="X5233" s="2">
        <f ca="1"/>
        <v>32.373627237976912</v>
      </c>
      <c r="AG5233" s="2">
        <f ca="1"/>
        <v>0.80454309025146142</v>
      </c>
      <c r="AH5233" s="2" t="str">
        <f ca="1"/>
        <v>Bad</v>
      </c>
    </row>
    <row r="5234" spans="2:34" x14ac:dyDescent="0.2">
      <c r="B5234" s="2">
        <f ca="1"/>
        <v>8.5241592841807545E-2</v>
      </c>
      <c r="O5234" s="2">
        <f ca="1"/>
        <v>-6.9272946479621733E-2</v>
      </c>
      <c r="X5234" s="2">
        <f ca="1"/>
        <v>73.428700465590111</v>
      </c>
      <c r="AG5234" s="2">
        <f ca="1"/>
        <v>0.86557128570814501</v>
      </c>
      <c r="AH5234" s="2" t="str">
        <f ca="1"/>
        <v>Bad</v>
      </c>
    </row>
    <row r="5235" spans="2:34" x14ac:dyDescent="0.2">
      <c r="B5235" s="2">
        <f ca="1"/>
        <v>0.63513627209197643</v>
      </c>
      <c r="O5235" s="2">
        <f ca="1"/>
        <v>0.73242633841918336</v>
      </c>
      <c r="X5235" s="2">
        <f ca="1"/>
        <v>39.104481866939501</v>
      </c>
      <c r="AG5235" s="2">
        <f ca="1"/>
        <v>0.90430758345309981</v>
      </c>
      <c r="AH5235" s="2" t="str">
        <f ca="1"/>
        <v>Bad</v>
      </c>
    </row>
    <row r="5236" spans="2:34" x14ac:dyDescent="0.2">
      <c r="B5236" s="2">
        <f ca="1"/>
        <v>0.26781791335934391</v>
      </c>
      <c r="O5236" s="2">
        <f ca="1"/>
        <v>0.82370618828268771</v>
      </c>
      <c r="X5236" s="2">
        <f ca="1"/>
        <v>38.399730433741645</v>
      </c>
      <c r="AG5236" s="2">
        <f ca="1"/>
        <v>0.79036752771037522</v>
      </c>
      <c r="AH5236" s="2" t="str">
        <f ca="1"/>
        <v>Bad</v>
      </c>
    </row>
    <row r="5237" spans="2:34" x14ac:dyDescent="0.2">
      <c r="B5237" s="2">
        <f ca="1"/>
        <v>0.66684136799069949</v>
      </c>
      <c r="O5237" s="2">
        <f ca="1"/>
        <v>-0.84239934644718339</v>
      </c>
      <c r="X5237" s="2">
        <f ca="1"/>
        <v>88.197491814850821</v>
      </c>
      <c r="AG5237" s="2">
        <f ca="1"/>
        <v>0.8839285047048866</v>
      </c>
      <c r="AH5237" s="2" t="str">
        <f ca="1"/>
        <v>Bad</v>
      </c>
    </row>
    <row r="5238" spans="2:34" x14ac:dyDescent="0.2">
      <c r="B5238" s="2">
        <f ca="1"/>
        <v>0.50455045470412818</v>
      </c>
      <c r="O5238" s="2">
        <f ca="1"/>
        <v>0.19164528762733957</v>
      </c>
      <c r="X5238" s="2">
        <f ca="1"/>
        <v>73.461867896986547</v>
      </c>
      <c r="AG5238" s="2">
        <f ca="1"/>
        <v>0.32503077815383619</v>
      </c>
      <c r="AH5238" s="2" t="str">
        <f ca="1"/>
        <v>OK</v>
      </c>
    </row>
    <row r="5239" spans="2:34" x14ac:dyDescent="0.2">
      <c r="B5239" s="2">
        <f ca="1"/>
        <v>0.3306302492882256</v>
      </c>
      <c r="O5239" s="2">
        <f ca="1"/>
        <v>-0.56293445401382836</v>
      </c>
      <c r="X5239" s="2">
        <f ca="1"/>
        <v>34.03319212551812</v>
      </c>
      <c r="AG5239" s="2">
        <f ca="1"/>
        <v>0.16901306581439068</v>
      </c>
      <c r="AH5239" s="2" t="str">
        <f ca="1"/>
        <v>OK</v>
      </c>
    </row>
    <row r="5240" spans="2:34" x14ac:dyDescent="0.2">
      <c r="B5240" s="2">
        <f ca="1"/>
        <v>0.28136712019003718</v>
      </c>
      <c r="O5240" s="2">
        <f ca="1"/>
        <v>-0.84218366544515599</v>
      </c>
      <c r="X5240" s="2">
        <f ca="1"/>
        <v>65.205900007991659</v>
      </c>
      <c r="AG5240" s="2">
        <f ca="1"/>
        <v>0.54980097555590368</v>
      </c>
      <c r="AH5240" s="2" t="str">
        <f ca="1"/>
        <v>Bad</v>
      </c>
    </row>
    <row r="5241" spans="2:34" x14ac:dyDescent="0.2">
      <c r="B5241" s="2">
        <f ca="1"/>
        <v>0.31022219239196636</v>
      </c>
      <c r="O5241" s="2">
        <f ca="1"/>
        <v>-0.64775245194665387</v>
      </c>
      <c r="X5241" s="2">
        <f ca="1"/>
        <v>86.592569247933483</v>
      </c>
      <c r="AG5241" s="2">
        <f ca="1"/>
        <v>0.10180380974595971</v>
      </c>
      <c r="AH5241" s="2" t="str">
        <f ca="1"/>
        <v>OK</v>
      </c>
    </row>
    <row r="5242" spans="2:34" x14ac:dyDescent="0.2">
      <c r="B5242" s="2">
        <f ca="1"/>
        <v>8.993617547069066E-3</v>
      </c>
      <c r="O5242" s="2">
        <f ca="1"/>
        <v>6.1635990861670223E-2</v>
      </c>
      <c r="X5242" s="2">
        <f ca="1"/>
        <v>80.638827411556292</v>
      </c>
      <c r="AG5242" s="2">
        <f ca="1"/>
        <v>0.28801193315277374</v>
      </c>
      <c r="AH5242" s="2" t="str">
        <f ca="1"/>
        <v>OK</v>
      </c>
    </row>
    <row r="5243" spans="2:34" x14ac:dyDescent="0.2">
      <c r="B5243" s="2">
        <f ca="1"/>
        <v>0.79285665452114995</v>
      </c>
      <c r="O5243" s="2">
        <f ca="1"/>
        <v>0.60607816133734316</v>
      </c>
      <c r="X5243" s="2">
        <f ca="1"/>
        <v>44.154067299910011</v>
      </c>
      <c r="AG5243" s="2">
        <f ca="1"/>
        <v>0.86831453309279261</v>
      </c>
      <c r="AH5243" s="2" t="str">
        <f ca="1"/>
        <v>Bad</v>
      </c>
    </row>
    <row r="5244" spans="2:34" x14ac:dyDescent="0.2">
      <c r="B5244" s="2">
        <f ca="1"/>
        <v>0.97565839031633605</v>
      </c>
      <c r="O5244" s="2">
        <f ca="1"/>
        <v>-0.50069849834583402</v>
      </c>
      <c r="X5244" s="2">
        <f ca="1"/>
        <v>74.700341658592293</v>
      </c>
      <c r="AG5244" s="2">
        <f ca="1"/>
        <v>0.41671190778377754</v>
      </c>
      <c r="AH5244" s="2" t="str">
        <f ca="1"/>
        <v>Bad</v>
      </c>
    </row>
    <row r="5245" spans="2:34" x14ac:dyDescent="0.2">
      <c r="B5245" s="2">
        <f ca="1"/>
        <v>0.54834587604454632</v>
      </c>
      <c r="O5245" s="2">
        <f ca="1"/>
        <v>0.27157544594090333</v>
      </c>
      <c r="X5245" s="2">
        <f ca="1"/>
        <v>20.59059293719082</v>
      </c>
      <c r="AG5245" s="2">
        <f ca="1"/>
        <v>0.41371235965972919</v>
      </c>
      <c r="AH5245" s="2" t="str">
        <f ca="1"/>
        <v>Bad</v>
      </c>
    </row>
    <row r="5246" spans="2:34" x14ac:dyDescent="0.2">
      <c r="B5246" s="2">
        <f ca="1"/>
        <v>0.92312082614969393</v>
      </c>
      <c r="O5246" s="2">
        <f ca="1"/>
        <v>0.76751185496232077</v>
      </c>
      <c r="X5246" s="2">
        <f ca="1"/>
        <v>53.45107737243648</v>
      </c>
      <c r="AG5246" s="2">
        <f ca="1"/>
        <v>0.74902218989464253</v>
      </c>
      <c r="AH5246" s="2" t="str">
        <f ca="1"/>
        <v>Bad</v>
      </c>
    </row>
    <row r="5247" spans="2:34" x14ac:dyDescent="0.2">
      <c r="B5247" s="2">
        <f ca="1"/>
        <v>0.34604528837287885</v>
      </c>
      <c r="O5247" s="2">
        <f ca="1"/>
        <v>-1.2147458994618301</v>
      </c>
      <c r="X5247" s="2">
        <f ca="1"/>
        <v>30.712363060292297</v>
      </c>
      <c r="AG5247" s="2">
        <f ca="1"/>
        <v>0.13336717172983925</v>
      </c>
      <c r="AH5247" s="2" t="str">
        <f ca="1"/>
        <v>OK</v>
      </c>
    </row>
    <row r="5248" spans="2:34" x14ac:dyDescent="0.2">
      <c r="B5248" s="2">
        <f ca="1"/>
        <v>3.9173854268775177E-2</v>
      </c>
      <c r="O5248" s="2">
        <f ca="1"/>
        <v>-1.4446520436162971</v>
      </c>
      <c r="X5248" s="2">
        <f ca="1"/>
        <v>30.468059773912405</v>
      </c>
      <c r="AG5248" s="2">
        <f ca="1"/>
        <v>0.16269148977905346</v>
      </c>
      <c r="AH5248" s="2" t="str">
        <f ca="1"/>
        <v>OK</v>
      </c>
    </row>
    <row r="5249" spans="2:34" x14ac:dyDescent="0.2">
      <c r="B5249" s="2">
        <f ca="1"/>
        <v>0.74081934983711961</v>
      </c>
      <c r="O5249" s="2">
        <f ca="1"/>
        <v>0.81406137371766707</v>
      </c>
      <c r="X5249" s="2">
        <f ca="1"/>
        <v>45.550690180194131</v>
      </c>
      <c r="AG5249" s="2">
        <f ca="1"/>
        <v>0.73628358058352972</v>
      </c>
      <c r="AH5249" s="2" t="str">
        <f ca="1"/>
        <v>Bad</v>
      </c>
    </row>
    <row r="5250" spans="2:34" x14ac:dyDescent="0.2">
      <c r="B5250" s="2">
        <f ca="1"/>
        <v>0.86661627308360734</v>
      </c>
      <c r="O5250" s="2">
        <f ca="1"/>
        <v>0.58481760640999536</v>
      </c>
      <c r="X5250" s="2">
        <f ca="1"/>
        <v>40.032025464272614</v>
      </c>
      <c r="AG5250" s="2">
        <f ca="1"/>
        <v>0.54418085286941897</v>
      </c>
      <c r="AH5250" s="2" t="str">
        <f ca="1"/>
        <v>Bad</v>
      </c>
    </row>
    <row r="5251" spans="2:34" x14ac:dyDescent="0.2">
      <c r="B5251" s="2">
        <f ca="1"/>
        <v>0.41951092260399636</v>
      </c>
      <c r="O5251" s="2">
        <f ca="1"/>
        <v>0.33918452608014449</v>
      </c>
      <c r="X5251" s="2">
        <f ca="1"/>
        <v>50.274673424731503</v>
      </c>
      <c r="AG5251" s="2">
        <f ca="1"/>
        <v>0.90706216712978827</v>
      </c>
      <c r="AH5251" s="2" t="str">
        <f ca="1"/>
        <v>Bad</v>
      </c>
    </row>
    <row r="5252" spans="2:34" x14ac:dyDescent="0.2">
      <c r="B5252" s="2">
        <f ca="1"/>
        <v>0.48199337586094404</v>
      </c>
      <c r="O5252" s="2">
        <f ca="1"/>
        <v>0.17611960407913471</v>
      </c>
      <c r="X5252" s="2">
        <f ca="1"/>
        <v>44.617748582420987</v>
      </c>
      <c r="AG5252" s="2">
        <f ca="1"/>
        <v>0.75745719519183763</v>
      </c>
      <c r="AH5252" s="2" t="str">
        <f ca="1"/>
        <v>Bad</v>
      </c>
    </row>
    <row r="5253" spans="2:34" x14ac:dyDescent="0.2">
      <c r="B5253" s="2">
        <f ca="1"/>
        <v>0.32082219260275524</v>
      </c>
      <c r="O5253" s="2">
        <f ca="1"/>
        <v>-0.43623590939586154</v>
      </c>
      <c r="X5253" s="2">
        <f ca="1"/>
        <v>56.009674477263694</v>
      </c>
      <c r="AG5253" s="2">
        <f ca="1"/>
        <v>0.53897177795837936</v>
      </c>
      <c r="AH5253" s="2" t="str">
        <f ca="1"/>
        <v>Bad</v>
      </c>
    </row>
    <row r="5254" spans="2:34" x14ac:dyDescent="0.2">
      <c r="B5254" s="2">
        <f ca="1"/>
        <v>0.35946639198551389</v>
      </c>
      <c r="O5254" s="2">
        <f ca="1"/>
        <v>-0.21612782856851498</v>
      </c>
      <c r="X5254" s="2">
        <f ca="1"/>
        <v>77.286122328968176</v>
      </c>
      <c r="AG5254" s="2">
        <f ca="1"/>
        <v>0.15321711380144354</v>
      </c>
      <c r="AH5254" s="2" t="str">
        <f ca="1"/>
        <v>OK</v>
      </c>
    </row>
    <row r="5255" spans="2:34" x14ac:dyDescent="0.2">
      <c r="B5255" s="2">
        <f ca="1"/>
        <v>0.97053408137291197</v>
      </c>
      <c r="O5255" s="2">
        <f ca="1"/>
        <v>0.16810430624895473</v>
      </c>
      <c r="X5255" s="2">
        <f ca="1"/>
        <v>44.76306713343044</v>
      </c>
      <c r="AG5255" s="2">
        <f ca="1"/>
        <v>0.35647720464061106</v>
      </c>
      <c r="AH5255" s="2" t="str">
        <f ca="1"/>
        <v>OK</v>
      </c>
    </row>
    <row r="5256" spans="2:34" x14ac:dyDescent="0.2">
      <c r="B5256" s="2">
        <f ca="1"/>
        <v>0.90312653206224369</v>
      </c>
      <c r="O5256" s="2">
        <f ca="1"/>
        <v>0.74294168044885234</v>
      </c>
      <c r="X5256" s="2">
        <f ca="1"/>
        <v>60.504857010101638</v>
      </c>
      <c r="AG5256" s="2">
        <f ca="1"/>
        <v>0.35055657702879417</v>
      </c>
      <c r="AH5256" s="2" t="str">
        <f ca="1"/>
        <v>OK</v>
      </c>
    </row>
    <row r="5257" spans="2:34" x14ac:dyDescent="0.2">
      <c r="B5257" s="2">
        <f ca="1"/>
        <v>0.97056270583686421</v>
      </c>
      <c r="O5257" s="2">
        <f ca="1"/>
        <v>0.39417083292548571</v>
      </c>
      <c r="X5257" s="2">
        <f ca="1"/>
        <v>32.522156025773988</v>
      </c>
      <c r="AG5257" s="2">
        <f ca="1"/>
        <v>0.30576876308843848</v>
      </c>
      <c r="AH5257" s="2" t="str">
        <f ca="1"/>
        <v>OK</v>
      </c>
    </row>
    <row r="5258" spans="2:34" x14ac:dyDescent="0.2">
      <c r="B5258" s="2">
        <f ca="1"/>
        <v>0.55501302917503326</v>
      </c>
      <c r="O5258" s="2">
        <f ca="1"/>
        <v>-7.0564522669197188E-2</v>
      </c>
      <c r="X5258" s="2">
        <f ca="1"/>
        <v>28.498679244068668</v>
      </c>
      <c r="AG5258" s="2">
        <f ca="1"/>
        <v>0.52428571506318766</v>
      </c>
      <c r="AH5258" s="2" t="str">
        <f ca="1"/>
        <v>Bad</v>
      </c>
    </row>
    <row r="5259" spans="2:34" x14ac:dyDescent="0.2">
      <c r="B5259" s="2">
        <f ca="1"/>
        <v>0.30449777917259224</v>
      </c>
      <c r="O5259" s="2">
        <f ca="1"/>
        <v>-0.40878061569610202</v>
      </c>
      <c r="X5259" s="2">
        <f ca="1"/>
        <v>51.336060535540781</v>
      </c>
      <c r="AG5259" s="2">
        <f ca="1"/>
        <v>0.97844246627668574</v>
      </c>
      <c r="AH5259" s="2" t="str">
        <f ca="1"/>
        <v>Bad</v>
      </c>
    </row>
    <row r="5260" spans="2:34" x14ac:dyDescent="0.2">
      <c r="B5260" s="2">
        <f ca="1"/>
        <v>0.8398637308046446</v>
      </c>
      <c r="O5260" s="2">
        <f ca="1"/>
        <v>-2.2212475906330509</v>
      </c>
      <c r="X5260" s="2">
        <f ca="1"/>
        <v>31.786238534391309</v>
      </c>
      <c r="AG5260" s="2">
        <f ca="1"/>
        <v>0.70720120778452955</v>
      </c>
      <c r="AH5260" s="2" t="str">
        <f ca="1"/>
        <v>Bad</v>
      </c>
    </row>
    <row r="5261" spans="2:34" x14ac:dyDescent="0.2">
      <c r="B5261" s="2">
        <f ca="1"/>
        <v>0.44371711412518211</v>
      </c>
      <c r="O5261" s="2">
        <f ca="1"/>
        <v>-1.2806817627381164</v>
      </c>
      <c r="X5261" s="2">
        <f ca="1"/>
        <v>33.122947527567426</v>
      </c>
      <c r="AG5261" s="2">
        <f ca="1"/>
        <v>0.62298531946487112</v>
      </c>
      <c r="AH5261" s="2" t="str">
        <f ca="1"/>
        <v>Bad</v>
      </c>
    </row>
    <row r="5262" spans="2:34" x14ac:dyDescent="0.2">
      <c r="B5262" s="2">
        <f ca="1"/>
        <v>0.98102797805595299</v>
      </c>
      <c r="O5262" s="2">
        <f ca="1"/>
        <v>-0.94210438470427282</v>
      </c>
      <c r="X5262" s="2">
        <f ca="1"/>
        <v>37.16546004068303</v>
      </c>
      <c r="AG5262" s="2">
        <f ca="1"/>
        <v>0.20883886438124288</v>
      </c>
      <c r="AH5262" s="2" t="str">
        <f ca="1"/>
        <v>OK</v>
      </c>
    </row>
    <row r="5263" spans="2:34" x14ac:dyDescent="0.2">
      <c r="B5263" s="2">
        <f ca="1"/>
        <v>0.92626112167763508</v>
      </c>
      <c r="O5263" s="2">
        <f ca="1"/>
        <v>0.10671741685594996</v>
      </c>
      <c r="X5263" s="2">
        <f ca="1"/>
        <v>53.805694340732664</v>
      </c>
      <c r="AG5263" s="2">
        <f ca="1"/>
        <v>0.8359544991591743</v>
      </c>
      <c r="AH5263" s="2" t="str">
        <f ca="1"/>
        <v>Bad</v>
      </c>
    </row>
    <row r="5264" spans="2:34" x14ac:dyDescent="0.2">
      <c r="B5264" s="2">
        <f ca="1"/>
        <v>0.15428828935207073</v>
      </c>
      <c r="O5264" s="2">
        <f ca="1"/>
        <v>1.8087250080482309</v>
      </c>
      <c r="X5264" s="2">
        <f ca="1"/>
        <v>32.878189409566673</v>
      </c>
      <c r="AG5264" s="2">
        <f ca="1"/>
        <v>0.16893622155029742</v>
      </c>
      <c r="AH5264" s="2" t="str">
        <f ca="1"/>
        <v>OK</v>
      </c>
    </row>
    <row r="5265" spans="2:34" x14ac:dyDescent="0.2">
      <c r="B5265" s="2">
        <f ca="1"/>
        <v>0.54001923665070661</v>
      </c>
      <c r="O5265" s="2">
        <f ca="1"/>
        <v>-0.90527591083017567</v>
      </c>
      <c r="X5265" s="2">
        <f ca="1"/>
        <v>37.67045590252328</v>
      </c>
      <c r="AG5265" s="2">
        <f ca="1"/>
        <v>0.40072129672068768</v>
      </c>
      <c r="AH5265" s="2" t="str">
        <f ca="1"/>
        <v>Bad</v>
      </c>
    </row>
    <row r="5266" spans="2:34" x14ac:dyDescent="0.2">
      <c r="B5266" s="2">
        <f ca="1"/>
        <v>8.5587012588992151E-2</v>
      </c>
      <c r="O5266" s="2">
        <f ca="1"/>
        <v>-2.2301438495315882</v>
      </c>
      <c r="X5266" s="2">
        <f ca="1"/>
        <v>48.548888075318033</v>
      </c>
      <c r="AG5266" s="2">
        <f ca="1"/>
        <v>7.5731937099709157E-2</v>
      </c>
      <c r="AH5266" s="2" t="str">
        <f ca="1"/>
        <v>OK</v>
      </c>
    </row>
    <row r="5267" spans="2:34" x14ac:dyDescent="0.2">
      <c r="B5267" s="2">
        <f ca="1"/>
        <v>0.24276384698272335</v>
      </c>
      <c r="O5267" s="2">
        <f ca="1"/>
        <v>-0.94738821826867226</v>
      </c>
      <c r="X5267" s="2">
        <f ca="1"/>
        <v>53.572351312144804</v>
      </c>
      <c r="AG5267" s="2">
        <f ca="1"/>
        <v>0.89507432660027697</v>
      </c>
      <c r="AH5267" s="2" t="str">
        <f ca="1"/>
        <v>Bad</v>
      </c>
    </row>
    <row r="5268" spans="2:34" x14ac:dyDescent="0.2">
      <c r="B5268" s="2">
        <f ca="1"/>
        <v>0.83193868135331139</v>
      </c>
      <c r="O5268" s="2">
        <f ca="1"/>
        <v>2.2279485500312974</v>
      </c>
      <c r="X5268" s="2">
        <f ca="1"/>
        <v>61.839148973921965</v>
      </c>
      <c r="AG5268" s="2">
        <f ca="1"/>
        <v>0.73282005686178464</v>
      </c>
      <c r="AH5268" s="2" t="str">
        <f ca="1"/>
        <v>Bad</v>
      </c>
    </row>
    <row r="5269" spans="2:34" x14ac:dyDescent="0.2">
      <c r="B5269" s="2">
        <f ca="1"/>
        <v>0.95793558064619022</v>
      </c>
      <c r="O5269" s="2">
        <f ca="1"/>
        <v>-0.72919532474443749</v>
      </c>
      <c r="X5269" s="2">
        <f ca="1"/>
        <v>46.844911939402124</v>
      </c>
      <c r="AG5269" s="2">
        <f ca="1"/>
        <v>0.14269985671155894</v>
      </c>
      <c r="AH5269" s="2" t="str">
        <f ca="1"/>
        <v>OK</v>
      </c>
    </row>
    <row r="5270" spans="2:34" x14ac:dyDescent="0.2">
      <c r="B5270" s="2">
        <f ca="1"/>
        <v>0.79441860404593179</v>
      </c>
      <c r="O5270" s="2">
        <f ca="1"/>
        <v>1.2475660429625692</v>
      </c>
      <c r="X5270" s="2">
        <f ca="1"/>
        <v>39.849549493417882</v>
      </c>
      <c r="AG5270" s="2">
        <f ca="1"/>
        <v>2.6544135134987101E-3</v>
      </c>
      <c r="AH5270" s="2" t="str">
        <f ca="1"/>
        <v>Good</v>
      </c>
    </row>
    <row r="5271" spans="2:34" x14ac:dyDescent="0.2">
      <c r="B5271" s="2">
        <f ca="1"/>
        <v>0.95545339816255015</v>
      </c>
      <c r="O5271" s="2">
        <f ca="1"/>
        <v>-0.45309346384594784</v>
      </c>
      <c r="X5271" s="2">
        <f ca="1"/>
        <v>66.226129947079542</v>
      </c>
      <c r="AG5271" s="2">
        <f ca="1"/>
        <v>0.54035858191687169</v>
      </c>
      <c r="AH5271" s="2" t="str">
        <f ca="1"/>
        <v>Bad</v>
      </c>
    </row>
    <row r="5272" spans="2:34" x14ac:dyDescent="0.2">
      <c r="B5272" s="2">
        <f ca="1"/>
        <v>8.2837670732503588E-2</v>
      </c>
      <c r="O5272" s="2">
        <f ca="1"/>
        <v>-1.4436067374985557</v>
      </c>
      <c r="X5272" s="2">
        <f ca="1"/>
        <v>66.353216513296132</v>
      </c>
      <c r="AG5272" s="2">
        <f ca="1"/>
        <v>0.3440301066367244</v>
      </c>
      <c r="AH5272" s="2" t="str">
        <f ca="1"/>
        <v>OK</v>
      </c>
    </row>
    <row r="5273" spans="2:34" x14ac:dyDescent="0.2">
      <c r="B5273" s="2">
        <f ca="1"/>
        <v>0.46145300339933204</v>
      </c>
      <c r="O5273" s="2">
        <f ca="1"/>
        <v>0.11853596378767091</v>
      </c>
      <c r="X5273" s="2">
        <f ca="1"/>
        <v>92.619335774233789</v>
      </c>
      <c r="AG5273" s="2">
        <f ca="1"/>
        <v>0.26758353424726899</v>
      </c>
      <c r="AH5273" s="2" t="str">
        <f ca="1"/>
        <v>OK</v>
      </c>
    </row>
    <row r="5274" spans="2:34" x14ac:dyDescent="0.2">
      <c r="B5274" s="2">
        <f ca="1"/>
        <v>0.61363003954644291</v>
      </c>
      <c r="O5274" s="2">
        <f ca="1"/>
        <v>-0.55539118411097133</v>
      </c>
      <c r="X5274" s="2">
        <f ca="1"/>
        <v>35.507904730236028</v>
      </c>
      <c r="AG5274" s="2">
        <f ca="1"/>
        <v>0.81936731973905763</v>
      </c>
      <c r="AH5274" s="2" t="str">
        <f ca="1"/>
        <v>Bad</v>
      </c>
    </row>
    <row r="5275" spans="2:34" x14ac:dyDescent="0.2">
      <c r="B5275" s="2">
        <f ca="1"/>
        <v>7.8092276182239351E-2</v>
      </c>
      <c r="O5275" s="2">
        <f ca="1"/>
        <v>-0.69742109122546259</v>
      </c>
      <c r="X5275" s="2">
        <f ca="1"/>
        <v>72.374522120935197</v>
      </c>
      <c r="AG5275" s="2">
        <f ca="1"/>
        <v>0.50501043255574229</v>
      </c>
      <c r="AH5275" s="2" t="str">
        <f ca="1"/>
        <v>Bad</v>
      </c>
    </row>
    <row r="5276" spans="2:34" x14ac:dyDescent="0.2">
      <c r="B5276" s="2">
        <f ca="1"/>
        <v>0.26315858434662109</v>
      </c>
      <c r="O5276" s="2">
        <f ca="1"/>
        <v>1.7061320132087667</v>
      </c>
      <c r="X5276" s="2">
        <f ca="1"/>
        <v>39.130650392342815</v>
      </c>
      <c r="AG5276" s="2">
        <f ca="1"/>
        <v>0.16037831425383287</v>
      </c>
      <c r="AH5276" s="2" t="str">
        <f ca="1"/>
        <v>OK</v>
      </c>
    </row>
    <row r="5277" spans="2:34" x14ac:dyDescent="0.2">
      <c r="B5277" s="2">
        <f ca="1"/>
        <v>0.55436185700148721</v>
      </c>
      <c r="O5277" s="2">
        <f ca="1"/>
        <v>1.4565675903460398</v>
      </c>
      <c r="X5277" s="2">
        <f ca="1"/>
        <v>54.029930905471836</v>
      </c>
      <c r="AG5277" s="2">
        <f ca="1"/>
        <v>0.17344465077705395</v>
      </c>
      <c r="AH5277" s="2" t="str">
        <f ca="1"/>
        <v>OK</v>
      </c>
    </row>
    <row r="5278" spans="2:34" x14ac:dyDescent="0.2">
      <c r="B5278" s="2">
        <f ca="1"/>
        <v>0.28244113183242403</v>
      </c>
      <c r="O5278" s="2">
        <f ca="1"/>
        <v>0.77409891148987897</v>
      </c>
      <c r="X5278" s="2">
        <f ca="1"/>
        <v>51.857455338579669</v>
      </c>
      <c r="AG5278" s="2">
        <f ca="1"/>
        <v>3.3351865795750779E-2</v>
      </c>
      <c r="AH5278" s="2" t="str">
        <f ca="1"/>
        <v>Good</v>
      </c>
    </row>
    <row r="5279" spans="2:34" x14ac:dyDescent="0.2">
      <c r="B5279" s="2">
        <f ca="1"/>
        <v>0.26486742648039341</v>
      </c>
      <c r="O5279" s="2">
        <f ca="1"/>
        <v>-0.68621443016682082</v>
      </c>
      <c r="X5279" s="2">
        <f ca="1"/>
        <v>56.484927443235833</v>
      </c>
      <c r="AG5279" s="2">
        <f ca="1"/>
        <v>0.38909723236482319</v>
      </c>
      <c r="AH5279" s="2" t="str">
        <f ca="1"/>
        <v>OK</v>
      </c>
    </row>
    <row r="5280" spans="2:34" x14ac:dyDescent="0.2">
      <c r="B5280" s="2">
        <f ca="1"/>
        <v>0.77231909107327845</v>
      </c>
      <c r="O5280" s="2">
        <f ca="1"/>
        <v>0.85185606443827289</v>
      </c>
      <c r="X5280" s="2">
        <f ca="1"/>
        <v>43.270858678664155</v>
      </c>
      <c r="AG5280" s="2">
        <f ca="1"/>
        <v>0.65065219674101504</v>
      </c>
      <c r="AH5280" s="2" t="str">
        <f ca="1"/>
        <v>Bad</v>
      </c>
    </row>
    <row r="5281" spans="2:34" x14ac:dyDescent="0.2">
      <c r="B5281" s="2">
        <f ca="1"/>
        <v>0.63682870800541358</v>
      </c>
      <c r="O5281" s="2">
        <f ca="1"/>
        <v>-0.55997435927478523</v>
      </c>
      <c r="X5281" s="2">
        <f ca="1"/>
        <v>32.643384892586944</v>
      </c>
      <c r="AG5281" s="2">
        <f ca="1"/>
        <v>0.36522087588740493</v>
      </c>
      <c r="AH5281" s="2" t="str">
        <f ca="1"/>
        <v>OK</v>
      </c>
    </row>
    <row r="5282" spans="2:34" x14ac:dyDescent="0.2">
      <c r="B5282" s="2">
        <f ca="1"/>
        <v>0.10156835195041269</v>
      </c>
      <c r="O5282" s="2">
        <f ca="1"/>
        <v>-1.3550425713743262</v>
      </c>
      <c r="X5282" s="2">
        <f ca="1"/>
        <v>36.778775579940685</v>
      </c>
      <c r="AG5282" s="2">
        <f ca="1"/>
        <v>0.64923797278481366</v>
      </c>
      <c r="AH5282" s="2" t="str">
        <f ca="1"/>
        <v>Bad</v>
      </c>
    </row>
    <row r="5283" spans="2:34" x14ac:dyDescent="0.2">
      <c r="B5283" s="2">
        <f ca="1"/>
        <v>0.33683609983613416</v>
      </c>
      <c r="O5283" s="2">
        <f ca="1"/>
        <v>-0.63656703749243337</v>
      </c>
      <c r="X5283" s="2">
        <f ca="1"/>
        <v>54.341610609253394</v>
      </c>
      <c r="AG5283" s="2">
        <f ca="1"/>
        <v>0.63896979373057139</v>
      </c>
      <c r="AH5283" s="2" t="str">
        <f ca="1"/>
        <v>Bad</v>
      </c>
    </row>
    <row r="5284" spans="2:34" x14ac:dyDescent="0.2">
      <c r="B5284" s="2">
        <f ca="1"/>
        <v>0.75707398247784607</v>
      </c>
      <c r="O5284" s="2">
        <f ca="1"/>
        <v>-1.0747832748472534</v>
      </c>
      <c r="X5284" s="2">
        <f ca="1"/>
        <v>68.25614624844961</v>
      </c>
      <c r="AG5284" s="2">
        <f ca="1"/>
        <v>0.82907946935445809</v>
      </c>
      <c r="AH5284" s="2" t="str">
        <f ca="1"/>
        <v>Bad</v>
      </c>
    </row>
    <row r="5285" spans="2:34" x14ac:dyDescent="0.2">
      <c r="B5285" s="2">
        <f ca="1"/>
        <v>0.57051560844149241</v>
      </c>
      <c r="O5285" s="2">
        <f ca="1"/>
        <v>-0.37339527135542222</v>
      </c>
      <c r="X5285" s="2">
        <f ca="1"/>
        <v>62.883538908192421</v>
      </c>
      <c r="AG5285" s="2">
        <f ca="1"/>
        <v>0.27049260501035</v>
      </c>
      <c r="AH5285" s="2" t="str">
        <f ca="1"/>
        <v>OK</v>
      </c>
    </row>
    <row r="5286" spans="2:34" x14ac:dyDescent="0.2">
      <c r="B5286" s="2">
        <f ca="1"/>
        <v>0.56992156393072291</v>
      </c>
      <c r="O5286" s="2">
        <f ca="1"/>
        <v>-1.4049555329290463E-2</v>
      </c>
      <c r="X5286" s="2">
        <f ca="1"/>
        <v>59.629869689183437</v>
      </c>
      <c r="AG5286" s="2">
        <f ca="1"/>
        <v>0.54660386248194381</v>
      </c>
      <c r="AH5286" s="2" t="str">
        <f ca="1"/>
        <v>Bad</v>
      </c>
    </row>
    <row r="5287" spans="2:34" x14ac:dyDescent="0.2">
      <c r="B5287" s="2">
        <f ca="1"/>
        <v>0.37336274238256451</v>
      </c>
      <c r="O5287" s="2">
        <f ca="1"/>
        <v>-0.67215455271419811</v>
      </c>
      <c r="X5287" s="2">
        <f ca="1"/>
        <v>122.05092042893718</v>
      </c>
      <c r="AG5287" s="2">
        <f ca="1"/>
        <v>0.1571449861881844</v>
      </c>
      <c r="AH5287" s="2" t="str">
        <f ca="1"/>
        <v>OK</v>
      </c>
    </row>
    <row r="5288" spans="2:34" x14ac:dyDescent="0.2">
      <c r="B5288" s="2">
        <f ca="1"/>
        <v>0.29026889737849015</v>
      </c>
      <c r="O5288" s="2">
        <f ca="1"/>
        <v>1.0527563019640911</v>
      </c>
      <c r="X5288" s="2">
        <f ca="1"/>
        <v>70.917291382555277</v>
      </c>
      <c r="AG5288" s="2">
        <f ca="1"/>
        <v>0.56240078950202488</v>
      </c>
      <c r="AH5288" s="2" t="str">
        <f ca="1"/>
        <v>Bad</v>
      </c>
    </row>
    <row r="5289" spans="2:34" x14ac:dyDescent="0.2">
      <c r="B5289" s="2">
        <f ca="1"/>
        <v>0.8631291308300264</v>
      </c>
      <c r="O5289" s="2">
        <f ca="1"/>
        <v>1.3283749161566811</v>
      </c>
      <c r="X5289" s="2">
        <f ca="1"/>
        <v>72.917956638231857</v>
      </c>
      <c r="AG5289" s="2">
        <f ca="1"/>
        <v>2.9082566105757657E-2</v>
      </c>
      <c r="AH5289" s="2" t="str">
        <f ca="1"/>
        <v>Good</v>
      </c>
    </row>
    <row r="5290" spans="2:34" x14ac:dyDescent="0.2">
      <c r="B5290" s="2">
        <f ca="1"/>
        <v>0.91449185538226074</v>
      </c>
      <c r="O5290" s="2">
        <f ca="1"/>
        <v>1.1445468480311547</v>
      </c>
      <c r="X5290" s="2">
        <f ca="1"/>
        <v>34.250001193509547</v>
      </c>
      <c r="AG5290" s="2">
        <f ca="1"/>
        <v>0.32594528900571373</v>
      </c>
      <c r="AH5290" s="2" t="str">
        <f ca="1"/>
        <v>OK</v>
      </c>
    </row>
    <row r="5291" spans="2:34" x14ac:dyDescent="0.2">
      <c r="B5291" s="2">
        <f ca="1"/>
        <v>0.24620714735279847</v>
      </c>
      <c r="O5291" s="2">
        <f ca="1"/>
        <v>-0.6761591264763428</v>
      </c>
      <c r="X5291" s="2">
        <f ca="1"/>
        <v>37.065253503929</v>
      </c>
      <c r="AG5291" s="2">
        <f ca="1"/>
        <v>0.1672974690479907</v>
      </c>
      <c r="AH5291" s="2" t="str">
        <f ca="1"/>
        <v>OK</v>
      </c>
    </row>
    <row r="5292" spans="2:34" x14ac:dyDescent="0.2">
      <c r="B5292" s="2">
        <f ca="1"/>
        <v>0.45590277926875289</v>
      </c>
      <c r="O5292" s="2">
        <f ca="1"/>
        <v>-1.4387837718505327</v>
      </c>
      <c r="X5292" s="2">
        <f ca="1"/>
        <v>58.235109532816125</v>
      </c>
      <c r="AG5292" s="2">
        <f ca="1"/>
        <v>8.7392605512961463E-3</v>
      </c>
      <c r="AH5292" s="2" t="str">
        <f ca="1"/>
        <v>Good</v>
      </c>
    </row>
    <row r="5293" spans="2:34" x14ac:dyDescent="0.2">
      <c r="B5293" s="2">
        <f ca="1"/>
        <v>0.27377169743379404</v>
      </c>
      <c r="O5293" s="2">
        <f ca="1"/>
        <v>0.63631978653306409</v>
      </c>
      <c r="X5293" s="2">
        <f ca="1"/>
        <v>34.254233751347535</v>
      </c>
      <c r="AG5293" s="2">
        <f ca="1"/>
        <v>0.54232805483940139</v>
      </c>
      <c r="AH5293" s="2" t="str">
        <f ca="1"/>
        <v>Bad</v>
      </c>
    </row>
    <row r="5294" spans="2:34" x14ac:dyDescent="0.2">
      <c r="B5294" s="2">
        <f ca="1"/>
        <v>0.57925613874165327</v>
      </c>
      <c r="O5294" s="2">
        <f ca="1"/>
        <v>-2.2961026043851849</v>
      </c>
      <c r="X5294" s="2">
        <f ca="1"/>
        <v>42.88584570028145</v>
      </c>
      <c r="AG5294" s="2">
        <f ca="1"/>
        <v>0.55001637340019149</v>
      </c>
      <c r="AH5294" s="2" t="str">
        <f ca="1"/>
        <v>Bad</v>
      </c>
    </row>
    <row r="5295" spans="2:34" x14ac:dyDescent="0.2">
      <c r="B5295" s="2">
        <f ca="1"/>
        <v>0.75078752444464536</v>
      </c>
      <c r="O5295" s="2">
        <f ca="1"/>
        <v>-0.25235810849807555</v>
      </c>
      <c r="X5295" s="2">
        <f ca="1"/>
        <v>60.115855674161494</v>
      </c>
      <c r="AG5295" s="2">
        <f ca="1"/>
        <v>0.68683841397655487</v>
      </c>
      <c r="AH5295" s="2" t="str">
        <f ca="1"/>
        <v>Bad</v>
      </c>
    </row>
    <row r="5296" spans="2:34" x14ac:dyDescent="0.2">
      <c r="B5296" s="2">
        <f ca="1"/>
        <v>6.7969830159901434E-2</v>
      </c>
      <c r="O5296" s="2">
        <f ca="1"/>
        <v>0.53539567522359655</v>
      </c>
      <c r="X5296" s="2">
        <f ca="1"/>
        <v>43.713000098861571</v>
      </c>
      <c r="AG5296" s="2">
        <f ca="1"/>
        <v>0.84209951592471288</v>
      </c>
      <c r="AH5296" s="2" t="str">
        <f ca="1"/>
        <v>Bad</v>
      </c>
    </row>
    <row r="5297" spans="2:34" x14ac:dyDescent="0.2">
      <c r="B5297" s="2">
        <f ca="1"/>
        <v>0.73494906532602067</v>
      </c>
      <c r="O5297" s="2">
        <f ca="1"/>
        <v>-1.773291388555021</v>
      </c>
      <c r="X5297" s="2">
        <f ca="1"/>
        <v>33.481642892176396</v>
      </c>
      <c r="AG5297" s="2">
        <f ca="1"/>
        <v>0.23036645467926675</v>
      </c>
      <c r="AH5297" s="2" t="str">
        <f ca="1"/>
        <v>OK</v>
      </c>
    </row>
    <row r="5298" spans="2:34" x14ac:dyDescent="0.2">
      <c r="B5298" s="2">
        <f ca="1"/>
        <v>0.79523531254681301</v>
      </c>
      <c r="O5298" s="2">
        <f ca="1"/>
        <v>-0.19529407404242979</v>
      </c>
      <c r="X5298" s="2">
        <f ca="1"/>
        <v>35.525699292202347</v>
      </c>
      <c r="AG5298" s="2">
        <f ca="1"/>
        <v>0.30098770060961622</v>
      </c>
      <c r="AH5298" s="2" t="str">
        <f ca="1"/>
        <v>OK</v>
      </c>
    </row>
    <row r="5299" spans="2:34" x14ac:dyDescent="0.2">
      <c r="B5299" s="2">
        <f ca="1"/>
        <v>0.57987969480325652</v>
      </c>
      <c r="O5299" s="2">
        <f ca="1"/>
        <v>-0.10720330773541054</v>
      </c>
      <c r="X5299" s="2">
        <f ca="1"/>
        <v>71.727811824449049</v>
      </c>
      <c r="AG5299" s="2">
        <f ca="1"/>
        <v>0.10111269616287055</v>
      </c>
      <c r="AH5299" s="2" t="str">
        <f ca="1"/>
        <v>OK</v>
      </c>
    </row>
    <row r="5300" spans="2:34" x14ac:dyDescent="0.2">
      <c r="B5300" s="2">
        <f ca="1"/>
        <v>0.54111083800669624</v>
      </c>
      <c r="O5300" s="2">
        <f ca="1"/>
        <v>-0.65998834344423607</v>
      </c>
      <c r="X5300" s="2">
        <f ca="1"/>
        <v>48.747231685176516</v>
      </c>
      <c r="AG5300" s="2">
        <f ca="1"/>
        <v>0.98741499799154142</v>
      </c>
      <c r="AH5300" s="2" t="str">
        <f ca="1"/>
        <v>Bad</v>
      </c>
    </row>
    <row r="5301" spans="2:34" x14ac:dyDescent="0.2">
      <c r="B5301" s="2">
        <f ca="1"/>
        <v>0.7053127227245477</v>
      </c>
      <c r="O5301" s="2">
        <f ca="1"/>
        <v>1.2444248543459293</v>
      </c>
      <c r="X5301" s="2">
        <f ca="1"/>
        <v>52.01452892171914</v>
      </c>
      <c r="AG5301" s="2">
        <f ca="1"/>
        <v>0.11841231195272228</v>
      </c>
      <c r="AH5301" s="2" t="str">
        <f ca="1"/>
        <v>OK</v>
      </c>
    </row>
    <row r="5302" spans="2:34" x14ac:dyDescent="0.2">
      <c r="B5302" s="2">
        <f ca="1"/>
        <v>0.83895278751179703</v>
      </c>
      <c r="O5302" s="2">
        <f ca="1"/>
        <v>0.54221458492817431</v>
      </c>
      <c r="X5302" s="2">
        <f ca="1"/>
        <v>33.328449175293336</v>
      </c>
      <c r="AG5302" s="2">
        <f ca="1"/>
        <v>0.10271886605485148</v>
      </c>
      <c r="AH5302" s="2" t="str">
        <f ca="1"/>
        <v>OK</v>
      </c>
    </row>
    <row r="5303" spans="2:34" x14ac:dyDescent="0.2">
      <c r="B5303" s="2">
        <f ca="1"/>
        <v>0.38507346262313225</v>
      </c>
      <c r="O5303" s="2">
        <f ca="1"/>
        <v>-1.235877578434512</v>
      </c>
      <c r="X5303" s="2">
        <f ca="1"/>
        <v>57.352455895844813</v>
      </c>
      <c r="AG5303" s="2">
        <f ca="1"/>
        <v>0.14601602895398225</v>
      </c>
      <c r="AH5303" s="2" t="str">
        <f ca="1"/>
        <v>OK</v>
      </c>
    </row>
    <row r="5304" spans="2:34" x14ac:dyDescent="0.2">
      <c r="B5304" s="2">
        <f ca="1"/>
        <v>3.5442988893708005E-4</v>
      </c>
      <c r="O5304" s="2">
        <f ca="1"/>
        <v>-0.40529496464206166</v>
      </c>
      <c r="X5304" s="2">
        <f ca="1"/>
        <v>48.101767683298831</v>
      </c>
      <c r="AG5304" s="2">
        <f ca="1"/>
        <v>0.14485047722940836</v>
      </c>
      <c r="AH5304" s="2" t="str">
        <f ca="1"/>
        <v>OK</v>
      </c>
    </row>
    <row r="5305" spans="2:34" x14ac:dyDescent="0.2">
      <c r="B5305" s="2">
        <f ca="1"/>
        <v>0.43314335266728743</v>
      </c>
      <c r="O5305" s="2">
        <f ca="1"/>
        <v>-1.5848731939241718</v>
      </c>
      <c r="X5305" s="2">
        <f ca="1"/>
        <v>54.670009814700009</v>
      </c>
      <c r="AG5305" s="2">
        <f ca="1"/>
        <v>0.21787720835098612</v>
      </c>
      <c r="AH5305" s="2" t="str">
        <f ca="1"/>
        <v>OK</v>
      </c>
    </row>
    <row r="5306" spans="2:34" x14ac:dyDescent="0.2">
      <c r="B5306" s="2">
        <f ca="1"/>
        <v>6.2078594138580856E-2</v>
      </c>
      <c r="O5306" s="2">
        <f ca="1"/>
        <v>0.95787643310036963</v>
      </c>
      <c r="X5306" s="2">
        <f ca="1"/>
        <v>46.566830098038913</v>
      </c>
      <c r="AG5306" s="2">
        <f ca="1"/>
        <v>0.54627426930318146</v>
      </c>
      <c r="AH5306" s="2" t="str">
        <f ca="1"/>
        <v>Bad</v>
      </c>
    </row>
    <row r="5307" spans="2:34" x14ac:dyDescent="0.2">
      <c r="B5307" s="2">
        <f ca="1"/>
        <v>0.43260287598445513</v>
      </c>
      <c r="O5307" s="2">
        <f ca="1"/>
        <v>-0.35753628295185702</v>
      </c>
      <c r="X5307" s="2">
        <f ca="1"/>
        <v>24.18215984824149</v>
      </c>
      <c r="AG5307" s="2">
        <f ca="1"/>
        <v>0.20379203399991908</v>
      </c>
      <c r="AH5307" s="2" t="str">
        <f ca="1"/>
        <v>OK</v>
      </c>
    </row>
    <row r="5308" spans="2:34" x14ac:dyDescent="0.2">
      <c r="B5308" s="2">
        <f ca="1"/>
        <v>0.48391210157820064</v>
      </c>
      <c r="O5308" s="2">
        <f ca="1"/>
        <v>0.3081180305625088</v>
      </c>
      <c r="X5308" s="2">
        <f ca="1"/>
        <v>59.115363443101401</v>
      </c>
      <c r="AG5308" s="2">
        <f ca="1"/>
        <v>0.135910724486491</v>
      </c>
      <c r="AH5308" s="2" t="str">
        <f ca="1"/>
        <v>OK</v>
      </c>
    </row>
    <row r="5309" spans="2:34" x14ac:dyDescent="0.2">
      <c r="B5309" s="2">
        <f ca="1"/>
        <v>0.68019501420473438</v>
      </c>
      <c r="O5309" s="2">
        <f ca="1"/>
        <v>-0.46298949596845201</v>
      </c>
      <c r="X5309" s="2">
        <f ca="1"/>
        <v>60.238903054944466</v>
      </c>
      <c r="AG5309" s="2">
        <f ca="1"/>
        <v>0.18233849436892768</v>
      </c>
      <c r="AH5309" s="2" t="str">
        <f ca="1"/>
        <v>OK</v>
      </c>
    </row>
    <row r="5310" spans="2:34" x14ac:dyDescent="0.2">
      <c r="B5310" s="2">
        <f ca="1"/>
        <v>6.6463768608969964E-2</v>
      </c>
      <c r="O5310" s="2">
        <f ca="1"/>
        <v>-4.1431586132840925E-2</v>
      </c>
      <c r="X5310" s="2">
        <f ca="1"/>
        <v>49.551492111187791</v>
      </c>
      <c r="AG5310" s="2">
        <f ca="1"/>
        <v>0.75177174830825422</v>
      </c>
      <c r="AH5310" s="2" t="str">
        <f ca="1"/>
        <v>Bad</v>
      </c>
    </row>
    <row r="5311" spans="2:34" x14ac:dyDescent="0.2">
      <c r="B5311" s="2">
        <f ca="1"/>
        <v>0.60932128393135798</v>
      </c>
      <c r="O5311" s="2">
        <f ca="1"/>
        <v>-0.44882481808354691</v>
      </c>
      <c r="X5311" s="2">
        <f ca="1"/>
        <v>46.639288226816433</v>
      </c>
      <c r="AG5311" s="2">
        <f ca="1"/>
        <v>0.68988858743102965</v>
      </c>
      <c r="AH5311" s="2" t="str">
        <f ca="1"/>
        <v>Bad</v>
      </c>
    </row>
    <row r="5312" spans="2:34" x14ac:dyDescent="0.2">
      <c r="B5312" s="2">
        <f ca="1"/>
        <v>0.98309194151565005</v>
      </c>
      <c r="O5312" s="2">
        <f ca="1"/>
        <v>-0.41078710402875618</v>
      </c>
      <c r="X5312" s="2">
        <f ca="1"/>
        <v>30.22571990598275</v>
      </c>
      <c r="AG5312" s="2">
        <f ca="1"/>
        <v>0.83820255970042168</v>
      </c>
      <c r="AH5312" s="2" t="str">
        <f ca="1"/>
        <v>Bad</v>
      </c>
    </row>
    <row r="5313" spans="2:34" x14ac:dyDescent="0.2">
      <c r="B5313" s="2">
        <f ca="1"/>
        <v>0.27378051740653064</v>
      </c>
      <c r="O5313" s="2">
        <f ca="1"/>
        <v>0.42824924455316915</v>
      </c>
      <c r="X5313" s="2">
        <f ca="1"/>
        <v>32.45310052952938</v>
      </c>
      <c r="AG5313" s="2">
        <f ca="1"/>
        <v>0.23169985690384887</v>
      </c>
      <c r="AH5313" s="2" t="str">
        <f ca="1"/>
        <v>OK</v>
      </c>
    </row>
    <row r="5314" spans="2:34" x14ac:dyDescent="0.2">
      <c r="B5314" s="2">
        <f ca="1"/>
        <v>0.4951676280127375</v>
      </c>
      <c r="O5314" s="2">
        <f ca="1"/>
        <v>1.74331365904923</v>
      </c>
      <c r="X5314" s="2">
        <f ca="1"/>
        <v>42.616426213403869</v>
      </c>
      <c r="AG5314" s="2">
        <f ca="1"/>
        <v>0.199416869243491</v>
      </c>
      <c r="AH5314" s="2" t="str">
        <f ca="1"/>
        <v>OK</v>
      </c>
    </row>
    <row r="5315" spans="2:34" x14ac:dyDescent="0.2">
      <c r="B5315" s="2">
        <f ca="1"/>
        <v>0.32449726095792175</v>
      </c>
      <c r="O5315" s="2">
        <f ca="1"/>
        <v>-0.66747392219875579</v>
      </c>
      <c r="X5315" s="2">
        <f ca="1"/>
        <v>30.778832106899301</v>
      </c>
      <c r="AG5315" s="2">
        <f ca="1"/>
        <v>0.72877527370237694</v>
      </c>
      <c r="AH5315" s="2" t="str">
        <f ca="1"/>
        <v>Bad</v>
      </c>
    </row>
    <row r="5316" spans="2:34" x14ac:dyDescent="0.2">
      <c r="B5316" s="2">
        <f ca="1"/>
        <v>0.28246690102153238</v>
      </c>
      <c r="O5316" s="2">
        <f ca="1"/>
        <v>-1.5097620452112994</v>
      </c>
      <c r="X5316" s="2">
        <f ca="1"/>
        <v>19.535161295503173</v>
      </c>
      <c r="AG5316" s="2">
        <f ca="1"/>
        <v>0.99154406888428803</v>
      </c>
      <c r="AH5316" s="2" t="str">
        <f ca="1"/>
        <v>Bad</v>
      </c>
    </row>
    <row r="5317" spans="2:34" x14ac:dyDescent="0.2">
      <c r="B5317" s="2">
        <f ca="1"/>
        <v>0.29839068380058476</v>
      </c>
      <c r="O5317" s="2">
        <f ca="1"/>
        <v>-1.1861886704163631</v>
      </c>
      <c r="X5317" s="2">
        <f ca="1"/>
        <v>42.042272304733757</v>
      </c>
      <c r="AG5317" s="2">
        <f ca="1"/>
        <v>0.22774330288719624</v>
      </c>
      <c r="AH5317" s="2" t="str">
        <f ca="1"/>
        <v>OK</v>
      </c>
    </row>
    <row r="5318" spans="2:34" x14ac:dyDescent="0.2">
      <c r="B5318" s="2">
        <f ca="1"/>
        <v>0.81883589761983178</v>
      </c>
      <c r="O5318" s="2">
        <f ca="1"/>
        <v>5.8459647269856065E-2</v>
      </c>
      <c r="X5318" s="2">
        <f ca="1"/>
        <v>63.238357821257623</v>
      </c>
      <c r="AG5318" s="2">
        <f ca="1"/>
        <v>0.47879681257930584</v>
      </c>
      <c r="AH5318" s="2" t="str">
        <f ca="1"/>
        <v>Bad</v>
      </c>
    </row>
    <row r="5319" spans="2:34" x14ac:dyDescent="0.2">
      <c r="B5319" s="2">
        <f ca="1"/>
        <v>0.89324119697973248</v>
      </c>
      <c r="O5319" s="2">
        <f ca="1"/>
        <v>1.9488014146477364</v>
      </c>
      <c r="X5319" s="2">
        <f ca="1"/>
        <v>56.226801062881691</v>
      </c>
      <c r="AG5319" s="2">
        <f ca="1"/>
        <v>0.12658839202552796</v>
      </c>
      <c r="AH5319" s="2" t="str">
        <f ca="1"/>
        <v>OK</v>
      </c>
    </row>
    <row r="5320" spans="2:34" x14ac:dyDescent="0.2">
      <c r="B5320" s="2">
        <f ca="1"/>
        <v>0.26686884715036507</v>
      </c>
      <c r="O5320" s="2">
        <f ca="1"/>
        <v>0.86202497867492023</v>
      </c>
      <c r="X5320" s="2">
        <f ca="1"/>
        <v>51.798463177113248</v>
      </c>
      <c r="AG5320" s="2">
        <f ca="1"/>
        <v>0.13258233228651917</v>
      </c>
      <c r="AH5320" s="2" t="str">
        <f ca="1"/>
        <v>OK</v>
      </c>
    </row>
    <row r="5321" spans="2:34" x14ac:dyDescent="0.2">
      <c r="B5321" s="2">
        <f ca="1"/>
        <v>0.33276327849035847</v>
      </c>
      <c r="O5321" s="2">
        <f ca="1"/>
        <v>-2.0161993087129257</v>
      </c>
      <c r="X5321" s="2">
        <f ca="1"/>
        <v>35.205944981607615</v>
      </c>
      <c r="AG5321" s="2">
        <f ca="1"/>
        <v>0.17974665518526778</v>
      </c>
      <c r="AH5321" s="2" t="str">
        <f ca="1"/>
        <v>OK</v>
      </c>
    </row>
    <row r="5322" spans="2:34" x14ac:dyDescent="0.2">
      <c r="B5322" s="2">
        <f ca="1"/>
        <v>0.73537286491244624</v>
      </c>
      <c r="O5322" s="2">
        <f ca="1"/>
        <v>-0.35850824493539096</v>
      </c>
      <c r="X5322" s="2">
        <f ca="1"/>
        <v>37.601524637832767</v>
      </c>
      <c r="AG5322" s="2">
        <f ca="1"/>
        <v>5.3312129667308028E-2</v>
      </c>
      <c r="AH5322" s="2" t="str">
        <f ca="1"/>
        <v>OK</v>
      </c>
    </row>
    <row r="5323" spans="2:34" x14ac:dyDescent="0.2">
      <c r="B5323" s="2">
        <f ca="1"/>
        <v>0.31991618575705361</v>
      </c>
      <c r="O5323" s="2">
        <f ca="1"/>
        <v>-0.25929576613987387</v>
      </c>
      <c r="X5323" s="2">
        <f ca="1"/>
        <v>60.774443283124533</v>
      </c>
      <c r="AG5323" s="2">
        <f ca="1"/>
        <v>0.7134417072013588</v>
      </c>
      <c r="AH5323" s="2" t="str">
        <f ca="1"/>
        <v>Bad</v>
      </c>
    </row>
    <row r="5324" spans="2:34" x14ac:dyDescent="0.2">
      <c r="B5324" s="2">
        <f ca="1"/>
        <v>0.20086019007960587</v>
      </c>
      <c r="O5324" s="2">
        <f ca="1"/>
        <v>0.13103946076398698</v>
      </c>
      <c r="X5324" s="2">
        <f ca="1"/>
        <v>47.956487358366942</v>
      </c>
      <c r="AG5324" s="2">
        <f ca="1"/>
        <v>0.60604947879003834</v>
      </c>
      <c r="AH5324" s="2" t="str">
        <f ca="1"/>
        <v>Bad</v>
      </c>
    </row>
    <row r="5325" spans="2:34" x14ac:dyDescent="0.2">
      <c r="B5325" s="2">
        <f ca="1"/>
        <v>0.24515956427773444</v>
      </c>
      <c r="O5325" s="2">
        <f ca="1"/>
        <v>-0.60218686852483194</v>
      </c>
      <c r="X5325" s="2">
        <f ca="1"/>
        <v>70.056164036979951</v>
      </c>
      <c r="AG5325" s="2">
        <f ca="1"/>
        <v>0.33281138552486356</v>
      </c>
      <c r="AH5325" s="2" t="str">
        <f ca="1"/>
        <v>OK</v>
      </c>
    </row>
    <row r="5326" spans="2:34" x14ac:dyDescent="0.2">
      <c r="B5326" s="2">
        <f ca="1"/>
        <v>0.72742635027065683</v>
      </c>
      <c r="O5326" s="2">
        <f ca="1"/>
        <v>0.28000875830690486</v>
      </c>
      <c r="X5326" s="2">
        <f ca="1"/>
        <v>54.928533558163799</v>
      </c>
      <c r="AG5326" s="2">
        <f ca="1"/>
        <v>0.58099124416205972</v>
      </c>
      <c r="AH5326" s="2" t="str">
        <f ca="1"/>
        <v>Bad</v>
      </c>
    </row>
    <row r="5327" spans="2:34" x14ac:dyDescent="0.2">
      <c r="B5327" s="2">
        <f ca="1"/>
        <v>0.34014045947238891</v>
      </c>
      <c r="O5327" s="2">
        <f ca="1"/>
        <v>0.54737964761627311</v>
      </c>
      <c r="X5327" s="2">
        <f ca="1"/>
        <v>67.683621429951003</v>
      </c>
      <c r="AG5327" s="2">
        <f ca="1"/>
        <v>0.43321745557721569</v>
      </c>
      <c r="AH5327" s="2" t="str">
        <f ca="1"/>
        <v>Bad</v>
      </c>
    </row>
    <row r="5328" spans="2:34" x14ac:dyDescent="0.2">
      <c r="B5328" s="2">
        <f ca="1"/>
        <v>0.7239682412014492</v>
      </c>
      <c r="O5328" s="2">
        <f ca="1"/>
        <v>-1.5559955577040767</v>
      </c>
      <c r="X5328" s="2">
        <f ca="1"/>
        <v>44.878082355258535</v>
      </c>
      <c r="AG5328" s="2">
        <f ca="1"/>
        <v>0.163690445358603</v>
      </c>
      <c r="AH5328" s="2" t="str">
        <f ca="1"/>
        <v>OK</v>
      </c>
    </row>
    <row r="5329" spans="2:34" x14ac:dyDescent="0.2">
      <c r="B5329" s="2">
        <f ca="1"/>
        <v>0.51268895941006254</v>
      </c>
      <c r="O5329" s="2">
        <f ca="1"/>
        <v>-0.17922695857051044</v>
      </c>
      <c r="X5329" s="2">
        <f ca="1"/>
        <v>42.01332639362942</v>
      </c>
      <c r="AG5329" s="2">
        <f ca="1"/>
        <v>0.46262376167706121</v>
      </c>
      <c r="AH5329" s="2" t="str">
        <f ca="1"/>
        <v>Bad</v>
      </c>
    </row>
    <row r="5330" spans="2:34" x14ac:dyDescent="0.2">
      <c r="B5330" s="2">
        <f ca="1"/>
        <v>0.67442976264625853</v>
      </c>
      <c r="O5330" s="2">
        <f ca="1"/>
        <v>-0.51243506666416228</v>
      </c>
      <c r="X5330" s="2">
        <f ca="1"/>
        <v>45.811674008781871</v>
      </c>
      <c r="AG5330" s="2">
        <f ca="1"/>
        <v>0.43370418845383685</v>
      </c>
      <c r="AH5330" s="2" t="str">
        <f ca="1"/>
        <v>Bad</v>
      </c>
    </row>
    <row r="5331" spans="2:34" x14ac:dyDescent="0.2">
      <c r="B5331" s="2">
        <f ca="1"/>
        <v>0.20351259105071473</v>
      </c>
      <c r="O5331" s="2">
        <f ca="1"/>
        <v>0.48686600983515194</v>
      </c>
      <c r="X5331" s="2">
        <f ca="1"/>
        <v>42.008211105458805</v>
      </c>
      <c r="AG5331" s="2">
        <f ca="1"/>
        <v>0.10423890991145468</v>
      </c>
      <c r="AH5331" s="2" t="str">
        <f ca="1"/>
        <v>OK</v>
      </c>
    </row>
    <row r="5332" spans="2:34" x14ac:dyDescent="0.2">
      <c r="B5332" s="2">
        <f ca="1"/>
        <v>0.61596049817133314</v>
      </c>
      <c r="O5332" s="2">
        <f ca="1"/>
        <v>-0.39691982106223328</v>
      </c>
      <c r="X5332" s="2">
        <f ca="1"/>
        <v>45.374176903369339</v>
      </c>
      <c r="AG5332" s="2">
        <f ca="1"/>
        <v>0.63078884428017012</v>
      </c>
      <c r="AH5332" s="2" t="str">
        <f ca="1"/>
        <v>Bad</v>
      </c>
    </row>
    <row r="5333" spans="2:34" x14ac:dyDescent="0.2">
      <c r="B5333" s="2">
        <f ca="1"/>
        <v>0.28140548613752969</v>
      </c>
      <c r="O5333" s="2">
        <f ca="1"/>
        <v>-1.0006606360728754</v>
      </c>
      <c r="X5333" s="2">
        <f ca="1"/>
        <v>35.226387805219424</v>
      </c>
      <c r="AG5333" s="2">
        <f ca="1"/>
        <v>4.1293212165209647E-2</v>
      </c>
      <c r="AH5333" s="2" t="str">
        <f ca="1"/>
        <v>Good</v>
      </c>
    </row>
    <row r="5334" spans="2:34" x14ac:dyDescent="0.2">
      <c r="B5334" s="2">
        <f ca="1"/>
        <v>0.26659958546546503</v>
      </c>
      <c r="O5334" s="2">
        <f ca="1"/>
        <v>0.70948310052469643</v>
      </c>
      <c r="X5334" s="2">
        <f ca="1"/>
        <v>23.811533503855298</v>
      </c>
      <c r="AG5334" s="2">
        <f ca="1"/>
        <v>0.74616367443407294</v>
      </c>
      <c r="AH5334" s="2" t="str">
        <f ca="1"/>
        <v>Bad</v>
      </c>
    </row>
    <row r="5335" spans="2:34" x14ac:dyDescent="0.2">
      <c r="B5335" s="2">
        <f ca="1"/>
        <v>0.51911757315319074</v>
      </c>
      <c r="O5335" s="2">
        <f ca="1"/>
        <v>0.58897923726420798</v>
      </c>
      <c r="X5335" s="2">
        <f ca="1"/>
        <v>37.165259783586279</v>
      </c>
      <c r="AG5335" s="2">
        <f ca="1"/>
        <v>0.50271884476581485</v>
      </c>
      <c r="AH5335" s="2" t="str">
        <f ca="1"/>
        <v>Bad</v>
      </c>
    </row>
    <row r="5336" spans="2:34" x14ac:dyDescent="0.2">
      <c r="B5336" s="2">
        <f ca="1"/>
        <v>0.97607216407332542</v>
      </c>
      <c r="O5336" s="2">
        <f ca="1"/>
        <v>2.0730303508870693</v>
      </c>
      <c r="X5336" s="2">
        <f ca="1"/>
        <v>55.811592706258068</v>
      </c>
      <c r="AG5336" s="2">
        <f ca="1"/>
        <v>0.31816903090759152</v>
      </c>
      <c r="AH5336" s="2" t="str">
        <f ca="1"/>
        <v>OK</v>
      </c>
    </row>
    <row r="5337" spans="2:34" x14ac:dyDescent="0.2">
      <c r="B5337" s="2">
        <f ca="1"/>
        <v>0.63211316918677274</v>
      </c>
      <c r="O5337" s="2">
        <f ca="1"/>
        <v>0.64451122159650154</v>
      </c>
      <c r="X5337" s="2">
        <f ca="1"/>
        <v>39.769631201185696</v>
      </c>
      <c r="AG5337" s="2">
        <f ca="1"/>
        <v>0.63198937035583347</v>
      </c>
      <c r="AH5337" s="2" t="str">
        <f ca="1"/>
        <v>Bad</v>
      </c>
    </row>
    <row r="5338" spans="2:34" x14ac:dyDescent="0.2">
      <c r="B5338" s="2">
        <f ca="1"/>
        <v>0.37413453791219942</v>
      </c>
      <c r="O5338" s="2">
        <f ca="1"/>
        <v>-1.4281336221484017E-2</v>
      </c>
      <c r="X5338" s="2">
        <f ca="1"/>
        <v>26.085907063201418</v>
      </c>
      <c r="AG5338" s="2">
        <f ca="1"/>
        <v>6.9805956634609423E-2</v>
      </c>
      <c r="AH5338" s="2" t="str">
        <f ca="1"/>
        <v>OK</v>
      </c>
    </row>
    <row r="5339" spans="2:34" x14ac:dyDescent="0.2">
      <c r="B5339" s="2">
        <f ca="1"/>
        <v>0.52379001161058114</v>
      </c>
      <c r="O5339" s="2">
        <f ca="1"/>
        <v>1.893467860665359</v>
      </c>
      <c r="X5339" s="2">
        <f ca="1"/>
        <v>33.471448621870664</v>
      </c>
      <c r="AG5339" s="2">
        <f ca="1"/>
        <v>6.8481288009822894E-3</v>
      </c>
      <c r="AH5339" s="2" t="str">
        <f ca="1"/>
        <v>Good</v>
      </c>
    </row>
    <row r="5340" spans="2:34" x14ac:dyDescent="0.2">
      <c r="B5340" s="2">
        <f ca="1"/>
        <v>0.97670734450338492</v>
      </c>
      <c r="O5340" s="2">
        <f ca="1"/>
        <v>0.79853115021328747</v>
      </c>
      <c r="X5340" s="2">
        <f ca="1"/>
        <v>30.248588259750548</v>
      </c>
      <c r="AG5340" s="2">
        <f ca="1"/>
        <v>0.21108983733290376</v>
      </c>
      <c r="AH5340" s="2" t="str">
        <f ca="1"/>
        <v>OK</v>
      </c>
    </row>
    <row r="5341" spans="2:34" x14ac:dyDescent="0.2">
      <c r="B5341" s="2">
        <f ca="1"/>
        <v>0.68497907016654258</v>
      </c>
      <c r="O5341" s="2">
        <f ca="1"/>
        <v>-0.75191200141890902</v>
      </c>
      <c r="X5341" s="2">
        <f ca="1"/>
        <v>72.812244562925358</v>
      </c>
      <c r="AG5341" s="2">
        <f ca="1"/>
        <v>0.59362709339003161</v>
      </c>
      <c r="AH5341" s="2" t="str">
        <f ca="1"/>
        <v>Bad</v>
      </c>
    </row>
    <row r="5342" spans="2:34" x14ac:dyDescent="0.2">
      <c r="B5342" s="2">
        <f ca="1"/>
        <v>0.26522898524293304</v>
      </c>
      <c r="O5342" s="2">
        <f ca="1"/>
        <v>0.4256856820892374</v>
      </c>
      <c r="X5342" s="2">
        <f ca="1"/>
        <v>61.13641596166805</v>
      </c>
      <c r="AG5342" s="2">
        <f ca="1"/>
        <v>0.66584084556241119</v>
      </c>
      <c r="AH5342" s="2" t="str">
        <f ca="1"/>
        <v>Bad</v>
      </c>
    </row>
    <row r="5343" spans="2:34" x14ac:dyDescent="0.2">
      <c r="B5343" s="2">
        <f ca="1"/>
        <v>0.31297783537791113</v>
      </c>
      <c r="O5343" s="2">
        <f ca="1"/>
        <v>1.6837300378733142</v>
      </c>
      <c r="X5343" s="2">
        <f ca="1"/>
        <v>25.471761871186676</v>
      </c>
      <c r="AG5343" s="2">
        <f ca="1"/>
        <v>0.5531551205689873</v>
      </c>
      <c r="AH5343" s="2" t="str">
        <f ca="1"/>
        <v>Bad</v>
      </c>
    </row>
    <row r="5344" spans="2:34" x14ac:dyDescent="0.2">
      <c r="B5344" s="2">
        <f ca="1"/>
        <v>0.29797011908592164</v>
      </c>
      <c r="O5344" s="2">
        <f ca="1"/>
        <v>-1.2705511922168324</v>
      </c>
      <c r="X5344" s="2">
        <f ca="1"/>
        <v>46.333234566381606</v>
      </c>
      <c r="AG5344" s="2">
        <f ca="1"/>
        <v>0.31815331493454324</v>
      </c>
      <c r="AH5344" s="2" t="str">
        <f ca="1"/>
        <v>OK</v>
      </c>
    </row>
    <row r="5345" spans="2:34" x14ac:dyDescent="0.2">
      <c r="B5345" s="2">
        <f ca="1"/>
        <v>0.33072232066594887</v>
      </c>
      <c r="O5345" s="2">
        <f ca="1"/>
        <v>1.4198052603244611</v>
      </c>
      <c r="X5345" s="2">
        <f ca="1"/>
        <v>61.503604311438416</v>
      </c>
      <c r="AG5345" s="2">
        <f ca="1"/>
        <v>0.8207925464458643</v>
      </c>
      <c r="AH5345" s="2" t="str">
        <f ca="1"/>
        <v>Bad</v>
      </c>
    </row>
    <row r="5346" spans="2:34" x14ac:dyDescent="0.2">
      <c r="B5346" s="2">
        <f ca="1"/>
        <v>0.22265611750066316</v>
      </c>
      <c r="O5346" s="2">
        <f ca="1"/>
        <v>-1.3774242666147365</v>
      </c>
      <c r="X5346" s="2">
        <f ca="1"/>
        <v>45.407991939546399</v>
      </c>
      <c r="AG5346" s="2">
        <f ca="1"/>
        <v>0.46557310588360545</v>
      </c>
      <c r="AH5346" s="2" t="str">
        <f ca="1"/>
        <v>Bad</v>
      </c>
    </row>
    <row r="5347" spans="2:34" x14ac:dyDescent="0.2">
      <c r="B5347" s="2">
        <f ca="1"/>
        <v>6.3080536430979439E-3</v>
      </c>
      <c r="O5347" s="2">
        <f ca="1"/>
        <v>-0.23918708576813161</v>
      </c>
      <c r="X5347" s="2">
        <f ca="1"/>
        <v>57.823181300707098</v>
      </c>
      <c r="AG5347" s="2">
        <f ca="1"/>
        <v>0.21780038541386526</v>
      </c>
      <c r="AH5347" s="2" t="str">
        <f ca="1"/>
        <v>OK</v>
      </c>
    </row>
    <row r="5348" spans="2:34" x14ac:dyDescent="0.2">
      <c r="B5348" s="2">
        <f ca="1"/>
        <v>0.62165743316907074</v>
      </c>
      <c r="O5348" s="2">
        <f ca="1"/>
        <v>0.66663077061525855</v>
      </c>
      <c r="X5348" s="2">
        <f ca="1"/>
        <v>41.91089221890239</v>
      </c>
      <c r="AG5348" s="2">
        <f ca="1"/>
        <v>0.36053742190522864</v>
      </c>
      <c r="AH5348" s="2" t="str">
        <f ca="1"/>
        <v>OK</v>
      </c>
    </row>
    <row r="5349" spans="2:34" x14ac:dyDescent="0.2">
      <c r="B5349" s="2">
        <f ca="1"/>
        <v>0.47665483972097888</v>
      </c>
      <c r="O5349" s="2">
        <f ca="1"/>
        <v>0.16657102728445228</v>
      </c>
      <c r="X5349" s="2">
        <f ca="1"/>
        <v>83.797252319657815</v>
      </c>
      <c r="AG5349" s="2">
        <f ca="1"/>
        <v>1.2630661868173076E-2</v>
      </c>
      <c r="AH5349" s="2" t="str">
        <f ca="1"/>
        <v>Good</v>
      </c>
    </row>
    <row r="5350" spans="2:34" x14ac:dyDescent="0.2">
      <c r="B5350" s="2">
        <f ca="1"/>
        <v>0.33372851362181422</v>
      </c>
      <c r="O5350" s="2">
        <f ca="1"/>
        <v>0.59436564233992084</v>
      </c>
      <c r="X5350" s="2">
        <f ca="1"/>
        <v>64.943630358237471</v>
      </c>
      <c r="AG5350" s="2">
        <f ca="1"/>
        <v>0.95735306854966096</v>
      </c>
      <c r="AH5350" s="2" t="str">
        <f ca="1"/>
        <v>Bad</v>
      </c>
    </row>
    <row r="5351" spans="2:34" x14ac:dyDescent="0.2">
      <c r="B5351" s="2">
        <f ca="1"/>
        <v>0.69189646436696228</v>
      </c>
      <c r="O5351" s="2">
        <f ca="1"/>
        <v>0.22028708798833191</v>
      </c>
      <c r="X5351" s="2">
        <f ca="1"/>
        <v>22.730149699141094</v>
      </c>
      <c r="AG5351" s="2">
        <f ca="1"/>
        <v>0.77883941614538688</v>
      </c>
      <c r="AH5351" s="2" t="str">
        <f ca="1"/>
        <v>Bad</v>
      </c>
    </row>
    <row r="5352" spans="2:34" x14ac:dyDescent="0.2">
      <c r="B5352" s="2">
        <f ca="1"/>
        <v>0.61100281254639266</v>
      </c>
      <c r="O5352" s="2">
        <f ca="1"/>
        <v>1.8962375075323303</v>
      </c>
      <c r="X5352" s="2">
        <f ca="1"/>
        <v>39.893946167479321</v>
      </c>
      <c r="AG5352" s="2">
        <f ca="1"/>
        <v>0.50227759989635024</v>
      </c>
      <c r="AH5352" s="2" t="str">
        <f ca="1"/>
        <v>Bad</v>
      </c>
    </row>
    <row r="5353" spans="2:34" x14ac:dyDescent="0.2">
      <c r="B5353" s="2">
        <f ca="1"/>
        <v>0.7320350601242982</v>
      </c>
      <c r="O5353" s="2">
        <f ca="1"/>
        <v>-5.6879980521698952E-2</v>
      </c>
      <c r="X5353" s="2">
        <f ca="1"/>
        <v>51.755956114801478</v>
      </c>
      <c r="AG5353" s="2">
        <f ca="1"/>
        <v>0.67027378261719917</v>
      </c>
      <c r="AH5353" s="2" t="str">
        <f ca="1"/>
        <v>Bad</v>
      </c>
    </row>
    <row r="5354" spans="2:34" x14ac:dyDescent="0.2">
      <c r="B5354" s="2">
        <f ca="1"/>
        <v>0.59421813374529053</v>
      </c>
      <c r="O5354" s="2">
        <f ca="1"/>
        <v>-0.57104787164825543</v>
      </c>
      <c r="X5354" s="2">
        <f ca="1"/>
        <v>64.206100483487617</v>
      </c>
      <c r="AG5354" s="2">
        <f ca="1"/>
        <v>0.62405565262347884</v>
      </c>
      <c r="AH5354" s="2" t="str">
        <f ca="1"/>
        <v>Bad</v>
      </c>
    </row>
    <row r="5355" spans="2:34" x14ac:dyDescent="0.2">
      <c r="B5355" s="2">
        <f ca="1"/>
        <v>0.62783517604631811</v>
      </c>
      <c r="O5355" s="2">
        <f ca="1"/>
        <v>0.21770211142431384</v>
      </c>
      <c r="X5355" s="2">
        <f ca="1"/>
        <v>40.635272909324598</v>
      </c>
      <c r="AG5355" s="2">
        <f ca="1"/>
        <v>0.22796626456149593</v>
      </c>
      <c r="AH5355" s="2" t="str">
        <f ca="1"/>
        <v>OK</v>
      </c>
    </row>
    <row r="5356" spans="2:34" x14ac:dyDescent="0.2">
      <c r="B5356" s="2">
        <f ca="1"/>
        <v>0.80236001345385199</v>
      </c>
      <c r="O5356" s="2">
        <f ca="1"/>
        <v>-0.47806112871034562</v>
      </c>
      <c r="X5356" s="2">
        <f ca="1"/>
        <v>58.126329739670581</v>
      </c>
      <c r="AG5356" s="2">
        <f ca="1"/>
        <v>0.86713665778282456</v>
      </c>
      <c r="AH5356" s="2" t="str">
        <f ca="1"/>
        <v>Bad</v>
      </c>
    </row>
    <row r="5357" spans="2:34" x14ac:dyDescent="0.2">
      <c r="B5357" s="2">
        <f ca="1"/>
        <v>0.3197559723439436</v>
      </c>
      <c r="O5357" s="2">
        <f ca="1"/>
        <v>0.47403307923672888</v>
      </c>
      <c r="X5357" s="2">
        <f ca="1"/>
        <v>69.390439682253501</v>
      </c>
      <c r="AG5357" s="2">
        <f ca="1"/>
        <v>0.79566465045766144</v>
      </c>
      <c r="AH5357" s="2" t="str">
        <f ca="1"/>
        <v>Bad</v>
      </c>
    </row>
    <row r="5358" spans="2:34" x14ac:dyDescent="0.2">
      <c r="B5358" s="2">
        <f ca="1"/>
        <v>0.61091989066786945</v>
      </c>
      <c r="O5358" s="2">
        <f ca="1"/>
        <v>-0.63466431133294743</v>
      </c>
      <c r="X5358" s="2">
        <f ca="1"/>
        <v>33.899910086921381</v>
      </c>
      <c r="AG5358" s="2">
        <f ca="1"/>
        <v>0.62564072890995948</v>
      </c>
      <c r="AH5358" s="2" t="str">
        <f ca="1"/>
        <v>Bad</v>
      </c>
    </row>
    <row r="5359" spans="2:34" x14ac:dyDescent="0.2">
      <c r="B5359" s="2">
        <f ca="1"/>
        <v>0.42126741103519616</v>
      </c>
      <c r="O5359" s="2">
        <f ca="1"/>
        <v>-4.8866754885075532E-2</v>
      </c>
      <c r="X5359" s="2">
        <f ca="1"/>
        <v>41.288319153817568</v>
      </c>
      <c r="AG5359" s="2">
        <f ca="1"/>
        <v>0.10872108247775336</v>
      </c>
      <c r="AH5359" s="2" t="str">
        <f ca="1"/>
        <v>OK</v>
      </c>
    </row>
    <row r="5360" spans="2:34" x14ac:dyDescent="0.2">
      <c r="B5360" s="2">
        <f ca="1"/>
        <v>0.34684995378599637</v>
      </c>
      <c r="O5360" s="2">
        <f ca="1"/>
        <v>0.21426694701974749</v>
      </c>
      <c r="X5360" s="2">
        <f ca="1"/>
        <v>65.464128272279837</v>
      </c>
      <c r="AG5360" s="2">
        <f ca="1"/>
        <v>0.31611477463494109</v>
      </c>
      <c r="AH5360" s="2" t="str">
        <f ca="1"/>
        <v>OK</v>
      </c>
    </row>
    <row r="5361" spans="2:34" x14ac:dyDescent="0.2">
      <c r="B5361" s="2">
        <f ca="1"/>
        <v>0.92511581590914393</v>
      </c>
      <c r="O5361" s="2">
        <f ca="1"/>
        <v>-0.13254132916393255</v>
      </c>
      <c r="X5361" s="2">
        <f ca="1"/>
        <v>45.705709616479389</v>
      </c>
      <c r="AG5361" s="2">
        <f ca="1"/>
        <v>0.22109232660573852</v>
      </c>
      <c r="AH5361" s="2" t="str">
        <f ca="1"/>
        <v>OK</v>
      </c>
    </row>
    <row r="5362" spans="2:34" x14ac:dyDescent="0.2">
      <c r="B5362" s="2">
        <f ca="1"/>
        <v>0.1468973712624535</v>
      </c>
      <c r="O5362" s="2">
        <f ca="1"/>
        <v>-1.1005628102033602</v>
      </c>
      <c r="X5362" s="2">
        <f ca="1"/>
        <v>60.329891505170103</v>
      </c>
      <c r="AG5362" s="2">
        <f ca="1"/>
        <v>0.69749705385959748</v>
      </c>
      <c r="AH5362" s="2" t="str">
        <f ca="1"/>
        <v>Bad</v>
      </c>
    </row>
    <row r="5363" spans="2:34" x14ac:dyDescent="0.2">
      <c r="B5363" s="2">
        <f ca="1"/>
        <v>0.60598836829453417</v>
      </c>
      <c r="O5363" s="2">
        <f ca="1"/>
        <v>-1.6830617441333668</v>
      </c>
      <c r="X5363" s="2">
        <f ca="1"/>
        <v>66.605316907741553</v>
      </c>
      <c r="AG5363" s="2">
        <f ca="1"/>
        <v>0.84619166283131619</v>
      </c>
      <c r="AH5363" s="2" t="str">
        <f ca="1"/>
        <v>Bad</v>
      </c>
    </row>
    <row r="5364" spans="2:34" x14ac:dyDescent="0.2">
      <c r="B5364" s="2">
        <f ca="1"/>
        <v>0.63620290196363172</v>
      </c>
      <c r="O5364" s="2">
        <f ca="1"/>
        <v>0.11776198799286769</v>
      </c>
      <c r="X5364" s="2">
        <f ca="1"/>
        <v>40.388671233344894</v>
      </c>
      <c r="AG5364" s="2">
        <f ca="1"/>
        <v>0.27665030601690699</v>
      </c>
      <c r="AH5364" s="2" t="str">
        <f ca="1"/>
        <v>OK</v>
      </c>
    </row>
    <row r="5365" spans="2:34" x14ac:dyDescent="0.2">
      <c r="B5365" s="2">
        <f ca="1"/>
        <v>0.30532009105083913</v>
      </c>
      <c r="O5365" s="2">
        <f ca="1"/>
        <v>-1.3664469277201443</v>
      </c>
      <c r="X5365" s="2">
        <f ca="1"/>
        <v>77.644255977058265</v>
      </c>
      <c r="AG5365" s="2">
        <f ca="1"/>
        <v>0.8517017264090323</v>
      </c>
      <c r="AH5365" s="2" t="str">
        <f ca="1"/>
        <v>Bad</v>
      </c>
    </row>
    <row r="5366" spans="2:34" x14ac:dyDescent="0.2">
      <c r="B5366" s="2">
        <f ca="1"/>
        <v>2.686135500024478E-2</v>
      </c>
      <c r="O5366" s="2">
        <f ca="1"/>
        <v>1.4009489988076658</v>
      </c>
      <c r="X5366" s="2">
        <f ca="1"/>
        <v>55.757632379355428</v>
      </c>
      <c r="AG5366" s="2">
        <f ca="1"/>
        <v>0.12623664505604237</v>
      </c>
      <c r="AH5366" s="2" t="str">
        <f ca="1"/>
        <v>OK</v>
      </c>
    </row>
    <row r="5367" spans="2:34" x14ac:dyDescent="0.2">
      <c r="B5367" s="2">
        <f ca="1"/>
        <v>0.28402946882707725</v>
      </c>
      <c r="O5367" s="2">
        <f ca="1"/>
        <v>-0.84555353284061996</v>
      </c>
      <c r="X5367" s="2">
        <f ca="1"/>
        <v>62.173378708012706</v>
      </c>
      <c r="AG5367" s="2">
        <f ca="1"/>
        <v>0.95349345249551232</v>
      </c>
      <c r="AH5367" s="2" t="str">
        <f ca="1"/>
        <v>Bad</v>
      </c>
    </row>
    <row r="5368" spans="2:34" x14ac:dyDescent="0.2">
      <c r="B5368" s="2">
        <f ca="1"/>
        <v>0.3118870247496166</v>
      </c>
      <c r="O5368" s="2">
        <f ca="1"/>
        <v>-0.47496199059633443</v>
      </c>
      <c r="X5368" s="2">
        <f ca="1"/>
        <v>78.131603007825859</v>
      </c>
      <c r="AG5368" s="2">
        <f ca="1"/>
        <v>0.48018444848359509</v>
      </c>
      <c r="AH5368" s="2" t="str">
        <f ca="1"/>
        <v>Bad</v>
      </c>
    </row>
    <row r="5369" spans="2:34" x14ac:dyDescent="0.2">
      <c r="B5369" s="2">
        <f ca="1"/>
        <v>0.37199060705261489</v>
      </c>
      <c r="O5369" s="2">
        <f ca="1"/>
        <v>-0.40413614645019658</v>
      </c>
      <c r="X5369" s="2">
        <f ca="1"/>
        <v>37.934596812233323</v>
      </c>
      <c r="AG5369" s="2">
        <f ca="1"/>
        <v>0.9919377563178573</v>
      </c>
      <c r="AH5369" s="2" t="str">
        <f ca="1"/>
        <v>Bad</v>
      </c>
    </row>
    <row r="5370" spans="2:34" x14ac:dyDescent="0.2">
      <c r="B5370" s="2">
        <f ca="1"/>
        <v>0.44620814865758418</v>
      </c>
      <c r="O5370" s="2">
        <f ca="1"/>
        <v>-0.36015899669933543</v>
      </c>
      <c r="X5370" s="2">
        <f ca="1"/>
        <v>51.305793716746521</v>
      </c>
      <c r="AG5370" s="2">
        <f ca="1"/>
        <v>0.97423469769333582</v>
      </c>
      <c r="AH5370" s="2" t="str">
        <f ca="1"/>
        <v>Bad</v>
      </c>
    </row>
    <row r="5371" spans="2:34" x14ac:dyDescent="0.2">
      <c r="B5371" s="2">
        <f ca="1"/>
        <v>0.94333971723776866</v>
      </c>
      <c r="O5371" s="2">
        <f ca="1"/>
        <v>-0.24228379937049282</v>
      </c>
      <c r="X5371" s="2">
        <f ca="1"/>
        <v>59.284975382635807</v>
      </c>
      <c r="AG5371" s="2">
        <f ca="1"/>
        <v>0.78320638739727455</v>
      </c>
      <c r="AH5371" s="2" t="str">
        <f ca="1"/>
        <v>Bad</v>
      </c>
    </row>
    <row r="5372" spans="2:34" x14ac:dyDescent="0.2">
      <c r="B5372" s="2">
        <f ca="1"/>
        <v>0.33897424009894705</v>
      </c>
      <c r="O5372" s="2">
        <f ca="1"/>
        <v>0.20041057054100797</v>
      </c>
      <c r="X5372" s="2">
        <f ca="1"/>
        <v>90.75441339474574</v>
      </c>
      <c r="AG5372" s="2">
        <f ca="1"/>
        <v>0.71512706549913152</v>
      </c>
      <c r="AH5372" s="2" t="str">
        <f ca="1"/>
        <v>Bad</v>
      </c>
    </row>
    <row r="5373" spans="2:34" x14ac:dyDescent="0.2">
      <c r="B5373" s="2">
        <f ca="1"/>
        <v>0.93614664173530193</v>
      </c>
      <c r="O5373" s="2">
        <f ca="1"/>
        <v>1.7871891650203084</v>
      </c>
      <c r="X5373" s="2">
        <f ca="1"/>
        <v>59.18848273660349</v>
      </c>
      <c r="AG5373" s="2">
        <f ca="1"/>
        <v>0.2220708338298587</v>
      </c>
      <c r="AH5373" s="2" t="str">
        <f ca="1"/>
        <v>OK</v>
      </c>
    </row>
    <row r="5374" spans="2:34" x14ac:dyDescent="0.2">
      <c r="B5374" s="2">
        <f ca="1"/>
        <v>0.97625514125515056</v>
      </c>
      <c r="O5374" s="2">
        <f ca="1"/>
        <v>1.4526534800440494</v>
      </c>
      <c r="X5374" s="2">
        <f ca="1"/>
        <v>23.451006767912205</v>
      </c>
      <c r="AG5374" s="2">
        <f ca="1"/>
        <v>0.71554852849029071</v>
      </c>
      <c r="AH5374" s="2" t="str">
        <f ca="1"/>
        <v>Bad</v>
      </c>
    </row>
    <row r="5375" spans="2:34" x14ac:dyDescent="0.2">
      <c r="B5375" s="2">
        <f ca="1"/>
        <v>0.38762551408553514</v>
      </c>
      <c r="O5375" s="2">
        <f ca="1"/>
        <v>-0.39242652199300232</v>
      </c>
      <c r="X5375" s="2">
        <f ca="1"/>
        <v>22.174487249410895</v>
      </c>
      <c r="AG5375" s="2">
        <f ca="1"/>
        <v>0.56519858121921684</v>
      </c>
      <c r="AH5375" s="2" t="str">
        <f ca="1"/>
        <v>Bad</v>
      </c>
    </row>
    <row r="5376" spans="2:34" x14ac:dyDescent="0.2">
      <c r="B5376" s="2">
        <f ca="1"/>
        <v>0.72947318025647068</v>
      </c>
      <c r="O5376" s="2">
        <f ca="1"/>
        <v>0.24950314825551065</v>
      </c>
      <c r="X5376" s="2">
        <f ca="1"/>
        <v>60.614249306201174</v>
      </c>
      <c r="AG5376" s="2">
        <f ca="1"/>
        <v>0.22497673140362795</v>
      </c>
      <c r="AH5376" s="2" t="str">
        <f ca="1"/>
        <v>OK</v>
      </c>
    </row>
    <row r="5377" spans="2:34" x14ac:dyDescent="0.2">
      <c r="B5377" s="2">
        <f ca="1"/>
        <v>0.58283518844308202</v>
      </c>
      <c r="O5377" s="2">
        <f ca="1"/>
        <v>-4.8605991992286955E-2</v>
      </c>
      <c r="X5377" s="2">
        <f ca="1"/>
        <v>94.745226505506409</v>
      </c>
      <c r="AG5377" s="2">
        <f ca="1"/>
        <v>0.59584845717250134</v>
      </c>
      <c r="AH5377" s="2" t="str">
        <f ca="1"/>
        <v>Bad</v>
      </c>
    </row>
    <row r="5378" spans="2:34" x14ac:dyDescent="0.2">
      <c r="B5378" s="2">
        <f ca="1"/>
        <v>0.28350406426652319</v>
      </c>
      <c r="O5378" s="2">
        <f ca="1"/>
        <v>-0.57872512627434303</v>
      </c>
      <c r="X5378" s="2">
        <f ca="1"/>
        <v>35.281187099510483</v>
      </c>
      <c r="AG5378" s="2">
        <f ca="1"/>
        <v>0.93364567116964436</v>
      </c>
      <c r="AH5378" s="2" t="str">
        <f ca="1"/>
        <v>Bad</v>
      </c>
    </row>
    <row r="5379" spans="2:34" x14ac:dyDescent="0.2">
      <c r="B5379" s="2">
        <f ca="1"/>
        <v>0.98526905198438119</v>
      </c>
      <c r="O5379" s="2">
        <f ca="1"/>
        <v>0.42057016503858763</v>
      </c>
      <c r="X5379" s="2">
        <f ca="1"/>
        <v>21.639481099408918</v>
      </c>
      <c r="AG5379" s="2">
        <f ca="1"/>
        <v>0.600973699362499</v>
      </c>
      <c r="AH5379" s="2" t="str">
        <f ca="1"/>
        <v>Bad</v>
      </c>
    </row>
    <row r="5380" spans="2:34" x14ac:dyDescent="0.2">
      <c r="B5380" s="2">
        <f ca="1"/>
        <v>0.32951745100925645</v>
      </c>
      <c r="O5380" s="2">
        <f ca="1"/>
        <v>-0.75839539109505494</v>
      </c>
      <c r="X5380" s="2">
        <f ca="1"/>
        <v>62.211901646039685</v>
      </c>
      <c r="AG5380" s="2">
        <f ca="1"/>
        <v>0.99619240783284257</v>
      </c>
      <c r="AH5380" s="2" t="str">
        <f ca="1"/>
        <v>Bad</v>
      </c>
    </row>
    <row r="5381" spans="2:34" x14ac:dyDescent="0.2">
      <c r="B5381" s="2">
        <f ca="1"/>
        <v>0.29913019062740576</v>
      </c>
      <c r="O5381" s="2">
        <f ca="1"/>
        <v>1.4537400494002104</v>
      </c>
      <c r="X5381" s="2">
        <f ca="1"/>
        <v>56.604564368720098</v>
      </c>
      <c r="AG5381" s="2">
        <f ca="1"/>
        <v>0.10591319284589851</v>
      </c>
      <c r="AH5381" s="2" t="str">
        <f ca="1"/>
        <v>OK</v>
      </c>
    </row>
    <row r="5382" spans="2:34" x14ac:dyDescent="0.2">
      <c r="B5382" s="2">
        <f ca="1"/>
        <v>0.74165854165202694</v>
      </c>
      <c r="O5382" s="2">
        <f ca="1"/>
        <v>-0.24655006062460183</v>
      </c>
      <c r="X5382" s="2">
        <f ca="1"/>
        <v>56.019291086499621</v>
      </c>
      <c r="AG5382" s="2">
        <f ca="1"/>
        <v>0.74534017295806487</v>
      </c>
      <c r="AH5382" s="2" t="str">
        <f ca="1"/>
        <v>Bad</v>
      </c>
    </row>
    <row r="5383" spans="2:34" x14ac:dyDescent="0.2">
      <c r="B5383" s="2">
        <f ca="1"/>
        <v>0.63732291408902531</v>
      </c>
      <c r="O5383" s="2">
        <f ca="1"/>
        <v>-1.7101399585900399</v>
      </c>
      <c r="X5383" s="2">
        <f ca="1"/>
        <v>59.295691144098129</v>
      </c>
      <c r="AG5383" s="2">
        <f ca="1"/>
        <v>0.80590297983320425</v>
      </c>
      <c r="AH5383" s="2" t="str">
        <f ca="1"/>
        <v>Bad</v>
      </c>
    </row>
    <row r="5384" spans="2:34" x14ac:dyDescent="0.2">
      <c r="B5384" s="2">
        <f ca="1"/>
        <v>0.53695014373184136</v>
      </c>
      <c r="O5384" s="2">
        <f ca="1"/>
        <v>4.683842099193166E-2</v>
      </c>
      <c r="X5384" s="2">
        <f ca="1"/>
        <v>108.66384916900577</v>
      </c>
      <c r="AG5384" s="2">
        <f ca="1"/>
        <v>0.97196965392523382</v>
      </c>
      <c r="AH5384" s="2" t="str">
        <f ca="1"/>
        <v>Bad</v>
      </c>
    </row>
    <row r="5385" spans="2:34" x14ac:dyDescent="0.2">
      <c r="B5385" s="2">
        <f ca="1"/>
        <v>4.8001801090203022E-2</v>
      </c>
      <c r="O5385" s="2">
        <f ca="1"/>
        <v>1.6418719235684611</v>
      </c>
      <c r="X5385" s="2">
        <f ca="1"/>
        <v>67.211735465860912</v>
      </c>
      <c r="AG5385" s="2">
        <f ca="1"/>
        <v>0.66565921153515295</v>
      </c>
      <c r="AH5385" s="2" t="str">
        <f ca="1"/>
        <v>Bad</v>
      </c>
    </row>
    <row r="5386" spans="2:34" x14ac:dyDescent="0.2">
      <c r="B5386" s="2">
        <f ca="1"/>
        <v>0.37227284208696876</v>
      </c>
      <c r="O5386" s="2">
        <f ca="1"/>
        <v>-1.1961291550517195</v>
      </c>
      <c r="X5386" s="2">
        <f ca="1"/>
        <v>56.679835371569894</v>
      </c>
      <c r="AG5386" s="2">
        <f ca="1"/>
        <v>0.36425774088211771</v>
      </c>
      <c r="AH5386" s="2" t="str">
        <f ca="1"/>
        <v>OK</v>
      </c>
    </row>
    <row r="5387" spans="2:34" x14ac:dyDescent="0.2">
      <c r="B5387" s="2">
        <f ca="1"/>
        <v>0.48393957437789847</v>
      </c>
      <c r="O5387" s="2">
        <f ca="1"/>
        <v>0.64874038438717807</v>
      </c>
      <c r="X5387" s="2">
        <f ca="1"/>
        <v>59.730579537069552</v>
      </c>
      <c r="AG5387" s="2">
        <f ca="1"/>
        <v>0.47935750563801083</v>
      </c>
      <c r="AH5387" s="2" t="str">
        <f ca="1"/>
        <v>Bad</v>
      </c>
    </row>
    <row r="5388" spans="2:34" x14ac:dyDescent="0.2">
      <c r="B5388" s="2">
        <f ca="1"/>
        <v>0.29523468325323399</v>
      </c>
      <c r="O5388" s="2">
        <f ca="1"/>
        <v>-4.1279800305926345E-2</v>
      </c>
      <c r="X5388" s="2">
        <f ca="1"/>
        <v>46.317183262533838</v>
      </c>
      <c r="AG5388" s="2">
        <f ca="1"/>
        <v>0.86566519004073106</v>
      </c>
      <c r="AH5388" s="2" t="str">
        <f ca="1"/>
        <v>Bad</v>
      </c>
    </row>
    <row r="5389" spans="2:34" x14ac:dyDescent="0.2">
      <c r="B5389" s="2">
        <f ca="1"/>
        <v>4.2144851354536161E-2</v>
      </c>
      <c r="O5389" s="2">
        <f ca="1"/>
        <v>0.81408073887031485</v>
      </c>
      <c r="X5389" s="2">
        <f ca="1"/>
        <v>39.883365015529378</v>
      </c>
      <c r="AG5389" s="2">
        <f ca="1"/>
        <v>0.76690678154407488</v>
      </c>
      <c r="AH5389" s="2" t="str">
        <f ca="1"/>
        <v>Bad</v>
      </c>
    </row>
    <row r="5390" spans="2:34" x14ac:dyDescent="0.2">
      <c r="B5390" s="2">
        <f ca="1"/>
        <v>0.66603572719654491</v>
      </c>
      <c r="O5390" s="2">
        <f ca="1"/>
        <v>-0.98348568299640093</v>
      </c>
      <c r="X5390" s="2">
        <f ca="1"/>
        <v>48.585165219185356</v>
      </c>
      <c r="AG5390" s="2">
        <f ca="1"/>
        <v>0.63719375526348254</v>
      </c>
      <c r="AH5390" s="2" t="str">
        <f ca="1"/>
        <v>Bad</v>
      </c>
    </row>
    <row r="5391" spans="2:34" x14ac:dyDescent="0.2">
      <c r="B5391" s="2">
        <f ca="1"/>
        <v>0.41574786417895448</v>
      </c>
      <c r="O5391" s="2">
        <f ca="1"/>
        <v>-0.68711641481063712</v>
      </c>
      <c r="X5391" s="2">
        <f ca="1"/>
        <v>35.843975725207102</v>
      </c>
      <c r="AG5391" s="2">
        <f ca="1"/>
        <v>0.61217149018192063</v>
      </c>
      <c r="AH5391" s="2" t="str">
        <f ca="1"/>
        <v>Bad</v>
      </c>
    </row>
    <row r="5392" spans="2:34" x14ac:dyDescent="0.2">
      <c r="B5392" s="2">
        <f ca="1"/>
        <v>0.59308146592178379</v>
      </c>
      <c r="O5392" s="2">
        <f ca="1"/>
        <v>-0.93225142569940644</v>
      </c>
      <c r="X5392" s="2">
        <f ca="1"/>
        <v>37.320646314095633</v>
      </c>
      <c r="AG5392" s="2">
        <f ca="1"/>
        <v>7.7797365036261557E-2</v>
      </c>
      <c r="AH5392" s="2" t="str">
        <f ca="1"/>
        <v>OK</v>
      </c>
    </row>
    <row r="5393" spans="2:34" x14ac:dyDescent="0.2">
      <c r="B5393" s="2">
        <f ca="1"/>
        <v>0.91474833427698421</v>
      </c>
      <c r="O5393" s="2">
        <f ca="1"/>
        <v>1.8251525349939737</v>
      </c>
      <c r="X5393" s="2">
        <f ca="1"/>
        <v>44.810841080494654</v>
      </c>
      <c r="AG5393" s="2">
        <f ca="1"/>
        <v>0.36994398178906462</v>
      </c>
      <c r="AH5393" s="2" t="str">
        <f ca="1"/>
        <v>OK</v>
      </c>
    </row>
    <row r="5394" spans="2:34" x14ac:dyDescent="0.2">
      <c r="B5394" s="2">
        <f ca="1"/>
        <v>0.17576695618491622</v>
      </c>
      <c r="O5394" s="2">
        <f ca="1"/>
        <v>-1.786721691974531</v>
      </c>
      <c r="X5394" s="2">
        <f ca="1"/>
        <v>37.009274780610404</v>
      </c>
      <c r="AG5394" s="2">
        <f ca="1"/>
        <v>0.68991173626321856</v>
      </c>
      <c r="AH5394" s="2" t="str">
        <f ca="1"/>
        <v>Bad</v>
      </c>
    </row>
    <row r="5395" spans="2:34" x14ac:dyDescent="0.2">
      <c r="B5395" s="2">
        <f ca="1"/>
        <v>2.6509756518883432E-2</v>
      </c>
      <c r="O5395" s="2">
        <f ca="1"/>
        <v>0.80060129589825491</v>
      </c>
      <c r="X5395" s="2">
        <f ca="1"/>
        <v>52.323843515650992</v>
      </c>
      <c r="AG5395" s="2">
        <f ca="1"/>
        <v>0.58586174609144859</v>
      </c>
      <c r="AH5395" s="2" t="str">
        <f ca="1"/>
        <v>Bad</v>
      </c>
    </row>
    <row r="5396" spans="2:34" x14ac:dyDescent="0.2">
      <c r="B5396" s="2">
        <f ca="1"/>
        <v>2.3907361506151137E-2</v>
      </c>
      <c r="O5396" s="2">
        <f ca="1"/>
        <v>0.9369583394670431</v>
      </c>
      <c r="X5396" s="2">
        <f ca="1"/>
        <v>45.777139420489227</v>
      </c>
      <c r="AG5396" s="2">
        <f ca="1"/>
        <v>0.46129140708061955</v>
      </c>
      <c r="AH5396" s="2" t="str">
        <f ca="1"/>
        <v>Bad</v>
      </c>
    </row>
    <row r="5397" spans="2:34" x14ac:dyDescent="0.2">
      <c r="B5397" s="2">
        <f ca="1"/>
        <v>0.13629464998505902</v>
      </c>
      <c r="O5397" s="2">
        <f ca="1"/>
        <v>0.38765144602080254</v>
      </c>
      <c r="X5397" s="2">
        <f ca="1"/>
        <v>36.350301450490534</v>
      </c>
      <c r="AG5397" s="2">
        <f ca="1"/>
        <v>0.59293988931312391</v>
      </c>
      <c r="AH5397" s="2" t="str">
        <f ca="1"/>
        <v>Bad</v>
      </c>
    </row>
    <row r="5398" spans="2:34" x14ac:dyDescent="0.2">
      <c r="B5398" s="2">
        <f ca="1"/>
        <v>0.8331400963132356</v>
      </c>
      <c r="O5398" s="2">
        <f ca="1"/>
        <v>-0.72475019144607034</v>
      </c>
      <c r="X5398" s="2">
        <f ca="1"/>
        <v>57.679238276733152</v>
      </c>
      <c r="AG5398" s="2">
        <f ca="1"/>
        <v>0.35874170537036565</v>
      </c>
      <c r="AH5398" s="2" t="str">
        <f ca="1"/>
        <v>OK</v>
      </c>
    </row>
    <row r="5399" spans="2:34" x14ac:dyDescent="0.2">
      <c r="B5399" s="2">
        <f ca="1"/>
        <v>0.68647413320779438</v>
      </c>
      <c r="O5399" s="2">
        <f ca="1"/>
        <v>0.89788214213678197</v>
      </c>
      <c r="X5399" s="2">
        <f ca="1"/>
        <v>68.465636240241921</v>
      </c>
      <c r="AG5399" s="2">
        <f ca="1"/>
        <v>0.77546928529349923</v>
      </c>
      <c r="AH5399" s="2" t="str">
        <f ca="1"/>
        <v>Bad</v>
      </c>
    </row>
    <row r="5400" spans="2:34" x14ac:dyDescent="0.2">
      <c r="B5400" s="2">
        <f ca="1"/>
        <v>0.74346465184537625</v>
      </c>
      <c r="O5400" s="2">
        <f ca="1"/>
        <v>-1.4635877717691839</v>
      </c>
      <c r="X5400" s="2">
        <f ca="1"/>
        <v>53.556854109131024</v>
      </c>
      <c r="AG5400" s="2">
        <f ca="1"/>
        <v>0.7918744138019822</v>
      </c>
      <c r="AH5400" s="2" t="str">
        <f ca="1"/>
        <v>Bad</v>
      </c>
    </row>
    <row r="5401" spans="2:34" x14ac:dyDescent="0.2">
      <c r="B5401" s="2">
        <f ca="1"/>
        <v>0.97174124149624386</v>
      </c>
      <c r="O5401" s="2">
        <f ca="1"/>
        <v>-1.6488548354198691</v>
      </c>
      <c r="X5401" s="2">
        <f ca="1"/>
        <v>31.61105493086264</v>
      </c>
      <c r="AG5401" s="2">
        <f ca="1"/>
        <v>0.73219145609759084</v>
      </c>
      <c r="AH5401" s="2" t="str">
        <f ca="1"/>
        <v>Bad</v>
      </c>
    </row>
    <row r="5402" spans="2:34" x14ac:dyDescent="0.2">
      <c r="B5402" s="2">
        <f ca="1"/>
        <v>0.45168825410394131</v>
      </c>
      <c r="O5402" s="2">
        <f ca="1"/>
        <v>1.1864175533208603</v>
      </c>
      <c r="X5402" s="2">
        <f ca="1"/>
        <v>49.327389036880845</v>
      </c>
      <c r="AG5402" s="2">
        <f ca="1"/>
        <v>0.31931747155551227</v>
      </c>
      <c r="AH5402" s="2" t="str">
        <f ca="1"/>
        <v>OK</v>
      </c>
    </row>
    <row r="5403" spans="2:34" x14ac:dyDescent="0.2">
      <c r="B5403" s="2">
        <f ca="1"/>
        <v>0.71639343624232454</v>
      </c>
      <c r="O5403" s="2">
        <f ca="1"/>
        <v>-0.52380130862261154</v>
      </c>
      <c r="X5403" s="2">
        <f ca="1"/>
        <v>37.960363537066101</v>
      </c>
      <c r="AG5403" s="2">
        <f ca="1"/>
        <v>0.21378964971941161</v>
      </c>
      <c r="AH5403" s="2" t="str">
        <f ca="1"/>
        <v>OK</v>
      </c>
    </row>
    <row r="5404" spans="2:34" x14ac:dyDescent="0.2">
      <c r="B5404" s="2">
        <f ca="1"/>
        <v>0.34334562441548466</v>
      </c>
      <c r="O5404" s="2">
        <f ca="1"/>
        <v>-0.79342029401277747</v>
      </c>
      <c r="X5404" s="2">
        <f ca="1"/>
        <v>40.361098889365046</v>
      </c>
      <c r="AG5404" s="2">
        <f ca="1"/>
        <v>0.30144558081778694</v>
      </c>
      <c r="AH5404" s="2" t="str">
        <f ca="1"/>
        <v>OK</v>
      </c>
    </row>
    <row r="5405" spans="2:34" x14ac:dyDescent="0.2">
      <c r="B5405" s="2">
        <f ca="1"/>
        <v>0.55624584030043778</v>
      </c>
      <c r="O5405" s="2">
        <f ca="1"/>
        <v>0.38460335015724462</v>
      </c>
      <c r="X5405" s="2">
        <f ca="1"/>
        <v>44.323119937878602</v>
      </c>
      <c r="AG5405" s="2">
        <f ca="1"/>
        <v>0.42182474206306275</v>
      </c>
      <c r="AH5405" s="2" t="str">
        <f ca="1"/>
        <v>Bad</v>
      </c>
    </row>
    <row r="5406" spans="2:34" x14ac:dyDescent="0.2">
      <c r="B5406" s="2">
        <f ca="1"/>
        <v>0.29397906632729076</v>
      </c>
      <c r="O5406" s="2">
        <f ca="1"/>
        <v>0.25614358482530258</v>
      </c>
      <c r="X5406" s="2">
        <f ca="1"/>
        <v>60.878558815822302</v>
      </c>
      <c r="AG5406" s="2">
        <f ca="1"/>
        <v>0.44470008677795669</v>
      </c>
      <c r="AH5406" s="2" t="str">
        <f ca="1"/>
        <v>Bad</v>
      </c>
    </row>
    <row r="5407" spans="2:34" x14ac:dyDescent="0.2">
      <c r="B5407" s="2">
        <f ca="1"/>
        <v>0.9137737801446717</v>
      </c>
      <c r="O5407" s="2">
        <f ca="1"/>
        <v>-0.14200269077552288</v>
      </c>
      <c r="X5407" s="2">
        <f ca="1"/>
        <v>52.441196909924372</v>
      </c>
      <c r="AG5407" s="2">
        <f ca="1"/>
        <v>0.54995139760542266</v>
      </c>
      <c r="AH5407" s="2" t="str">
        <f ca="1"/>
        <v>Bad</v>
      </c>
    </row>
    <row r="5408" spans="2:34" x14ac:dyDescent="0.2">
      <c r="B5408" s="2">
        <f ca="1"/>
        <v>0.80189126930753862</v>
      </c>
      <c r="O5408" s="2">
        <f ca="1"/>
        <v>-2.817258348205451</v>
      </c>
      <c r="X5408" s="2">
        <f ca="1"/>
        <v>63.596216305660214</v>
      </c>
      <c r="AG5408" s="2">
        <f ca="1"/>
        <v>0.47887197438243723</v>
      </c>
      <c r="AH5408" s="2" t="str">
        <f ca="1"/>
        <v>Bad</v>
      </c>
    </row>
    <row r="5409" spans="2:34" x14ac:dyDescent="0.2">
      <c r="B5409" s="2">
        <f ca="1"/>
        <v>0.19796095138051495</v>
      </c>
      <c r="O5409" s="2">
        <f ca="1"/>
        <v>-1.0576807111002198</v>
      </c>
      <c r="X5409" s="2">
        <f ca="1"/>
        <v>49.914243177863106</v>
      </c>
      <c r="AG5409" s="2">
        <f ca="1"/>
        <v>0.29634020339586842</v>
      </c>
      <c r="AH5409" s="2" t="str">
        <f ca="1"/>
        <v>OK</v>
      </c>
    </row>
    <row r="5410" spans="2:34" x14ac:dyDescent="0.2">
      <c r="B5410" s="2">
        <f ca="1"/>
        <v>0.21821988848424789</v>
      </c>
      <c r="O5410" s="2">
        <f ca="1"/>
        <v>-2.2804261140273097</v>
      </c>
      <c r="X5410" s="2">
        <f ca="1"/>
        <v>68.021087079406797</v>
      </c>
      <c r="AG5410" s="2">
        <f ca="1"/>
        <v>0.92367518699366191</v>
      </c>
      <c r="AH5410" s="2" t="str">
        <f ca="1"/>
        <v>Bad</v>
      </c>
    </row>
    <row r="5411" spans="2:34" x14ac:dyDescent="0.2">
      <c r="B5411" s="2">
        <f ca="1"/>
        <v>0.56829837932734217</v>
      </c>
      <c r="O5411" s="2">
        <f ca="1"/>
        <v>1.7366179670854169</v>
      </c>
      <c r="X5411" s="2">
        <f ca="1"/>
        <v>53.787331053556457</v>
      </c>
      <c r="AG5411" s="2">
        <f ca="1"/>
        <v>0.4575966988825535</v>
      </c>
      <c r="AH5411" s="2" t="str">
        <f ca="1"/>
        <v>Bad</v>
      </c>
    </row>
    <row r="5412" spans="2:34" x14ac:dyDescent="0.2">
      <c r="B5412" s="2">
        <f ca="1"/>
        <v>0.15211683982027502</v>
      </c>
      <c r="O5412" s="2">
        <f ca="1"/>
        <v>0.35538972552507225</v>
      </c>
      <c r="X5412" s="2">
        <f ca="1"/>
        <v>51.285124373576863</v>
      </c>
      <c r="AG5412" s="2">
        <f ca="1"/>
        <v>0.2177213543837988</v>
      </c>
      <c r="AH5412" s="2" t="str">
        <f ca="1"/>
        <v>OK</v>
      </c>
    </row>
    <row r="5413" spans="2:34" x14ac:dyDescent="0.2">
      <c r="B5413" s="2">
        <f ca="1"/>
        <v>0.23321858713731358</v>
      </c>
      <c r="O5413" s="2">
        <f ca="1"/>
        <v>0.49144144524132177</v>
      </c>
      <c r="X5413" s="2">
        <f ca="1"/>
        <v>56.89115376494825</v>
      </c>
      <c r="AG5413" s="2">
        <f ca="1"/>
        <v>0.32633021770799409</v>
      </c>
      <c r="AH5413" s="2" t="str">
        <f ca="1"/>
        <v>OK</v>
      </c>
    </row>
    <row r="5414" spans="2:34" x14ac:dyDescent="0.2">
      <c r="B5414" s="2">
        <f ca="1"/>
        <v>1.1788895413249678E-2</v>
      </c>
      <c r="O5414" s="2">
        <f ca="1"/>
        <v>1.0031829749413324</v>
      </c>
      <c r="X5414" s="2">
        <f ca="1"/>
        <v>52.972274420857204</v>
      </c>
      <c r="AG5414" s="2">
        <f ca="1"/>
        <v>1.361806460000814E-2</v>
      </c>
      <c r="AH5414" s="2" t="str">
        <f ca="1"/>
        <v>Good</v>
      </c>
    </row>
    <row r="5415" spans="2:34" x14ac:dyDescent="0.2">
      <c r="B5415" s="2">
        <f ca="1"/>
        <v>0.77019167095960639</v>
      </c>
      <c r="O5415" s="2">
        <f ca="1"/>
        <v>0.62078882031877225</v>
      </c>
      <c r="X5415" s="2">
        <f ca="1"/>
        <v>54.290736149943143</v>
      </c>
      <c r="AG5415" s="2">
        <f ca="1"/>
        <v>0.98085485917436355</v>
      </c>
      <c r="AH5415" s="2" t="str">
        <f ca="1"/>
        <v>Bad</v>
      </c>
    </row>
    <row r="5416" spans="2:34" x14ac:dyDescent="0.2">
      <c r="B5416" s="2">
        <f ca="1"/>
        <v>0.51922738863811291</v>
      </c>
      <c r="O5416" s="2">
        <f ca="1"/>
        <v>-0.10138493968995436</v>
      </c>
      <c r="X5416" s="2">
        <f ca="1"/>
        <v>47.044904412288922</v>
      </c>
      <c r="AG5416" s="2">
        <f ca="1"/>
        <v>0.42151902042344158</v>
      </c>
      <c r="AH5416" s="2" t="str">
        <f ca="1"/>
        <v>Bad</v>
      </c>
    </row>
    <row r="5417" spans="2:34" x14ac:dyDescent="0.2">
      <c r="B5417" s="2">
        <f ca="1"/>
        <v>0.91453619260036345</v>
      </c>
      <c r="O5417" s="2">
        <f ca="1"/>
        <v>-1.7085413204327013</v>
      </c>
      <c r="X5417" s="2">
        <f ca="1"/>
        <v>47.267399593350518</v>
      </c>
      <c r="AG5417" s="2">
        <f ca="1"/>
        <v>0.31024596588607523</v>
      </c>
      <c r="AH5417" s="2" t="str">
        <f ca="1"/>
        <v>OK</v>
      </c>
    </row>
    <row r="5418" spans="2:34" x14ac:dyDescent="0.2">
      <c r="B5418" s="2">
        <f ca="1"/>
        <v>0.79973741569997614</v>
      </c>
      <c r="O5418" s="2">
        <f ca="1"/>
        <v>-0.30423895909519866</v>
      </c>
      <c r="X5418" s="2">
        <f ca="1"/>
        <v>36.249015736630462</v>
      </c>
      <c r="AG5418" s="2">
        <f ca="1"/>
        <v>0.34288468985608067</v>
      </c>
      <c r="AH5418" s="2" t="str">
        <f ca="1"/>
        <v>OK</v>
      </c>
    </row>
    <row r="5419" spans="2:34" x14ac:dyDescent="0.2">
      <c r="B5419" s="2">
        <f ca="1"/>
        <v>0.63417936858937729</v>
      </c>
      <c r="O5419" s="2">
        <f ca="1"/>
        <v>-1.0666305509375649</v>
      </c>
      <c r="X5419" s="2">
        <f ca="1"/>
        <v>69.144728797782349</v>
      </c>
      <c r="AG5419" s="2">
        <f ca="1"/>
        <v>0.30108744113385288</v>
      </c>
      <c r="AH5419" s="2" t="str">
        <f ca="1"/>
        <v>OK</v>
      </c>
    </row>
    <row r="5420" spans="2:34" x14ac:dyDescent="0.2">
      <c r="B5420" s="2">
        <f ca="1"/>
        <v>0.23566928020952949</v>
      </c>
      <c r="O5420" s="2">
        <f ca="1"/>
        <v>-0.49528147966722547</v>
      </c>
      <c r="X5420" s="2">
        <f ca="1"/>
        <v>38.440344069888639</v>
      </c>
      <c r="AG5420" s="2">
        <f ca="1"/>
        <v>0.12368926836369054</v>
      </c>
      <c r="AH5420" s="2" t="str">
        <f ca="1"/>
        <v>OK</v>
      </c>
    </row>
    <row r="5421" spans="2:34" x14ac:dyDescent="0.2">
      <c r="B5421" s="2">
        <f ca="1"/>
        <v>0.20836815070163861</v>
      </c>
      <c r="O5421" s="2">
        <f ca="1"/>
        <v>4.0522537132369363E-2</v>
      </c>
      <c r="X5421" s="2">
        <f ca="1"/>
        <v>76.597054837726148</v>
      </c>
      <c r="AG5421" s="2">
        <f ca="1"/>
        <v>0.9782539256496241</v>
      </c>
      <c r="AH5421" s="2" t="str">
        <f ca="1"/>
        <v>Bad</v>
      </c>
    </row>
    <row r="5422" spans="2:34" x14ac:dyDescent="0.2">
      <c r="B5422" s="2">
        <f ca="1"/>
        <v>0.91406158032939655</v>
      </c>
      <c r="O5422" s="2">
        <f ca="1"/>
        <v>-1.7737539662927908</v>
      </c>
      <c r="X5422" s="2">
        <f ca="1"/>
        <v>32.411553446931201</v>
      </c>
      <c r="AG5422" s="2">
        <f ca="1"/>
        <v>0.54371929797719476</v>
      </c>
      <c r="AH5422" s="2" t="str">
        <f ca="1"/>
        <v>Bad</v>
      </c>
    </row>
    <row r="5423" spans="2:34" x14ac:dyDescent="0.2">
      <c r="B5423" s="2">
        <f ca="1"/>
        <v>0.16139995518818062</v>
      </c>
      <c r="O5423" s="2">
        <f ca="1"/>
        <v>-0.12187326819816872</v>
      </c>
      <c r="X5423" s="2">
        <f ca="1"/>
        <v>44.588959158743378</v>
      </c>
      <c r="AG5423" s="2">
        <f ca="1"/>
        <v>0.20828204729509192</v>
      </c>
      <c r="AH5423" s="2" t="str">
        <f ca="1"/>
        <v>OK</v>
      </c>
    </row>
    <row r="5424" spans="2:34" x14ac:dyDescent="0.2">
      <c r="B5424" s="2">
        <f ca="1"/>
        <v>0.27506735674188398</v>
      </c>
      <c r="O5424" s="2">
        <f ca="1"/>
        <v>-0.78557570270668364</v>
      </c>
      <c r="X5424" s="2">
        <f ca="1"/>
        <v>81.680232312249785</v>
      </c>
      <c r="AG5424" s="2">
        <f ca="1"/>
        <v>0.54509214208351287</v>
      </c>
      <c r="AH5424" s="2" t="str">
        <f ca="1"/>
        <v>Bad</v>
      </c>
    </row>
    <row r="5425" spans="2:34" x14ac:dyDescent="0.2">
      <c r="B5425" s="2">
        <f ca="1"/>
        <v>0.32475234465663827</v>
      </c>
      <c r="O5425" s="2">
        <f ca="1"/>
        <v>1.1102706478603346</v>
      </c>
      <c r="X5425" s="2">
        <f ca="1"/>
        <v>50.879907614660397</v>
      </c>
      <c r="AG5425" s="2">
        <f ca="1"/>
        <v>0.20073089559518276</v>
      </c>
      <c r="AH5425" s="2" t="str">
        <f ca="1"/>
        <v>OK</v>
      </c>
    </row>
    <row r="5426" spans="2:34" x14ac:dyDescent="0.2">
      <c r="B5426" s="2">
        <f ca="1"/>
        <v>0.77822346467349157</v>
      </c>
      <c r="O5426" s="2">
        <f ca="1"/>
        <v>0.81714441935725279</v>
      </c>
      <c r="X5426" s="2">
        <f ca="1"/>
        <v>30.694375900175626</v>
      </c>
      <c r="AG5426" s="2">
        <f ca="1"/>
        <v>0.4437359976615558</v>
      </c>
      <c r="AH5426" s="2" t="str">
        <f ca="1"/>
        <v>Bad</v>
      </c>
    </row>
    <row r="5427" spans="2:34" x14ac:dyDescent="0.2">
      <c r="B5427" s="2">
        <f ca="1"/>
        <v>0.36582330605731217</v>
      </c>
      <c r="O5427" s="2">
        <f ca="1"/>
        <v>2.9793461892604243</v>
      </c>
      <c r="X5427" s="2">
        <f ca="1"/>
        <v>39.623217309207334</v>
      </c>
      <c r="AG5427" s="2">
        <f ca="1"/>
        <v>0.22243467770532477</v>
      </c>
      <c r="AH5427" s="2" t="str">
        <f ca="1"/>
        <v>OK</v>
      </c>
    </row>
    <row r="5428" spans="2:34" x14ac:dyDescent="0.2">
      <c r="B5428" s="2">
        <f ca="1"/>
        <v>0.85200400955570443</v>
      </c>
      <c r="O5428" s="2">
        <f ca="1"/>
        <v>-0.54496632874380468</v>
      </c>
      <c r="X5428" s="2">
        <f ca="1"/>
        <v>38.178658367174492</v>
      </c>
      <c r="AG5428" s="2">
        <f ca="1"/>
        <v>0.86950434391750542</v>
      </c>
      <c r="AH5428" s="2" t="str">
        <f ca="1"/>
        <v>Bad</v>
      </c>
    </row>
    <row r="5429" spans="2:34" x14ac:dyDescent="0.2">
      <c r="B5429" s="2">
        <f ca="1"/>
        <v>0.88191043111780498</v>
      </c>
      <c r="O5429" s="2">
        <f ca="1"/>
        <v>1.0346406755859856</v>
      </c>
      <c r="X5429" s="2">
        <f ca="1"/>
        <v>54.852031770865423</v>
      </c>
      <c r="AG5429" s="2">
        <f ca="1"/>
        <v>0.95353642918965775</v>
      </c>
      <c r="AH5429" s="2" t="str">
        <f ca="1"/>
        <v>Bad</v>
      </c>
    </row>
    <row r="5430" spans="2:34" x14ac:dyDescent="0.2">
      <c r="B5430" s="2">
        <f ca="1"/>
        <v>0.97216338108487621</v>
      </c>
      <c r="O5430" s="2">
        <f ca="1"/>
        <v>-0.42697217557549411</v>
      </c>
      <c r="X5430" s="2">
        <f ca="1"/>
        <v>63.299943085864108</v>
      </c>
      <c r="AG5430" s="2">
        <f ca="1"/>
        <v>0.24562551496985274</v>
      </c>
      <c r="AH5430" s="2" t="str">
        <f ca="1"/>
        <v>OK</v>
      </c>
    </row>
    <row r="5431" spans="2:34" x14ac:dyDescent="0.2">
      <c r="B5431" s="2">
        <f ca="1"/>
        <v>0.86416871298529818</v>
      </c>
      <c r="O5431" s="2">
        <f ca="1"/>
        <v>-6.1374319844451096E-2</v>
      </c>
      <c r="X5431" s="2">
        <f ca="1"/>
        <v>54.442723558740113</v>
      </c>
      <c r="AG5431" s="2">
        <f ca="1"/>
        <v>0.29317618044428984</v>
      </c>
      <c r="AH5431" s="2" t="str">
        <f ca="1"/>
        <v>OK</v>
      </c>
    </row>
    <row r="5432" spans="2:34" x14ac:dyDescent="0.2">
      <c r="B5432" s="2">
        <f ca="1"/>
        <v>0.6331940807625891</v>
      </c>
      <c r="O5432" s="2">
        <f ca="1"/>
        <v>-1.051651371730457</v>
      </c>
      <c r="X5432" s="2">
        <f ca="1"/>
        <v>44.393797652329596</v>
      </c>
      <c r="AG5432" s="2">
        <f ca="1"/>
        <v>0.55223590532305833</v>
      </c>
      <c r="AH5432" s="2" t="str">
        <f ca="1"/>
        <v>Bad</v>
      </c>
    </row>
    <row r="5433" spans="2:34" x14ac:dyDescent="0.2">
      <c r="B5433" s="2">
        <f ca="1"/>
        <v>0.67178611552571832</v>
      </c>
      <c r="O5433" s="2">
        <f ca="1"/>
        <v>0.32967271579707697</v>
      </c>
      <c r="X5433" s="2">
        <f ca="1"/>
        <v>70.566983508159652</v>
      </c>
      <c r="AG5433" s="2">
        <f ca="1"/>
        <v>0.36891488636126191</v>
      </c>
      <c r="AH5433" s="2" t="str">
        <f ca="1"/>
        <v>OK</v>
      </c>
    </row>
    <row r="5434" spans="2:34" x14ac:dyDescent="0.2">
      <c r="B5434" s="2">
        <f ca="1"/>
        <v>0.36613373275061045</v>
      </c>
      <c r="O5434" s="2">
        <f ca="1"/>
        <v>-1.5032738173492657</v>
      </c>
      <c r="X5434" s="2">
        <f ca="1"/>
        <v>26.666100364515266</v>
      </c>
      <c r="AG5434" s="2">
        <f ca="1"/>
        <v>0.49142826590846678</v>
      </c>
      <c r="AH5434" s="2" t="str">
        <f ca="1"/>
        <v>Bad</v>
      </c>
    </row>
    <row r="5435" spans="2:34" x14ac:dyDescent="0.2">
      <c r="B5435" s="2">
        <f ca="1"/>
        <v>0.6743362465349374</v>
      </c>
      <c r="O5435" s="2">
        <f ca="1"/>
        <v>-0.4554485992093773</v>
      </c>
      <c r="X5435" s="2">
        <f ca="1"/>
        <v>45.629192282245931</v>
      </c>
      <c r="AG5435" s="2">
        <f ca="1"/>
        <v>0.20909631574072107</v>
      </c>
      <c r="AH5435" s="2" t="str">
        <f ca="1"/>
        <v>OK</v>
      </c>
    </row>
    <row r="5436" spans="2:34" x14ac:dyDescent="0.2">
      <c r="B5436" s="2">
        <f ca="1"/>
        <v>0.32639663361837701</v>
      </c>
      <c r="O5436" s="2">
        <f ca="1"/>
        <v>-1.0713359693389182</v>
      </c>
      <c r="X5436" s="2">
        <f ca="1"/>
        <v>81.848795781662616</v>
      </c>
      <c r="AG5436" s="2">
        <f ca="1"/>
        <v>0.18159943290689573</v>
      </c>
      <c r="AH5436" s="2" t="str">
        <f ca="1"/>
        <v>OK</v>
      </c>
    </row>
    <row r="5437" spans="2:34" x14ac:dyDescent="0.2">
      <c r="B5437" s="2">
        <f ca="1"/>
        <v>0.99062082724467215</v>
      </c>
      <c r="O5437" s="2">
        <f ca="1"/>
        <v>0.53631398198914204</v>
      </c>
      <c r="X5437" s="2">
        <f ca="1"/>
        <v>66.151331638191479</v>
      </c>
      <c r="AG5437" s="2">
        <f ca="1"/>
        <v>0.1113209606315031</v>
      </c>
      <c r="AH5437" s="2" t="str">
        <f ca="1"/>
        <v>OK</v>
      </c>
    </row>
    <row r="5438" spans="2:34" x14ac:dyDescent="0.2">
      <c r="B5438" s="2">
        <f ca="1"/>
        <v>0.83770963071786086</v>
      </c>
      <c r="O5438" s="2">
        <f ca="1"/>
        <v>0.25300154885159887</v>
      </c>
      <c r="X5438" s="2">
        <f ca="1"/>
        <v>52.343231018282481</v>
      </c>
      <c r="AG5438" s="2">
        <f ca="1"/>
        <v>0.37906636105850655</v>
      </c>
      <c r="AH5438" s="2" t="str">
        <f ca="1"/>
        <v>OK</v>
      </c>
    </row>
    <row r="5439" spans="2:34" x14ac:dyDescent="0.2">
      <c r="B5439" s="2">
        <f ca="1"/>
        <v>0.75465942922847318</v>
      </c>
      <c r="O5439" s="2">
        <f ca="1"/>
        <v>0.63877089691107936</v>
      </c>
      <c r="X5439" s="2">
        <f ca="1"/>
        <v>44.559351827589836</v>
      </c>
      <c r="AG5439" s="2">
        <f ca="1"/>
        <v>0.78472681902439212</v>
      </c>
      <c r="AH5439" s="2" t="str">
        <f ca="1"/>
        <v>Bad</v>
      </c>
    </row>
    <row r="5440" spans="2:34" x14ac:dyDescent="0.2">
      <c r="B5440" s="2">
        <f ca="1"/>
        <v>0.38968754257271732</v>
      </c>
      <c r="O5440" s="2">
        <f ca="1"/>
        <v>-0.88058649461713334</v>
      </c>
      <c r="X5440" s="2">
        <f ca="1"/>
        <v>44.124026279225575</v>
      </c>
      <c r="AG5440" s="2">
        <f ca="1"/>
        <v>0.45767343222291101</v>
      </c>
      <c r="AH5440" s="2" t="str">
        <f ca="1"/>
        <v>Bad</v>
      </c>
    </row>
    <row r="5441" spans="2:34" x14ac:dyDescent="0.2">
      <c r="B5441" s="2">
        <f ca="1"/>
        <v>0.61173046045633006</v>
      </c>
      <c r="O5441" s="2">
        <f ca="1"/>
        <v>-0.39227936662392787</v>
      </c>
      <c r="X5441" s="2">
        <f ca="1"/>
        <v>67.21467951815707</v>
      </c>
      <c r="AG5441" s="2">
        <f ca="1"/>
        <v>0.19594427882513621</v>
      </c>
      <c r="AH5441" s="2" t="str">
        <f ca="1"/>
        <v>OK</v>
      </c>
    </row>
    <row r="5442" spans="2:34" x14ac:dyDescent="0.2">
      <c r="B5442" s="2">
        <f ca="1"/>
        <v>0.4224141004712989</v>
      </c>
      <c r="O5442" s="2">
        <f ca="1"/>
        <v>0.17607765584863355</v>
      </c>
      <c r="X5442" s="2">
        <f ca="1"/>
        <v>35.215109744363133</v>
      </c>
      <c r="AG5442" s="2">
        <f ca="1"/>
        <v>0.88001170269722384</v>
      </c>
      <c r="AH5442" s="2" t="str">
        <f ca="1"/>
        <v>Bad</v>
      </c>
    </row>
    <row r="5443" spans="2:34" x14ac:dyDescent="0.2">
      <c r="B5443" s="2">
        <f ca="1"/>
        <v>1.2094513390992212E-2</v>
      </c>
      <c r="O5443" s="2">
        <f ca="1"/>
        <v>1.4009423456485282</v>
      </c>
      <c r="X5443" s="2">
        <f ca="1"/>
        <v>81.917005898997118</v>
      </c>
      <c r="AG5443" s="2">
        <f ca="1"/>
        <v>0.79338141885821512</v>
      </c>
      <c r="AH5443" s="2" t="str">
        <f ca="1"/>
        <v>Bad</v>
      </c>
    </row>
    <row r="5444" spans="2:34" x14ac:dyDescent="0.2">
      <c r="B5444" s="2">
        <f ca="1"/>
        <v>8.8900784192824656E-2</v>
      </c>
      <c r="O5444" s="2">
        <f ca="1"/>
        <v>0.50683633907183889</v>
      </c>
      <c r="X5444" s="2">
        <f ca="1"/>
        <v>25.974578474456983</v>
      </c>
      <c r="AG5444" s="2">
        <f ca="1"/>
        <v>0.17535967269981878</v>
      </c>
      <c r="AH5444" s="2" t="str">
        <f ca="1"/>
        <v>OK</v>
      </c>
    </row>
    <row r="5445" spans="2:34" x14ac:dyDescent="0.2">
      <c r="B5445" s="2">
        <f ca="1"/>
        <v>3.5610987744853828E-2</v>
      </c>
      <c r="O5445" s="2">
        <f ca="1"/>
        <v>1.3469902889537728</v>
      </c>
      <c r="X5445" s="2">
        <f ca="1"/>
        <v>37.400581154349616</v>
      </c>
      <c r="AG5445" s="2">
        <f ca="1"/>
        <v>0.21085327846211666</v>
      </c>
      <c r="AH5445" s="2" t="str">
        <f ca="1"/>
        <v>OK</v>
      </c>
    </row>
    <row r="5446" spans="2:34" x14ac:dyDescent="0.2">
      <c r="B5446" s="2">
        <f ca="1"/>
        <v>0.10615804754132485</v>
      </c>
      <c r="O5446" s="2">
        <f ca="1"/>
        <v>0.83772978255431962</v>
      </c>
      <c r="X5446" s="2">
        <f ca="1"/>
        <v>61.287671958947968</v>
      </c>
      <c r="AG5446" s="2">
        <f ca="1"/>
        <v>0.28937549867208556</v>
      </c>
      <c r="AH5446" s="2" t="str">
        <f ca="1"/>
        <v>OK</v>
      </c>
    </row>
    <row r="5447" spans="2:34" x14ac:dyDescent="0.2">
      <c r="B5447" s="2">
        <f ca="1"/>
        <v>0.81127694649062643</v>
      </c>
      <c r="O5447" s="2">
        <f ca="1"/>
        <v>-1.0394527936735452</v>
      </c>
      <c r="X5447" s="2">
        <f ca="1"/>
        <v>46.651318926573651</v>
      </c>
      <c r="AG5447" s="2">
        <f ca="1"/>
        <v>0.94244115581371712</v>
      </c>
      <c r="AH5447" s="2" t="str">
        <f ca="1"/>
        <v>Bad</v>
      </c>
    </row>
    <row r="5448" spans="2:34" x14ac:dyDescent="0.2">
      <c r="B5448" s="2">
        <f ca="1"/>
        <v>0.53736102294506916</v>
      </c>
      <c r="O5448" s="2">
        <f ca="1"/>
        <v>0.13249409943431445</v>
      </c>
      <c r="X5448" s="2">
        <f ca="1"/>
        <v>69.694418477752706</v>
      </c>
      <c r="AG5448" s="2">
        <f ca="1"/>
        <v>0.98383472013451478</v>
      </c>
      <c r="AH5448" s="2" t="str">
        <f ca="1"/>
        <v>Bad</v>
      </c>
    </row>
    <row r="5449" spans="2:34" x14ac:dyDescent="0.2">
      <c r="B5449" s="2">
        <f ca="1"/>
        <v>0.33289576062357318</v>
      </c>
      <c r="O5449" s="2">
        <f ca="1"/>
        <v>-1.2544293641860884</v>
      </c>
      <c r="X5449" s="2">
        <f ca="1"/>
        <v>89.207200711582203</v>
      </c>
      <c r="AG5449" s="2">
        <f ca="1"/>
        <v>0.25930683562447565</v>
      </c>
      <c r="AH5449" s="2" t="str">
        <f ca="1"/>
        <v>OK</v>
      </c>
    </row>
    <row r="5450" spans="2:34" x14ac:dyDescent="0.2">
      <c r="B5450" s="2">
        <f ca="1"/>
        <v>0.11705590903676799</v>
      </c>
      <c r="O5450" s="2">
        <f ca="1"/>
        <v>0.38641912712876025</v>
      </c>
      <c r="X5450" s="2">
        <f ca="1"/>
        <v>72.569356702895547</v>
      </c>
      <c r="AG5450" s="2">
        <f ca="1"/>
        <v>0.73955036396904861</v>
      </c>
      <c r="AH5450" s="2" t="str">
        <f ca="1"/>
        <v>Bad</v>
      </c>
    </row>
    <row r="5451" spans="2:34" x14ac:dyDescent="0.2">
      <c r="B5451" s="2">
        <f ca="1"/>
        <v>7.4052588885058501E-2</v>
      </c>
      <c r="O5451" s="2">
        <f ca="1"/>
        <v>-0.24932161615235812</v>
      </c>
      <c r="X5451" s="2">
        <f ca="1"/>
        <v>42.200552635706138</v>
      </c>
      <c r="AG5451" s="2">
        <f ca="1"/>
        <v>5.7827322162452566E-2</v>
      </c>
      <c r="AH5451" s="2" t="str">
        <f ca="1"/>
        <v>OK</v>
      </c>
    </row>
    <row r="5452" spans="2:34" x14ac:dyDescent="0.2">
      <c r="B5452" s="2">
        <f ca="1"/>
        <v>0.40248176310837658</v>
      </c>
      <c r="O5452" s="2">
        <f ca="1"/>
        <v>0.98881958459254704</v>
      </c>
      <c r="X5452" s="2">
        <f ca="1"/>
        <v>37.665574787109854</v>
      </c>
      <c r="AG5452" s="2">
        <f ca="1"/>
        <v>0.12986457151511455</v>
      </c>
      <c r="AH5452" s="2" t="str">
        <f ca="1"/>
        <v>OK</v>
      </c>
    </row>
    <row r="5453" spans="2:34" x14ac:dyDescent="0.2">
      <c r="B5453" s="2">
        <f ca="1"/>
        <v>0.23067675854289216</v>
      </c>
      <c r="O5453" s="2">
        <f ca="1"/>
        <v>8.0399872782091139E-2</v>
      </c>
      <c r="X5453" s="2">
        <f ca="1"/>
        <v>50.016546404083975</v>
      </c>
      <c r="AG5453" s="2">
        <f ca="1"/>
        <v>0.84833417172041914</v>
      </c>
      <c r="AH5453" s="2" t="str">
        <f ca="1"/>
        <v>Bad</v>
      </c>
    </row>
    <row r="5454" spans="2:34" x14ac:dyDescent="0.2">
      <c r="B5454" s="2">
        <f ca="1"/>
        <v>0.58907925157843222</v>
      </c>
      <c r="O5454" s="2">
        <f ca="1"/>
        <v>1.5167648612690472</v>
      </c>
      <c r="X5454" s="2">
        <f ca="1"/>
        <v>49.367270405472652</v>
      </c>
      <c r="AG5454" s="2">
        <f ca="1"/>
        <v>0.86744989543691831</v>
      </c>
      <c r="AH5454" s="2" t="str">
        <f ca="1"/>
        <v>Bad</v>
      </c>
    </row>
    <row r="5455" spans="2:34" x14ac:dyDescent="0.2">
      <c r="B5455" s="2">
        <f ca="1"/>
        <v>0.84479452530418375</v>
      </c>
      <c r="O5455" s="2">
        <f ca="1"/>
        <v>-0.27160565861430819</v>
      </c>
      <c r="X5455" s="2">
        <f ca="1"/>
        <v>63.411241726978204</v>
      </c>
      <c r="AG5455" s="2">
        <f ca="1"/>
        <v>0.11662338648040915</v>
      </c>
      <c r="AH5455" s="2" t="str">
        <f ca="1"/>
        <v>OK</v>
      </c>
    </row>
    <row r="5456" spans="2:34" x14ac:dyDescent="0.2">
      <c r="B5456" s="2">
        <f ca="1"/>
        <v>0.14388622440693943</v>
      </c>
      <c r="O5456" s="2">
        <f ca="1"/>
        <v>1.9078823567438299</v>
      </c>
      <c r="X5456" s="2">
        <f ca="1"/>
        <v>69.594682209064089</v>
      </c>
      <c r="AG5456" s="2">
        <f ca="1"/>
        <v>0.5665810377626852</v>
      </c>
      <c r="AH5456" s="2" t="str">
        <f ca="1"/>
        <v>Bad</v>
      </c>
    </row>
    <row r="5457" spans="2:34" x14ac:dyDescent="0.2">
      <c r="B5457" s="2">
        <f ca="1"/>
        <v>1.9033939608559702E-2</v>
      </c>
      <c r="O5457" s="2">
        <f ca="1"/>
        <v>-0.24906490432990591</v>
      </c>
      <c r="X5457" s="2">
        <f ca="1"/>
        <v>36.100714893561729</v>
      </c>
      <c r="AG5457" s="2">
        <f ca="1"/>
        <v>0.942070447925347</v>
      </c>
      <c r="AH5457" s="2" t="str">
        <f ca="1"/>
        <v>Bad</v>
      </c>
    </row>
    <row r="5458" spans="2:34" x14ac:dyDescent="0.2">
      <c r="B5458" s="2">
        <f ca="1"/>
        <v>0.33369235126738706</v>
      </c>
      <c r="O5458" s="2">
        <f ca="1"/>
        <v>-0.14562280447221301</v>
      </c>
      <c r="X5458" s="2">
        <f ca="1"/>
        <v>79.319277597585113</v>
      </c>
      <c r="AG5458" s="2">
        <f ca="1"/>
        <v>0.28472118009287373</v>
      </c>
      <c r="AH5458" s="2" t="str">
        <f ca="1"/>
        <v>OK</v>
      </c>
    </row>
    <row r="5459" spans="2:34" x14ac:dyDescent="0.2">
      <c r="B5459" s="2">
        <f ca="1"/>
        <v>4.6720271084835341E-2</v>
      </c>
      <c r="O5459" s="2">
        <f ca="1"/>
        <v>-0.29987571819860298</v>
      </c>
      <c r="X5459" s="2">
        <f ca="1"/>
        <v>37.019388128331755</v>
      </c>
      <c r="AG5459" s="2">
        <f ca="1"/>
        <v>0.80777141711122935</v>
      </c>
      <c r="AH5459" s="2" t="str">
        <f ca="1"/>
        <v>Bad</v>
      </c>
    </row>
    <row r="5460" spans="2:34" x14ac:dyDescent="0.2">
      <c r="B5460" s="2">
        <f ca="1"/>
        <v>0.48164133864247671</v>
      </c>
      <c r="O5460" s="2">
        <f ca="1"/>
        <v>-0.31706965110673657</v>
      </c>
      <c r="X5460" s="2">
        <f ca="1"/>
        <v>33.777785423633411</v>
      </c>
      <c r="AG5460" s="2">
        <f ca="1"/>
        <v>0.59936401632256087</v>
      </c>
      <c r="AH5460" s="2" t="str">
        <f ca="1"/>
        <v>Bad</v>
      </c>
    </row>
    <row r="5461" spans="2:34" x14ac:dyDescent="0.2">
      <c r="B5461" s="2">
        <f ca="1"/>
        <v>0.26142616331989021</v>
      </c>
      <c r="O5461" s="2">
        <f ca="1"/>
        <v>-0.86993536804663374</v>
      </c>
      <c r="X5461" s="2">
        <f ca="1"/>
        <v>54.543298641116884</v>
      </c>
      <c r="AG5461" s="2">
        <f ca="1"/>
        <v>0.65858585944091241</v>
      </c>
      <c r="AH5461" s="2" t="str">
        <f ca="1"/>
        <v>Bad</v>
      </c>
    </row>
    <row r="5462" spans="2:34" x14ac:dyDescent="0.2">
      <c r="B5462" s="2">
        <f ca="1"/>
        <v>0.91344549055800695</v>
      </c>
      <c r="O5462" s="2">
        <f ca="1"/>
        <v>-1.4679414772699737</v>
      </c>
      <c r="X5462" s="2">
        <f ca="1"/>
        <v>65.959262772340423</v>
      </c>
      <c r="AG5462" s="2">
        <f ca="1"/>
        <v>0.56367089184662866</v>
      </c>
      <c r="AH5462" s="2" t="str">
        <f ca="1"/>
        <v>Bad</v>
      </c>
    </row>
    <row r="5463" spans="2:34" x14ac:dyDescent="0.2">
      <c r="B5463" s="2">
        <f ca="1"/>
        <v>0.86857947640534916</v>
      </c>
      <c r="O5463" s="2">
        <f ca="1"/>
        <v>-0.25024262519138618</v>
      </c>
      <c r="X5463" s="2">
        <f ca="1"/>
        <v>55.919449096395809</v>
      </c>
      <c r="AG5463" s="2">
        <f ca="1"/>
        <v>0.85204239074521859</v>
      </c>
      <c r="AH5463" s="2" t="str">
        <f ca="1"/>
        <v>Bad</v>
      </c>
    </row>
    <row r="5464" spans="2:34" x14ac:dyDescent="0.2">
      <c r="B5464" s="2">
        <f ca="1"/>
        <v>0.66901968939010681</v>
      </c>
      <c r="O5464" s="2">
        <f ca="1"/>
        <v>-0.81559678626814369</v>
      </c>
      <c r="X5464" s="2">
        <f ca="1"/>
        <v>61.468176924267027</v>
      </c>
      <c r="AG5464" s="2">
        <f ca="1"/>
        <v>0.96596660560905323</v>
      </c>
      <c r="AH5464" s="2" t="str">
        <f ca="1"/>
        <v>Bad</v>
      </c>
    </row>
    <row r="5465" spans="2:34" x14ac:dyDescent="0.2">
      <c r="B5465" s="2">
        <f ca="1"/>
        <v>0.25848226937710583</v>
      </c>
      <c r="O5465" s="2">
        <f ca="1"/>
        <v>0.1248877755665483</v>
      </c>
      <c r="X5465" s="2">
        <f ca="1"/>
        <v>75.448122029206971</v>
      </c>
      <c r="AG5465" s="2">
        <f ca="1"/>
        <v>0.1921249131134779</v>
      </c>
      <c r="AH5465" s="2" t="str">
        <f ca="1"/>
        <v>OK</v>
      </c>
    </row>
    <row r="5466" spans="2:34" x14ac:dyDescent="0.2">
      <c r="B5466" s="2">
        <f ca="1"/>
        <v>0.19256614265017391</v>
      </c>
      <c r="O5466" s="2">
        <f ca="1"/>
        <v>0.94935732593761457</v>
      </c>
      <c r="X5466" s="2">
        <f ca="1"/>
        <v>45.615758497338135</v>
      </c>
      <c r="AG5466" s="2">
        <f ca="1"/>
        <v>0.92363729458609778</v>
      </c>
      <c r="AH5466" s="2" t="str">
        <f ca="1"/>
        <v>Bad</v>
      </c>
    </row>
    <row r="5467" spans="2:34" x14ac:dyDescent="0.2">
      <c r="B5467" s="2">
        <f ca="1"/>
        <v>0.52293688550688078</v>
      </c>
      <c r="O5467" s="2">
        <f ca="1"/>
        <v>-1.5818051605162875</v>
      </c>
      <c r="X5467" s="2">
        <f ca="1"/>
        <v>63.46243073755393</v>
      </c>
      <c r="AG5467" s="2">
        <f ca="1"/>
        <v>0.96825673085979491</v>
      </c>
      <c r="AH5467" s="2" t="str">
        <f ca="1"/>
        <v>Bad</v>
      </c>
    </row>
    <row r="5468" spans="2:34" x14ac:dyDescent="0.2">
      <c r="B5468" s="2">
        <f ca="1"/>
        <v>0.93773501199870424</v>
      </c>
      <c r="O5468" s="2">
        <f ca="1"/>
        <v>0.94115148897879874</v>
      </c>
      <c r="X5468" s="2">
        <f ca="1"/>
        <v>60.632428614193266</v>
      </c>
      <c r="AG5468" s="2">
        <f ca="1"/>
        <v>0.35678547069712918</v>
      </c>
      <c r="AH5468" s="2" t="str">
        <f ca="1"/>
        <v>OK</v>
      </c>
    </row>
    <row r="5469" spans="2:34" x14ac:dyDescent="0.2">
      <c r="B5469" s="2">
        <f ca="1"/>
        <v>0.57769559765592859</v>
      </c>
      <c r="O5469" s="2">
        <f ca="1"/>
        <v>-0.1883275315318762</v>
      </c>
      <c r="X5469" s="2">
        <f ca="1"/>
        <v>33.121866459895799</v>
      </c>
      <c r="AG5469" s="2">
        <f ca="1"/>
        <v>0.30666421559277945</v>
      </c>
      <c r="AH5469" s="2" t="str">
        <f ca="1"/>
        <v>OK</v>
      </c>
    </row>
    <row r="5470" spans="2:34" x14ac:dyDescent="0.2">
      <c r="B5470" s="2">
        <f ca="1"/>
        <v>0.94361037066743769</v>
      </c>
      <c r="O5470" s="2">
        <f ca="1"/>
        <v>1.7812865033504615</v>
      </c>
      <c r="X5470" s="2">
        <f ca="1"/>
        <v>72.520094201128259</v>
      </c>
      <c r="AG5470" s="2">
        <f ca="1"/>
        <v>0.44869130362141729</v>
      </c>
      <c r="AH5470" s="2" t="str">
        <f ca="1"/>
        <v>Bad</v>
      </c>
    </row>
    <row r="5471" spans="2:34" x14ac:dyDescent="0.2">
      <c r="B5471" s="2">
        <f ca="1"/>
        <v>0.20295428510201408</v>
      </c>
      <c r="O5471" s="2">
        <f ca="1"/>
        <v>0.44053612020455263</v>
      </c>
      <c r="X5471" s="2">
        <f ca="1"/>
        <v>61.422727993795334</v>
      </c>
      <c r="AG5471" s="2">
        <f ca="1"/>
        <v>5.2751767543382844E-2</v>
      </c>
      <c r="AH5471" s="2" t="str">
        <f ca="1"/>
        <v>OK</v>
      </c>
    </row>
    <row r="5472" spans="2:34" x14ac:dyDescent="0.2">
      <c r="B5472" s="2">
        <f ca="1"/>
        <v>0.92445256419487709</v>
      </c>
      <c r="O5472" s="2">
        <f ca="1"/>
        <v>-0.83339569951848869</v>
      </c>
      <c r="X5472" s="2">
        <f ca="1"/>
        <v>44.023874332956453</v>
      </c>
      <c r="AG5472" s="2">
        <f ca="1"/>
        <v>0.79648288649261834</v>
      </c>
      <c r="AH5472" s="2" t="str">
        <f ca="1"/>
        <v>Bad</v>
      </c>
    </row>
    <row r="5473" spans="2:34" x14ac:dyDescent="0.2">
      <c r="B5473" s="2">
        <f ca="1"/>
        <v>0.79792938356599774</v>
      </c>
      <c r="O5473" s="2">
        <f ca="1"/>
        <v>-1.4685470929829321</v>
      </c>
      <c r="X5473" s="2">
        <f ca="1"/>
        <v>64.101798065575707</v>
      </c>
      <c r="AG5473" s="2">
        <f ca="1"/>
        <v>0.35799909935278285</v>
      </c>
      <c r="AH5473" s="2" t="str">
        <f ca="1"/>
        <v>OK</v>
      </c>
    </row>
    <row r="5474" spans="2:34" x14ac:dyDescent="0.2">
      <c r="B5474" s="2">
        <f ca="1"/>
        <v>6.2876020220165918E-2</v>
      </c>
      <c r="O5474" s="2">
        <f ca="1"/>
        <v>0.74178922493085042</v>
      </c>
      <c r="X5474" s="2">
        <f ca="1"/>
        <v>58.186621365215927</v>
      </c>
      <c r="AG5474" s="2">
        <f ca="1"/>
        <v>0.58089648926636372</v>
      </c>
      <c r="AH5474" s="2" t="str">
        <f ca="1"/>
        <v>Bad</v>
      </c>
    </row>
    <row r="5475" spans="2:34" x14ac:dyDescent="0.2">
      <c r="B5475" s="2">
        <f ca="1"/>
        <v>0.57968881698717745</v>
      </c>
      <c r="O5475" s="2">
        <f ca="1"/>
        <v>-0.72850156024419777</v>
      </c>
      <c r="X5475" s="2">
        <f ca="1"/>
        <v>45.335376046616247</v>
      </c>
      <c r="AG5475" s="2">
        <f ca="1"/>
        <v>0.59359479722837838</v>
      </c>
      <c r="AH5475" s="2" t="str">
        <f ca="1"/>
        <v>Bad</v>
      </c>
    </row>
    <row r="5476" spans="2:34" x14ac:dyDescent="0.2">
      <c r="B5476" s="2">
        <f ca="1"/>
        <v>0.3306818923492989</v>
      </c>
      <c r="O5476" s="2">
        <f ca="1"/>
        <v>0.1814442916686653</v>
      </c>
      <c r="X5476" s="2">
        <f ca="1"/>
        <v>83.180767117641096</v>
      </c>
      <c r="AG5476" s="2">
        <f ca="1"/>
        <v>0.98525204626133345</v>
      </c>
      <c r="AH5476" s="2" t="str">
        <f ca="1"/>
        <v>Bad</v>
      </c>
    </row>
    <row r="5477" spans="2:34" x14ac:dyDescent="0.2">
      <c r="B5477" s="2">
        <f ca="1"/>
        <v>0.38819622416019284</v>
      </c>
      <c r="O5477" s="2">
        <f ca="1"/>
        <v>1.0249616910977701</v>
      </c>
      <c r="X5477" s="2">
        <f ca="1"/>
        <v>47.007552344953545</v>
      </c>
      <c r="AG5477" s="2">
        <f ca="1"/>
        <v>0.74930713950144123</v>
      </c>
      <c r="AH5477" s="2" t="str">
        <f ca="1"/>
        <v>Bad</v>
      </c>
    </row>
    <row r="5478" spans="2:34" x14ac:dyDescent="0.2">
      <c r="B5478" s="2">
        <f ca="1"/>
        <v>2.3921795867412277E-2</v>
      </c>
      <c r="O5478" s="2">
        <f ca="1"/>
        <v>1.8145088954488535</v>
      </c>
      <c r="X5478" s="2">
        <f ca="1"/>
        <v>52.503451430136145</v>
      </c>
      <c r="AG5478" s="2">
        <f ca="1"/>
        <v>0.50067543923216085</v>
      </c>
      <c r="AH5478" s="2" t="str">
        <f ca="1"/>
        <v>Bad</v>
      </c>
    </row>
    <row r="5479" spans="2:34" x14ac:dyDescent="0.2">
      <c r="B5479" s="2">
        <f ca="1"/>
        <v>0.53973978446746562</v>
      </c>
      <c r="O5479" s="2">
        <f ca="1"/>
        <v>0.44830258857352068</v>
      </c>
      <c r="X5479" s="2">
        <f ca="1"/>
        <v>83.389748137950647</v>
      </c>
      <c r="AG5479" s="2">
        <f ca="1"/>
        <v>0.80187914666243376</v>
      </c>
      <c r="AH5479" s="2" t="str">
        <f ca="1"/>
        <v>Bad</v>
      </c>
    </row>
    <row r="5480" spans="2:34" x14ac:dyDescent="0.2">
      <c r="B5480" s="2">
        <f ca="1"/>
        <v>0.86482264020194588</v>
      </c>
      <c r="O5480" s="2">
        <f ca="1"/>
        <v>-0.1771163572583829</v>
      </c>
      <c r="X5480" s="2">
        <f ca="1"/>
        <v>36.594857696171665</v>
      </c>
      <c r="AG5480" s="2">
        <f ca="1"/>
        <v>0.6697151366693912</v>
      </c>
      <c r="AH5480" s="2" t="str">
        <f ca="1"/>
        <v>Bad</v>
      </c>
    </row>
    <row r="5481" spans="2:34" x14ac:dyDescent="0.2">
      <c r="B5481" s="2">
        <f ca="1"/>
        <v>0.76598457191082936</v>
      </c>
      <c r="O5481" s="2">
        <f ca="1"/>
        <v>0.38519330796053031</v>
      </c>
      <c r="X5481" s="2">
        <f ca="1"/>
        <v>46.926693167965368</v>
      </c>
      <c r="AG5481" s="2">
        <f ca="1"/>
        <v>0.98804661062655841</v>
      </c>
      <c r="AH5481" s="2" t="str">
        <f ca="1"/>
        <v>Bad</v>
      </c>
    </row>
    <row r="5482" spans="2:34" x14ac:dyDescent="0.2">
      <c r="B5482" s="2">
        <f ca="1"/>
        <v>0.95634753756019575</v>
      </c>
      <c r="O5482" s="2">
        <f ca="1"/>
        <v>-6.4123317836250693E-2</v>
      </c>
      <c r="X5482" s="2">
        <f ca="1"/>
        <v>23.103658770085058</v>
      </c>
      <c r="AG5482" s="2">
        <f ca="1"/>
        <v>0.39931283674937945</v>
      </c>
      <c r="AH5482" s="2" t="str">
        <f ca="1"/>
        <v>OK</v>
      </c>
    </row>
    <row r="5483" spans="2:34" x14ac:dyDescent="0.2">
      <c r="B5483" s="2">
        <f ca="1"/>
        <v>0.87259589721243924</v>
      </c>
      <c r="O5483" s="2">
        <f ca="1"/>
        <v>0.41729291822089687</v>
      </c>
      <c r="X5483" s="2">
        <f ca="1"/>
        <v>41.521551561544953</v>
      </c>
      <c r="AG5483" s="2">
        <f ca="1"/>
        <v>0.34630468923900093</v>
      </c>
      <c r="AH5483" s="2" t="str">
        <f ca="1"/>
        <v>OK</v>
      </c>
    </row>
    <row r="5484" spans="2:34" x14ac:dyDescent="0.2">
      <c r="B5484" s="2">
        <f ca="1"/>
        <v>0.63460206324363022</v>
      </c>
      <c r="O5484" s="2">
        <f ca="1"/>
        <v>0.2200563522573401</v>
      </c>
      <c r="X5484" s="2">
        <f ca="1"/>
        <v>61.359025262546957</v>
      </c>
      <c r="AG5484" s="2">
        <f ca="1"/>
        <v>0.73465588976760143</v>
      </c>
      <c r="AH5484" s="2" t="str">
        <f ca="1"/>
        <v>Bad</v>
      </c>
    </row>
    <row r="5485" spans="2:34" x14ac:dyDescent="0.2">
      <c r="B5485" s="2">
        <f ca="1"/>
        <v>0.92250949601688181</v>
      </c>
      <c r="O5485" s="2">
        <f ca="1"/>
        <v>0.14936846321501002</v>
      </c>
      <c r="X5485" s="2">
        <f ca="1"/>
        <v>53.117532898892065</v>
      </c>
      <c r="AG5485" s="2">
        <f ca="1"/>
        <v>0.73855565885123697</v>
      </c>
      <c r="AH5485" s="2" t="str">
        <f ca="1"/>
        <v>Bad</v>
      </c>
    </row>
    <row r="5486" spans="2:34" x14ac:dyDescent="0.2">
      <c r="B5486" s="2">
        <f ca="1"/>
        <v>0.44626083211820089</v>
      </c>
      <c r="O5486" s="2">
        <f ca="1"/>
        <v>-1.1252536296122313</v>
      </c>
      <c r="X5486" s="2">
        <f ca="1"/>
        <v>93.287092482908335</v>
      </c>
      <c r="AG5486" s="2">
        <f ca="1"/>
        <v>0.34872368362320416</v>
      </c>
      <c r="AH5486" s="2" t="str">
        <f ca="1"/>
        <v>OK</v>
      </c>
    </row>
    <row r="5487" spans="2:34" x14ac:dyDescent="0.2">
      <c r="B5487" s="2">
        <f ca="1"/>
        <v>0.56296485620035219</v>
      </c>
      <c r="O5487" s="2">
        <f ca="1"/>
        <v>-3.5543832605608644E-2</v>
      </c>
      <c r="X5487" s="2">
        <f ca="1"/>
        <v>33.378986867955895</v>
      </c>
      <c r="AG5487" s="2">
        <f ca="1"/>
        <v>0.7690248050301749</v>
      </c>
      <c r="AH5487" s="2" t="str">
        <f ca="1"/>
        <v>Bad</v>
      </c>
    </row>
    <row r="5488" spans="2:34" x14ac:dyDescent="0.2">
      <c r="B5488" s="2">
        <f ca="1"/>
        <v>0.20443906810416146</v>
      </c>
      <c r="O5488" s="2">
        <f ca="1"/>
        <v>0.32599190345716011</v>
      </c>
      <c r="X5488" s="2">
        <f ca="1"/>
        <v>64.764635375636018</v>
      </c>
      <c r="AG5488" s="2">
        <f ca="1"/>
        <v>0.69875886380768026</v>
      </c>
      <c r="AH5488" s="2" t="str">
        <f ca="1"/>
        <v>Bad</v>
      </c>
    </row>
    <row r="5489" spans="2:34" x14ac:dyDescent="0.2">
      <c r="B5489" s="2">
        <f ca="1"/>
        <v>1.7925382924217192E-2</v>
      </c>
      <c r="O5489" s="2">
        <f ca="1"/>
        <v>-1.1921828236931977</v>
      </c>
      <c r="X5489" s="2">
        <f ca="1"/>
        <v>34.31886105774278</v>
      </c>
      <c r="AG5489" s="2">
        <f ca="1"/>
        <v>0.88256113669343517</v>
      </c>
      <c r="AH5489" s="2" t="str">
        <f ca="1"/>
        <v>Bad</v>
      </c>
    </row>
    <row r="5490" spans="2:34" x14ac:dyDescent="0.2">
      <c r="B5490" s="2">
        <f ca="1"/>
        <v>0.38171208511319898</v>
      </c>
      <c r="O5490" s="2">
        <f ca="1"/>
        <v>0.13600497924990956</v>
      </c>
      <c r="X5490" s="2">
        <f ca="1"/>
        <v>25.603252301818546</v>
      </c>
      <c r="AG5490" s="2">
        <f ca="1"/>
        <v>0.63076819851700106</v>
      </c>
      <c r="AH5490" s="2" t="str">
        <f ca="1"/>
        <v>Bad</v>
      </c>
    </row>
    <row r="5491" spans="2:34" x14ac:dyDescent="0.2">
      <c r="B5491" s="2">
        <f ca="1"/>
        <v>0.96825494520012012</v>
      </c>
      <c r="O5491" s="2">
        <f ca="1"/>
        <v>-1.6006295689042336</v>
      </c>
      <c r="X5491" s="2">
        <f ca="1"/>
        <v>63.172059352937353</v>
      </c>
      <c r="AG5491" s="2">
        <f ca="1"/>
        <v>8.953393355893069E-2</v>
      </c>
      <c r="AH5491" s="2" t="str">
        <f ca="1"/>
        <v>OK</v>
      </c>
    </row>
    <row r="5492" spans="2:34" x14ac:dyDescent="0.2">
      <c r="B5492" s="2">
        <f ca="1"/>
        <v>0.56448105592869924</v>
      </c>
      <c r="O5492" s="2">
        <f ca="1"/>
        <v>1.4695651573480548</v>
      </c>
      <c r="X5492" s="2">
        <f ca="1"/>
        <v>88.475252032020734</v>
      </c>
      <c r="AG5492" s="2">
        <f ca="1"/>
        <v>0.55245394280963422</v>
      </c>
      <c r="AH5492" s="2" t="str">
        <f ca="1"/>
        <v>Bad</v>
      </c>
    </row>
    <row r="5493" spans="2:34" x14ac:dyDescent="0.2">
      <c r="B5493" s="2">
        <f ca="1"/>
        <v>0.84601558560285883</v>
      </c>
      <c r="O5493" s="2">
        <f ca="1"/>
        <v>0.81095363444136914</v>
      </c>
      <c r="X5493" s="2">
        <f ca="1"/>
        <v>43.699409118882642</v>
      </c>
      <c r="AG5493" s="2">
        <f ca="1"/>
        <v>0.43191692959685501</v>
      </c>
      <c r="AH5493" s="2" t="str">
        <f ca="1"/>
        <v>Bad</v>
      </c>
    </row>
    <row r="5494" spans="2:34" x14ac:dyDescent="0.2">
      <c r="B5494" s="2">
        <f ca="1"/>
        <v>0.36409248774225134</v>
      </c>
      <c r="O5494" s="2">
        <f ca="1"/>
        <v>-1.0689775094572946</v>
      </c>
      <c r="X5494" s="2">
        <f ca="1"/>
        <v>65.068725360602315</v>
      </c>
      <c r="AG5494" s="2">
        <f ca="1"/>
        <v>0.32274905367929096</v>
      </c>
      <c r="AH5494" s="2" t="str">
        <f ca="1"/>
        <v>OK</v>
      </c>
    </row>
    <row r="5495" spans="2:34" x14ac:dyDescent="0.2">
      <c r="B5495" s="2">
        <f ca="1"/>
        <v>0.20451267023076958</v>
      </c>
      <c r="O5495" s="2">
        <f ca="1"/>
        <v>-1.8063249202073337</v>
      </c>
      <c r="X5495" s="2">
        <f ca="1"/>
        <v>78.716049144692278</v>
      </c>
      <c r="AG5495" s="2">
        <f ca="1"/>
        <v>0.12337300847352184</v>
      </c>
      <c r="AH5495" s="2" t="str">
        <f ca="1"/>
        <v>OK</v>
      </c>
    </row>
    <row r="5496" spans="2:34" x14ac:dyDescent="0.2">
      <c r="B5496" s="2">
        <f ca="1"/>
        <v>7.4439504851633753E-2</v>
      </c>
      <c r="O5496" s="2">
        <f ca="1"/>
        <v>1.4607925295691908</v>
      </c>
      <c r="X5496" s="2">
        <f ca="1"/>
        <v>49.568579739812279</v>
      </c>
      <c r="AG5496" s="2">
        <f ca="1"/>
        <v>6.376110269576496E-2</v>
      </c>
      <c r="AH5496" s="2" t="str">
        <f ca="1"/>
        <v>OK</v>
      </c>
    </row>
    <row r="5497" spans="2:34" x14ac:dyDescent="0.2">
      <c r="B5497" s="2">
        <f ca="1"/>
        <v>9.0980483760166875E-2</v>
      </c>
      <c r="O5497" s="2">
        <f ca="1"/>
        <v>-0.32775709457087104</v>
      </c>
      <c r="X5497" s="2">
        <f ca="1"/>
        <v>67.862560698001161</v>
      </c>
      <c r="AG5497" s="2">
        <f ca="1"/>
        <v>0.73988187523379123</v>
      </c>
      <c r="AH5497" s="2" t="str">
        <f ca="1"/>
        <v>Bad</v>
      </c>
    </row>
    <row r="5498" spans="2:34" x14ac:dyDescent="0.2">
      <c r="B5498" s="2">
        <f ca="1"/>
        <v>0.63828223685778984</v>
      </c>
      <c r="O5498" s="2">
        <f ca="1"/>
        <v>0.62525975347845009</v>
      </c>
      <c r="X5498" s="2">
        <f ca="1"/>
        <v>40.721623431197465</v>
      </c>
      <c r="AG5498" s="2">
        <f ca="1"/>
        <v>5.7511594226834939E-2</v>
      </c>
      <c r="AH5498" s="2" t="str">
        <f ca="1"/>
        <v>OK</v>
      </c>
    </row>
    <row r="5499" spans="2:34" x14ac:dyDescent="0.2">
      <c r="B5499" s="2">
        <f ca="1"/>
        <v>0.10015365999198944</v>
      </c>
      <c r="O5499" s="2">
        <f ca="1"/>
        <v>0.41337357946102415</v>
      </c>
      <c r="X5499" s="2">
        <f ca="1"/>
        <v>54.344715666009279</v>
      </c>
      <c r="AG5499" s="2">
        <f ca="1"/>
        <v>0.52458574252862489</v>
      </c>
      <c r="AH5499" s="2" t="str">
        <f ca="1"/>
        <v>Bad</v>
      </c>
    </row>
    <row r="5500" spans="2:34" x14ac:dyDescent="0.2">
      <c r="B5500" s="2">
        <f ca="1"/>
        <v>0.87998977091802866</v>
      </c>
      <c r="O5500" s="2">
        <f ca="1"/>
        <v>-0.53070159812082673</v>
      </c>
      <c r="X5500" s="2">
        <f ca="1"/>
        <v>46.220418451834213</v>
      </c>
      <c r="AG5500" s="2">
        <f ca="1"/>
        <v>0.99705204550268078</v>
      </c>
      <c r="AH5500" s="2" t="str">
        <f ca="1"/>
        <v>Bad</v>
      </c>
    </row>
    <row r="5501" spans="2:34" x14ac:dyDescent="0.2">
      <c r="B5501" s="2">
        <f ca="1"/>
        <v>0.69344540722748249</v>
      </c>
      <c r="O5501" s="2">
        <f ca="1"/>
        <v>-0.53019904422407893</v>
      </c>
      <c r="X5501" s="2">
        <f ca="1"/>
        <v>34.891129396281443</v>
      </c>
      <c r="AG5501" s="2">
        <f ca="1"/>
        <v>0.99012583883729932</v>
      </c>
      <c r="AH5501" s="2" t="str">
        <f ca="1"/>
        <v>Bad</v>
      </c>
    </row>
    <row r="5502" spans="2:34" x14ac:dyDescent="0.2">
      <c r="B5502" s="2">
        <f ca="1"/>
        <v>0.67343603880485881</v>
      </c>
      <c r="O5502" s="2">
        <f ca="1"/>
        <v>-0.98403747887367043</v>
      </c>
      <c r="X5502" s="2">
        <f ca="1"/>
        <v>69.253701531684584</v>
      </c>
      <c r="AG5502" s="2">
        <f ca="1"/>
        <v>7.3823400323494104E-2</v>
      </c>
      <c r="AH5502" s="2" t="str">
        <f ca="1"/>
        <v>OK</v>
      </c>
    </row>
    <row r="5503" spans="2:34" x14ac:dyDescent="0.2">
      <c r="B5503" s="2">
        <f ca="1"/>
        <v>0.47393613508240118</v>
      </c>
      <c r="O5503" s="2">
        <f ca="1"/>
        <v>-0.24193069662948796</v>
      </c>
      <c r="X5503" s="2">
        <f ca="1"/>
        <v>41.482007831102393</v>
      </c>
      <c r="AG5503" s="2">
        <f ca="1"/>
        <v>0.19014227885765678</v>
      </c>
      <c r="AH5503" s="2" t="str">
        <f ca="1"/>
        <v>OK</v>
      </c>
    </row>
    <row r="5504" spans="2:34" x14ac:dyDescent="0.2">
      <c r="B5504" s="2">
        <f ca="1"/>
        <v>0.96709591887287183</v>
      </c>
      <c r="O5504" s="2">
        <f ca="1"/>
        <v>0.86456156702187104</v>
      </c>
      <c r="X5504" s="2">
        <f ca="1"/>
        <v>28.21843259976708</v>
      </c>
      <c r="AG5504" s="2">
        <f ca="1"/>
        <v>0.29635563425578337</v>
      </c>
      <c r="AH5504" s="2" t="str">
        <f ca="1"/>
        <v>OK</v>
      </c>
    </row>
    <row r="5505" spans="2:34" x14ac:dyDescent="0.2">
      <c r="B5505" s="2">
        <f ca="1"/>
        <v>0.29189203525378749</v>
      </c>
      <c r="O5505" s="2">
        <f ca="1"/>
        <v>0.59133864114269097</v>
      </c>
      <c r="X5505" s="2">
        <f ca="1"/>
        <v>74.625454915768714</v>
      </c>
      <c r="AG5505" s="2">
        <f ca="1"/>
        <v>0.40809698945279549</v>
      </c>
      <c r="AH5505" s="2" t="str">
        <f ca="1"/>
        <v>Bad</v>
      </c>
    </row>
    <row r="5506" spans="2:34" x14ac:dyDescent="0.2">
      <c r="B5506" s="2">
        <f ca="1"/>
        <v>0.1051650253465326</v>
      </c>
      <c r="O5506" s="2">
        <f ca="1"/>
        <v>-0.98344659595419537</v>
      </c>
      <c r="X5506" s="2">
        <f ca="1"/>
        <v>79.17108959249498</v>
      </c>
      <c r="AG5506" s="2">
        <f ca="1"/>
        <v>0.35181542680034195</v>
      </c>
      <c r="AH5506" s="2" t="str">
        <f ca="1"/>
        <v>OK</v>
      </c>
    </row>
    <row r="5507" spans="2:34" x14ac:dyDescent="0.2">
      <c r="B5507" s="2">
        <f ca="1"/>
        <v>0.21561167440585982</v>
      </c>
      <c r="O5507" s="2">
        <f ca="1"/>
        <v>-3.5796590675782863E-2</v>
      </c>
      <c r="X5507" s="2">
        <f ca="1"/>
        <v>30.173436274908646</v>
      </c>
      <c r="AG5507" s="2">
        <f ca="1"/>
        <v>0.50394429355931858</v>
      </c>
      <c r="AH5507" s="2" t="str">
        <f ca="1"/>
        <v>Bad</v>
      </c>
    </row>
    <row r="5508" spans="2:34" x14ac:dyDescent="0.2">
      <c r="B5508" s="2">
        <f ca="1"/>
        <v>0.70598358709384157</v>
      </c>
      <c r="O5508" s="2">
        <f ca="1"/>
        <v>0.67668482992420464</v>
      </c>
      <c r="X5508" s="2">
        <f ca="1"/>
        <v>48.179719524916365</v>
      </c>
      <c r="AG5508" s="2">
        <f ca="1"/>
        <v>0.7174534815095035</v>
      </c>
      <c r="AH5508" s="2" t="str">
        <f ca="1"/>
        <v>Bad</v>
      </c>
    </row>
    <row r="5509" spans="2:34" x14ac:dyDescent="0.2">
      <c r="B5509" s="2">
        <f ca="1"/>
        <v>0.56136384205549272</v>
      </c>
      <c r="O5509" s="2">
        <f ca="1"/>
        <v>-0.12300697095044912</v>
      </c>
      <c r="X5509" s="2">
        <f ca="1"/>
        <v>47.457060799306319</v>
      </c>
      <c r="AG5509" s="2">
        <f ca="1"/>
        <v>0.97788358355207694</v>
      </c>
      <c r="AH5509" s="2" t="str">
        <f ca="1"/>
        <v>Bad</v>
      </c>
    </row>
    <row r="5510" spans="2:34" x14ac:dyDescent="0.2">
      <c r="B5510" s="2">
        <f ca="1"/>
        <v>0.21107049031367531</v>
      </c>
      <c r="O5510" s="2">
        <f ca="1"/>
        <v>-0.73032005188647164</v>
      </c>
      <c r="X5510" s="2">
        <f ca="1"/>
        <v>20.701782843879926</v>
      </c>
      <c r="AG5510" s="2">
        <f ca="1"/>
        <v>0.90517742760540565</v>
      </c>
      <c r="AH5510" s="2" t="str">
        <f ca="1"/>
        <v>Bad</v>
      </c>
    </row>
    <row r="5511" spans="2:34" x14ac:dyDescent="0.2">
      <c r="B5511" s="2">
        <f ca="1"/>
        <v>0.56287492357607527</v>
      </c>
      <c r="O5511" s="2">
        <f ca="1"/>
        <v>-1.0548671425844962</v>
      </c>
      <c r="X5511" s="2">
        <f ca="1"/>
        <v>66.922422742355749</v>
      </c>
      <c r="AG5511" s="2">
        <f ca="1"/>
        <v>0.32642058417257025</v>
      </c>
      <c r="AH5511" s="2" t="str">
        <f ca="1"/>
        <v>OK</v>
      </c>
    </row>
    <row r="5512" spans="2:34" x14ac:dyDescent="0.2">
      <c r="B5512" s="2">
        <f ca="1"/>
        <v>2.4717018802942858E-2</v>
      </c>
      <c r="O5512" s="2">
        <f ca="1"/>
        <v>0.44841080221294999</v>
      </c>
      <c r="X5512" s="2">
        <f ca="1"/>
        <v>50.509664871805462</v>
      </c>
      <c r="AG5512" s="2">
        <f ca="1"/>
        <v>0.53309373606506139</v>
      </c>
      <c r="AH5512" s="2" t="str">
        <f ca="1"/>
        <v>Bad</v>
      </c>
    </row>
    <row r="5513" spans="2:34" x14ac:dyDescent="0.2">
      <c r="B5513" s="2">
        <f ca="1"/>
        <v>6.1791615202784866E-2</v>
      </c>
      <c r="O5513" s="2">
        <f ca="1"/>
        <v>1.7285289113488458</v>
      </c>
      <c r="X5513" s="2">
        <f ca="1"/>
        <v>47.207288138055134</v>
      </c>
      <c r="AG5513" s="2">
        <f ca="1"/>
        <v>8.862787534441896E-2</v>
      </c>
      <c r="AH5513" s="2" t="str">
        <f ca="1"/>
        <v>OK</v>
      </c>
    </row>
    <row r="5514" spans="2:34" x14ac:dyDescent="0.2">
      <c r="B5514" s="2">
        <f ca="1"/>
        <v>0.54616676011001042</v>
      </c>
      <c r="O5514" s="2">
        <f ca="1"/>
        <v>1.7889192166859191</v>
      </c>
      <c r="X5514" s="2">
        <f ca="1"/>
        <v>70.509517887729757</v>
      </c>
      <c r="AG5514" s="2">
        <f ca="1"/>
        <v>0.64840718636466366</v>
      </c>
      <c r="AH5514" s="2" t="str">
        <f ca="1"/>
        <v>Bad</v>
      </c>
    </row>
    <row r="5515" spans="2:34" x14ac:dyDescent="0.2">
      <c r="B5515" s="2">
        <f ca="1"/>
        <v>0.70406224219319191</v>
      </c>
      <c r="O5515" s="2">
        <f ca="1"/>
        <v>9.0476872679568388E-2</v>
      </c>
      <c r="X5515" s="2">
        <f ca="1"/>
        <v>127.41624999121194</v>
      </c>
      <c r="AG5515" s="2">
        <f ca="1"/>
        <v>0.87066109690030302</v>
      </c>
      <c r="AH5515" s="2" t="str">
        <f ca="1"/>
        <v>Bad</v>
      </c>
    </row>
    <row r="5516" spans="2:34" x14ac:dyDescent="0.2">
      <c r="B5516" s="2">
        <f ca="1"/>
        <v>2.1285845620875321E-2</v>
      </c>
      <c r="O5516" s="2">
        <f ca="1"/>
        <v>1.3998378154503333</v>
      </c>
      <c r="X5516" s="2">
        <f ca="1"/>
        <v>50.806446197656918</v>
      </c>
      <c r="AG5516" s="2">
        <f ca="1"/>
        <v>0.3898343371403481</v>
      </c>
      <c r="AH5516" s="2" t="str">
        <f ca="1"/>
        <v>OK</v>
      </c>
    </row>
    <row r="5517" spans="2:34" x14ac:dyDescent="0.2">
      <c r="B5517" s="2">
        <f ca="1"/>
        <v>1.8769780361295396E-2</v>
      </c>
      <c r="O5517" s="2">
        <f ca="1"/>
        <v>0.56443324635026537</v>
      </c>
      <c r="X5517" s="2">
        <f ca="1"/>
        <v>86.455600219976461</v>
      </c>
      <c r="AG5517" s="2">
        <f ca="1"/>
        <v>0.84950391131017411</v>
      </c>
      <c r="AH5517" s="2" t="str">
        <f ca="1"/>
        <v>Bad</v>
      </c>
    </row>
    <row r="5518" spans="2:34" x14ac:dyDescent="0.2">
      <c r="B5518" s="2">
        <f ca="1"/>
        <v>0.54324341303863699</v>
      </c>
      <c r="O5518" s="2">
        <f ca="1"/>
        <v>0.54044501963600478</v>
      </c>
      <c r="X5518" s="2">
        <f ca="1"/>
        <v>57.057456230644668</v>
      </c>
      <c r="AG5518" s="2">
        <f ca="1"/>
        <v>0.59913952918272106</v>
      </c>
      <c r="AH5518" s="2" t="str">
        <f ca="1"/>
        <v>Bad</v>
      </c>
    </row>
    <row r="5519" spans="2:34" x14ac:dyDescent="0.2">
      <c r="B5519" s="2">
        <f ca="1"/>
        <v>0.85000721818921732</v>
      </c>
      <c r="O5519" s="2">
        <f ca="1"/>
        <v>1.0089217402136246</v>
      </c>
      <c r="X5519" s="2">
        <f ca="1"/>
        <v>23.280219466399949</v>
      </c>
      <c r="AG5519" s="2">
        <f ca="1"/>
        <v>0.46341871032953752</v>
      </c>
      <c r="AH5519" s="2" t="str">
        <f ca="1"/>
        <v>Bad</v>
      </c>
    </row>
    <row r="5520" spans="2:34" x14ac:dyDescent="0.2">
      <c r="B5520" s="2">
        <f ca="1"/>
        <v>0.39551221971928285</v>
      </c>
      <c r="O5520" s="2">
        <f ca="1"/>
        <v>0.90689521750521951</v>
      </c>
      <c r="X5520" s="2">
        <f ca="1"/>
        <v>69.148638901779378</v>
      </c>
      <c r="AG5520" s="2">
        <f ca="1"/>
        <v>0.83962876594359304</v>
      </c>
      <c r="AH5520" s="2" t="str">
        <f ca="1"/>
        <v>Bad</v>
      </c>
    </row>
    <row r="5521" spans="2:34" x14ac:dyDescent="0.2">
      <c r="B5521" s="2">
        <f ca="1"/>
        <v>5.3921699334660511E-2</v>
      </c>
      <c r="O5521" s="2">
        <f ca="1"/>
        <v>1.5701910256243121</v>
      </c>
      <c r="X5521" s="2">
        <f ca="1"/>
        <v>57.665792052445887</v>
      </c>
      <c r="AG5521" s="2">
        <f ca="1"/>
        <v>0.5284059727517032</v>
      </c>
      <c r="AH5521" s="2" t="str">
        <f ca="1"/>
        <v>Bad</v>
      </c>
    </row>
    <row r="5522" spans="2:34" x14ac:dyDescent="0.2">
      <c r="B5522" s="2">
        <f ca="1"/>
        <v>0.46186544664110674</v>
      </c>
      <c r="O5522" s="2">
        <f ca="1"/>
        <v>0.45885994382989914</v>
      </c>
      <c r="X5522" s="2">
        <f ca="1"/>
        <v>45.170431676410246</v>
      </c>
      <c r="AG5522" s="2">
        <f ca="1"/>
        <v>0.86195049238638788</v>
      </c>
      <c r="AH5522" s="2" t="str">
        <f ca="1"/>
        <v>Bad</v>
      </c>
    </row>
    <row r="5523" spans="2:34" x14ac:dyDescent="0.2">
      <c r="B5523" s="2">
        <f ca="1"/>
        <v>9.9455338835916507E-2</v>
      </c>
      <c r="O5523" s="2">
        <f ca="1"/>
        <v>4.5624818686488726E-3</v>
      </c>
      <c r="X5523" s="2">
        <f ca="1"/>
        <v>51.404952027673076</v>
      </c>
      <c r="AG5523" s="2">
        <f ca="1"/>
        <v>0.32093304742039463</v>
      </c>
      <c r="AH5523" s="2" t="str">
        <f ca="1"/>
        <v>OK</v>
      </c>
    </row>
    <row r="5524" spans="2:34" x14ac:dyDescent="0.2">
      <c r="B5524" s="2">
        <f ca="1"/>
        <v>0.42418044916086739</v>
      </c>
      <c r="O5524" s="2">
        <f ca="1"/>
        <v>5.1356718378766715E-2</v>
      </c>
      <c r="X5524" s="2">
        <f ca="1"/>
        <v>30.270927661473152</v>
      </c>
      <c r="AG5524" s="2">
        <f ca="1"/>
        <v>0.65031919465243249</v>
      </c>
      <c r="AH5524" s="2" t="str">
        <f ca="1"/>
        <v>Bad</v>
      </c>
    </row>
    <row r="5525" spans="2:34" x14ac:dyDescent="0.2">
      <c r="B5525" s="2">
        <f ca="1"/>
        <v>0.23681115092961802</v>
      </c>
      <c r="O5525" s="2">
        <f ca="1"/>
        <v>-0.13885789323776643</v>
      </c>
      <c r="X5525" s="2">
        <f ca="1"/>
        <v>67.091332765264667</v>
      </c>
      <c r="AG5525" s="2">
        <f ca="1"/>
        <v>0.65358200277014378</v>
      </c>
      <c r="AH5525" s="2" t="str">
        <f ca="1"/>
        <v>Bad</v>
      </c>
    </row>
    <row r="5526" spans="2:34" x14ac:dyDescent="0.2">
      <c r="B5526" s="2">
        <f ca="1"/>
        <v>0.84558441437607468</v>
      </c>
      <c r="O5526" s="2">
        <f ca="1"/>
        <v>1.0991993223448469</v>
      </c>
      <c r="X5526" s="2">
        <f ca="1"/>
        <v>29.327510605582553</v>
      </c>
      <c r="AG5526" s="2">
        <f ca="1"/>
        <v>2.9690329476729005E-2</v>
      </c>
      <c r="AH5526" s="2" t="str">
        <f ca="1"/>
        <v>Good</v>
      </c>
    </row>
    <row r="5527" spans="2:34" x14ac:dyDescent="0.2">
      <c r="B5527" s="2">
        <f ca="1"/>
        <v>0.27526141310786101</v>
      </c>
      <c r="O5527" s="2">
        <f ca="1"/>
        <v>-0.89611072009552195</v>
      </c>
      <c r="X5527" s="2">
        <f ca="1"/>
        <v>21.209409686503516</v>
      </c>
      <c r="AG5527" s="2">
        <f ca="1"/>
        <v>6.0771077869571366E-2</v>
      </c>
      <c r="AH5527" s="2" t="str">
        <f ca="1"/>
        <v>OK</v>
      </c>
    </row>
    <row r="5528" spans="2:34" x14ac:dyDescent="0.2">
      <c r="B5528" s="2">
        <f ca="1"/>
        <v>0.24848934218383589</v>
      </c>
      <c r="O5528" s="2">
        <f ca="1"/>
        <v>0.90895173615938885</v>
      </c>
      <c r="X5528" s="2">
        <f ca="1"/>
        <v>52.575954288741158</v>
      </c>
      <c r="AG5528" s="2">
        <f ca="1"/>
        <v>0.14376840021494997</v>
      </c>
      <c r="AH5528" s="2" t="str">
        <f ca="1"/>
        <v>OK</v>
      </c>
    </row>
    <row r="5529" spans="2:34" x14ac:dyDescent="0.2">
      <c r="B5529" s="2">
        <f ca="1"/>
        <v>0.25044458758057919</v>
      </c>
      <c r="O5529" s="2">
        <f ca="1"/>
        <v>-0.29527649826213498</v>
      </c>
      <c r="X5529" s="2">
        <f ca="1"/>
        <v>53.392224907524863</v>
      </c>
      <c r="AG5529" s="2">
        <f ca="1"/>
        <v>0.10673647058485125</v>
      </c>
      <c r="AH5529" s="2" t="str">
        <f ca="1"/>
        <v>OK</v>
      </c>
    </row>
    <row r="5530" spans="2:34" x14ac:dyDescent="0.2">
      <c r="B5530" s="2">
        <f ca="1"/>
        <v>0.54771667667295376</v>
      </c>
      <c r="O5530" s="2">
        <f ca="1"/>
        <v>-0.31916146130899831</v>
      </c>
      <c r="X5530" s="2">
        <f ca="1"/>
        <v>77.578789826977356</v>
      </c>
      <c r="AG5530" s="2">
        <f ca="1"/>
        <v>0.23397520884859424</v>
      </c>
      <c r="AH5530" s="2" t="str">
        <f ca="1"/>
        <v>OK</v>
      </c>
    </row>
    <row r="5531" spans="2:34" x14ac:dyDescent="0.2">
      <c r="B5531" s="2">
        <f ca="1"/>
        <v>0.9072772759948502</v>
      </c>
      <c r="O5531" s="2">
        <f ca="1"/>
        <v>-0.31434506951574281</v>
      </c>
      <c r="X5531" s="2">
        <f ca="1"/>
        <v>52.716654461900497</v>
      </c>
      <c r="AG5531" s="2">
        <f ca="1"/>
        <v>0.25981535308275117</v>
      </c>
      <c r="AH5531" s="2" t="str">
        <f ca="1"/>
        <v>OK</v>
      </c>
    </row>
    <row r="5532" spans="2:34" x14ac:dyDescent="0.2">
      <c r="B5532" s="2">
        <f ca="1"/>
        <v>0.44527240471865137</v>
      </c>
      <c r="O5532" s="2">
        <f ca="1"/>
        <v>-4.2771073258574405E-2</v>
      </c>
      <c r="X5532" s="2">
        <f ca="1"/>
        <v>34.349238232751915</v>
      </c>
      <c r="AG5532" s="2">
        <f ca="1"/>
        <v>0.44672444261083122</v>
      </c>
      <c r="AH5532" s="2" t="str">
        <f ca="1"/>
        <v>Bad</v>
      </c>
    </row>
    <row r="5533" spans="2:34" x14ac:dyDescent="0.2">
      <c r="B5533" s="2">
        <f ca="1"/>
        <v>0.68094908158827572</v>
      </c>
      <c r="O5533" s="2">
        <f ca="1"/>
        <v>1.0010467556590044</v>
      </c>
      <c r="X5533" s="2">
        <f ca="1"/>
        <v>63.085002792528442</v>
      </c>
      <c r="AG5533" s="2">
        <f ca="1"/>
        <v>0.52545140259235978</v>
      </c>
      <c r="AH5533" s="2" t="str">
        <f ca="1"/>
        <v>Bad</v>
      </c>
    </row>
    <row r="5534" spans="2:34" x14ac:dyDescent="0.2">
      <c r="B5534" s="2">
        <f ca="1"/>
        <v>0.50154282952059059</v>
      </c>
      <c r="O5534" s="2">
        <f ca="1"/>
        <v>1.2194357854415867</v>
      </c>
      <c r="X5534" s="2">
        <f ca="1"/>
        <v>76.867943039098691</v>
      </c>
      <c r="AG5534" s="2">
        <f ca="1"/>
        <v>9.3422078892663185E-2</v>
      </c>
      <c r="AH5534" s="2" t="str">
        <f ca="1"/>
        <v>OK</v>
      </c>
    </row>
    <row r="5535" spans="2:34" x14ac:dyDescent="0.2">
      <c r="B5535" s="2">
        <f ca="1"/>
        <v>0.8899985409180966</v>
      </c>
      <c r="O5535" s="2">
        <f ca="1"/>
        <v>0.51723643807195174</v>
      </c>
      <c r="X5535" s="2">
        <f ca="1"/>
        <v>39.11722296620534</v>
      </c>
      <c r="AG5535" s="2">
        <f ca="1"/>
        <v>0.67949248157762976</v>
      </c>
      <c r="AH5535" s="2" t="str">
        <f ca="1"/>
        <v>Bad</v>
      </c>
    </row>
    <row r="5536" spans="2:34" x14ac:dyDescent="0.2">
      <c r="B5536" s="2">
        <f ca="1"/>
        <v>0.54607484675918649</v>
      </c>
      <c r="O5536" s="2">
        <f ca="1"/>
        <v>0.30994408878056495</v>
      </c>
      <c r="X5536" s="2">
        <f ca="1"/>
        <v>53.984022356922019</v>
      </c>
      <c r="AG5536" s="2">
        <f ca="1"/>
        <v>0.49203678996946199</v>
      </c>
      <c r="AH5536" s="2" t="str">
        <f ca="1"/>
        <v>Bad</v>
      </c>
    </row>
    <row r="5537" spans="2:34" x14ac:dyDescent="0.2">
      <c r="B5537" s="2">
        <f ca="1"/>
        <v>0.66717721081501913</v>
      </c>
      <c r="O5537" s="2">
        <f ca="1"/>
        <v>-0.33513474575078916</v>
      </c>
      <c r="X5537" s="2">
        <f ca="1"/>
        <v>44.774821043227064</v>
      </c>
      <c r="AG5537" s="2">
        <f ca="1"/>
        <v>0.14420583058969494</v>
      </c>
      <c r="AH5537" s="2" t="str">
        <f ca="1"/>
        <v>OK</v>
      </c>
    </row>
    <row r="5538" spans="2:34" x14ac:dyDescent="0.2">
      <c r="B5538" s="2">
        <f ca="1"/>
        <v>0.6413556272669938</v>
      </c>
      <c r="O5538" s="2">
        <f ca="1"/>
        <v>-0.84385057015238341</v>
      </c>
      <c r="X5538" s="2">
        <f ca="1"/>
        <v>76.015590471455397</v>
      </c>
      <c r="AG5538" s="2">
        <f ca="1"/>
        <v>0.38158004387752098</v>
      </c>
      <c r="AH5538" s="2" t="str">
        <f ca="1"/>
        <v>OK</v>
      </c>
    </row>
    <row r="5539" spans="2:34" x14ac:dyDescent="0.2">
      <c r="B5539" s="2">
        <f ca="1"/>
        <v>4.5443281282185222E-2</v>
      </c>
      <c r="O5539" s="2">
        <f ca="1"/>
        <v>0.85549209466247178</v>
      </c>
      <c r="X5539" s="2">
        <f ca="1"/>
        <v>32.804848192202776</v>
      </c>
      <c r="AG5539" s="2">
        <f ca="1"/>
        <v>0.21537697786639276</v>
      </c>
      <c r="AH5539" s="2" t="str">
        <f ca="1"/>
        <v>OK</v>
      </c>
    </row>
    <row r="5540" spans="2:34" x14ac:dyDescent="0.2">
      <c r="B5540" s="2">
        <f ca="1"/>
        <v>0.61125399646479517</v>
      </c>
      <c r="O5540" s="2">
        <f ca="1"/>
        <v>5.7898096865681627E-2</v>
      </c>
      <c r="X5540" s="2">
        <f ca="1"/>
        <v>56.821362778435727</v>
      </c>
      <c r="AG5540" s="2">
        <f ca="1"/>
        <v>0.83690048596450373</v>
      </c>
      <c r="AH5540" s="2" t="str">
        <f ca="1"/>
        <v>Bad</v>
      </c>
    </row>
    <row r="5541" spans="2:34" x14ac:dyDescent="0.2">
      <c r="B5541" s="2">
        <f ca="1"/>
        <v>0.22029323953615831</v>
      </c>
      <c r="O5541" s="2">
        <f ca="1"/>
        <v>0.9500095740746517</v>
      </c>
      <c r="X5541" s="2">
        <f ca="1"/>
        <v>44.926702531043723</v>
      </c>
      <c r="AG5541" s="2">
        <f ca="1"/>
        <v>0.96197272124148703</v>
      </c>
      <c r="AH5541" s="2" t="str">
        <f ca="1"/>
        <v>Bad</v>
      </c>
    </row>
    <row r="5542" spans="2:34" x14ac:dyDescent="0.2">
      <c r="B5542" s="2">
        <f ca="1"/>
        <v>0.30225877518280497</v>
      </c>
      <c r="O5542" s="2">
        <f ca="1"/>
        <v>-0.36475402326520118</v>
      </c>
      <c r="X5542" s="2">
        <f ca="1"/>
        <v>42.740792034914826</v>
      </c>
      <c r="AG5542" s="2">
        <f ca="1"/>
        <v>0.27203575615724285</v>
      </c>
      <c r="AH5542" s="2" t="str">
        <f ca="1"/>
        <v>OK</v>
      </c>
    </row>
    <row r="5543" spans="2:34" x14ac:dyDescent="0.2">
      <c r="B5543" s="2">
        <f ca="1"/>
        <v>2.0646217385939636E-2</v>
      </c>
      <c r="O5543" s="2">
        <f ca="1"/>
        <v>0.24956576655601329</v>
      </c>
      <c r="X5543" s="2">
        <f ca="1"/>
        <v>36.880969531126212</v>
      </c>
      <c r="AG5543" s="2">
        <f ca="1"/>
        <v>0.84459027888154492</v>
      </c>
      <c r="AH5543" s="2" t="str">
        <f ca="1"/>
        <v>Bad</v>
      </c>
    </row>
    <row r="5544" spans="2:34" x14ac:dyDescent="0.2">
      <c r="B5544" s="2">
        <f ca="1"/>
        <v>0.44639883080646525</v>
      </c>
      <c r="O5544" s="2">
        <f ca="1"/>
        <v>1.5984280656412926</v>
      </c>
      <c r="X5544" s="2">
        <f ca="1"/>
        <v>47.238576197130662</v>
      </c>
      <c r="AG5544" s="2">
        <f ca="1"/>
        <v>0.51535718887114501</v>
      </c>
      <c r="AH5544" s="2" t="str">
        <f ca="1"/>
        <v>Bad</v>
      </c>
    </row>
    <row r="5545" spans="2:34" x14ac:dyDescent="0.2">
      <c r="B5545" s="2">
        <f ca="1"/>
        <v>0.57143611279980333</v>
      </c>
      <c r="O5545" s="2">
        <f ca="1"/>
        <v>-1.2213823256390146</v>
      </c>
      <c r="X5545" s="2">
        <f ca="1"/>
        <v>74.09019805227571</v>
      </c>
      <c r="AG5545" s="2">
        <f ca="1"/>
        <v>0.44068732885680184</v>
      </c>
      <c r="AH5545" s="2" t="str">
        <f ca="1"/>
        <v>Bad</v>
      </c>
    </row>
    <row r="5546" spans="2:34" x14ac:dyDescent="0.2">
      <c r="B5546" s="2">
        <f ca="1"/>
        <v>0.36537130599425627</v>
      </c>
      <c r="O5546" s="2">
        <f ca="1"/>
        <v>-0.14589315327047642</v>
      </c>
      <c r="X5546" s="2">
        <f ca="1"/>
        <v>41.170571833328339</v>
      </c>
      <c r="AG5546" s="2">
        <f ca="1"/>
        <v>0.25793555378737487</v>
      </c>
      <c r="AH5546" s="2" t="str">
        <f ca="1"/>
        <v>OK</v>
      </c>
    </row>
    <row r="5547" spans="2:34" x14ac:dyDescent="0.2">
      <c r="B5547" s="2">
        <f ca="1"/>
        <v>0.81896390334688718</v>
      </c>
      <c r="O5547" s="2">
        <f ca="1"/>
        <v>-0.84990549069350252</v>
      </c>
      <c r="X5547" s="2">
        <f ca="1"/>
        <v>34.816338208556004</v>
      </c>
      <c r="AG5547" s="2">
        <f ca="1"/>
        <v>0.5508513644430586</v>
      </c>
      <c r="AH5547" s="2" t="str">
        <f ca="1"/>
        <v>Bad</v>
      </c>
    </row>
    <row r="5548" spans="2:34" x14ac:dyDescent="0.2">
      <c r="B5548" s="2">
        <f ca="1"/>
        <v>0.48201421179863702</v>
      </c>
      <c r="O5548" s="2">
        <f ca="1"/>
        <v>-0.16843544397505361</v>
      </c>
      <c r="X5548" s="2">
        <f ca="1"/>
        <v>79.491587600781727</v>
      </c>
      <c r="AG5548" s="2">
        <f ca="1"/>
        <v>0.94784436018487339</v>
      </c>
      <c r="AH5548" s="2" t="str">
        <f ca="1"/>
        <v>Bad</v>
      </c>
    </row>
    <row r="5549" spans="2:34" x14ac:dyDescent="0.2">
      <c r="B5549" s="2">
        <f ca="1"/>
        <v>8.724094696250706E-2</v>
      </c>
      <c r="O5549" s="2">
        <f ca="1"/>
        <v>-0.61205973966153471</v>
      </c>
      <c r="X5549" s="2">
        <f ca="1"/>
        <v>45.942137494360594</v>
      </c>
      <c r="AG5549" s="2">
        <f ca="1"/>
        <v>0.58913172333002573</v>
      </c>
      <c r="AH5549" s="2" t="str">
        <f ca="1"/>
        <v>Bad</v>
      </c>
    </row>
    <row r="5550" spans="2:34" x14ac:dyDescent="0.2">
      <c r="B5550" s="2">
        <f ca="1"/>
        <v>0.94573984611861728</v>
      </c>
      <c r="O5550" s="2">
        <f ca="1"/>
        <v>0.23320066603358949</v>
      </c>
      <c r="X5550" s="2">
        <f ca="1"/>
        <v>23.889346915843653</v>
      </c>
      <c r="AG5550" s="2">
        <f ca="1"/>
        <v>1.0413370680262046E-2</v>
      </c>
      <c r="AH5550" s="2" t="str">
        <f ca="1"/>
        <v>Good</v>
      </c>
    </row>
    <row r="5551" spans="2:34" x14ac:dyDescent="0.2">
      <c r="B5551" s="2">
        <f ca="1"/>
        <v>0.25609335992307902</v>
      </c>
      <c r="O5551" s="2">
        <f ca="1"/>
        <v>-1.3244451779623592</v>
      </c>
      <c r="X5551" s="2">
        <f ca="1"/>
        <v>59.044639384809841</v>
      </c>
      <c r="AG5551" s="2">
        <f ca="1"/>
        <v>0.66137014293079432</v>
      </c>
      <c r="AH5551" s="2" t="str">
        <f ca="1"/>
        <v>Bad</v>
      </c>
    </row>
    <row r="5552" spans="2:34" x14ac:dyDescent="0.2">
      <c r="B5552" s="2">
        <f ca="1"/>
        <v>0.61946785465945076</v>
      </c>
      <c r="O5552" s="2">
        <f ca="1"/>
        <v>0.75357953018267221</v>
      </c>
      <c r="X5552" s="2">
        <f ca="1"/>
        <v>34.87795493431414</v>
      </c>
      <c r="AG5552" s="2">
        <f ca="1"/>
        <v>0.93877379512513093</v>
      </c>
      <c r="AH5552" s="2" t="str">
        <f ca="1"/>
        <v>Bad</v>
      </c>
    </row>
    <row r="5553" spans="2:34" x14ac:dyDescent="0.2">
      <c r="B5553" s="2">
        <f ca="1"/>
        <v>9.4851426109030523E-2</v>
      </c>
      <c r="O5553" s="2">
        <f ca="1"/>
        <v>0.47523488416484749</v>
      </c>
      <c r="X5553" s="2">
        <f ca="1"/>
        <v>34.51941092176979</v>
      </c>
      <c r="AG5553" s="2">
        <f ca="1"/>
        <v>0.91030974443444324</v>
      </c>
      <c r="AH5553" s="2" t="str">
        <f ca="1"/>
        <v>Bad</v>
      </c>
    </row>
    <row r="5554" spans="2:34" x14ac:dyDescent="0.2">
      <c r="B5554" s="2">
        <f ca="1"/>
        <v>0.82960821953280739</v>
      </c>
      <c r="O5554" s="2">
        <f ca="1"/>
        <v>-0.69914009555105983</v>
      </c>
      <c r="X5554" s="2">
        <f ca="1"/>
        <v>53.618760478408532</v>
      </c>
      <c r="AG5554" s="2">
        <f ca="1"/>
        <v>0.5641177263097763</v>
      </c>
      <c r="AH5554" s="2" t="str">
        <f ca="1"/>
        <v>Bad</v>
      </c>
    </row>
    <row r="5555" spans="2:34" x14ac:dyDescent="0.2">
      <c r="B5555" s="2">
        <f ca="1"/>
        <v>0.16641639585008106</v>
      </c>
      <c r="O5555" s="2">
        <f ca="1"/>
        <v>0.71722857947318353</v>
      </c>
      <c r="X5555" s="2">
        <f ca="1"/>
        <v>29.449592299865692</v>
      </c>
      <c r="AG5555" s="2">
        <f ca="1"/>
        <v>0.92263365530911501</v>
      </c>
      <c r="AH5555" s="2" t="str">
        <f ca="1"/>
        <v>Bad</v>
      </c>
    </row>
    <row r="5556" spans="2:34" x14ac:dyDescent="0.2">
      <c r="B5556" s="2">
        <f ca="1"/>
        <v>0.19112600155506843</v>
      </c>
      <c r="O5556" s="2">
        <f ca="1"/>
        <v>0.16787594590081947</v>
      </c>
      <c r="X5556" s="2">
        <f ca="1"/>
        <v>43.400850689999572</v>
      </c>
      <c r="AG5556" s="2">
        <f ca="1"/>
        <v>0.5869221615361071</v>
      </c>
      <c r="AH5556" s="2" t="str">
        <f ca="1"/>
        <v>Bad</v>
      </c>
    </row>
    <row r="5557" spans="2:34" x14ac:dyDescent="0.2">
      <c r="B5557" s="2">
        <f ca="1"/>
        <v>0.88237272016373858</v>
      </c>
      <c r="O5557" s="2">
        <f ca="1"/>
        <v>-0.30499360757523075</v>
      </c>
      <c r="X5557" s="2">
        <f ca="1"/>
        <v>46.197681528135135</v>
      </c>
      <c r="AG5557" s="2">
        <f ca="1"/>
        <v>0.9376693283107238</v>
      </c>
      <c r="AH5557" s="2" t="str">
        <f ca="1"/>
        <v>Bad</v>
      </c>
    </row>
    <row r="5558" spans="2:34" x14ac:dyDescent="0.2">
      <c r="B5558" s="2">
        <f ca="1"/>
        <v>0.16546916144917545</v>
      </c>
      <c r="O5558" s="2">
        <f ca="1"/>
        <v>0.24317414982060359</v>
      </c>
      <c r="X5558" s="2">
        <f ca="1"/>
        <v>63.162481439830735</v>
      </c>
      <c r="AG5558" s="2">
        <f ca="1"/>
        <v>0.876608059310646</v>
      </c>
      <c r="AH5558" s="2" t="str">
        <f ca="1"/>
        <v>Bad</v>
      </c>
    </row>
    <row r="5559" spans="2:34" x14ac:dyDescent="0.2">
      <c r="B5559" s="2">
        <f ca="1"/>
        <v>0.64438319813090739</v>
      </c>
      <c r="O5559" s="2">
        <f ca="1"/>
        <v>-0.57756698819440966</v>
      </c>
      <c r="X5559" s="2">
        <f ca="1"/>
        <v>83.510928452329125</v>
      </c>
      <c r="AG5559" s="2">
        <f ca="1"/>
        <v>0.51071322340387915</v>
      </c>
      <c r="AH5559" s="2" t="str">
        <f ca="1"/>
        <v>Bad</v>
      </c>
    </row>
    <row r="5560" spans="2:34" x14ac:dyDescent="0.2">
      <c r="B5560" s="2">
        <f ca="1"/>
        <v>0.24261144848954341</v>
      </c>
      <c r="O5560" s="2">
        <f ca="1"/>
        <v>1.8136303298571983</v>
      </c>
      <c r="X5560" s="2">
        <f ca="1"/>
        <v>34.748828509895148</v>
      </c>
      <c r="AG5560" s="2">
        <f ca="1"/>
        <v>0.27660988499681616</v>
      </c>
      <c r="AH5560" s="2" t="str">
        <f ca="1"/>
        <v>OK</v>
      </c>
    </row>
    <row r="5561" spans="2:34" x14ac:dyDescent="0.2">
      <c r="B5561" s="2">
        <f ca="1"/>
        <v>0.23323939611071043</v>
      </c>
      <c r="O5561" s="2">
        <f ca="1"/>
        <v>0.94629714599177839</v>
      </c>
      <c r="X5561" s="2">
        <f ca="1"/>
        <v>49.790141300463759</v>
      </c>
      <c r="AG5561" s="2">
        <f ca="1"/>
        <v>3.7814622727303515E-2</v>
      </c>
      <c r="AH5561" s="2" t="str">
        <f ca="1"/>
        <v>Good</v>
      </c>
    </row>
    <row r="5562" spans="2:34" x14ac:dyDescent="0.2">
      <c r="B5562" s="2">
        <f ca="1"/>
        <v>0.32556325663435626</v>
      </c>
      <c r="O5562" s="2">
        <f ca="1"/>
        <v>1.2435762640097736</v>
      </c>
      <c r="X5562" s="2">
        <f ca="1"/>
        <v>40.548814598837751</v>
      </c>
      <c r="AG5562" s="2">
        <f ca="1"/>
        <v>9.4727434147065415E-2</v>
      </c>
      <c r="AH5562" s="2" t="str">
        <f ca="1"/>
        <v>OK</v>
      </c>
    </row>
    <row r="5563" spans="2:34" x14ac:dyDescent="0.2">
      <c r="B5563" s="2">
        <f ca="1"/>
        <v>0.39558701808131636</v>
      </c>
      <c r="O5563" s="2">
        <f ca="1"/>
        <v>0.55588447870758706</v>
      </c>
      <c r="X5563" s="2">
        <f ca="1"/>
        <v>29.784776873490703</v>
      </c>
      <c r="AG5563" s="2">
        <f ca="1"/>
        <v>0.65615790320353895</v>
      </c>
      <c r="AH5563" s="2" t="str">
        <f ca="1"/>
        <v>Bad</v>
      </c>
    </row>
    <row r="5564" spans="2:34" x14ac:dyDescent="0.2">
      <c r="B5564" s="2">
        <f ca="1"/>
        <v>0.76241674535247239</v>
      </c>
      <c r="O5564" s="2">
        <f ca="1"/>
        <v>-1.2370048772121811</v>
      </c>
      <c r="X5564" s="2">
        <f ca="1"/>
        <v>28.979588921738756</v>
      </c>
      <c r="AG5564" s="2">
        <f ca="1"/>
        <v>0.45575182171347461</v>
      </c>
      <c r="AH5564" s="2" t="str">
        <f ca="1"/>
        <v>Bad</v>
      </c>
    </row>
    <row r="5565" spans="2:34" x14ac:dyDescent="0.2">
      <c r="B5565" s="2">
        <f ca="1"/>
        <v>0.533156328119617</v>
      </c>
      <c r="O5565" s="2">
        <f ca="1"/>
        <v>-0.91380153633711081</v>
      </c>
      <c r="X5565" s="2">
        <f ca="1"/>
        <v>40.719401627538822</v>
      </c>
      <c r="AG5565" s="2">
        <f ca="1"/>
        <v>0.6301020481020505</v>
      </c>
      <c r="AH5565" s="2" t="str">
        <f ca="1"/>
        <v>Bad</v>
      </c>
    </row>
    <row r="5566" spans="2:34" x14ac:dyDescent="0.2">
      <c r="B5566" s="2">
        <f ca="1"/>
        <v>0.34138616506719499</v>
      </c>
      <c r="O5566" s="2">
        <f ca="1"/>
        <v>9.4115980935571816E-2</v>
      </c>
      <c r="X5566" s="2">
        <f ca="1"/>
        <v>65.457123529895767</v>
      </c>
      <c r="AG5566" s="2">
        <f ca="1"/>
        <v>0.59491570208327449</v>
      </c>
      <c r="AH5566" s="2" t="str">
        <f ca="1"/>
        <v>Bad</v>
      </c>
    </row>
    <row r="5567" spans="2:34" x14ac:dyDescent="0.2">
      <c r="B5567" s="2">
        <f ca="1"/>
        <v>0.45782894835801313</v>
      </c>
      <c r="O5567" s="2">
        <f ca="1"/>
        <v>0.15069519459589442</v>
      </c>
      <c r="X5567" s="2">
        <f ca="1"/>
        <v>28.852357486664644</v>
      </c>
      <c r="AG5567" s="2">
        <f ca="1"/>
        <v>0.15543858652383991</v>
      </c>
      <c r="AH5567" s="2" t="str">
        <f ca="1"/>
        <v>OK</v>
      </c>
    </row>
    <row r="5568" spans="2:34" x14ac:dyDescent="0.2">
      <c r="B5568" s="2">
        <f ca="1"/>
        <v>0.35120428328084086</v>
      </c>
      <c r="O5568" s="2">
        <f ca="1"/>
        <v>-1.6050597616790399</v>
      </c>
      <c r="X5568" s="2">
        <f ca="1"/>
        <v>47.520749505637298</v>
      </c>
      <c r="AG5568" s="2">
        <f ca="1"/>
        <v>0.56297087426532721</v>
      </c>
      <c r="AH5568" s="2" t="str">
        <f ca="1"/>
        <v>Bad</v>
      </c>
    </row>
    <row r="5569" spans="2:34" x14ac:dyDescent="0.2">
      <c r="B5569" s="2">
        <f ca="1"/>
        <v>0.56693312931783479</v>
      </c>
      <c r="O5569" s="2">
        <f ca="1"/>
        <v>-2.2367482318931105E-2</v>
      </c>
      <c r="X5569" s="2">
        <f ca="1"/>
        <v>51.773013369021371</v>
      </c>
      <c r="AG5569" s="2">
        <f ca="1"/>
        <v>0.98274502345939552</v>
      </c>
      <c r="AH5569" s="2" t="str">
        <f ca="1"/>
        <v>Bad</v>
      </c>
    </row>
    <row r="5570" spans="2:34" x14ac:dyDescent="0.2">
      <c r="B5570" s="2">
        <f ca="1"/>
        <v>0.28093168408260527</v>
      </c>
      <c r="O5570" s="2">
        <f ca="1"/>
        <v>0.18724019422882637</v>
      </c>
      <c r="X5570" s="2">
        <f ca="1"/>
        <v>52.798177847574934</v>
      </c>
      <c r="AG5570" s="2">
        <f ca="1"/>
        <v>4.5643465430968533E-2</v>
      </c>
      <c r="AH5570" s="2" t="str">
        <f ca="1"/>
        <v>Good</v>
      </c>
    </row>
    <row r="5571" spans="2:34" x14ac:dyDescent="0.2">
      <c r="B5571" s="2">
        <f ca="1"/>
        <v>0.79891693249573059</v>
      </c>
      <c r="O5571" s="2">
        <f ca="1"/>
        <v>-1.2875770039704648</v>
      </c>
      <c r="X5571" s="2">
        <f ca="1"/>
        <v>41.525616479704929</v>
      </c>
      <c r="AG5571" s="2">
        <f ca="1"/>
        <v>0.28643430067182352</v>
      </c>
      <c r="AH5571" s="2" t="str">
        <f ca="1"/>
        <v>OK</v>
      </c>
    </row>
    <row r="5572" spans="2:34" x14ac:dyDescent="0.2">
      <c r="B5572" s="2">
        <f ca="1"/>
        <v>3.0272240392988037E-2</v>
      </c>
      <c r="O5572" s="2">
        <f ca="1"/>
        <v>1.2717873720720181</v>
      </c>
      <c r="X5572" s="2">
        <f ca="1"/>
        <v>46.588477658689044</v>
      </c>
      <c r="AG5572" s="2">
        <f ca="1"/>
        <v>8.174841969599278E-3</v>
      </c>
      <c r="AH5572" s="2" t="str">
        <f ca="1"/>
        <v>Good</v>
      </c>
    </row>
    <row r="5573" spans="2:34" x14ac:dyDescent="0.2">
      <c r="B5573" s="2">
        <f ca="1"/>
        <v>0.79438656094558802</v>
      </c>
      <c r="O5573" s="2">
        <f ca="1"/>
        <v>-0.52731596887850163</v>
      </c>
      <c r="X5573" s="2">
        <f ca="1"/>
        <v>46.616956321043766</v>
      </c>
      <c r="AG5573" s="2">
        <f ca="1"/>
        <v>0.91169907637647785</v>
      </c>
      <c r="AH5573" s="2" t="str">
        <f ca="1"/>
        <v>Bad</v>
      </c>
    </row>
    <row r="5574" spans="2:34" x14ac:dyDescent="0.2">
      <c r="B5574" s="2">
        <f ca="1"/>
        <v>4.652022896974195E-2</v>
      </c>
      <c r="O5574" s="2">
        <f ca="1"/>
        <v>0.2511115061778984</v>
      </c>
      <c r="X5574" s="2">
        <f ca="1"/>
        <v>28.190103393354779</v>
      </c>
      <c r="AG5574" s="2">
        <f ca="1"/>
        <v>0.5147725233514171</v>
      </c>
      <c r="AH5574" s="2" t="str">
        <f ca="1"/>
        <v>Bad</v>
      </c>
    </row>
    <row r="5575" spans="2:34" x14ac:dyDescent="0.2">
      <c r="B5575" s="2">
        <f ca="1"/>
        <v>0.55620651593486525</v>
      </c>
      <c r="O5575" s="2">
        <f ca="1"/>
        <v>-1.226207702054005</v>
      </c>
      <c r="X5575" s="2">
        <f ca="1"/>
        <v>65.971837346185453</v>
      </c>
      <c r="AG5575" s="2">
        <f ca="1"/>
        <v>0.7662123818212625</v>
      </c>
      <c r="AH5575" s="2" t="str">
        <f ca="1"/>
        <v>Bad</v>
      </c>
    </row>
    <row r="5576" spans="2:34" x14ac:dyDescent="0.2">
      <c r="B5576" s="2">
        <f ca="1"/>
        <v>0.47150158240888218</v>
      </c>
      <c r="O5576" s="2">
        <f ca="1"/>
        <v>-0.51877421971786486</v>
      </c>
      <c r="X5576" s="2">
        <f ca="1"/>
        <v>55.308962754948674</v>
      </c>
      <c r="AG5576" s="2">
        <f ca="1"/>
        <v>0.75791293499492074</v>
      </c>
      <c r="AH5576" s="2" t="str">
        <f ca="1"/>
        <v>Bad</v>
      </c>
    </row>
    <row r="5577" spans="2:34" x14ac:dyDescent="0.2">
      <c r="B5577" s="2">
        <f ca="1"/>
        <v>8.1286496658530272E-2</v>
      </c>
      <c r="O5577" s="2">
        <f ca="1"/>
        <v>0.49926809073797795</v>
      </c>
      <c r="X5577" s="2">
        <f ca="1"/>
        <v>78.931624765762521</v>
      </c>
      <c r="AG5577" s="2">
        <f ca="1"/>
        <v>0.61415326250308877</v>
      </c>
      <c r="AH5577" s="2" t="str">
        <f ca="1"/>
        <v>Bad</v>
      </c>
    </row>
    <row r="5578" spans="2:34" x14ac:dyDescent="0.2">
      <c r="B5578" s="2">
        <f ca="1"/>
        <v>0.18061841721841243</v>
      </c>
      <c r="O5578" s="2">
        <f ca="1"/>
        <v>-0.17882417262033032</v>
      </c>
      <c r="X5578" s="2">
        <f ca="1"/>
        <v>48.915889139427264</v>
      </c>
      <c r="AG5578" s="2">
        <f ca="1"/>
        <v>0.70866176258470115</v>
      </c>
      <c r="AH5578" s="2" t="str">
        <f ca="1"/>
        <v>Bad</v>
      </c>
    </row>
    <row r="5579" spans="2:34" x14ac:dyDescent="0.2">
      <c r="B5579" s="2">
        <f ca="1"/>
        <v>0.14789399327434416</v>
      </c>
      <c r="O5579" s="2">
        <f ca="1"/>
        <v>0.52629661662217353</v>
      </c>
      <c r="X5579" s="2">
        <f ca="1"/>
        <v>29.204543716188223</v>
      </c>
      <c r="AG5579" s="2">
        <f ca="1"/>
        <v>6.7544064249789315E-3</v>
      </c>
      <c r="AH5579" s="2" t="str">
        <f ca="1"/>
        <v>Good</v>
      </c>
    </row>
    <row r="5580" spans="2:34" x14ac:dyDescent="0.2">
      <c r="B5580" s="2">
        <f ca="1"/>
        <v>1.7866468333553875E-3</v>
      </c>
      <c r="O5580" s="2">
        <f ca="1"/>
        <v>0.32948855789513093</v>
      </c>
      <c r="X5580" s="2">
        <f ca="1"/>
        <v>29.656455231187561</v>
      </c>
      <c r="AG5580" s="2">
        <f ca="1"/>
        <v>0.23846162931561343</v>
      </c>
      <c r="AH5580" s="2" t="str">
        <f ca="1"/>
        <v>OK</v>
      </c>
    </row>
    <row r="5581" spans="2:34" x14ac:dyDescent="0.2">
      <c r="B5581" s="2">
        <f ca="1"/>
        <v>0.58958710003763781</v>
      </c>
      <c r="O5581" s="2">
        <f ca="1"/>
        <v>0.29607661524961554</v>
      </c>
      <c r="X5581" s="2">
        <f ca="1"/>
        <v>69.458696045614346</v>
      </c>
      <c r="AG5581" s="2">
        <f ca="1"/>
        <v>0.14404349838975428</v>
      </c>
      <c r="AH5581" s="2" t="str">
        <f ca="1"/>
        <v>OK</v>
      </c>
    </row>
    <row r="5582" spans="2:34" x14ac:dyDescent="0.2">
      <c r="B5582" s="2">
        <f ca="1"/>
        <v>0.35003661979041989</v>
      </c>
      <c r="O5582" s="2">
        <f ca="1"/>
        <v>-0.75003965822145779</v>
      </c>
      <c r="X5582" s="2">
        <f ca="1"/>
        <v>40.641952467905725</v>
      </c>
      <c r="AG5582" s="2">
        <f ca="1"/>
        <v>0.22974589250276201</v>
      </c>
      <c r="AH5582" s="2" t="str">
        <f ca="1"/>
        <v>OK</v>
      </c>
    </row>
    <row r="5583" spans="2:34" x14ac:dyDescent="0.2">
      <c r="B5583" s="2">
        <f ca="1"/>
        <v>0.31408897832205018</v>
      </c>
      <c r="O5583" s="2">
        <f ca="1"/>
        <v>0.5636983679104044</v>
      </c>
      <c r="X5583" s="2">
        <f ca="1"/>
        <v>68.973627486163224</v>
      </c>
      <c r="AG5583" s="2">
        <f ca="1"/>
        <v>0.25826820212002533</v>
      </c>
      <c r="AH5583" s="2" t="str">
        <f ca="1"/>
        <v>OK</v>
      </c>
    </row>
    <row r="5584" spans="2:34" x14ac:dyDescent="0.2">
      <c r="B5584" s="2">
        <f ca="1"/>
        <v>0.69102479207393941</v>
      </c>
      <c r="O5584" s="2">
        <f ca="1"/>
        <v>2.424516027261856</v>
      </c>
      <c r="X5584" s="2">
        <f ca="1"/>
        <v>101.18137427940536</v>
      </c>
      <c r="AG5584" s="2">
        <f ca="1"/>
        <v>0.27497795807851588</v>
      </c>
      <c r="AH5584" s="2" t="str">
        <f ca="1"/>
        <v>OK</v>
      </c>
    </row>
    <row r="5585" spans="2:34" x14ac:dyDescent="0.2">
      <c r="B5585" s="2">
        <f ca="1"/>
        <v>0.78677176792707426</v>
      </c>
      <c r="O5585" s="2">
        <f ca="1"/>
        <v>-0.85053005569181717</v>
      </c>
      <c r="X5585" s="2">
        <f ca="1"/>
        <v>52.106686517693113</v>
      </c>
      <c r="AG5585" s="2">
        <f ca="1"/>
        <v>0.67502150215904577</v>
      </c>
      <c r="AH5585" s="2" t="str">
        <f ca="1"/>
        <v>Bad</v>
      </c>
    </row>
    <row r="5586" spans="2:34" x14ac:dyDescent="0.2">
      <c r="B5586" s="2">
        <f ca="1"/>
        <v>0.62515517165780521</v>
      </c>
      <c r="O5586" s="2">
        <f ca="1"/>
        <v>0.51058380613751386</v>
      </c>
      <c r="X5586" s="2">
        <f ca="1"/>
        <v>29.939495850848829</v>
      </c>
      <c r="AG5586" s="2">
        <f ca="1"/>
        <v>3.2688678613567612E-2</v>
      </c>
      <c r="AH5586" s="2" t="str">
        <f ca="1"/>
        <v>Good</v>
      </c>
    </row>
    <row r="5587" spans="2:34" x14ac:dyDescent="0.2">
      <c r="B5587" s="2">
        <f ca="1"/>
        <v>0.25786616941671325</v>
      </c>
      <c r="O5587" s="2">
        <f ca="1"/>
        <v>-0.99318661053140256</v>
      </c>
      <c r="X5587" s="2">
        <f ca="1"/>
        <v>73.865454301817564</v>
      </c>
      <c r="AG5587" s="2">
        <f ca="1"/>
        <v>0.94193891555489451</v>
      </c>
      <c r="AH5587" s="2" t="str">
        <f ca="1"/>
        <v>Bad</v>
      </c>
    </row>
    <row r="5588" spans="2:34" x14ac:dyDescent="0.2">
      <c r="B5588" s="2">
        <f ca="1"/>
        <v>0.87941700846016402</v>
      </c>
      <c r="O5588" s="2">
        <f ca="1"/>
        <v>-0.32529922808072242</v>
      </c>
      <c r="X5588" s="2">
        <f ca="1"/>
        <v>55.477532494221407</v>
      </c>
      <c r="AG5588" s="2">
        <f ca="1"/>
        <v>0.69799172404083487</v>
      </c>
      <c r="AH5588" s="2" t="str">
        <f ca="1"/>
        <v>Bad</v>
      </c>
    </row>
    <row r="5589" spans="2:34" x14ac:dyDescent="0.2">
      <c r="B5589" s="2">
        <f ca="1"/>
        <v>0.70715739244381082</v>
      </c>
      <c r="O5589" s="2">
        <f ca="1"/>
        <v>-0.32565043109273301</v>
      </c>
      <c r="X5589" s="2">
        <f ca="1"/>
        <v>59.755198091678764</v>
      </c>
      <c r="AG5589" s="2">
        <f ca="1"/>
        <v>0.37498390358890088</v>
      </c>
      <c r="AH5589" s="2" t="str">
        <f ca="1"/>
        <v>OK</v>
      </c>
    </row>
    <row r="5590" spans="2:34" x14ac:dyDescent="0.2">
      <c r="B5590" s="2">
        <f ca="1"/>
        <v>0.42271274614665177</v>
      </c>
      <c r="O5590" s="2">
        <f ca="1"/>
        <v>-1.823572958324267</v>
      </c>
      <c r="X5590" s="2">
        <f ca="1"/>
        <v>49.46670693261629</v>
      </c>
      <c r="AG5590" s="2">
        <f ca="1"/>
        <v>6.1971346618400425E-2</v>
      </c>
      <c r="AH5590" s="2" t="str">
        <f ca="1"/>
        <v>OK</v>
      </c>
    </row>
    <row r="5591" spans="2:34" x14ac:dyDescent="0.2">
      <c r="B5591" s="2">
        <f ca="1"/>
        <v>0.30907061036162209</v>
      </c>
      <c r="O5591" s="2">
        <f ca="1"/>
        <v>-6.7805148819928593E-2</v>
      </c>
      <c r="X5591" s="2">
        <f ca="1"/>
        <v>52.325936503888862</v>
      </c>
      <c r="AG5591" s="2">
        <f ca="1"/>
        <v>0.1829380660350024</v>
      </c>
      <c r="AH5591" s="2" t="str">
        <f ca="1"/>
        <v>OK</v>
      </c>
    </row>
    <row r="5592" spans="2:34" x14ac:dyDescent="0.2">
      <c r="B5592" s="2">
        <f ca="1"/>
        <v>0.57290437848345821</v>
      </c>
      <c r="O5592" s="2">
        <f ca="1"/>
        <v>7.8315417550717165E-2</v>
      </c>
      <c r="X5592" s="2">
        <f ca="1"/>
        <v>59.777511490185979</v>
      </c>
      <c r="AG5592" s="2">
        <f ca="1"/>
        <v>0.66914421120864165</v>
      </c>
      <c r="AH5592" s="2" t="str">
        <f ca="1"/>
        <v>Bad</v>
      </c>
    </row>
    <row r="5593" spans="2:34" x14ac:dyDescent="0.2">
      <c r="B5593" s="2">
        <f ca="1"/>
        <v>0.85762641439390319</v>
      </c>
      <c r="O5593" s="2">
        <f ca="1"/>
        <v>8.3937923006460871E-2</v>
      </c>
      <c r="X5593" s="2">
        <f ca="1"/>
        <v>44.892281338323713</v>
      </c>
      <c r="AG5593" s="2">
        <f ca="1"/>
        <v>0.3857154289885627</v>
      </c>
      <c r="AH5593" s="2" t="str">
        <f ca="1"/>
        <v>OK</v>
      </c>
    </row>
    <row r="5594" spans="2:34" x14ac:dyDescent="0.2">
      <c r="B5594" s="2">
        <f ca="1"/>
        <v>0.80016774037294391</v>
      </c>
      <c r="O5594" s="2">
        <f ca="1"/>
        <v>1.6794494607903592</v>
      </c>
      <c r="X5594" s="2">
        <f ca="1"/>
        <v>64.843758626731216</v>
      </c>
      <c r="AG5594" s="2">
        <f ca="1"/>
        <v>0.33544627856888276</v>
      </c>
      <c r="AH5594" s="2" t="str">
        <f ca="1"/>
        <v>OK</v>
      </c>
    </row>
    <row r="5595" spans="2:34" x14ac:dyDescent="0.2">
      <c r="B5595" s="2">
        <f ca="1"/>
        <v>0.90461190884400078</v>
      </c>
      <c r="O5595" s="2">
        <f ca="1"/>
        <v>0.38977925081883236</v>
      </c>
      <c r="X5595" s="2">
        <f ca="1"/>
        <v>33.828683134215581</v>
      </c>
      <c r="AG5595" s="2">
        <f ca="1"/>
        <v>0.25991323884355433</v>
      </c>
      <c r="AH5595" s="2" t="str">
        <f ca="1"/>
        <v>OK</v>
      </c>
    </row>
    <row r="5596" spans="2:34" x14ac:dyDescent="0.2">
      <c r="B5596" s="2">
        <f ca="1"/>
        <v>0.88721608935322349</v>
      </c>
      <c r="O5596" s="2">
        <f ca="1"/>
        <v>3.0405317174988053E-2</v>
      </c>
      <c r="X5596" s="2">
        <f ca="1"/>
        <v>35.268493098623395</v>
      </c>
      <c r="AG5596" s="2">
        <f ca="1"/>
        <v>0.77559176119748208</v>
      </c>
      <c r="AH5596" s="2" t="str">
        <f ca="1"/>
        <v>Bad</v>
      </c>
    </row>
    <row r="5597" spans="2:34" x14ac:dyDescent="0.2">
      <c r="B5597" s="2">
        <f ca="1"/>
        <v>0.37605039781242722</v>
      </c>
      <c r="O5597" s="2">
        <f ca="1"/>
        <v>-1.0566825363224348</v>
      </c>
      <c r="X5597" s="2">
        <f ca="1"/>
        <v>50.853560045183919</v>
      </c>
      <c r="AG5597" s="2">
        <f ca="1"/>
        <v>0.63376333780655614</v>
      </c>
      <c r="AH5597" s="2" t="str">
        <f ca="1"/>
        <v>Bad</v>
      </c>
    </row>
    <row r="5598" spans="2:34" x14ac:dyDescent="0.2">
      <c r="B5598" s="2">
        <f ca="1"/>
        <v>7.6590024503063514E-2</v>
      </c>
      <c r="O5598" s="2">
        <f ca="1"/>
        <v>9.4490990333342378E-2</v>
      </c>
      <c r="X5598" s="2">
        <f ca="1"/>
        <v>46.710496282203295</v>
      </c>
      <c r="AG5598" s="2">
        <f ca="1"/>
        <v>0.98517331696198163</v>
      </c>
      <c r="AH5598" s="2" t="str">
        <f ca="1"/>
        <v>Bad</v>
      </c>
    </row>
    <row r="5599" spans="2:34" x14ac:dyDescent="0.2">
      <c r="B5599" s="2">
        <f ca="1"/>
        <v>0.66166897197212959</v>
      </c>
      <c r="O5599" s="2">
        <f ca="1"/>
        <v>1.5091705950316983</v>
      </c>
      <c r="X5599" s="2">
        <f ca="1"/>
        <v>45.097427198440656</v>
      </c>
      <c r="AG5599" s="2">
        <f ca="1"/>
        <v>0.43700775134758341</v>
      </c>
      <c r="AH5599" s="2" t="str">
        <f ca="1"/>
        <v>Bad</v>
      </c>
    </row>
    <row r="5600" spans="2:34" x14ac:dyDescent="0.2">
      <c r="B5600" s="2">
        <f ca="1"/>
        <v>0.51650389225680571</v>
      </c>
      <c r="O5600" s="2">
        <f ca="1"/>
        <v>0.8859089219099</v>
      </c>
      <c r="X5600" s="2">
        <f ca="1"/>
        <v>75.711870146440504</v>
      </c>
      <c r="AG5600" s="2">
        <f ca="1"/>
        <v>0.26469725331135052</v>
      </c>
      <c r="AH5600" s="2" t="str">
        <f ca="1"/>
        <v>OK</v>
      </c>
    </row>
    <row r="5601" spans="2:34" x14ac:dyDescent="0.2">
      <c r="B5601" s="2">
        <f ca="1"/>
        <v>0.99847104838372336</v>
      </c>
      <c r="O5601" s="2">
        <f ca="1"/>
        <v>-0.12734805114257083</v>
      </c>
      <c r="X5601" s="2">
        <f ca="1"/>
        <v>56.888480857318989</v>
      </c>
      <c r="AG5601" s="2">
        <f ca="1"/>
        <v>1.6258641046718036E-2</v>
      </c>
      <c r="AH5601" s="2" t="str">
        <f ca="1"/>
        <v>Good</v>
      </c>
    </row>
    <row r="5602" spans="2:34" x14ac:dyDescent="0.2">
      <c r="B5602" s="2">
        <f ca="1"/>
        <v>0.71309593650269032</v>
      </c>
      <c r="O5602" s="2">
        <f ca="1"/>
        <v>-1.6811177140891187</v>
      </c>
      <c r="X5602" s="2">
        <f ca="1"/>
        <v>59.310161011607804</v>
      </c>
      <c r="AG5602" s="2">
        <f ca="1"/>
        <v>0.98376666391415335</v>
      </c>
      <c r="AH5602" s="2" t="str">
        <f ca="1"/>
        <v>Bad</v>
      </c>
    </row>
    <row r="5603" spans="2:34" x14ac:dyDescent="0.2">
      <c r="B5603" s="2">
        <f ca="1"/>
        <v>0.21197595653584722</v>
      </c>
      <c r="O5603" s="2">
        <f ca="1"/>
        <v>0.12204499778227802</v>
      </c>
      <c r="X5603" s="2">
        <f ca="1"/>
        <v>41.402493905616907</v>
      </c>
      <c r="AG5603" s="2">
        <f ca="1"/>
        <v>5.2774120006372938E-2</v>
      </c>
      <c r="AH5603" s="2" t="str">
        <f ca="1"/>
        <v>OK</v>
      </c>
    </row>
    <row r="5604" spans="2:34" x14ac:dyDescent="0.2">
      <c r="B5604" s="2">
        <f ca="1"/>
        <v>4.7316111008421036E-2</v>
      </c>
      <c r="O5604" s="2">
        <f ca="1"/>
        <v>1.3073103198377094</v>
      </c>
      <c r="X5604" s="2">
        <f ca="1"/>
        <v>33.651780332374415</v>
      </c>
      <c r="AG5604" s="2">
        <f ca="1"/>
        <v>4.2662405394473524E-3</v>
      </c>
      <c r="AH5604" s="2" t="str">
        <f ca="1"/>
        <v>Good</v>
      </c>
    </row>
    <row r="5605" spans="2:34" x14ac:dyDescent="0.2">
      <c r="B5605" s="2">
        <f ca="1"/>
        <v>0.64001856802338786</v>
      </c>
      <c r="O5605" s="2">
        <f ca="1"/>
        <v>-0.20158006939105036</v>
      </c>
      <c r="X5605" s="2">
        <f ca="1"/>
        <v>56.099781406110779</v>
      </c>
      <c r="AG5605" s="2">
        <f ca="1"/>
        <v>0.99907857651451004</v>
      </c>
      <c r="AH5605" s="2" t="str">
        <f ca="1"/>
        <v>Bad</v>
      </c>
    </row>
    <row r="5606" spans="2:34" x14ac:dyDescent="0.2">
      <c r="B5606" s="2">
        <f ca="1"/>
        <v>0.14332992957538071</v>
      </c>
      <c r="O5606" s="2">
        <f ca="1"/>
        <v>1.0707600429982291</v>
      </c>
      <c r="X5606" s="2">
        <f ca="1"/>
        <v>63.128197855970669</v>
      </c>
      <c r="AG5606" s="2">
        <f ca="1"/>
        <v>0.80837032603969305</v>
      </c>
      <c r="AH5606" s="2" t="str">
        <f ca="1"/>
        <v>Bad</v>
      </c>
    </row>
    <row r="5607" spans="2:34" x14ac:dyDescent="0.2">
      <c r="B5607" s="2">
        <f ca="1"/>
        <v>0.44992890572617017</v>
      </c>
      <c r="O5607" s="2">
        <f ca="1"/>
        <v>-1.0616127615044773</v>
      </c>
      <c r="X5607" s="2">
        <f ca="1"/>
        <v>66.750329059861116</v>
      </c>
      <c r="AG5607" s="2">
        <f ca="1"/>
        <v>0.72861701488008102</v>
      </c>
      <c r="AH5607" s="2" t="str">
        <f ca="1"/>
        <v>Bad</v>
      </c>
    </row>
    <row r="5608" spans="2:34" x14ac:dyDescent="0.2">
      <c r="B5608" s="2">
        <f ca="1"/>
        <v>0.68194834589443221</v>
      </c>
      <c r="O5608" s="2">
        <f ca="1"/>
        <v>0.47866393321336559</v>
      </c>
      <c r="X5608" s="2">
        <f ca="1"/>
        <v>43.14422484776648</v>
      </c>
      <c r="AG5608" s="2">
        <f ca="1"/>
        <v>0.71924075973312962</v>
      </c>
      <c r="AH5608" s="2" t="str">
        <f ca="1"/>
        <v>Bad</v>
      </c>
    </row>
    <row r="5609" spans="2:34" x14ac:dyDescent="0.2">
      <c r="B5609" s="2">
        <f ca="1"/>
        <v>0.43550863199813072</v>
      </c>
      <c r="O5609" s="2">
        <f ca="1"/>
        <v>0.69947857741777864</v>
      </c>
      <c r="X5609" s="2">
        <f ca="1"/>
        <v>41.189640699648791</v>
      </c>
      <c r="AG5609" s="2">
        <f ca="1"/>
        <v>0.6325105866307279</v>
      </c>
      <c r="AH5609" s="2" t="str">
        <f ca="1"/>
        <v>Bad</v>
      </c>
    </row>
    <row r="5610" spans="2:34" x14ac:dyDescent="0.2">
      <c r="B5610" s="2">
        <f ca="1"/>
        <v>0.23522712217167863</v>
      </c>
      <c r="O5610" s="2">
        <f ca="1"/>
        <v>2.7388943391520244</v>
      </c>
      <c r="X5610" s="2">
        <f ca="1"/>
        <v>80.572934864832462</v>
      </c>
      <c r="AG5610" s="2">
        <f ca="1"/>
        <v>0.88869305430473178</v>
      </c>
      <c r="AH5610" s="2" t="str">
        <f ca="1"/>
        <v>Bad</v>
      </c>
    </row>
    <row r="5611" spans="2:34" x14ac:dyDescent="0.2">
      <c r="B5611" s="2">
        <f ca="1"/>
        <v>0.4965636946648615</v>
      </c>
      <c r="O5611" s="2">
        <f ca="1"/>
        <v>0.80857866957484814</v>
      </c>
      <c r="X5611" s="2">
        <f ca="1"/>
        <v>61.6851221159571</v>
      </c>
      <c r="AG5611" s="2">
        <f ca="1"/>
        <v>0.16522873351823786</v>
      </c>
      <c r="AH5611" s="2" t="str">
        <f ca="1"/>
        <v>OK</v>
      </c>
    </row>
    <row r="5612" spans="2:34" x14ac:dyDescent="0.2">
      <c r="B5612" s="2">
        <f ca="1"/>
        <v>0.4783655165476377</v>
      </c>
      <c r="O5612" s="2">
        <f ca="1"/>
        <v>-1.7448769705057703</v>
      </c>
      <c r="X5612" s="2">
        <f ca="1"/>
        <v>53.832839769283403</v>
      </c>
      <c r="AG5612" s="2">
        <f ca="1"/>
        <v>0.59536848632684913</v>
      </c>
      <c r="AH5612" s="2" t="str">
        <f ca="1"/>
        <v>Bad</v>
      </c>
    </row>
    <row r="5613" spans="2:34" x14ac:dyDescent="0.2">
      <c r="B5613" s="2">
        <f ca="1"/>
        <v>0.40281229872139268</v>
      </c>
      <c r="O5613" s="2">
        <f ca="1"/>
        <v>0.92995675875944062</v>
      </c>
      <c r="X5613" s="2">
        <f ca="1"/>
        <v>44.56741397059492</v>
      </c>
      <c r="AG5613" s="2">
        <f ca="1"/>
        <v>0.98318683163578902</v>
      </c>
      <c r="AH5613" s="2" t="str">
        <f ca="1"/>
        <v>Bad</v>
      </c>
    </row>
    <row r="5614" spans="2:34" x14ac:dyDescent="0.2">
      <c r="B5614" s="2">
        <f ca="1"/>
        <v>0.94458365668742972</v>
      </c>
      <c r="O5614" s="2">
        <f ca="1"/>
        <v>-1.8604535604239523</v>
      </c>
      <c r="X5614" s="2">
        <f ca="1"/>
        <v>31.34770160164927</v>
      </c>
      <c r="AG5614" s="2">
        <f ca="1"/>
        <v>0.43147075729333872</v>
      </c>
      <c r="AH5614" s="2" t="str">
        <f ca="1"/>
        <v>Bad</v>
      </c>
    </row>
    <row r="5615" spans="2:34" x14ac:dyDescent="0.2">
      <c r="B5615" s="2">
        <f ca="1"/>
        <v>0.15075564744439918</v>
      </c>
      <c r="O5615" s="2">
        <f ca="1"/>
        <v>0.23644078347766664</v>
      </c>
      <c r="X5615" s="2">
        <f ca="1"/>
        <v>45.240939279159477</v>
      </c>
      <c r="AG5615" s="2">
        <f ca="1"/>
        <v>0.32363352514308352</v>
      </c>
      <c r="AH5615" s="2" t="str">
        <f ca="1"/>
        <v>OK</v>
      </c>
    </row>
    <row r="5616" spans="2:34" x14ac:dyDescent="0.2">
      <c r="B5616" s="2">
        <f ca="1"/>
        <v>0.2593171101814078</v>
      </c>
      <c r="O5616" s="2">
        <f ca="1"/>
        <v>-0.46085832918846614</v>
      </c>
      <c r="X5616" s="2">
        <f ca="1"/>
        <v>43.254066268502442</v>
      </c>
      <c r="AG5616" s="2">
        <f ca="1"/>
        <v>0.29239078927109219</v>
      </c>
      <c r="AH5616" s="2" t="str">
        <f ca="1"/>
        <v>OK</v>
      </c>
    </row>
    <row r="5617" spans="2:34" x14ac:dyDescent="0.2">
      <c r="B5617" s="2">
        <f ca="1"/>
        <v>0.32865369746847906</v>
      </c>
      <c r="O5617" s="2">
        <f ca="1"/>
        <v>0.31148556113292192</v>
      </c>
      <c r="X5617" s="2">
        <f ca="1"/>
        <v>41.317909226876637</v>
      </c>
      <c r="AG5617" s="2">
        <f ca="1"/>
        <v>0.80572623747444827</v>
      </c>
      <c r="AH5617" s="2" t="str">
        <f ca="1"/>
        <v>Bad</v>
      </c>
    </row>
    <row r="5618" spans="2:34" x14ac:dyDescent="0.2">
      <c r="B5618" s="2">
        <f ca="1"/>
        <v>0.9335609438694612</v>
      </c>
      <c r="O5618" s="2">
        <f ca="1"/>
        <v>0.66951332808162822</v>
      </c>
      <c r="X5618" s="2">
        <f ca="1"/>
        <v>48.946177911867615</v>
      </c>
      <c r="AG5618" s="2">
        <f ca="1"/>
        <v>0.46260660947303167</v>
      </c>
      <c r="AH5618" s="2" t="str">
        <f ca="1"/>
        <v>Bad</v>
      </c>
    </row>
    <row r="5619" spans="2:34" x14ac:dyDescent="0.2">
      <c r="B5619" s="2">
        <f ca="1"/>
        <v>0.10780967300255129</v>
      </c>
      <c r="O5619" s="2">
        <f ca="1"/>
        <v>-0.53123705857856041</v>
      </c>
      <c r="X5619" s="2">
        <f ca="1"/>
        <v>53.322763734739041</v>
      </c>
      <c r="AG5619" s="2">
        <f ca="1"/>
        <v>0.44679258669459876</v>
      </c>
      <c r="AH5619" s="2" t="str">
        <f ca="1"/>
        <v>Bad</v>
      </c>
    </row>
    <row r="5620" spans="2:34" x14ac:dyDescent="0.2">
      <c r="B5620" s="2">
        <f ca="1"/>
        <v>0.45993854843182569</v>
      </c>
      <c r="O5620" s="2">
        <f ca="1"/>
        <v>-1.4808748250960033</v>
      </c>
      <c r="X5620" s="2">
        <f ca="1"/>
        <v>30.474622000032792</v>
      </c>
      <c r="AG5620" s="2">
        <f ca="1"/>
        <v>0.76179320209013146</v>
      </c>
      <c r="AH5620" s="2" t="str">
        <f ca="1"/>
        <v>Bad</v>
      </c>
    </row>
    <row r="5621" spans="2:34" x14ac:dyDescent="0.2">
      <c r="B5621" s="2">
        <f ca="1"/>
        <v>0.258328546348086</v>
      </c>
      <c r="O5621" s="2">
        <f ca="1"/>
        <v>0.3585672140038571</v>
      </c>
      <c r="X5621" s="2">
        <f ca="1"/>
        <v>40.806604487070295</v>
      </c>
      <c r="AG5621" s="2">
        <f ca="1"/>
        <v>0.83986694090338365</v>
      </c>
      <c r="AH5621" s="2" t="str">
        <f ca="1"/>
        <v>Bad</v>
      </c>
    </row>
    <row r="5622" spans="2:34" x14ac:dyDescent="0.2">
      <c r="B5622" s="2">
        <f ca="1"/>
        <v>0.24148482328745979</v>
      </c>
      <c r="O5622" s="2">
        <f ca="1"/>
        <v>1.1421305141644227</v>
      </c>
      <c r="X5622" s="2">
        <f ca="1"/>
        <v>75.460362628181997</v>
      </c>
      <c r="AG5622" s="2">
        <f ca="1"/>
        <v>0.75616128746860811</v>
      </c>
      <c r="AH5622" s="2" t="str">
        <f ca="1"/>
        <v>Bad</v>
      </c>
    </row>
    <row r="5623" spans="2:34" x14ac:dyDescent="0.2">
      <c r="B5623" s="2">
        <f ca="1"/>
        <v>0.73735499402244464</v>
      </c>
      <c r="O5623" s="2">
        <f ca="1"/>
        <v>-0.24507625980317604</v>
      </c>
      <c r="X5623" s="2">
        <f ca="1"/>
        <v>71.554206967892341</v>
      </c>
      <c r="AG5623" s="2">
        <f ca="1"/>
        <v>0.1924546094558337</v>
      </c>
      <c r="AH5623" s="2" t="str">
        <f ca="1"/>
        <v>OK</v>
      </c>
    </row>
    <row r="5624" spans="2:34" x14ac:dyDescent="0.2">
      <c r="B5624" s="2">
        <f ca="1"/>
        <v>0.3870635334984045</v>
      </c>
      <c r="O5624" s="2">
        <f ca="1"/>
        <v>0.8726699034664761</v>
      </c>
      <c r="X5624" s="2">
        <f ca="1"/>
        <v>67.663961987174844</v>
      </c>
      <c r="AG5624" s="2">
        <f ca="1"/>
        <v>0.89304152344537258</v>
      </c>
      <c r="AH5624" s="2" t="str">
        <f ca="1"/>
        <v>Bad</v>
      </c>
    </row>
    <row r="5625" spans="2:34" x14ac:dyDescent="0.2">
      <c r="B5625" s="2">
        <f ca="1"/>
        <v>0.11693536927687642</v>
      </c>
      <c r="O5625" s="2">
        <f ca="1"/>
        <v>0.153718369912415</v>
      </c>
      <c r="X5625" s="2">
        <f ca="1"/>
        <v>39.504365813375628</v>
      </c>
      <c r="AG5625" s="2">
        <f ca="1"/>
        <v>0.59681877665229766</v>
      </c>
      <c r="AH5625" s="2" t="str">
        <f ca="1"/>
        <v>Bad</v>
      </c>
    </row>
    <row r="5626" spans="2:34" x14ac:dyDescent="0.2">
      <c r="B5626" s="2">
        <f ca="1"/>
        <v>0.47581916008514491</v>
      </c>
      <c r="O5626" s="2">
        <f ca="1"/>
        <v>0.62638386409587121</v>
      </c>
      <c r="X5626" s="2">
        <f ca="1"/>
        <v>69.008870754757012</v>
      </c>
      <c r="AG5626" s="2">
        <f ca="1"/>
        <v>0.53511371872036428</v>
      </c>
      <c r="AH5626" s="2" t="str">
        <f ca="1"/>
        <v>Bad</v>
      </c>
    </row>
    <row r="5627" spans="2:34" x14ac:dyDescent="0.2">
      <c r="B5627" s="2">
        <f ca="1"/>
        <v>0.87043194291748449</v>
      </c>
      <c r="O5627" s="2">
        <f ca="1"/>
        <v>-0.21175430919708457</v>
      </c>
      <c r="X5627" s="2">
        <f ca="1"/>
        <v>48.527428017237867</v>
      </c>
      <c r="AG5627" s="2">
        <f ca="1"/>
        <v>0.77635054110838397</v>
      </c>
      <c r="AH5627" s="2" t="str">
        <f ca="1"/>
        <v>Bad</v>
      </c>
    </row>
    <row r="5628" spans="2:34" x14ac:dyDescent="0.2">
      <c r="B5628" s="2">
        <f ca="1"/>
        <v>0.71388628135048449</v>
      </c>
      <c r="O5628" s="2">
        <f ca="1"/>
        <v>-1.0069319545103452</v>
      </c>
      <c r="X5628" s="2">
        <f ca="1"/>
        <v>24.991313960013137</v>
      </c>
      <c r="AG5628" s="2">
        <f ca="1"/>
        <v>3.5886626012473499E-2</v>
      </c>
      <c r="AH5628" s="2" t="str">
        <f ca="1"/>
        <v>Good</v>
      </c>
    </row>
    <row r="5629" spans="2:34" x14ac:dyDescent="0.2">
      <c r="B5629" s="2">
        <f ca="1"/>
        <v>0.14730820251536936</v>
      </c>
      <c r="O5629" s="2">
        <f ca="1"/>
        <v>-0.26180966116078713</v>
      </c>
      <c r="X5629" s="2">
        <f ca="1"/>
        <v>52.496281421941717</v>
      </c>
      <c r="AG5629" s="2">
        <f ca="1"/>
        <v>0.15480023297716872</v>
      </c>
      <c r="AH5629" s="2" t="str">
        <f ca="1"/>
        <v>OK</v>
      </c>
    </row>
    <row r="5630" spans="2:34" x14ac:dyDescent="0.2">
      <c r="B5630" s="2">
        <f ca="1"/>
        <v>0.16418805045908003</v>
      </c>
      <c r="O5630" s="2">
        <f ca="1"/>
        <v>0.84461811217874749</v>
      </c>
      <c r="X5630" s="2">
        <f ca="1"/>
        <v>62.817203040699631</v>
      </c>
      <c r="AG5630" s="2">
        <f ca="1"/>
        <v>0.85908017192481179</v>
      </c>
      <c r="AH5630" s="2" t="str">
        <f ca="1"/>
        <v>Bad</v>
      </c>
    </row>
    <row r="5631" spans="2:34" x14ac:dyDescent="0.2">
      <c r="B5631" s="2">
        <f ca="1"/>
        <v>0.83906862471631127</v>
      </c>
      <c r="O5631" s="2">
        <f ca="1"/>
        <v>-0.41701023006971855</v>
      </c>
      <c r="X5631" s="2">
        <f ca="1"/>
        <v>57.728146009327816</v>
      </c>
      <c r="AG5631" s="2">
        <f ca="1"/>
        <v>0.69767181267476142</v>
      </c>
      <c r="AH5631" s="2" t="str">
        <f ca="1"/>
        <v>Bad</v>
      </c>
    </row>
    <row r="5632" spans="2:34" x14ac:dyDescent="0.2">
      <c r="B5632" s="2">
        <f ca="1"/>
        <v>0.81020762802426161</v>
      </c>
      <c r="O5632" s="2">
        <f ca="1"/>
        <v>-1.3894690589221657E-2</v>
      </c>
      <c r="X5632" s="2">
        <f ca="1"/>
        <v>74.828704627688793</v>
      </c>
      <c r="AG5632" s="2">
        <f ca="1"/>
        <v>0.89581405269754755</v>
      </c>
      <c r="AH5632" s="2" t="str">
        <f ca="1"/>
        <v>Bad</v>
      </c>
    </row>
    <row r="5633" spans="2:34" x14ac:dyDescent="0.2">
      <c r="B5633" s="2">
        <f ca="1"/>
        <v>0.87306938779780774</v>
      </c>
      <c r="O5633" s="2">
        <f ca="1"/>
        <v>0.91735196253445739</v>
      </c>
      <c r="X5633" s="2">
        <f ca="1"/>
        <v>67.595960877412864</v>
      </c>
      <c r="AG5633" s="2">
        <f ca="1"/>
        <v>0.48345917273742134</v>
      </c>
      <c r="AH5633" s="2" t="str">
        <f ca="1"/>
        <v>Bad</v>
      </c>
    </row>
    <row r="5634" spans="2:34" x14ac:dyDescent="0.2">
      <c r="B5634" s="2">
        <f ca="1"/>
        <v>0.38861754474588728</v>
      </c>
      <c r="O5634" s="2">
        <f ca="1"/>
        <v>5.8943012477651706E-2</v>
      </c>
      <c r="X5634" s="2">
        <f ca="1"/>
        <v>32.041823609884624</v>
      </c>
      <c r="AG5634" s="2">
        <f ca="1"/>
        <v>0.25558571807493724</v>
      </c>
      <c r="AH5634" s="2" t="str">
        <f ca="1"/>
        <v>OK</v>
      </c>
    </row>
    <row r="5635" spans="2:34" x14ac:dyDescent="0.2">
      <c r="B5635" s="2">
        <f ca="1"/>
        <v>0.92399767875812833</v>
      </c>
      <c r="O5635" s="2">
        <f ca="1"/>
        <v>0.40710853384583673</v>
      </c>
      <c r="X5635" s="2">
        <f ca="1"/>
        <v>37.955769203147625</v>
      </c>
      <c r="AG5635" s="2">
        <f ca="1"/>
        <v>0.38151516086512172</v>
      </c>
      <c r="AH5635" s="2" t="str">
        <f ca="1"/>
        <v>OK</v>
      </c>
    </row>
    <row r="5636" spans="2:34" x14ac:dyDescent="0.2">
      <c r="B5636" s="2">
        <f ca="1"/>
        <v>0.78797075674012751</v>
      </c>
      <c r="O5636" s="2">
        <f ca="1"/>
        <v>-0.49371899254539914</v>
      </c>
      <c r="X5636" s="2">
        <f ca="1"/>
        <v>50.507435133030292</v>
      </c>
      <c r="AG5636" s="2">
        <f ca="1"/>
        <v>0.93810465239567464</v>
      </c>
      <c r="AH5636" s="2" t="str">
        <f ca="1"/>
        <v>Bad</v>
      </c>
    </row>
    <row r="5637" spans="2:34" x14ac:dyDescent="0.2">
      <c r="B5637" s="2">
        <f ca="1"/>
        <v>0.57777566599720243</v>
      </c>
      <c r="O5637" s="2">
        <f ca="1"/>
        <v>0.71561119549008234</v>
      </c>
      <c r="X5637" s="2">
        <f ca="1"/>
        <v>43.255096307458409</v>
      </c>
      <c r="AG5637" s="2">
        <f ca="1"/>
        <v>0.6978245252987636</v>
      </c>
      <c r="AH5637" s="2" t="str">
        <f ca="1"/>
        <v>Bad</v>
      </c>
    </row>
    <row r="5638" spans="2:34" x14ac:dyDescent="0.2">
      <c r="B5638" s="2">
        <f ca="1"/>
        <v>0.36585600487512182</v>
      </c>
      <c r="O5638" s="2">
        <f ca="1"/>
        <v>-0.67629066084221134</v>
      </c>
      <c r="X5638" s="2">
        <f ca="1"/>
        <v>61.608382442287109</v>
      </c>
      <c r="AG5638" s="2">
        <f ca="1"/>
        <v>0.74791089506797959</v>
      </c>
      <c r="AH5638" s="2" t="str">
        <f ca="1"/>
        <v>Bad</v>
      </c>
    </row>
    <row r="5639" spans="2:34" x14ac:dyDescent="0.2">
      <c r="B5639" s="2">
        <f ca="1"/>
        <v>0.2869492115597696</v>
      </c>
      <c r="O5639" s="2">
        <f ca="1"/>
        <v>-0.63511688049113579</v>
      </c>
      <c r="X5639" s="2">
        <f ca="1"/>
        <v>47.306163367135106</v>
      </c>
      <c r="AG5639" s="2">
        <f ca="1"/>
        <v>6.5116488204425726E-2</v>
      </c>
      <c r="AH5639" s="2" t="str">
        <f ca="1"/>
        <v>OK</v>
      </c>
    </row>
    <row r="5640" spans="2:34" x14ac:dyDescent="0.2">
      <c r="B5640" s="2">
        <f ca="1"/>
        <v>6.4150211571881277E-2</v>
      </c>
      <c r="O5640" s="2">
        <f ca="1"/>
        <v>-0.89490665152268656</v>
      </c>
      <c r="X5640" s="2">
        <f ca="1"/>
        <v>39.785004870460853</v>
      </c>
      <c r="AG5640" s="2">
        <f ca="1"/>
        <v>9.0741966693045351E-2</v>
      </c>
      <c r="AH5640" s="2" t="str">
        <f ca="1"/>
        <v>OK</v>
      </c>
    </row>
    <row r="5641" spans="2:34" x14ac:dyDescent="0.2">
      <c r="B5641" s="2">
        <f ca="1"/>
        <v>0.38778841612621662</v>
      </c>
      <c r="O5641" s="2">
        <f ca="1"/>
        <v>9.7800385466222495E-2</v>
      </c>
      <c r="X5641" s="2">
        <f ca="1"/>
        <v>52.918652446566732</v>
      </c>
      <c r="AG5641" s="2">
        <f ca="1"/>
        <v>0.4513546144133509</v>
      </c>
      <c r="AH5641" s="2" t="str">
        <f ca="1"/>
        <v>Bad</v>
      </c>
    </row>
    <row r="5642" spans="2:34" x14ac:dyDescent="0.2">
      <c r="B5642" s="2">
        <f ca="1"/>
        <v>0.53230290379021561</v>
      </c>
      <c r="O5642" s="2">
        <f ca="1"/>
        <v>-0.6287849005202707</v>
      </c>
      <c r="X5642" s="2">
        <f ca="1"/>
        <v>59.025690087723731</v>
      </c>
      <c r="AG5642" s="2">
        <f ca="1"/>
        <v>0.93439180725474258</v>
      </c>
      <c r="AH5642" s="2" t="str">
        <f ca="1"/>
        <v>Bad</v>
      </c>
    </row>
    <row r="5643" spans="2:34" x14ac:dyDescent="0.2">
      <c r="B5643" s="2">
        <f ca="1"/>
        <v>0.15022435851222604</v>
      </c>
      <c r="O5643" s="2">
        <f ca="1"/>
        <v>-0.12434551626876203</v>
      </c>
      <c r="X5643" s="2">
        <f ca="1"/>
        <v>70.471399272535365</v>
      </c>
      <c r="AG5643" s="2">
        <f ca="1"/>
        <v>2.9616795854010336E-2</v>
      </c>
      <c r="AH5643" s="2" t="str">
        <f ca="1"/>
        <v>Good</v>
      </c>
    </row>
    <row r="5644" spans="2:34" x14ac:dyDescent="0.2">
      <c r="B5644" s="2">
        <f ca="1"/>
        <v>0.57486911491110093</v>
      </c>
      <c r="O5644" s="2">
        <f ca="1"/>
        <v>-0.10022942188241904</v>
      </c>
      <c r="X5644" s="2">
        <f ca="1"/>
        <v>79.562167880080366</v>
      </c>
      <c r="AG5644" s="2">
        <f ca="1"/>
        <v>0.82577939205478645</v>
      </c>
      <c r="AH5644" s="2" t="str">
        <f ca="1"/>
        <v>Bad</v>
      </c>
    </row>
    <row r="5645" spans="2:34" x14ac:dyDescent="0.2">
      <c r="B5645" s="2">
        <f ca="1"/>
        <v>0.38275580706724721</v>
      </c>
      <c r="O5645" s="2">
        <f ca="1"/>
        <v>-7.0334055333647866E-2</v>
      </c>
      <c r="X5645" s="2">
        <f ca="1"/>
        <v>62.724290343059295</v>
      </c>
      <c r="AG5645" s="2">
        <f ca="1"/>
        <v>0.83406999029814588</v>
      </c>
      <c r="AH5645" s="2" t="str">
        <f ca="1"/>
        <v>Bad</v>
      </c>
    </row>
    <row r="5646" spans="2:34" x14ac:dyDescent="0.2">
      <c r="B5646" s="2">
        <f ca="1"/>
        <v>0.77069374303826121</v>
      </c>
      <c r="O5646" s="2">
        <f ca="1"/>
        <v>0.77503280484991144</v>
      </c>
      <c r="X5646" s="2">
        <f ca="1"/>
        <v>64.101741789072236</v>
      </c>
      <c r="AG5646" s="2">
        <f ca="1"/>
        <v>0.34966764087913749</v>
      </c>
      <c r="AH5646" s="2" t="str">
        <f ca="1"/>
        <v>OK</v>
      </c>
    </row>
    <row r="5647" spans="2:34" x14ac:dyDescent="0.2">
      <c r="B5647" s="2">
        <f ca="1"/>
        <v>5.9918003500998962E-2</v>
      </c>
      <c r="O5647" s="2">
        <f ca="1"/>
        <v>0.844822941087916</v>
      </c>
      <c r="X5647" s="2">
        <f ca="1"/>
        <v>53.455421646817022</v>
      </c>
      <c r="AG5647" s="2">
        <f ca="1"/>
        <v>0.21754299607749394</v>
      </c>
      <c r="AH5647" s="2" t="str">
        <f ca="1"/>
        <v>OK</v>
      </c>
    </row>
    <row r="5648" spans="2:34" x14ac:dyDescent="0.2">
      <c r="B5648" s="2">
        <f ca="1"/>
        <v>0.11650439189563677</v>
      </c>
      <c r="O5648" s="2">
        <f ca="1"/>
        <v>2.4833568937157011</v>
      </c>
      <c r="X5648" s="2">
        <f ca="1"/>
        <v>31.712470111439984</v>
      </c>
      <c r="AG5648" s="2">
        <f ca="1"/>
        <v>0.33684883033099933</v>
      </c>
      <c r="AH5648" s="2" t="str">
        <f ca="1"/>
        <v>OK</v>
      </c>
    </row>
    <row r="5649" spans="2:34" x14ac:dyDescent="0.2">
      <c r="B5649" s="2">
        <f ca="1"/>
        <v>0.13978721583546516</v>
      </c>
      <c r="O5649" s="2">
        <f ca="1"/>
        <v>0.1683624315739663</v>
      </c>
      <c r="X5649" s="2">
        <f ca="1"/>
        <v>50.653578188367376</v>
      </c>
      <c r="AG5649" s="2">
        <f ca="1"/>
        <v>0.44282361284252092</v>
      </c>
      <c r="AH5649" s="2" t="str">
        <f ca="1"/>
        <v>Bad</v>
      </c>
    </row>
    <row r="5650" spans="2:34" x14ac:dyDescent="0.2">
      <c r="B5650" s="2">
        <f ca="1"/>
        <v>7.6352347337371729E-2</v>
      </c>
      <c r="O5650" s="2">
        <f ca="1"/>
        <v>0.67470213896309139</v>
      </c>
      <c r="X5650" s="2">
        <f ca="1"/>
        <v>48.226209801275921</v>
      </c>
      <c r="AG5650" s="2">
        <f ca="1"/>
        <v>0.69237501067655405</v>
      </c>
      <c r="AH5650" s="2" t="str">
        <f ca="1"/>
        <v>Bad</v>
      </c>
    </row>
    <row r="5651" spans="2:34" x14ac:dyDescent="0.2">
      <c r="B5651" s="2">
        <f ca="1"/>
        <v>0.68042780829198279</v>
      </c>
      <c r="O5651" s="2">
        <f ca="1"/>
        <v>-1.6172445540689409</v>
      </c>
      <c r="X5651" s="2">
        <f ca="1"/>
        <v>56.98462449204488</v>
      </c>
      <c r="AG5651" s="2">
        <f ca="1"/>
        <v>0.42478260359516495</v>
      </c>
      <c r="AH5651" s="2" t="str">
        <f ca="1"/>
        <v>Bad</v>
      </c>
    </row>
    <row r="5652" spans="2:34" x14ac:dyDescent="0.2">
      <c r="B5652" s="2">
        <f ca="1"/>
        <v>0.12380575070801947</v>
      </c>
      <c r="O5652" s="2">
        <f ca="1"/>
        <v>1.1164182316144746</v>
      </c>
      <c r="X5652" s="2">
        <f ca="1"/>
        <v>42.030261714436563</v>
      </c>
      <c r="AG5652" s="2">
        <f ca="1"/>
        <v>0.92300575849424882</v>
      </c>
      <c r="AH5652" s="2" t="str">
        <f ca="1"/>
        <v>Bad</v>
      </c>
    </row>
    <row r="5653" spans="2:34" x14ac:dyDescent="0.2">
      <c r="B5653" s="2">
        <f ca="1"/>
        <v>0.72434199935682608</v>
      </c>
      <c r="O5653" s="2">
        <f ca="1"/>
        <v>-0.35307707311482717</v>
      </c>
      <c r="X5653" s="2">
        <f ca="1"/>
        <v>46.61720502765013</v>
      </c>
      <c r="AG5653" s="2">
        <f ca="1"/>
        <v>0.65193188976894523</v>
      </c>
      <c r="AH5653" s="2" t="str">
        <f ca="1"/>
        <v>Bad</v>
      </c>
    </row>
    <row r="5654" spans="2:34" x14ac:dyDescent="0.2">
      <c r="B5654" s="2">
        <f ca="1"/>
        <v>6.6944289753914754E-2</v>
      </c>
      <c r="O5654" s="2">
        <f ca="1"/>
        <v>-0.61373385612756237</v>
      </c>
      <c r="X5654" s="2">
        <f ca="1"/>
        <v>26.038354143901799</v>
      </c>
      <c r="AG5654" s="2">
        <f ca="1"/>
        <v>0.81376076673425768</v>
      </c>
      <c r="AH5654" s="2" t="str">
        <f ca="1"/>
        <v>Bad</v>
      </c>
    </row>
    <row r="5655" spans="2:34" x14ac:dyDescent="0.2">
      <c r="B5655" s="2">
        <f ca="1"/>
        <v>0.86703124913604279</v>
      </c>
      <c r="O5655" s="2">
        <f ca="1"/>
        <v>-0.96247910450652996</v>
      </c>
      <c r="X5655" s="2">
        <f ca="1"/>
        <v>53.804280638562958</v>
      </c>
      <c r="AG5655" s="2">
        <f ca="1"/>
        <v>0.80067515857198246</v>
      </c>
      <c r="AH5655" s="2" t="str">
        <f ca="1"/>
        <v>Bad</v>
      </c>
    </row>
    <row r="5656" spans="2:34" x14ac:dyDescent="0.2">
      <c r="B5656" s="2">
        <f ca="1"/>
        <v>0.16945952850328072</v>
      </c>
      <c r="O5656" s="2">
        <f ca="1"/>
        <v>-2.140196311074444</v>
      </c>
      <c r="X5656" s="2">
        <f ca="1"/>
        <v>36.51596165576165</v>
      </c>
      <c r="AG5656" s="2">
        <f ca="1"/>
        <v>0.64999053007429808</v>
      </c>
      <c r="AH5656" s="2" t="str">
        <f ca="1"/>
        <v>Bad</v>
      </c>
    </row>
    <row r="5657" spans="2:34" x14ac:dyDescent="0.2">
      <c r="B5657" s="2">
        <f ca="1"/>
        <v>0.93710628199246138</v>
      </c>
      <c r="O5657" s="2">
        <f ca="1"/>
        <v>0.17846386568187667</v>
      </c>
      <c r="X5657" s="2">
        <f ca="1"/>
        <v>46.511512567554902</v>
      </c>
      <c r="AG5657" s="2">
        <f ca="1"/>
        <v>0.93423131152026673</v>
      </c>
      <c r="AH5657" s="2" t="str">
        <f ca="1"/>
        <v>Bad</v>
      </c>
    </row>
    <row r="5658" spans="2:34" x14ac:dyDescent="0.2">
      <c r="B5658" s="2">
        <f ca="1"/>
        <v>0.31616488761911365</v>
      </c>
      <c r="O5658" s="2">
        <f ca="1"/>
        <v>1.5544278542197232</v>
      </c>
      <c r="X5658" s="2">
        <f ca="1"/>
        <v>87.922921902072375</v>
      </c>
      <c r="AG5658" s="2">
        <f ca="1"/>
        <v>0.34773805582208328</v>
      </c>
      <c r="AH5658" s="2" t="str">
        <f ca="1"/>
        <v>OK</v>
      </c>
    </row>
    <row r="5659" spans="2:34" x14ac:dyDescent="0.2">
      <c r="B5659" s="2">
        <f ca="1"/>
        <v>0.96625279396504027</v>
      </c>
      <c r="O5659" s="2">
        <f ca="1"/>
        <v>-0.88487272282743412</v>
      </c>
      <c r="X5659" s="2">
        <f ca="1"/>
        <v>32.62877987666964</v>
      </c>
      <c r="AG5659" s="2">
        <f ca="1"/>
        <v>0.91258248736392122</v>
      </c>
      <c r="AH5659" s="2" t="str">
        <f ca="1"/>
        <v>Bad</v>
      </c>
    </row>
    <row r="5660" spans="2:34" x14ac:dyDescent="0.2">
      <c r="B5660" s="2">
        <f ca="1"/>
        <v>7.7077706439300453E-2</v>
      </c>
      <c r="O5660" s="2">
        <f ca="1"/>
        <v>0.47503836071157257</v>
      </c>
      <c r="X5660" s="2">
        <f ca="1"/>
        <v>55.597536145291606</v>
      </c>
      <c r="AG5660" s="2">
        <f ca="1"/>
        <v>0.74757443632434772</v>
      </c>
      <c r="AH5660" s="2" t="str">
        <f ca="1"/>
        <v>Bad</v>
      </c>
    </row>
    <row r="5661" spans="2:34" x14ac:dyDescent="0.2">
      <c r="B5661" s="2">
        <f ca="1"/>
        <v>0.67343858163605819</v>
      </c>
      <c r="O5661" s="2">
        <f ca="1"/>
        <v>-9.1131252993248521E-2</v>
      </c>
      <c r="X5661" s="2">
        <f ca="1"/>
        <v>26.158222835079044</v>
      </c>
      <c r="AG5661" s="2">
        <f ca="1"/>
        <v>7.6922661002326143E-2</v>
      </c>
      <c r="AH5661" s="2" t="str">
        <f ca="1"/>
        <v>OK</v>
      </c>
    </row>
    <row r="5662" spans="2:34" x14ac:dyDescent="0.2">
      <c r="B5662" s="2">
        <f ca="1"/>
        <v>0.46638409722235852</v>
      </c>
      <c r="O5662" s="2">
        <f ca="1"/>
        <v>-0.63864274758805906</v>
      </c>
      <c r="X5662" s="2">
        <f ca="1"/>
        <v>87.607219819103989</v>
      </c>
      <c r="AG5662" s="2">
        <f ca="1"/>
        <v>0.76272299426495538</v>
      </c>
      <c r="AH5662" s="2" t="str">
        <f ca="1"/>
        <v>Bad</v>
      </c>
    </row>
    <row r="5663" spans="2:34" x14ac:dyDescent="0.2">
      <c r="B5663" s="2">
        <f ca="1"/>
        <v>0.38826749193208876</v>
      </c>
      <c r="O5663" s="2">
        <f ca="1"/>
        <v>0.4575743820889886</v>
      </c>
      <c r="X5663" s="2">
        <f ca="1"/>
        <v>94.11863767062539</v>
      </c>
      <c r="AG5663" s="2">
        <f ca="1"/>
        <v>8.0739943170050177E-2</v>
      </c>
      <c r="AH5663" s="2" t="str">
        <f ca="1"/>
        <v>OK</v>
      </c>
    </row>
    <row r="5664" spans="2:34" x14ac:dyDescent="0.2">
      <c r="B5664" s="2">
        <f ca="1"/>
        <v>0.66702794312305147</v>
      </c>
      <c r="O5664" s="2">
        <f ca="1"/>
        <v>-1.0335697092986935</v>
      </c>
      <c r="X5664" s="2">
        <f ca="1"/>
        <v>26.257274394010096</v>
      </c>
      <c r="AG5664" s="2">
        <f ca="1"/>
        <v>0.66923799320695476</v>
      </c>
      <c r="AH5664" s="2" t="str">
        <f ca="1"/>
        <v>Bad</v>
      </c>
    </row>
    <row r="5665" spans="2:34" x14ac:dyDescent="0.2">
      <c r="B5665" s="2">
        <f ca="1"/>
        <v>0.40950767894642048</v>
      </c>
      <c r="O5665" s="2">
        <f ca="1"/>
        <v>0.36169777213037163</v>
      </c>
      <c r="X5665" s="2">
        <f ca="1"/>
        <v>30.30665422878802</v>
      </c>
      <c r="AG5665" s="2">
        <f ca="1"/>
        <v>0.35469952219231637</v>
      </c>
      <c r="AH5665" s="2" t="str">
        <f ca="1"/>
        <v>OK</v>
      </c>
    </row>
    <row r="5666" spans="2:34" x14ac:dyDescent="0.2">
      <c r="B5666" s="2">
        <f ca="1"/>
        <v>0.56597694105052332</v>
      </c>
      <c r="O5666" s="2">
        <f ca="1"/>
        <v>-0.77552249033359433</v>
      </c>
      <c r="X5666" s="2">
        <f ca="1"/>
        <v>52.283960664764884</v>
      </c>
      <c r="AG5666" s="2">
        <f ca="1"/>
        <v>0.16752462830237769</v>
      </c>
      <c r="AH5666" s="2" t="str">
        <f ca="1"/>
        <v>OK</v>
      </c>
    </row>
    <row r="5667" spans="2:34" x14ac:dyDescent="0.2">
      <c r="B5667" s="2">
        <f ca="1"/>
        <v>0.39265017830751936</v>
      </c>
      <c r="O5667" s="2">
        <f ca="1"/>
        <v>-0.27419841080627988</v>
      </c>
      <c r="X5667" s="2">
        <f ca="1"/>
        <v>38.957479943422243</v>
      </c>
      <c r="AG5667" s="2">
        <f ca="1"/>
        <v>0.9337130279899104</v>
      </c>
      <c r="AH5667" s="2" t="str">
        <f ca="1"/>
        <v>Bad</v>
      </c>
    </row>
    <row r="5668" spans="2:34" x14ac:dyDescent="0.2">
      <c r="B5668" s="2">
        <f ca="1"/>
        <v>0.17837835469416263</v>
      </c>
      <c r="O5668" s="2">
        <f ca="1"/>
        <v>-0.68447390625685756</v>
      </c>
      <c r="X5668" s="2">
        <f ca="1"/>
        <v>51.425017879354094</v>
      </c>
      <c r="AG5668" s="2">
        <f ca="1"/>
        <v>0.97734855907608487</v>
      </c>
      <c r="AH5668" s="2" t="str">
        <f ca="1"/>
        <v>Bad</v>
      </c>
    </row>
    <row r="5669" spans="2:34" x14ac:dyDescent="0.2">
      <c r="B5669" s="2">
        <f ca="1"/>
        <v>0.42080247669756599</v>
      </c>
      <c r="O5669" s="2">
        <f ca="1"/>
        <v>0.49056902663994911</v>
      </c>
      <c r="X5669" s="2">
        <f ca="1"/>
        <v>71.336253497132361</v>
      </c>
      <c r="AG5669" s="2">
        <f ca="1"/>
        <v>0.19215484594361198</v>
      </c>
      <c r="AH5669" s="2" t="str">
        <f ca="1"/>
        <v>OK</v>
      </c>
    </row>
    <row r="5670" spans="2:34" x14ac:dyDescent="0.2">
      <c r="B5670" s="2">
        <f ca="1"/>
        <v>0.9137301857500093</v>
      </c>
      <c r="O5670" s="2">
        <f ca="1"/>
        <v>-2.0041210077120306</v>
      </c>
      <c r="X5670" s="2">
        <f ca="1"/>
        <v>50.97505177073667</v>
      </c>
      <c r="AG5670" s="2">
        <f ca="1"/>
        <v>0.74262611398142342</v>
      </c>
      <c r="AH5670" s="2" t="str">
        <f ca="1"/>
        <v>Bad</v>
      </c>
    </row>
    <row r="5671" spans="2:34" x14ac:dyDescent="0.2">
      <c r="B5671" s="2">
        <f ca="1"/>
        <v>0.82930497482213705</v>
      </c>
      <c r="O5671" s="2">
        <f ca="1"/>
        <v>1.2806365957532446</v>
      </c>
      <c r="X5671" s="2">
        <f ca="1"/>
        <v>42.773629852246344</v>
      </c>
      <c r="AG5671" s="2">
        <f ca="1"/>
        <v>0.47395131807606394</v>
      </c>
      <c r="AH5671" s="2" t="str">
        <f ca="1"/>
        <v>Bad</v>
      </c>
    </row>
    <row r="5672" spans="2:34" x14ac:dyDescent="0.2">
      <c r="B5672" s="2">
        <f ca="1"/>
        <v>0.83074118751955206</v>
      </c>
      <c r="O5672" s="2">
        <f ca="1"/>
        <v>-0.29366044818487314</v>
      </c>
      <c r="X5672" s="2">
        <f ca="1"/>
        <v>92.910811166793096</v>
      </c>
      <c r="AG5672" s="2">
        <f ca="1"/>
        <v>0.94292913272954704</v>
      </c>
      <c r="AH5672" s="2" t="str">
        <f ca="1"/>
        <v>Bad</v>
      </c>
    </row>
    <row r="5673" spans="2:34" x14ac:dyDescent="0.2">
      <c r="B5673" s="2">
        <f ca="1"/>
        <v>0.4079295967775638</v>
      </c>
      <c r="O5673" s="2">
        <f ca="1"/>
        <v>-0.71994966378023106</v>
      </c>
      <c r="X5673" s="2">
        <f ca="1"/>
        <v>26.649475027750729</v>
      </c>
      <c r="AG5673" s="2">
        <f ca="1"/>
        <v>0.38204918443200797</v>
      </c>
      <c r="AH5673" s="2" t="str">
        <f ca="1"/>
        <v>OK</v>
      </c>
    </row>
    <row r="5674" spans="2:34" x14ac:dyDescent="0.2">
      <c r="B5674" s="2">
        <f ca="1"/>
        <v>0.24504826499654309</v>
      </c>
      <c r="O5674" s="2">
        <f ca="1"/>
        <v>-1.0820193751083429</v>
      </c>
      <c r="X5674" s="2">
        <f ca="1"/>
        <v>66.095115053807717</v>
      </c>
      <c r="AG5674" s="2">
        <f ca="1"/>
        <v>0.33988861325283981</v>
      </c>
      <c r="AH5674" s="2" t="str">
        <f ca="1"/>
        <v>OK</v>
      </c>
    </row>
    <row r="5675" spans="2:34" x14ac:dyDescent="0.2">
      <c r="B5675" s="2">
        <f ca="1"/>
        <v>0.7036342612587172</v>
      </c>
      <c r="O5675" s="2">
        <f ca="1"/>
        <v>-0.60866310370477705</v>
      </c>
      <c r="X5675" s="2">
        <f ca="1"/>
        <v>69.06241150131352</v>
      </c>
      <c r="AG5675" s="2">
        <f ca="1"/>
        <v>0.76612586020642848</v>
      </c>
      <c r="AH5675" s="2" t="str">
        <f ca="1"/>
        <v>Bad</v>
      </c>
    </row>
    <row r="5676" spans="2:34" x14ac:dyDescent="0.2">
      <c r="B5676" s="2">
        <f ca="1"/>
        <v>0.6838165054508123</v>
      </c>
      <c r="O5676" s="2">
        <f ca="1"/>
        <v>0.41689812367692869</v>
      </c>
      <c r="X5676" s="2">
        <f ca="1"/>
        <v>63.513675618305918</v>
      </c>
      <c r="AG5676" s="2">
        <f ca="1"/>
        <v>0.27265133960282228</v>
      </c>
      <c r="AH5676" s="2" t="str">
        <f ca="1"/>
        <v>OK</v>
      </c>
    </row>
    <row r="5677" spans="2:34" x14ac:dyDescent="0.2">
      <c r="B5677" s="2">
        <f ca="1"/>
        <v>1.9016221874374573E-2</v>
      </c>
      <c r="O5677" s="2">
        <f ca="1"/>
        <v>-0.99954346858915044</v>
      </c>
      <c r="X5677" s="2">
        <f ca="1"/>
        <v>38.061992504047559</v>
      </c>
      <c r="AG5677" s="2">
        <f ca="1"/>
        <v>0.97813217678015296</v>
      </c>
      <c r="AH5677" s="2" t="str">
        <f ca="1"/>
        <v>Bad</v>
      </c>
    </row>
    <row r="5678" spans="2:34" x14ac:dyDescent="0.2">
      <c r="B5678" s="2">
        <f ca="1"/>
        <v>0.4762132766721221</v>
      </c>
      <c r="O5678" s="2">
        <f ca="1"/>
        <v>-0.13330304518828626</v>
      </c>
      <c r="X5678" s="2">
        <f ca="1"/>
        <v>31.536635480920189</v>
      </c>
      <c r="AG5678" s="2">
        <f ca="1"/>
        <v>0.68990004350559064</v>
      </c>
      <c r="AH5678" s="2" t="str">
        <f ca="1"/>
        <v>Bad</v>
      </c>
    </row>
    <row r="5679" spans="2:34" x14ac:dyDescent="0.2">
      <c r="B5679" s="2">
        <f ca="1"/>
        <v>1.3348707506334323E-2</v>
      </c>
      <c r="O5679" s="2">
        <f ca="1"/>
        <v>0.72658010373732829</v>
      </c>
      <c r="X5679" s="2">
        <f ca="1"/>
        <v>48.59373075777269</v>
      </c>
      <c r="AG5679" s="2">
        <f ca="1"/>
        <v>0.95601253796538765</v>
      </c>
      <c r="AH5679" s="2" t="str">
        <f ca="1"/>
        <v>Bad</v>
      </c>
    </row>
    <row r="5680" spans="2:34" x14ac:dyDescent="0.2">
      <c r="B5680" s="2">
        <f ca="1"/>
        <v>0.31687687877325033</v>
      </c>
      <c r="O5680" s="2">
        <f ca="1"/>
        <v>-0.63160493406600715</v>
      </c>
      <c r="X5680" s="2">
        <f ca="1"/>
        <v>36.334837425272269</v>
      </c>
      <c r="AG5680" s="2">
        <f ca="1"/>
        <v>0.96550572981202487</v>
      </c>
      <c r="AH5680" s="2" t="str">
        <f ca="1"/>
        <v>Bad</v>
      </c>
    </row>
    <row r="5681" spans="2:34" x14ac:dyDescent="0.2">
      <c r="B5681" s="2">
        <f ca="1"/>
        <v>0.6704844060562376</v>
      </c>
      <c r="O5681" s="2">
        <f ca="1"/>
        <v>0.37314365339919242</v>
      </c>
      <c r="X5681" s="2">
        <f ca="1"/>
        <v>44.453010235780098</v>
      </c>
      <c r="AG5681" s="2">
        <f ca="1"/>
        <v>2.2459983055219013E-2</v>
      </c>
      <c r="AH5681" s="2" t="str">
        <f ca="1"/>
        <v>Good</v>
      </c>
    </row>
    <row r="5682" spans="2:34" x14ac:dyDescent="0.2">
      <c r="B5682" s="2">
        <f ca="1"/>
        <v>0.87551831674359071</v>
      </c>
      <c r="O5682" s="2">
        <f ca="1"/>
        <v>-1.7012748655040228</v>
      </c>
      <c r="X5682" s="2">
        <f ca="1"/>
        <v>40.51837707672852</v>
      </c>
      <c r="AG5682" s="2">
        <f ca="1"/>
        <v>0.5968095104552722</v>
      </c>
      <c r="AH5682" s="2" t="str">
        <f ca="1"/>
        <v>Bad</v>
      </c>
    </row>
    <row r="5683" spans="2:34" x14ac:dyDescent="0.2">
      <c r="B5683" s="2">
        <f ca="1"/>
        <v>0.48020304520455359</v>
      </c>
      <c r="O5683" s="2">
        <f ca="1"/>
        <v>-0.30866196216044473</v>
      </c>
      <c r="X5683" s="2">
        <f ca="1"/>
        <v>34.911596312052936</v>
      </c>
      <c r="AG5683" s="2">
        <f ca="1"/>
        <v>0.11330665645367222</v>
      </c>
      <c r="AH5683" s="2" t="str">
        <f ca="1"/>
        <v>OK</v>
      </c>
    </row>
    <row r="5684" spans="2:34" x14ac:dyDescent="0.2">
      <c r="B5684" s="2">
        <f ca="1"/>
        <v>0.24654723185430938</v>
      </c>
      <c r="O5684" s="2">
        <f ca="1"/>
        <v>-0.21988840504217258</v>
      </c>
      <c r="X5684" s="2">
        <f ca="1"/>
        <v>51.722040345575721</v>
      </c>
      <c r="AG5684" s="2">
        <f ca="1"/>
        <v>0.63119111797490701</v>
      </c>
      <c r="AH5684" s="2" t="str">
        <f ca="1"/>
        <v>Bad</v>
      </c>
    </row>
    <row r="5685" spans="2:34" x14ac:dyDescent="0.2">
      <c r="B5685" s="2">
        <f ca="1"/>
        <v>0.44158935397782195</v>
      </c>
      <c r="O5685" s="2">
        <f ca="1"/>
        <v>1.0954371914924148</v>
      </c>
      <c r="X5685" s="2">
        <f ca="1"/>
        <v>63.540811068374268</v>
      </c>
      <c r="AG5685" s="2">
        <f ca="1"/>
        <v>0.28807110619459531</v>
      </c>
      <c r="AH5685" s="2" t="str">
        <f ca="1"/>
        <v>OK</v>
      </c>
    </row>
    <row r="5686" spans="2:34" x14ac:dyDescent="0.2">
      <c r="B5686" s="2">
        <f ca="1"/>
        <v>0.44889284764604054</v>
      </c>
      <c r="O5686" s="2">
        <f ca="1"/>
        <v>1.1240470587557108</v>
      </c>
      <c r="X5686" s="2">
        <f ca="1"/>
        <v>49.014996244494363</v>
      </c>
      <c r="AG5686" s="2">
        <f ca="1"/>
        <v>0.32671678894536393</v>
      </c>
      <c r="AH5686" s="2" t="str">
        <f ca="1"/>
        <v>OK</v>
      </c>
    </row>
    <row r="5687" spans="2:34" x14ac:dyDescent="0.2">
      <c r="B5687" s="2">
        <f ca="1"/>
        <v>0.80527682597748229</v>
      </c>
      <c r="O5687" s="2">
        <f ca="1"/>
        <v>0.50139253660728467</v>
      </c>
      <c r="X5687" s="2">
        <f ca="1"/>
        <v>48.000349379886302</v>
      </c>
      <c r="AG5687" s="2">
        <f ca="1"/>
        <v>0.26846843364024475</v>
      </c>
      <c r="AH5687" s="2" t="str">
        <f ca="1"/>
        <v>OK</v>
      </c>
    </row>
    <row r="5688" spans="2:34" x14ac:dyDescent="0.2">
      <c r="B5688" s="2">
        <f ca="1"/>
        <v>0.55734347234764758</v>
      </c>
      <c r="O5688" s="2">
        <f ca="1"/>
        <v>0.71912568620145778</v>
      </c>
      <c r="X5688" s="2">
        <f ca="1"/>
        <v>40.433077953340955</v>
      </c>
      <c r="AG5688" s="2">
        <f ca="1"/>
        <v>0.96972168467165476</v>
      </c>
      <c r="AH5688" s="2" t="str">
        <f ca="1"/>
        <v>Bad</v>
      </c>
    </row>
    <row r="5689" spans="2:34" x14ac:dyDescent="0.2">
      <c r="B5689" s="2">
        <f ca="1"/>
        <v>0.89724021958017475</v>
      </c>
      <c r="O5689" s="2">
        <f ca="1"/>
        <v>0.28334215976898747</v>
      </c>
      <c r="X5689" s="2">
        <f ca="1"/>
        <v>102.44575777939318</v>
      </c>
      <c r="AG5689" s="2">
        <f ca="1"/>
        <v>0.59769701974998335</v>
      </c>
      <c r="AH5689" s="2" t="str">
        <f ca="1"/>
        <v>Bad</v>
      </c>
    </row>
    <row r="5690" spans="2:34" x14ac:dyDescent="0.2">
      <c r="B5690" s="2">
        <f ca="1"/>
        <v>0.33213247404261659</v>
      </c>
      <c r="O5690" s="2">
        <f ca="1"/>
        <v>0.41279606534969332</v>
      </c>
      <c r="X5690" s="2">
        <f ca="1"/>
        <v>38.075411924164541</v>
      </c>
      <c r="AG5690" s="2">
        <f ca="1"/>
        <v>0.79953629696323736</v>
      </c>
      <c r="AH5690" s="2" t="str">
        <f ca="1"/>
        <v>Bad</v>
      </c>
    </row>
    <row r="5691" spans="2:34" x14ac:dyDescent="0.2">
      <c r="B5691" s="2">
        <f ca="1"/>
        <v>0.6915961191760247</v>
      </c>
      <c r="O5691" s="2">
        <f ca="1"/>
        <v>1.3758375045033542</v>
      </c>
      <c r="X5691" s="2">
        <f ca="1"/>
        <v>52.189155326944451</v>
      </c>
      <c r="AG5691" s="2">
        <f ca="1"/>
        <v>5.5586279548399675E-2</v>
      </c>
      <c r="AH5691" s="2" t="str">
        <f ca="1"/>
        <v>OK</v>
      </c>
    </row>
    <row r="5692" spans="2:34" x14ac:dyDescent="0.2">
      <c r="B5692" s="2">
        <f ca="1"/>
        <v>0.79675653120486545</v>
      </c>
      <c r="O5692" s="2">
        <f ca="1"/>
        <v>-8.9532519185852658E-2</v>
      </c>
      <c r="X5692" s="2">
        <f ca="1"/>
        <v>26.456139483556615</v>
      </c>
      <c r="AG5692" s="2">
        <f ca="1"/>
        <v>0.72599254725926676</v>
      </c>
      <c r="AH5692" s="2" t="str">
        <f ca="1"/>
        <v>Bad</v>
      </c>
    </row>
    <row r="5693" spans="2:34" x14ac:dyDescent="0.2">
      <c r="B5693" s="2">
        <f ca="1"/>
        <v>0.99738242394645149</v>
      </c>
      <c r="O5693" s="2">
        <f ca="1"/>
        <v>0.55571720905588518</v>
      </c>
      <c r="X5693" s="2">
        <f ca="1"/>
        <v>33.509456272425538</v>
      </c>
      <c r="AG5693" s="2">
        <f ca="1"/>
        <v>0.33849429653895191</v>
      </c>
      <c r="AH5693" s="2" t="str">
        <f ca="1"/>
        <v>OK</v>
      </c>
    </row>
    <row r="5694" spans="2:34" x14ac:dyDescent="0.2">
      <c r="B5694" s="2">
        <f ca="1"/>
        <v>0.33564639136601504</v>
      </c>
      <c r="O5694" s="2">
        <f ca="1"/>
        <v>0.32608757074218198</v>
      </c>
      <c r="X5694" s="2">
        <f ca="1"/>
        <v>46.344028515284059</v>
      </c>
      <c r="AG5694" s="2">
        <f ca="1"/>
        <v>0.43483861268157353</v>
      </c>
      <c r="AH5694" s="2" t="str">
        <f ca="1"/>
        <v>Bad</v>
      </c>
    </row>
    <row r="5695" spans="2:34" x14ac:dyDescent="0.2">
      <c r="B5695" s="2">
        <f ca="1"/>
        <v>0.26196411458975666</v>
      </c>
      <c r="O5695" s="2">
        <f ca="1"/>
        <v>2.4995860274559685</v>
      </c>
      <c r="X5695" s="2">
        <f ca="1"/>
        <v>36.119223970409962</v>
      </c>
      <c r="AG5695" s="2">
        <f ca="1"/>
        <v>0.90423358485968741</v>
      </c>
      <c r="AH5695" s="2" t="str">
        <f ca="1"/>
        <v>Bad</v>
      </c>
    </row>
    <row r="5696" spans="2:34" x14ac:dyDescent="0.2">
      <c r="B5696" s="2">
        <f ca="1"/>
        <v>0.11147646518112775</v>
      </c>
      <c r="O5696" s="2">
        <f ca="1"/>
        <v>0.51839753694968849</v>
      </c>
      <c r="X5696" s="2">
        <f ca="1"/>
        <v>60.459754816329088</v>
      </c>
      <c r="AG5696" s="2">
        <f ca="1"/>
        <v>0.59383702039977049</v>
      </c>
      <c r="AH5696" s="2" t="str">
        <f ca="1"/>
        <v>Bad</v>
      </c>
    </row>
    <row r="5697" spans="2:34" x14ac:dyDescent="0.2">
      <c r="B5697" s="2">
        <f ca="1"/>
        <v>0.28529295904324115</v>
      </c>
      <c r="O5697" s="2">
        <f ca="1"/>
        <v>0.54637875100161304</v>
      </c>
      <c r="X5697" s="2">
        <f ca="1"/>
        <v>38.190348366389969</v>
      </c>
      <c r="AG5697" s="2">
        <f ca="1"/>
        <v>0.83361550318602817</v>
      </c>
      <c r="AH5697" s="2" t="str">
        <f ca="1"/>
        <v>Bad</v>
      </c>
    </row>
    <row r="5698" spans="2:34" x14ac:dyDescent="0.2">
      <c r="B5698" s="2">
        <f ca="1"/>
        <v>0.56596607142300948</v>
      </c>
      <c r="O5698" s="2">
        <f ca="1"/>
        <v>1.7250134317035624</v>
      </c>
      <c r="X5698" s="2">
        <f ca="1"/>
        <v>40.046073242200123</v>
      </c>
      <c r="AG5698" s="2">
        <f ca="1"/>
        <v>0.64664351622274818</v>
      </c>
      <c r="AH5698" s="2" t="str">
        <f ca="1"/>
        <v>Bad</v>
      </c>
    </row>
    <row r="5699" spans="2:34" x14ac:dyDescent="0.2">
      <c r="B5699" s="2">
        <f ca="1"/>
        <v>0.45031732464267504</v>
      </c>
      <c r="O5699" s="2">
        <f ca="1"/>
        <v>2.0124074354179258</v>
      </c>
      <c r="X5699" s="2">
        <f ca="1"/>
        <v>43.494343575461713</v>
      </c>
      <c r="AG5699" s="2">
        <f ca="1"/>
        <v>0.71795870852474852</v>
      </c>
      <c r="AH5699" s="2" t="str">
        <f ca="1"/>
        <v>Bad</v>
      </c>
    </row>
    <row r="5700" spans="2:34" x14ac:dyDescent="0.2">
      <c r="B5700" s="2">
        <f ca="1"/>
        <v>1.2637693620556334E-2</v>
      </c>
      <c r="O5700" s="2">
        <f ca="1"/>
        <v>0.22785235764774886</v>
      </c>
      <c r="X5700" s="2">
        <f ca="1"/>
        <v>43.126220496161658</v>
      </c>
      <c r="AG5700" s="2">
        <f ca="1"/>
        <v>0.44335118580672739</v>
      </c>
      <c r="AH5700" s="2" t="str">
        <f ca="1"/>
        <v>Bad</v>
      </c>
    </row>
    <row r="5701" spans="2:34" x14ac:dyDescent="0.2">
      <c r="B5701" s="2">
        <f ca="1"/>
        <v>0.94787401330275212</v>
      </c>
      <c r="O5701" s="2">
        <f ca="1"/>
        <v>-0.49710085911398283</v>
      </c>
      <c r="X5701" s="2">
        <f ca="1"/>
        <v>47.63685891178077</v>
      </c>
      <c r="AG5701" s="2">
        <f ca="1"/>
        <v>0.90820185085312177</v>
      </c>
      <c r="AH5701" s="2" t="str">
        <f ca="1"/>
        <v>Bad</v>
      </c>
    </row>
    <row r="5702" spans="2:34" x14ac:dyDescent="0.2">
      <c r="B5702" s="2">
        <f ca="1"/>
        <v>0.33612170993807</v>
      </c>
      <c r="O5702" s="2">
        <f ca="1"/>
        <v>-0.95856172460870592</v>
      </c>
      <c r="X5702" s="2">
        <f ca="1"/>
        <v>40.910962492374324</v>
      </c>
      <c r="AG5702" s="2">
        <f ca="1"/>
        <v>0.93342594742670149</v>
      </c>
      <c r="AH5702" s="2" t="str">
        <f ca="1"/>
        <v>Bad</v>
      </c>
    </row>
    <row r="5703" spans="2:34" x14ac:dyDescent="0.2">
      <c r="B5703" s="2">
        <f ca="1"/>
        <v>0.83646748928926984</v>
      </c>
      <c r="O5703" s="2">
        <f ca="1"/>
        <v>0.12676747969812685</v>
      </c>
      <c r="X5703" s="2">
        <f ca="1"/>
        <v>36.045716853964962</v>
      </c>
      <c r="AG5703" s="2">
        <f ca="1"/>
        <v>0.7432704910097756</v>
      </c>
      <c r="AH5703" s="2" t="str">
        <f ca="1"/>
        <v>Bad</v>
      </c>
    </row>
    <row r="5704" spans="2:34" x14ac:dyDescent="0.2">
      <c r="B5704" s="2">
        <f ca="1"/>
        <v>0.77143677610137673</v>
      </c>
      <c r="O5704" s="2">
        <f ca="1"/>
        <v>-0.80120600664288744</v>
      </c>
      <c r="X5704" s="2">
        <f ca="1"/>
        <v>41.414325178448053</v>
      </c>
      <c r="AG5704" s="2">
        <f ca="1"/>
        <v>2.5615044641668527E-2</v>
      </c>
      <c r="AH5704" s="2" t="str">
        <f ca="1"/>
        <v>Good</v>
      </c>
    </row>
    <row r="5705" spans="2:34" x14ac:dyDescent="0.2">
      <c r="B5705" s="2">
        <f ca="1"/>
        <v>0.42755682332403744</v>
      </c>
      <c r="O5705" s="2">
        <f ca="1"/>
        <v>0.18603375566232247</v>
      </c>
      <c r="X5705" s="2">
        <f ca="1"/>
        <v>52.042669842995544</v>
      </c>
      <c r="AG5705" s="2">
        <f ca="1"/>
        <v>0.51344865723045596</v>
      </c>
      <c r="AH5705" s="2" t="str">
        <f ca="1"/>
        <v>Bad</v>
      </c>
    </row>
    <row r="5706" spans="2:34" x14ac:dyDescent="0.2">
      <c r="B5706" s="2">
        <f ca="1"/>
        <v>0.72269818516053941</v>
      </c>
      <c r="O5706" s="2">
        <f ca="1"/>
        <v>0.47808476282585965</v>
      </c>
      <c r="X5706" s="2">
        <f ca="1"/>
        <v>45.010903057308013</v>
      </c>
      <c r="AG5706" s="2">
        <f ca="1"/>
        <v>0.19460617666270186</v>
      </c>
      <c r="AH5706" s="2" t="str">
        <f ca="1"/>
        <v>OK</v>
      </c>
    </row>
    <row r="5707" spans="2:34" x14ac:dyDescent="0.2">
      <c r="B5707" s="2">
        <f ca="1"/>
        <v>0.88510836209039634</v>
      </c>
      <c r="O5707" s="2">
        <f ca="1"/>
        <v>-0.26413895896015488</v>
      </c>
      <c r="X5707" s="2">
        <f ca="1"/>
        <v>55.234987720269295</v>
      </c>
      <c r="AG5707" s="2">
        <f ca="1"/>
        <v>0.98566853228390316</v>
      </c>
      <c r="AH5707" s="2" t="str">
        <f ca="1"/>
        <v>Bad</v>
      </c>
    </row>
    <row r="5708" spans="2:34" x14ac:dyDescent="0.2">
      <c r="B5708" s="2">
        <f ca="1"/>
        <v>0.91367405601615115</v>
      </c>
      <c r="O5708" s="2">
        <f ca="1"/>
        <v>-0.53030416874667841</v>
      </c>
      <c r="X5708" s="2">
        <f ca="1"/>
        <v>59.620883075619808</v>
      </c>
      <c r="AG5708" s="2">
        <f ca="1"/>
        <v>0.10961049851157822</v>
      </c>
      <c r="AH5708" s="2" t="str">
        <f ca="1"/>
        <v>OK</v>
      </c>
    </row>
    <row r="5709" spans="2:34" x14ac:dyDescent="0.2">
      <c r="B5709" s="2">
        <f ca="1"/>
        <v>0.67470946530085674</v>
      </c>
      <c r="O5709" s="2">
        <f ca="1"/>
        <v>1.3240054604792451</v>
      </c>
      <c r="X5709" s="2">
        <f ca="1"/>
        <v>38.184721294084078</v>
      </c>
      <c r="AG5709" s="2">
        <f ca="1"/>
        <v>0.51037693852134147</v>
      </c>
      <c r="AH5709" s="2" t="str">
        <f ca="1"/>
        <v>Bad</v>
      </c>
    </row>
    <row r="5710" spans="2:34" x14ac:dyDescent="0.2">
      <c r="B5710" s="2">
        <f ca="1"/>
        <v>0.99329685278770086</v>
      </c>
      <c r="O5710" s="2">
        <f ca="1"/>
        <v>-0.31627037641532463</v>
      </c>
      <c r="X5710" s="2">
        <f ca="1"/>
        <v>18.961769018612145</v>
      </c>
      <c r="AG5710" s="2">
        <f ca="1"/>
        <v>0.37246709815781132</v>
      </c>
      <c r="AH5710" s="2" t="str">
        <f ca="1"/>
        <v>OK</v>
      </c>
    </row>
    <row r="5711" spans="2:34" x14ac:dyDescent="0.2">
      <c r="B5711" s="2">
        <f ca="1"/>
        <v>0.90351506989535335</v>
      </c>
      <c r="O5711" s="2">
        <f ca="1"/>
        <v>0.2604992344842233</v>
      </c>
      <c r="X5711" s="2">
        <f ca="1"/>
        <v>27.920971771996975</v>
      </c>
      <c r="AG5711" s="2">
        <f ca="1"/>
        <v>0.45108078655000861</v>
      </c>
      <c r="AH5711" s="2" t="str">
        <f ca="1"/>
        <v>Bad</v>
      </c>
    </row>
    <row r="5712" spans="2:34" x14ac:dyDescent="0.2">
      <c r="B5712" s="2">
        <f ca="1"/>
        <v>0.44745174000399923</v>
      </c>
      <c r="O5712" s="2">
        <f ca="1"/>
        <v>-0.49421632808312327</v>
      </c>
      <c r="X5712" s="2">
        <f ca="1"/>
        <v>30.693724094719418</v>
      </c>
      <c r="AG5712" s="2">
        <f ca="1"/>
        <v>0.69993688620750749</v>
      </c>
      <c r="AH5712" s="2" t="str">
        <f ca="1"/>
        <v>Bad</v>
      </c>
    </row>
    <row r="5713" spans="2:34" x14ac:dyDescent="0.2">
      <c r="B5713" s="2">
        <f ca="1"/>
        <v>0.54867865544751737</v>
      </c>
      <c r="O5713" s="2">
        <f ca="1"/>
        <v>-0.88315857188021274</v>
      </c>
      <c r="X5713" s="2">
        <f ca="1"/>
        <v>44.67152390522017</v>
      </c>
      <c r="AG5713" s="2">
        <f ca="1"/>
        <v>0.89782957815822861</v>
      </c>
      <c r="AH5713" s="2" t="str">
        <f ca="1"/>
        <v>Bad</v>
      </c>
    </row>
    <row r="5714" spans="2:34" x14ac:dyDescent="0.2">
      <c r="B5714" s="2">
        <f ca="1"/>
        <v>0.73614498707033738</v>
      </c>
      <c r="O5714" s="2">
        <f ca="1"/>
        <v>-0.13953977590720762</v>
      </c>
      <c r="X5714" s="2">
        <f ca="1"/>
        <v>40.097918266575157</v>
      </c>
      <c r="AG5714" s="2">
        <f ca="1"/>
        <v>0.12058964697078856</v>
      </c>
      <c r="AH5714" s="2" t="str">
        <f ca="1"/>
        <v>OK</v>
      </c>
    </row>
    <row r="5715" spans="2:34" x14ac:dyDescent="0.2">
      <c r="B5715" s="2">
        <f ca="1"/>
        <v>1.3034204031442842E-2</v>
      </c>
      <c r="O5715" s="2">
        <f ca="1"/>
        <v>0.43214439635419871</v>
      </c>
      <c r="X5715" s="2">
        <f ca="1"/>
        <v>21.080533245633049</v>
      </c>
      <c r="AG5715" s="2">
        <f ca="1"/>
        <v>0.38525843874223287</v>
      </c>
      <c r="AH5715" s="2" t="str">
        <f ca="1"/>
        <v>OK</v>
      </c>
    </row>
    <row r="5716" spans="2:34" x14ac:dyDescent="0.2">
      <c r="B5716" s="2">
        <f ca="1"/>
        <v>0.54369979695873605</v>
      </c>
      <c r="O5716" s="2">
        <f ca="1"/>
        <v>0.10506959817635407</v>
      </c>
      <c r="X5716" s="2">
        <f ca="1"/>
        <v>49.413977713129562</v>
      </c>
      <c r="AG5716" s="2">
        <f ca="1"/>
        <v>0.8373315466717961</v>
      </c>
      <c r="AH5716" s="2" t="str">
        <f ca="1"/>
        <v>Bad</v>
      </c>
    </row>
    <row r="5717" spans="2:34" x14ac:dyDescent="0.2">
      <c r="B5717" s="2">
        <f ca="1"/>
        <v>0.49961120193922359</v>
      </c>
      <c r="O5717" s="2">
        <f ca="1"/>
        <v>-0.80903027673007544</v>
      </c>
      <c r="X5717" s="2">
        <f ca="1"/>
        <v>55.561611822077808</v>
      </c>
      <c r="AG5717" s="2">
        <f ca="1"/>
        <v>0.40962606717600458</v>
      </c>
      <c r="AH5717" s="2" t="str">
        <f ca="1"/>
        <v>Bad</v>
      </c>
    </row>
    <row r="5718" spans="2:34" x14ac:dyDescent="0.2">
      <c r="B5718" s="2">
        <f ca="1"/>
        <v>0.89174285986496415</v>
      </c>
      <c r="O5718" s="2">
        <f ca="1"/>
        <v>0.60625850102061474</v>
      </c>
      <c r="X5718" s="2">
        <f ca="1"/>
        <v>51.036939136217981</v>
      </c>
      <c r="AG5718" s="2">
        <f ca="1"/>
        <v>0.75711530378922154</v>
      </c>
      <c r="AH5718" s="2" t="str">
        <f ca="1"/>
        <v>Bad</v>
      </c>
    </row>
    <row r="5719" spans="2:34" x14ac:dyDescent="0.2">
      <c r="B5719" s="2">
        <f ca="1"/>
        <v>0.46493491248896857</v>
      </c>
      <c r="O5719" s="2">
        <f ca="1"/>
        <v>-0.68587150517790596</v>
      </c>
      <c r="X5719" s="2">
        <f ca="1"/>
        <v>34.164598425795781</v>
      </c>
      <c r="AG5719" s="2">
        <f ca="1"/>
        <v>0.69789506067796747</v>
      </c>
      <c r="AH5719" s="2" t="str">
        <f ca="1"/>
        <v>Bad</v>
      </c>
    </row>
    <row r="5720" spans="2:34" x14ac:dyDescent="0.2">
      <c r="B5720" s="2">
        <f ca="1"/>
        <v>0.48490456661006154</v>
      </c>
      <c r="O5720" s="2">
        <f ca="1"/>
        <v>0.49789898123675519</v>
      </c>
      <c r="X5720" s="2">
        <f ca="1"/>
        <v>64.526923104813235</v>
      </c>
      <c r="AG5720" s="2">
        <f ca="1"/>
        <v>0.1845818274564488</v>
      </c>
      <c r="AH5720" s="2" t="str">
        <f ca="1"/>
        <v>OK</v>
      </c>
    </row>
    <row r="5721" spans="2:34" x14ac:dyDescent="0.2">
      <c r="B5721" s="2">
        <f ca="1"/>
        <v>0.7594111009936384</v>
      </c>
      <c r="O5721" s="2">
        <f ca="1"/>
        <v>-4.1884678169590822E-2</v>
      </c>
      <c r="X5721" s="2">
        <f ca="1"/>
        <v>50.544612325548769</v>
      </c>
      <c r="AG5721" s="2">
        <f ca="1"/>
        <v>0.5367870751681767</v>
      </c>
      <c r="AH5721" s="2" t="str">
        <f ca="1"/>
        <v>Bad</v>
      </c>
    </row>
    <row r="5722" spans="2:34" x14ac:dyDescent="0.2">
      <c r="B5722" s="2">
        <f ca="1"/>
        <v>0.21688919491761594</v>
      </c>
      <c r="O5722" s="2">
        <f ca="1"/>
        <v>0.12915022481782437</v>
      </c>
      <c r="X5722" s="2">
        <f ca="1"/>
        <v>35.81356612239594</v>
      </c>
      <c r="AG5722" s="2">
        <f ca="1"/>
        <v>0.72672962417331921</v>
      </c>
      <c r="AH5722" s="2" t="str">
        <f ca="1"/>
        <v>Bad</v>
      </c>
    </row>
    <row r="5723" spans="2:34" x14ac:dyDescent="0.2">
      <c r="B5723" s="2">
        <f ca="1"/>
        <v>0.35206010229205265</v>
      </c>
      <c r="O5723" s="2">
        <f ca="1"/>
        <v>0.61924777410285314</v>
      </c>
      <c r="X5723" s="2">
        <f ca="1"/>
        <v>47.608397683135038</v>
      </c>
      <c r="AG5723" s="2">
        <f ca="1"/>
        <v>2.6325292630285047E-2</v>
      </c>
      <c r="AH5723" s="2" t="str">
        <f ca="1"/>
        <v>Good</v>
      </c>
    </row>
    <row r="5724" spans="2:34" x14ac:dyDescent="0.2">
      <c r="B5724" s="2">
        <f ca="1"/>
        <v>0.15971273358903937</v>
      </c>
      <c r="O5724" s="2">
        <f ca="1"/>
        <v>0.11896336689420731</v>
      </c>
      <c r="X5724" s="2">
        <f ca="1"/>
        <v>36.575593450184186</v>
      </c>
      <c r="AG5724" s="2">
        <f ca="1"/>
        <v>0.72481323759125327</v>
      </c>
      <c r="AH5724" s="2" t="str">
        <f ca="1"/>
        <v>Bad</v>
      </c>
    </row>
    <row r="5725" spans="2:34" x14ac:dyDescent="0.2">
      <c r="B5725" s="2">
        <f ca="1"/>
        <v>0.95058873446757897</v>
      </c>
      <c r="O5725" s="2">
        <f ca="1"/>
        <v>0.73229437300477362</v>
      </c>
      <c r="X5725" s="2">
        <f ca="1"/>
        <v>34.716185347669366</v>
      </c>
      <c r="AG5725" s="2">
        <f ca="1"/>
        <v>5.1236903573113057E-3</v>
      </c>
      <c r="AH5725" s="2" t="str">
        <f ca="1"/>
        <v>Good</v>
      </c>
    </row>
    <row r="5726" spans="2:34" x14ac:dyDescent="0.2">
      <c r="B5726" s="2">
        <f ca="1"/>
        <v>0.942090105052098</v>
      </c>
      <c r="O5726" s="2">
        <f ca="1"/>
        <v>-0.20013084274337001</v>
      </c>
      <c r="X5726" s="2">
        <f ca="1"/>
        <v>48.18126973804506</v>
      </c>
      <c r="AG5726" s="2">
        <f ca="1"/>
        <v>0.68532187822039003</v>
      </c>
      <c r="AH5726" s="2" t="str">
        <f ca="1"/>
        <v>Bad</v>
      </c>
    </row>
    <row r="5727" spans="2:34" x14ac:dyDescent="0.2">
      <c r="B5727" s="2">
        <f ca="1"/>
        <v>0.20518992219348609</v>
      </c>
      <c r="O5727" s="2">
        <f ca="1"/>
        <v>0.46159760005227529</v>
      </c>
      <c r="X5727" s="2">
        <f ca="1"/>
        <v>50.179894329251233</v>
      </c>
      <c r="AG5727" s="2">
        <f ca="1"/>
        <v>0.53238967165421247</v>
      </c>
      <c r="AH5727" s="2" t="str">
        <f ca="1"/>
        <v>Bad</v>
      </c>
    </row>
    <row r="5728" spans="2:34" x14ac:dyDescent="0.2">
      <c r="B5728" s="2">
        <f ca="1"/>
        <v>0.36953032630979665</v>
      </c>
      <c r="O5728" s="2">
        <f ca="1"/>
        <v>1.2464415824941257</v>
      </c>
      <c r="X5728" s="2">
        <f ca="1"/>
        <v>43.076480436631634</v>
      </c>
      <c r="AG5728" s="2">
        <f ca="1"/>
        <v>0.5503225229553248</v>
      </c>
      <c r="AH5728" s="2" t="str">
        <f ca="1"/>
        <v>Bad</v>
      </c>
    </row>
    <row r="5729" spans="2:34" x14ac:dyDescent="0.2">
      <c r="B5729" s="2">
        <f ca="1"/>
        <v>0.47938010738898851</v>
      </c>
      <c r="O5729" s="2">
        <f ca="1"/>
        <v>-9.1081184219054284E-2</v>
      </c>
      <c r="X5729" s="2">
        <f ca="1"/>
        <v>58.792539044244059</v>
      </c>
      <c r="AG5729" s="2">
        <f ca="1"/>
        <v>0.68611920260003645</v>
      </c>
      <c r="AH5729" s="2" t="str">
        <f ca="1"/>
        <v>Bad</v>
      </c>
    </row>
    <row r="5730" spans="2:34" x14ac:dyDescent="0.2">
      <c r="B5730" s="2">
        <f ca="1"/>
        <v>0.40866479936131994</v>
      </c>
      <c r="O5730" s="2">
        <f ca="1"/>
        <v>1.487716681925576</v>
      </c>
      <c r="X5730" s="2">
        <f ca="1"/>
        <v>65.889478251466514</v>
      </c>
      <c r="AG5730" s="2">
        <f ca="1"/>
        <v>0.76005277242007252</v>
      </c>
      <c r="AH5730" s="2" t="str">
        <f ca="1"/>
        <v>Bad</v>
      </c>
    </row>
    <row r="5731" spans="2:34" x14ac:dyDescent="0.2">
      <c r="B5731" s="2">
        <f ca="1"/>
        <v>0.6634558320945978</v>
      </c>
      <c r="O5731" s="2">
        <f ca="1"/>
        <v>-0.96726733450329683</v>
      </c>
      <c r="X5731" s="2">
        <f ca="1"/>
        <v>58.654688060738579</v>
      </c>
      <c r="AG5731" s="2">
        <f ca="1"/>
        <v>0.17671801556385303</v>
      </c>
      <c r="AH5731" s="2" t="str">
        <f ca="1"/>
        <v>OK</v>
      </c>
    </row>
    <row r="5732" spans="2:34" x14ac:dyDescent="0.2">
      <c r="B5732" s="2">
        <f ca="1"/>
        <v>0.49478035363256301</v>
      </c>
      <c r="O5732" s="2">
        <f ca="1"/>
        <v>-0.39414868656523999</v>
      </c>
      <c r="X5732" s="2">
        <f ca="1"/>
        <v>53.331727451296359</v>
      </c>
      <c r="AG5732" s="2">
        <f ca="1"/>
        <v>0.85139681052125193</v>
      </c>
      <c r="AH5732" s="2" t="str">
        <f ca="1"/>
        <v>Bad</v>
      </c>
    </row>
    <row r="5733" spans="2:34" x14ac:dyDescent="0.2">
      <c r="B5733" s="2">
        <f ca="1"/>
        <v>0.24914723515549242</v>
      </c>
      <c r="O5733" s="2">
        <f ca="1"/>
        <v>-1.782565022822675</v>
      </c>
      <c r="X5733" s="2">
        <f ca="1"/>
        <v>84.896657037011636</v>
      </c>
      <c r="AG5733" s="2">
        <f ca="1"/>
        <v>0.60330337327606554</v>
      </c>
      <c r="AH5733" s="2" t="str">
        <f ca="1"/>
        <v>Bad</v>
      </c>
    </row>
    <row r="5734" spans="2:34" x14ac:dyDescent="0.2">
      <c r="B5734" s="2">
        <f ca="1"/>
        <v>0.54026676278183938</v>
      </c>
      <c r="O5734" s="2">
        <f ca="1"/>
        <v>1.0498251193710308</v>
      </c>
      <c r="X5734" s="2">
        <f ca="1"/>
        <v>46.416793672194373</v>
      </c>
      <c r="AG5734" s="2">
        <f ca="1"/>
        <v>0.70775171460110409</v>
      </c>
      <c r="AH5734" s="2" t="str">
        <f ca="1"/>
        <v>Bad</v>
      </c>
    </row>
    <row r="5735" spans="2:34" x14ac:dyDescent="0.2">
      <c r="B5735" s="2">
        <f ca="1"/>
        <v>0.85326228245232572</v>
      </c>
      <c r="O5735" s="2">
        <f ca="1"/>
        <v>1.4965404383167875</v>
      </c>
      <c r="X5735" s="2">
        <f ca="1"/>
        <v>67.609539526651005</v>
      </c>
      <c r="AG5735" s="2">
        <f ca="1"/>
        <v>0.9201943942647417</v>
      </c>
      <c r="AH5735" s="2" t="str">
        <f ca="1"/>
        <v>Bad</v>
      </c>
    </row>
    <row r="5736" spans="2:34" x14ac:dyDescent="0.2">
      <c r="B5736" s="2">
        <f ca="1"/>
        <v>0.975597013177677</v>
      </c>
      <c r="O5736" s="2">
        <f ca="1"/>
        <v>3.7897025661050451E-2</v>
      </c>
      <c r="X5736" s="2">
        <f ca="1"/>
        <v>60.459332428750329</v>
      </c>
      <c r="AG5736" s="2">
        <f ca="1"/>
        <v>0.68180159487298919</v>
      </c>
      <c r="AH5736" s="2" t="str">
        <f ca="1"/>
        <v>Bad</v>
      </c>
    </row>
    <row r="5737" spans="2:34" x14ac:dyDescent="0.2">
      <c r="B5737" s="2">
        <f ca="1"/>
        <v>0.5895398152604292</v>
      </c>
      <c r="O5737" s="2">
        <f ca="1"/>
        <v>-0.81035567509865758</v>
      </c>
      <c r="X5737" s="2">
        <f ca="1"/>
        <v>76.38020876273265</v>
      </c>
      <c r="AG5737" s="2">
        <f ca="1"/>
        <v>9.1885152382316093E-2</v>
      </c>
      <c r="AH5737" s="2" t="str">
        <f ca="1"/>
        <v>OK</v>
      </c>
    </row>
    <row r="5738" spans="2:34" x14ac:dyDescent="0.2">
      <c r="B5738" s="2">
        <f ca="1"/>
        <v>0.5567435713809441</v>
      </c>
      <c r="O5738" s="2">
        <f ca="1"/>
        <v>0.82933002519423527</v>
      </c>
      <c r="X5738" s="2">
        <f ca="1"/>
        <v>32.511080703406002</v>
      </c>
      <c r="AG5738" s="2">
        <f ca="1"/>
        <v>0.73269018870290159</v>
      </c>
      <c r="AH5738" s="2" t="str">
        <f ca="1"/>
        <v>Bad</v>
      </c>
    </row>
    <row r="5739" spans="2:34" x14ac:dyDescent="0.2">
      <c r="B5739" s="2">
        <f ca="1"/>
        <v>0.70629346730407905</v>
      </c>
      <c r="O5739" s="2">
        <f ca="1"/>
        <v>0.63366764428398159</v>
      </c>
      <c r="X5739" s="2">
        <f ca="1"/>
        <v>44.476730077116365</v>
      </c>
      <c r="AG5739" s="2">
        <f ca="1"/>
        <v>0.7338461117498507</v>
      </c>
      <c r="AH5739" s="2" t="str">
        <f ca="1"/>
        <v>Bad</v>
      </c>
    </row>
    <row r="5740" spans="2:34" x14ac:dyDescent="0.2">
      <c r="B5740" s="2">
        <f ca="1"/>
        <v>0.79196002354612394</v>
      </c>
      <c r="O5740" s="2">
        <f ca="1"/>
        <v>0.85258396543892934</v>
      </c>
      <c r="X5740" s="2">
        <f ca="1"/>
        <v>52.717394063023448</v>
      </c>
      <c r="AG5740" s="2">
        <f ca="1"/>
        <v>0.86616353658760348</v>
      </c>
      <c r="AH5740" s="2" t="str">
        <f ca="1"/>
        <v>Bad</v>
      </c>
    </row>
    <row r="5741" spans="2:34" x14ac:dyDescent="0.2">
      <c r="B5741" s="2">
        <f ca="1"/>
        <v>0.11585130548355393</v>
      </c>
      <c r="O5741" s="2">
        <f ca="1"/>
        <v>2.0065594398985533</v>
      </c>
      <c r="X5741" s="2">
        <f ca="1"/>
        <v>42.779323310817304</v>
      </c>
      <c r="AG5741" s="2">
        <f ca="1"/>
        <v>0.20535950270285208</v>
      </c>
      <c r="AH5741" s="2" t="str">
        <f ca="1"/>
        <v>OK</v>
      </c>
    </row>
    <row r="5742" spans="2:34" x14ac:dyDescent="0.2">
      <c r="B5742" s="2">
        <f ca="1"/>
        <v>0.19089556473311142</v>
      </c>
      <c r="O5742" s="2">
        <f ca="1"/>
        <v>0.24202488906489708</v>
      </c>
      <c r="X5742" s="2">
        <f ca="1"/>
        <v>41.427406162385779</v>
      </c>
      <c r="AG5742" s="2">
        <f ca="1"/>
        <v>0.70573091504758789</v>
      </c>
      <c r="AH5742" s="2" t="str">
        <f ca="1"/>
        <v>Bad</v>
      </c>
    </row>
    <row r="5743" spans="2:34" x14ac:dyDescent="0.2">
      <c r="B5743" s="2">
        <f ca="1"/>
        <v>0.42030523375312834</v>
      </c>
      <c r="O5743" s="2">
        <f ca="1"/>
        <v>-4.9086752520362653E-2</v>
      </c>
      <c r="X5743" s="2">
        <f ca="1"/>
        <v>51.769890406370429</v>
      </c>
      <c r="AG5743" s="2">
        <f ca="1"/>
        <v>0.18976623160765826</v>
      </c>
      <c r="AH5743" s="2" t="str">
        <f ca="1"/>
        <v>OK</v>
      </c>
    </row>
    <row r="5744" spans="2:34" x14ac:dyDescent="0.2">
      <c r="B5744" s="2">
        <f ca="1"/>
        <v>8.4739483436831797E-2</v>
      </c>
      <c r="O5744" s="2">
        <f ca="1"/>
        <v>0.52907399626969831</v>
      </c>
      <c r="X5744" s="2">
        <f ca="1"/>
        <v>11.021609190327306</v>
      </c>
      <c r="AG5744" s="2">
        <f ca="1"/>
        <v>0.52486080181155037</v>
      </c>
      <c r="AH5744" s="2" t="str">
        <f ca="1"/>
        <v>Bad</v>
      </c>
    </row>
    <row r="5745" spans="2:34" x14ac:dyDescent="0.2">
      <c r="B5745" s="2">
        <f ca="1"/>
        <v>0.49749969210148581</v>
      </c>
      <c r="O5745" s="2">
        <f ca="1"/>
        <v>1.8457141435488209</v>
      </c>
      <c r="X5745" s="2">
        <f ca="1"/>
        <v>33.84860686079945</v>
      </c>
      <c r="AG5745" s="2">
        <f ca="1"/>
        <v>0.10430230237657767</v>
      </c>
      <c r="AH5745" s="2" t="str">
        <f ca="1"/>
        <v>OK</v>
      </c>
    </row>
    <row r="5746" spans="2:34" x14ac:dyDescent="0.2">
      <c r="B5746" s="2">
        <f ca="1"/>
        <v>9.831522741133103E-2</v>
      </c>
      <c r="O5746" s="2">
        <f ca="1"/>
        <v>-0.31460440769109888</v>
      </c>
      <c r="X5746" s="2">
        <f ca="1"/>
        <v>42.095894375413039</v>
      </c>
      <c r="AG5746" s="2">
        <f ca="1"/>
        <v>0.43495184798580055</v>
      </c>
      <c r="AH5746" s="2" t="str">
        <f ca="1"/>
        <v>Bad</v>
      </c>
    </row>
    <row r="5747" spans="2:34" x14ac:dyDescent="0.2">
      <c r="B5747" s="2">
        <f ca="1"/>
        <v>0.26108087429391036</v>
      </c>
      <c r="O5747" s="2">
        <f ca="1"/>
        <v>0.26140616216133528</v>
      </c>
      <c r="X5747" s="2">
        <f ca="1"/>
        <v>57.710699393013456</v>
      </c>
      <c r="AG5747" s="2">
        <f ca="1"/>
        <v>0.54469510844561686</v>
      </c>
      <c r="AH5747" s="2" t="str">
        <f ca="1"/>
        <v>Bad</v>
      </c>
    </row>
    <row r="5748" spans="2:34" x14ac:dyDescent="0.2">
      <c r="B5748" s="2">
        <f ca="1"/>
        <v>6.2604847304406075E-3</v>
      </c>
      <c r="O5748" s="2">
        <f ca="1"/>
        <v>0.12403229882877603</v>
      </c>
      <c r="X5748" s="2">
        <f ca="1"/>
        <v>43.180762414764978</v>
      </c>
      <c r="AG5748" s="2">
        <f ca="1"/>
        <v>0.67898490249909083</v>
      </c>
      <c r="AH5748" s="2" t="str">
        <f ca="1"/>
        <v>Bad</v>
      </c>
    </row>
    <row r="5749" spans="2:34" x14ac:dyDescent="0.2">
      <c r="B5749" s="2">
        <f ca="1"/>
        <v>0.4106385224109852</v>
      </c>
      <c r="O5749" s="2">
        <f ca="1"/>
        <v>0.94680339359243937</v>
      </c>
      <c r="X5749" s="2">
        <f ca="1"/>
        <v>37.869727143701866</v>
      </c>
      <c r="AG5749" s="2">
        <f ca="1"/>
        <v>0.60470443021369813</v>
      </c>
      <c r="AH5749" s="2" t="str">
        <f ca="1"/>
        <v>Bad</v>
      </c>
    </row>
    <row r="5750" spans="2:34" x14ac:dyDescent="0.2">
      <c r="B5750" s="2">
        <f ca="1"/>
        <v>0.51809646880719562</v>
      </c>
      <c r="O5750" s="2">
        <f ca="1"/>
        <v>3.7640378412799616E-2</v>
      </c>
      <c r="X5750" s="2">
        <f ca="1"/>
        <v>61.384198941762406</v>
      </c>
      <c r="AG5750" s="2">
        <f ca="1"/>
        <v>0.32259120845800604</v>
      </c>
      <c r="AH5750" s="2" t="str">
        <f ca="1"/>
        <v>OK</v>
      </c>
    </row>
    <row r="5751" spans="2:34" x14ac:dyDescent="0.2">
      <c r="B5751" s="2">
        <f ca="1"/>
        <v>2.4316897144410543E-2</v>
      </c>
      <c r="O5751" s="2">
        <f ca="1"/>
        <v>1.1230894773744824</v>
      </c>
      <c r="X5751" s="2">
        <f ca="1"/>
        <v>49.19942650498885</v>
      </c>
      <c r="AG5751" s="2">
        <f ca="1"/>
        <v>0.66930985500945961</v>
      </c>
      <c r="AH5751" s="2" t="str">
        <f ca="1"/>
        <v>Bad</v>
      </c>
    </row>
    <row r="5752" spans="2:34" x14ac:dyDescent="0.2">
      <c r="B5752" s="2">
        <f ca="1"/>
        <v>6.3924586761756608E-2</v>
      </c>
      <c r="O5752" s="2">
        <f ca="1"/>
        <v>-1.0824095715316504</v>
      </c>
      <c r="X5752" s="2">
        <f ca="1"/>
        <v>42.094166419359183</v>
      </c>
      <c r="AG5752" s="2">
        <f ca="1"/>
        <v>0.74056220692421126</v>
      </c>
      <c r="AH5752" s="2" t="str">
        <f ca="1"/>
        <v>Bad</v>
      </c>
    </row>
    <row r="5753" spans="2:34" x14ac:dyDescent="0.2">
      <c r="B5753" s="2">
        <f ca="1"/>
        <v>0.67255631278453976</v>
      </c>
      <c r="O5753" s="2">
        <f ca="1"/>
        <v>-0.74621086865489594</v>
      </c>
      <c r="X5753" s="2">
        <f ca="1"/>
        <v>51.46977577720132</v>
      </c>
      <c r="AG5753" s="2">
        <f ca="1"/>
        <v>0.49112751822439549</v>
      </c>
      <c r="AH5753" s="2" t="str">
        <f ca="1"/>
        <v>Bad</v>
      </c>
    </row>
    <row r="5754" spans="2:34" x14ac:dyDescent="0.2">
      <c r="B5754" s="2">
        <f ca="1"/>
        <v>0.10302414906659663</v>
      </c>
      <c r="O5754" s="2">
        <f ca="1"/>
        <v>0.25351676640266302</v>
      </c>
      <c r="X5754" s="2">
        <f ca="1"/>
        <v>71.362807224008961</v>
      </c>
      <c r="AG5754" s="2">
        <f ca="1"/>
        <v>0.21064344591319228</v>
      </c>
      <c r="AH5754" s="2" t="str">
        <f ca="1"/>
        <v>OK</v>
      </c>
    </row>
    <row r="5755" spans="2:34" x14ac:dyDescent="0.2">
      <c r="B5755" s="2">
        <f ca="1"/>
        <v>0.80420411213441878</v>
      </c>
      <c r="O5755" s="2">
        <f ca="1"/>
        <v>0.13370247724554712</v>
      </c>
      <c r="X5755" s="2">
        <f ca="1"/>
        <v>53.280551632071329</v>
      </c>
      <c r="AG5755" s="2">
        <f ca="1"/>
        <v>0.54828539822855493</v>
      </c>
      <c r="AH5755" s="2" t="str">
        <f ca="1"/>
        <v>Bad</v>
      </c>
    </row>
    <row r="5756" spans="2:34" x14ac:dyDescent="0.2">
      <c r="B5756" s="2">
        <f ca="1"/>
        <v>0.42811986227260634</v>
      </c>
      <c r="O5756" s="2">
        <f ca="1"/>
        <v>1.5246956522388393</v>
      </c>
      <c r="X5756" s="2">
        <f ca="1"/>
        <v>70.938572055147489</v>
      </c>
      <c r="AG5756" s="2">
        <f ca="1"/>
        <v>0.98674114001909174</v>
      </c>
      <c r="AH5756" s="2" t="str">
        <f ca="1"/>
        <v>Bad</v>
      </c>
    </row>
    <row r="5757" spans="2:34" x14ac:dyDescent="0.2">
      <c r="B5757" s="2">
        <f ca="1"/>
        <v>0.92919813635438531</v>
      </c>
      <c r="O5757" s="2">
        <f ca="1"/>
        <v>2.3885922305321817E-2</v>
      </c>
      <c r="X5757" s="2">
        <f ca="1"/>
        <v>27.003768848545459</v>
      </c>
      <c r="AG5757" s="2">
        <f ca="1"/>
        <v>0.70147323344394463</v>
      </c>
      <c r="AH5757" s="2" t="str">
        <f ca="1"/>
        <v>Bad</v>
      </c>
    </row>
    <row r="5758" spans="2:34" x14ac:dyDescent="0.2">
      <c r="B5758" s="2">
        <f ca="1"/>
        <v>0.95215058064545666</v>
      </c>
      <c r="O5758" s="2">
        <f ca="1"/>
        <v>-0.45550478670308964</v>
      </c>
      <c r="X5758" s="2">
        <f ca="1"/>
        <v>52.168514050993842</v>
      </c>
      <c r="AG5758" s="2">
        <f ca="1"/>
        <v>0.28000558192287217</v>
      </c>
      <c r="AH5758" s="2" t="str">
        <f ca="1"/>
        <v>OK</v>
      </c>
    </row>
    <row r="5759" spans="2:34" x14ac:dyDescent="0.2">
      <c r="B5759" s="2">
        <f ca="1"/>
        <v>0.74674629210654508</v>
      </c>
      <c r="O5759" s="2">
        <f ca="1"/>
        <v>3.1468464906698514</v>
      </c>
      <c r="X5759" s="2">
        <f ca="1"/>
        <v>49.593338806815581</v>
      </c>
      <c r="AG5759" s="2">
        <f ca="1"/>
        <v>0.39212198727699854</v>
      </c>
      <c r="AH5759" s="2" t="str">
        <f ca="1"/>
        <v>OK</v>
      </c>
    </row>
    <row r="5760" spans="2:34" x14ac:dyDescent="0.2">
      <c r="B5760" s="2">
        <f ca="1"/>
        <v>0.11805087691588101</v>
      </c>
      <c r="O5760" s="2">
        <f ca="1"/>
        <v>-2.4271518887965735</v>
      </c>
      <c r="X5760" s="2">
        <f ca="1"/>
        <v>49.969581070072991</v>
      </c>
      <c r="AG5760" s="2">
        <f ca="1"/>
        <v>0.703262158627048</v>
      </c>
      <c r="AH5760" s="2" t="str">
        <f ca="1"/>
        <v>Bad</v>
      </c>
    </row>
    <row r="5761" spans="2:34" x14ac:dyDescent="0.2">
      <c r="B5761" s="2">
        <f ca="1"/>
        <v>9.8183164456022043E-2</v>
      </c>
      <c r="O5761" s="2">
        <f ca="1"/>
        <v>-1.4467699378293719</v>
      </c>
      <c r="X5761" s="2">
        <f ca="1"/>
        <v>71.557369289994341</v>
      </c>
      <c r="AG5761" s="2">
        <f ca="1"/>
        <v>0.56313763178035603</v>
      </c>
      <c r="AH5761" s="2" t="str">
        <f ca="1"/>
        <v>Bad</v>
      </c>
    </row>
    <row r="5762" spans="2:34" x14ac:dyDescent="0.2">
      <c r="B5762" s="2">
        <f ca="1"/>
        <v>0.72947034232681052</v>
      </c>
      <c r="O5762" s="2">
        <f ca="1"/>
        <v>-1.043855900967624</v>
      </c>
      <c r="X5762" s="2">
        <f ca="1"/>
        <v>74.463641298593217</v>
      </c>
      <c r="AG5762" s="2">
        <f ca="1"/>
        <v>0.34110494389336377</v>
      </c>
      <c r="AH5762" s="2" t="str">
        <f ca="1"/>
        <v>OK</v>
      </c>
    </row>
    <row r="5763" spans="2:34" x14ac:dyDescent="0.2">
      <c r="B5763" s="2">
        <f ca="1"/>
        <v>0.62327229243198845</v>
      </c>
      <c r="O5763" s="2">
        <f ca="1"/>
        <v>0.92615667222498466</v>
      </c>
      <c r="X5763" s="2">
        <f ca="1"/>
        <v>46.988680923690531</v>
      </c>
      <c r="AG5763" s="2">
        <f ca="1"/>
        <v>0.54948450431424622</v>
      </c>
      <c r="AH5763" s="2" t="str">
        <f ca="1"/>
        <v>Bad</v>
      </c>
    </row>
    <row r="5764" spans="2:34" x14ac:dyDescent="0.2">
      <c r="B5764" s="2">
        <f ca="1"/>
        <v>0.89449597885403009</v>
      </c>
      <c r="O5764" s="2">
        <f ca="1"/>
        <v>-0.91123064281089683</v>
      </c>
      <c r="X5764" s="2">
        <f ca="1"/>
        <v>52.779393700337501</v>
      </c>
      <c r="AG5764" s="2">
        <f ca="1"/>
        <v>0.49718202617853846</v>
      </c>
      <c r="AH5764" s="2" t="str">
        <f ca="1"/>
        <v>Bad</v>
      </c>
    </row>
    <row r="5765" spans="2:34" x14ac:dyDescent="0.2">
      <c r="B5765" s="2">
        <f ca="1"/>
        <v>0.31742808639408038</v>
      </c>
      <c r="O5765" s="2">
        <f ca="1"/>
        <v>0.83676071242263816</v>
      </c>
      <c r="X5765" s="2">
        <f ca="1"/>
        <v>43.160129646830043</v>
      </c>
      <c r="AG5765" s="2">
        <f ca="1"/>
        <v>0.4754142866830986</v>
      </c>
      <c r="AH5765" s="2" t="str">
        <f ca="1"/>
        <v>Bad</v>
      </c>
    </row>
    <row r="5766" spans="2:34" x14ac:dyDescent="0.2">
      <c r="B5766" s="2">
        <f ca="1"/>
        <v>0.81247182962309172</v>
      </c>
      <c r="O5766" s="2">
        <f ca="1"/>
        <v>0.33884394600922652</v>
      </c>
      <c r="X5766" s="2">
        <f ca="1"/>
        <v>60.207857508508269</v>
      </c>
      <c r="AG5766" s="2">
        <f ca="1"/>
        <v>0.30125773505335585</v>
      </c>
      <c r="AH5766" s="2" t="str">
        <f ca="1"/>
        <v>OK</v>
      </c>
    </row>
    <row r="5767" spans="2:34" x14ac:dyDescent="0.2">
      <c r="B5767" s="2">
        <f ca="1"/>
        <v>0.56304500035527716</v>
      </c>
      <c r="O5767" s="2">
        <f ca="1"/>
        <v>-0.1055851451460299</v>
      </c>
      <c r="X5767" s="2">
        <f ca="1"/>
        <v>58.344351042160653</v>
      </c>
      <c r="AG5767" s="2">
        <f ca="1"/>
        <v>8.05940379174368E-2</v>
      </c>
      <c r="AH5767" s="2" t="str">
        <f ca="1"/>
        <v>OK</v>
      </c>
    </row>
    <row r="5768" spans="2:34" x14ac:dyDescent="0.2">
      <c r="B5768" s="2">
        <f ca="1"/>
        <v>0.48981063989118412</v>
      </c>
      <c r="O5768" s="2">
        <f ca="1"/>
        <v>-0.4706859422989515</v>
      </c>
      <c r="X5768" s="2">
        <f ca="1"/>
        <v>40.476936072648556</v>
      </c>
      <c r="AG5768" s="2">
        <f ca="1"/>
        <v>0.90941441584835037</v>
      </c>
      <c r="AH5768" s="2" t="str">
        <f ca="1"/>
        <v>Bad</v>
      </c>
    </row>
    <row r="5769" spans="2:34" x14ac:dyDescent="0.2">
      <c r="B5769" s="2">
        <f ca="1"/>
        <v>0.85821524948559325</v>
      </c>
      <c r="O5769" s="2">
        <f ca="1"/>
        <v>0.63209521675165314</v>
      </c>
      <c r="X5769" s="2">
        <f ca="1"/>
        <v>36.780881099260341</v>
      </c>
      <c r="AG5769" s="2">
        <f ca="1"/>
        <v>0.85847375359389022</v>
      </c>
      <c r="AH5769" s="2" t="str">
        <f ca="1"/>
        <v>Bad</v>
      </c>
    </row>
    <row r="5770" spans="2:34" x14ac:dyDescent="0.2">
      <c r="B5770" s="2">
        <f ca="1"/>
        <v>0.99610397602741152</v>
      </c>
      <c r="O5770" s="2">
        <f ca="1"/>
        <v>1.6894597344739328</v>
      </c>
      <c r="X5770" s="2">
        <f ca="1"/>
        <v>43.174454043764015</v>
      </c>
      <c r="AG5770" s="2">
        <f ca="1"/>
        <v>0.94589114856122269</v>
      </c>
      <c r="AH5770" s="2" t="str">
        <f ca="1"/>
        <v>Bad</v>
      </c>
    </row>
    <row r="5771" spans="2:34" x14ac:dyDescent="0.2">
      <c r="B5771" s="2">
        <f ca="1"/>
        <v>0.63815380018367307</v>
      </c>
      <c r="O5771" s="2">
        <f ca="1"/>
        <v>8.4855949052204865E-2</v>
      </c>
      <c r="X5771" s="2">
        <f ca="1"/>
        <v>48.035706412151995</v>
      </c>
      <c r="AG5771" s="2">
        <f ca="1"/>
        <v>0.28225680537516196</v>
      </c>
      <c r="AH5771" s="2" t="str">
        <f ca="1"/>
        <v>OK</v>
      </c>
    </row>
    <row r="5772" spans="2:34" x14ac:dyDescent="0.2">
      <c r="B5772" s="2">
        <f ca="1"/>
        <v>0.21965003525545823</v>
      </c>
      <c r="O5772" s="2">
        <f ca="1"/>
        <v>0.20458261304276776</v>
      </c>
      <c r="X5772" s="2">
        <f ca="1"/>
        <v>34.128076380584673</v>
      </c>
      <c r="AG5772" s="2">
        <f ca="1"/>
        <v>0.52568129900080174</v>
      </c>
      <c r="AH5772" s="2" t="str">
        <f ca="1"/>
        <v>Bad</v>
      </c>
    </row>
    <row r="5773" spans="2:34" x14ac:dyDescent="0.2">
      <c r="B5773" s="2">
        <f ca="1"/>
        <v>9.1115446421628166E-2</v>
      </c>
      <c r="O5773" s="2">
        <f ca="1"/>
        <v>0.45866607391603115</v>
      </c>
      <c r="X5773" s="2">
        <f ca="1"/>
        <v>63.558595574172429</v>
      </c>
      <c r="AG5773" s="2">
        <f ca="1"/>
        <v>0.56032085179418889</v>
      </c>
      <c r="AH5773" s="2" t="str">
        <f ca="1"/>
        <v>Bad</v>
      </c>
    </row>
    <row r="5774" spans="2:34" x14ac:dyDescent="0.2">
      <c r="B5774" s="2">
        <f ca="1"/>
        <v>0.59303879525164804</v>
      </c>
      <c r="O5774" s="2">
        <f ca="1"/>
        <v>0.28076116438174792</v>
      </c>
      <c r="X5774" s="2">
        <f ca="1"/>
        <v>35.376283478683369</v>
      </c>
      <c r="AG5774" s="2">
        <f ca="1"/>
        <v>0.90168717789514519</v>
      </c>
      <c r="AH5774" s="2" t="str">
        <f ca="1"/>
        <v>Bad</v>
      </c>
    </row>
    <row r="5775" spans="2:34" x14ac:dyDescent="0.2">
      <c r="B5775" s="2">
        <f ca="1"/>
        <v>0.57598087281484545</v>
      </c>
      <c r="O5775" s="2">
        <f ca="1"/>
        <v>-0.14598001839964184</v>
      </c>
      <c r="X5775" s="2">
        <f ca="1"/>
        <v>66.856381165892913</v>
      </c>
      <c r="AG5775" s="2">
        <f ca="1"/>
        <v>0.91242399466052904</v>
      </c>
      <c r="AH5775" s="2" t="str">
        <f ca="1"/>
        <v>Bad</v>
      </c>
    </row>
    <row r="5776" spans="2:34" x14ac:dyDescent="0.2">
      <c r="B5776" s="2">
        <f ca="1"/>
        <v>0.98898697885170428</v>
      </c>
      <c r="O5776" s="2">
        <f ca="1"/>
        <v>1.2196656698272503</v>
      </c>
      <c r="X5776" s="2">
        <f ca="1"/>
        <v>68.937298120516459</v>
      </c>
      <c r="AG5776" s="2">
        <f ca="1"/>
        <v>0.21647318639861024</v>
      </c>
      <c r="AH5776" s="2" t="str">
        <f ca="1"/>
        <v>OK</v>
      </c>
    </row>
    <row r="5777" spans="2:34" x14ac:dyDescent="0.2">
      <c r="B5777" s="2">
        <f ca="1"/>
        <v>0.4717392733596375</v>
      </c>
      <c r="O5777" s="2">
        <f ca="1"/>
        <v>1.058097868800018</v>
      </c>
      <c r="X5777" s="2">
        <f ca="1"/>
        <v>96.972205785652946</v>
      </c>
      <c r="AG5777" s="2">
        <f ca="1"/>
        <v>0.80964412676869646</v>
      </c>
      <c r="AH5777" s="2" t="str">
        <f ca="1"/>
        <v>Bad</v>
      </c>
    </row>
    <row r="5778" spans="2:34" x14ac:dyDescent="0.2">
      <c r="B5778" s="2">
        <f ca="1"/>
        <v>0.60315506247026596</v>
      </c>
      <c r="O5778" s="2">
        <f ca="1"/>
        <v>0.86598006448217424</v>
      </c>
      <c r="X5778" s="2">
        <f ca="1"/>
        <v>60.089190404608573</v>
      </c>
      <c r="AG5778" s="2">
        <f ca="1"/>
        <v>0.8786456685696411</v>
      </c>
      <c r="AH5778" s="2" t="str">
        <f ca="1"/>
        <v>Bad</v>
      </c>
    </row>
    <row r="5779" spans="2:34" x14ac:dyDescent="0.2">
      <c r="B5779" s="2">
        <f ca="1"/>
        <v>0.16138705017410637</v>
      </c>
      <c r="O5779" s="2">
        <f ca="1"/>
        <v>1.8168113239636348</v>
      </c>
      <c r="X5779" s="2">
        <f ca="1"/>
        <v>50.979687158872046</v>
      </c>
      <c r="AG5779" s="2">
        <f ca="1"/>
        <v>0.71089752322560673</v>
      </c>
      <c r="AH5779" s="2" t="str">
        <f ca="1"/>
        <v>Bad</v>
      </c>
    </row>
    <row r="5780" spans="2:34" x14ac:dyDescent="0.2">
      <c r="B5780" s="2">
        <f ca="1"/>
        <v>0.85094337624499494</v>
      </c>
      <c r="O5780" s="2">
        <f ca="1"/>
        <v>1.8699325927678696</v>
      </c>
      <c r="X5780" s="2">
        <f ca="1"/>
        <v>40.018775279571209</v>
      </c>
      <c r="AG5780" s="2">
        <f ca="1"/>
        <v>0.39133299171856062</v>
      </c>
      <c r="AH5780" s="2" t="str">
        <f ca="1"/>
        <v>OK</v>
      </c>
    </row>
    <row r="5781" spans="2:34" x14ac:dyDescent="0.2">
      <c r="B5781" s="2">
        <f ca="1"/>
        <v>0.32841806086651837</v>
      </c>
      <c r="O5781" s="2">
        <f ca="1"/>
        <v>-0.2886321317962971</v>
      </c>
      <c r="X5781" s="2">
        <f ca="1"/>
        <v>48.151480701571103</v>
      </c>
      <c r="AG5781" s="2">
        <f ca="1"/>
        <v>0.49530720563630659</v>
      </c>
      <c r="AH5781" s="2" t="str">
        <f ca="1"/>
        <v>Bad</v>
      </c>
    </row>
    <row r="5782" spans="2:34" x14ac:dyDescent="0.2">
      <c r="B5782" s="2">
        <f ca="1"/>
        <v>0.28796171449187824</v>
      </c>
      <c r="O5782" s="2">
        <f ca="1"/>
        <v>1.4088430783341099</v>
      </c>
      <c r="X5782" s="2">
        <f ca="1"/>
        <v>48.416778444869088</v>
      </c>
      <c r="AG5782" s="2">
        <f ca="1"/>
        <v>0.31322044523928239</v>
      </c>
      <c r="AH5782" s="2" t="str">
        <f ca="1"/>
        <v>OK</v>
      </c>
    </row>
    <row r="5783" spans="2:34" x14ac:dyDescent="0.2">
      <c r="B5783" s="2">
        <f ca="1"/>
        <v>0.75883801343166057</v>
      </c>
      <c r="O5783" s="2">
        <f ca="1"/>
        <v>-0.228885490518283</v>
      </c>
      <c r="X5783" s="2">
        <f ca="1"/>
        <v>39.503468059426574</v>
      </c>
      <c r="AG5783" s="2">
        <f ca="1"/>
        <v>0.92610018594533106</v>
      </c>
      <c r="AH5783" s="2" t="str">
        <f ca="1"/>
        <v>Bad</v>
      </c>
    </row>
    <row r="5784" spans="2:34" x14ac:dyDescent="0.2">
      <c r="B5784" s="2">
        <f ca="1"/>
        <v>2.5914850271412604E-2</v>
      </c>
      <c r="O5784" s="2">
        <f ca="1"/>
        <v>-0.73439155276095858</v>
      </c>
      <c r="X5784" s="2">
        <f ca="1"/>
        <v>80.490692393041797</v>
      </c>
      <c r="AG5784" s="2">
        <f ca="1"/>
        <v>0.21671394585649173</v>
      </c>
      <c r="AH5784" s="2" t="str">
        <f ca="1"/>
        <v>OK</v>
      </c>
    </row>
    <row r="5785" spans="2:34" x14ac:dyDescent="0.2">
      <c r="B5785" s="2">
        <f ca="1"/>
        <v>0.76904305356185443</v>
      </c>
      <c r="O5785" s="2">
        <f ca="1"/>
        <v>0.98176254490413195</v>
      </c>
      <c r="X5785" s="2">
        <f ca="1"/>
        <v>56.748131473672892</v>
      </c>
      <c r="AG5785" s="2">
        <f ca="1"/>
        <v>0.65699385153087242</v>
      </c>
      <c r="AH5785" s="2" t="str">
        <f ca="1"/>
        <v>Bad</v>
      </c>
    </row>
    <row r="5786" spans="2:34" x14ac:dyDescent="0.2">
      <c r="B5786" s="2">
        <f ca="1"/>
        <v>0.82665539457910664</v>
      </c>
      <c r="O5786" s="2">
        <f ca="1"/>
        <v>0.25193012831319267</v>
      </c>
      <c r="X5786" s="2">
        <f ca="1"/>
        <v>27.814844113588315</v>
      </c>
      <c r="AG5786" s="2">
        <f ca="1"/>
        <v>0.16143644408322744</v>
      </c>
      <c r="AH5786" s="2" t="str">
        <f ca="1"/>
        <v>OK</v>
      </c>
    </row>
    <row r="5787" spans="2:34" x14ac:dyDescent="0.2">
      <c r="B5787" s="2">
        <f ca="1"/>
        <v>0.95845303694665485</v>
      </c>
      <c r="O5787" s="2">
        <f ca="1"/>
        <v>-6.0592193220202317E-2</v>
      </c>
      <c r="X5787" s="2">
        <f ca="1"/>
        <v>34.943015640980157</v>
      </c>
      <c r="AG5787" s="2">
        <f ca="1"/>
        <v>0.50957912282490292</v>
      </c>
      <c r="AH5787" s="2" t="str">
        <f ca="1"/>
        <v>Bad</v>
      </c>
    </row>
    <row r="5788" spans="2:34" x14ac:dyDescent="0.2">
      <c r="B5788" s="2">
        <f ca="1"/>
        <v>0.83111144107315793</v>
      </c>
      <c r="O5788" s="2">
        <f ca="1"/>
        <v>1.1233935402548454</v>
      </c>
      <c r="X5788" s="2">
        <f ca="1"/>
        <v>53.788370126320892</v>
      </c>
      <c r="AG5788" s="2">
        <f ca="1"/>
        <v>7.5762958012179249E-2</v>
      </c>
      <c r="AH5788" s="2" t="str">
        <f ca="1"/>
        <v>OK</v>
      </c>
    </row>
    <row r="5789" spans="2:34" x14ac:dyDescent="0.2">
      <c r="B5789" s="2">
        <f ca="1"/>
        <v>0.6520318982633635</v>
      </c>
      <c r="O5789" s="2">
        <f ca="1"/>
        <v>0.93705686578794467</v>
      </c>
      <c r="X5789" s="2">
        <f ca="1"/>
        <v>58.358601209101991</v>
      </c>
      <c r="AG5789" s="2">
        <f ca="1"/>
        <v>0.52603228210970343</v>
      </c>
      <c r="AH5789" s="2" t="str">
        <f ca="1"/>
        <v>Bad</v>
      </c>
    </row>
    <row r="5790" spans="2:34" x14ac:dyDescent="0.2">
      <c r="B5790" s="2">
        <f ca="1"/>
        <v>6.3228261947799957E-2</v>
      </c>
      <c r="O5790" s="2">
        <f ca="1"/>
        <v>-0.68415661757036939</v>
      </c>
      <c r="X5790" s="2">
        <f ca="1"/>
        <v>31.874129616881376</v>
      </c>
      <c r="AG5790" s="2">
        <f ca="1"/>
        <v>0.98109160351446234</v>
      </c>
      <c r="AH5790" s="2" t="str">
        <f ca="1"/>
        <v>Bad</v>
      </c>
    </row>
    <row r="5791" spans="2:34" x14ac:dyDescent="0.2">
      <c r="B5791" s="2">
        <f ca="1"/>
        <v>4.7038553975505382E-2</v>
      </c>
      <c r="O5791" s="2">
        <f ca="1"/>
        <v>1.0378840008847832</v>
      </c>
      <c r="X5791" s="2">
        <f ca="1"/>
        <v>38.776258501031705</v>
      </c>
      <c r="AG5791" s="2">
        <f ca="1"/>
        <v>0.90575281269056429</v>
      </c>
      <c r="AH5791" s="2" t="str">
        <f ca="1"/>
        <v>Bad</v>
      </c>
    </row>
    <row r="5792" spans="2:34" x14ac:dyDescent="0.2">
      <c r="B5792" s="2">
        <f ca="1"/>
        <v>0.92120397951704569</v>
      </c>
      <c r="O5792" s="2">
        <f ca="1"/>
        <v>1.6549864266323948</v>
      </c>
      <c r="X5792" s="2">
        <f ca="1"/>
        <v>65.145496125872896</v>
      </c>
      <c r="AG5792" s="2">
        <f ca="1"/>
        <v>0.97257966587646161</v>
      </c>
      <c r="AH5792" s="2" t="str">
        <f ca="1"/>
        <v>Bad</v>
      </c>
    </row>
    <row r="5793" spans="2:34" x14ac:dyDescent="0.2">
      <c r="B5793" s="2">
        <f ca="1"/>
        <v>0.51917461946782106</v>
      </c>
      <c r="O5793" s="2">
        <f ca="1"/>
        <v>-1.0308785208628464</v>
      </c>
      <c r="X5793" s="2">
        <f ca="1"/>
        <v>34.323208368987572</v>
      </c>
      <c r="AG5793" s="2">
        <f ca="1"/>
        <v>0.49815808400674144</v>
      </c>
      <c r="AH5793" s="2" t="str">
        <f ca="1"/>
        <v>Bad</v>
      </c>
    </row>
    <row r="5794" spans="2:34" x14ac:dyDescent="0.2">
      <c r="B5794" s="2">
        <f ca="1"/>
        <v>0.55336368569631778</v>
      </c>
      <c r="O5794" s="2">
        <f ca="1"/>
        <v>-1.0036085906230161</v>
      </c>
      <c r="X5794" s="2">
        <f ca="1"/>
        <v>46.42776835610664</v>
      </c>
      <c r="AG5794" s="2">
        <f ca="1"/>
        <v>0.63692730972868161</v>
      </c>
      <c r="AH5794" s="2" t="str">
        <f ca="1"/>
        <v>Bad</v>
      </c>
    </row>
    <row r="5795" spans="2:34" x14ac:dyDescent="0.2">
      <c r="B5795" s="2">
        <f ca="1"/>
        <v>0.6969098287092732</v>
      </c>
      <c r="O5795" s="2">
        <f ca="1"/>
        <v>-0.27992383631461465</v>
      </c>
      <c r="X5795" s="2">
        <f ca="1"/>
        <v>59.214326131717819</v>
      </c>
      <c r="AG5795" s="2">
        <f ca="1"/>
        <v>0.75186705392323927</v>
      </c>
      <c r="AH5795" s="2" t="str">
        <f ca="1"/>
        <v>Bad</v>
      </c>
    </row>
    <row r="5796" spans="2:34" x14ac:dyDescent="0.2">
      <c r="B5796" s="2">
        <f ca="1"/>
        <v>0.24626869813735763</v>
      </c>
      <c r="O5796" s="2">
        <f ca="1"/>
        <v>-0.88839025507112912</v>
      </c>
      <c r="X5796" s="2">
        <f ca="1"/>
        <v>64.65253872589976</v>
      </c>
      <c r="AG5796" s="2">
        <f ca="1"/>
        <v>0.71331171335327559</v>
      </c>
      <c r="AH5796" s="2" t="str">
        <f ca="1"/>
        <v>Bad</v>
      </c>
    </row>
    <row r="5797" spans="2:34" x14ac:dyDescent="0.2">
      <c r="B5797" s="2">
        <f ca="1"/>
        <v>0.62875366934710275</v>
      </c>
      <c r="O5797" s="2">
        <f ca="1"/>
        <v>0.19440691217116565</v>
      </c>
      <c r="X5797" s="2">
        <f ca="1"/>
        <v>40.880711107529457</v>
      </c>
      <c r="AG5797" s="2">
        <f ca="1"/>
        <v>0.61452259841061596</v>
      </c>
      <c r="AH5797" s="2" t="str">
        <f ca="1"/>
        <v>Bad</v>
      </c>
    </row>
    <row r="5798" spans="2:34" x14ac:dyDescent="0.2">
      <c r="B5798" s="2">
        <f ca="1"/>
        <v>0.402698954125978</v>
      </c>
      <c r="O5798" s="2">
        <f ca="1"/>
        <v>-1.2529199346479238</v>
      </c>
      <c r="X5798" s="2">
        <f ca="1"/>
        <v>32.347071460375986</v>
      </c>
      <c r="AG5798" s="2">
        <f ca="1"/>
        <v>0.43838827570935068</v>
      </c>
      <c r="AH5798" s="2" t="str">
        <f ca="1"/>
        <v>Bad</v>
      </c>
    </row>
    <row r="5799" spans="2:34" x14ac:dyDescent="0.2">
      <c r="B5799" s="2">
        <f ca="1"/>
        <v>0.47589019676069699</v>
      </c>
      <c r="O5799" s="2">
        <f ca="1"/>
        <v>0.47909455879310753</v>
      </c>
      <c r="X5799" s="2">
        <f ca="1"/>
        <v>27.463343763301268</v>
      </c>
      <c r="AG5799" s="2">
        <f ca="1"/>
        <v>0.73642270187552383</v>
      </c>
      <c r="AH5799" s="2" t="str">
        <f ca="1"/>
        <v>Bad</v>
      </c>
    </row>
    <row r="5800" spans="2:34" x14ac:dyDescent="0.2">
      <c r="B5800" s="2">
        <f ca="1"/>
        <v>0.91242498743577505</v>
      </c>
      <c r="O5800" s="2">
        <f ca="1"/>
        <v>-0.27249371948214252</v>
      </c>
      <c r="X5800" s="2">
        <f ca="1"/>
        <v>49.921079320482598</v>
      </c>
      <c r="AG5800" s="2">
        <f ca="1"/>
        <v>0.48859952591807887</v>
      </c>
      <c r="AH5800" s="2" t="str">
        <f ca="1"/>
        <v>Bad</v>
      </c>
    </row>
    <row r="5801" spans="2:34" x14ac:dyDescent="0.2">
      <c r="B5801" s="2">
        <f ca="1"/>
        <v>0.61342494140448656</v>
      </c>
      <c r="O5801" s="2">
        <f ca="1"/>
        <v>0.21396006100503065</v>
      </c>
      <c r="X5801" s="2">
        <f ca="1"/>
        <v>89.102620185347774</v>
      </c>
      <c r="AG5801" s="2">
        <f ca="1"/>
        <v>0.3994226344343188</v>
      </c>
      <c r="AH5801" s="2" t="str">
        <f ca="1"/>
        <v>OK</v>
      </c>
    </row>
    <row r="5802" spans="2:34" x14ac:dyDescent="0.2">
      <c r="B5802" s="2">
        <f ca="1"/>
        <v>0.20252815950172609</v>
      </c>
      <c r="O5802" s="2">
        <f ca="1"/>
        <v>0.17001470887504619</v>
      </c>
      <c r="X5802" s="2">
        <f ca="1"/>
        <v>30.893329251987591</v>
      </c>
      <c r="AG5802" s="2">
        <f ca="1"/>
        <v>8.5961284097228363E-2</v>
      </c>
      <c r="AH5802" s="2" t="str">
        <f ca="1"/>
        <v>OK</v>
      </c>
    </row>
    <row r="5803" spans="2:34" x14ac:dyDescent="0.2">
      <c r="B5803" s="2">
        <f ca="1"/>
        <v>0.64888183504576147</v>
      </c>
      <c r="O5803" s="2">
        <f ca="1"/>
        <v>-0.16388039278833053</v>
      </c>
      <c r="X5803" s="2">
        <f ca="1"/>
        <v>110.88575374984602</v>
      </c>
      <c r="AG5803" s="2">
        <f ca="1"/>
        <v>0.79426089908594943</v>
      </c>
      <c r="AH5803" s="2" t="str">
        <f ca="1"/>
        <v>Bad</v>
      </c>
    </row>
    <row r="5804" spans="2:34" x14ac:dyDescent="0.2">
      <c r="B5804" s="2">
        <f ca="1"/>
        <v>0.71522076000611112</v>
      </c>
      <c r="O5804" s="2">
        <f ca="1"/>
        <v>-0.88981441284979013</v>
      </c>
      <c r="X5804" s="2">
        <f ca="1"/>
        <v>49.628017649230436</v>
      </c>
      <c r="AG5804" s="2">
        <f ca="1"/>
        <v>0.74794412965822632</v>
      </c>
      <c r="AH5804" s="2" t="str">
        <f ca="1"/>
        <v>Bad</v>
      </c>
    </row>
    <row r="5805" spans="2:34" x14ac:dyDescent="0.2">
      <c r="B5805" s="2">
        <f ca="1"/>
        <v>0.88513311325568433</v>
      </c>
      <c r="O5805" s="2">
        <f ca="1"/>
        <v>0.95064102675672268</v>
      </c>
      <c r="X5805" s="2">
        <f ca="1"/>
        <v>33.44754476437852</v>
      </c>
      <c r="AG5805" s="2">
        <f ca="1"/>
        <v>0.83405234377612603</v>
      </c>
      <c r="AH5805" s="2" t="str">
        <f ca="1"/>
        <v>Bad</v>
      </c>
    </row>
    <row r="5806" spans="2:34" x14ac:dyDescent="0.2">
      <c r="B5806" s="2">
        <f ca="1"/>
        <v>0.24153341318496468</v>
      </c>
      <c r="O5806" s="2">
        <f ca="1"/>
        <v>-1.2530269920761095</v>
      </c>
      <c r="X5806" s="2">
        <f ca="1"/>
        <v>24.676382683724878</v>
      </c>
      <c r="AG5806" s="2">
        <f ca="1"/>
        <v>0.3185087086180125</v>
      </c>
      <c r="AH5806" s="2" t="str">
        <f ca="1"/>
        <v>OK</v>
      </c>
    </row>
    <row r="5807" spans="2:34" x14ac:dyDescent="0.2">
      <c r="B5807" s="2">
        <f ca="1"/>
        <v>0.94308005210449219</v>
      </c>
      <c r="O5807" s="2">
        <f ca="1"/>
        <v>5.3065760968459434E-2</v>
      </c>
      <c r="X5807" s="2">
        <f ca="1"/>
        <v>35.908751101588642</v>
      </c>
      <c r="AG5807" s="2">
        <f ca="1"/>
        <v>0.70625980851635517</v>
      </c>
      <c r="AH5807" s="2" t="str">
        <f ca="1"/>
        <v>Bad</v>
      </c>
    </row>
    <row r="5808" spans="2:34" x14ac:dyDescent="0.2">
      <c r="B5808" s="2">
        <f ca="1"/>
        <v>5.1831209290328584E-2</v>
      </c>
      <c r="O5808" s="2">
        <f ca="1"/>
        <v>-0.56506423018852925</v>
      </c>
      <c r="X5808" s="2">
        <f ca="1"/>
        <v>24.13162175457099</v>
      </c>
      <c r="AG5808" s="2">
        <f ca="1"/>
        <v>0.94963111883617657</v>
      </c>
      <c r="AH5808" s="2" t="str">
        <f ca="1"/>
        <v>Bad</v>
      </c>
    </row>
    <row r="5809" spans="2:34" x14ac:dyDescent="0.2">
      <c r="B5809" s="2">
        <f ca="1"/>
        <v>3.0458435567989106E-2</v>
      </c>
      <c r="O5809" s="2">
        <f ca="1"/>
        <v>-0.17897844871298882</v>
      </c>
      <c r="X5809" s="2">
        <f ca="1"/>
        <v>45.64967412685214</v>
      </c>
      <c r="AG5809" s="2">
        <f ca="1"/>
        <v>0.83007547438410056</v>
      </c>
      <c r="AH5809" s="2" t="str">
        <f ca="1"/>
        <v>Bad</v>
      </c>
    </row>
    <row r="5810" spans="2:34" x14ac:dyDescent="0.2">
      <c r="B5810" s="2">
        <f ca="1"/>
        <v>0.50811729338649814</v>
      </c>
      <c r="O5810" s="2">
        <f ca="1"/>
        <v>2.4561277878961723</v>
      </c>
      <c r="X5810" s="2">
        <f ca="1"/>
        <v>53.937100902058638</v>
      </c>
      <c r="AG5810" s="2">
        <f ca="1"/>
        <v>0.63826197197545831</v>
      </c>
      <c r="AH5810" s="2" t="str">
        <f ca="1"/>
        <v>Bad</v>
      </c>
    </row>
    <row r="5811" spans="2:34" x14ac:dyDescent="0.2">
      <c r="B5811" s="2">
        <f ca="1"/>
        <v>0.27567695004228354</v>
      </c>
      <c r="O5811" s="2">
        <f ca="1"/>
        <v>-0.48232838807801359</v>
      </c>
      <c r="X5811" s="2">
        <f ca="1"/>
        <v>48.454399412003461</v>
      </c>
      <c r="AG5811" s="2">
        <f ca="1"/>
        <v>0.35474616620746602</v>
      </c>
      <c r="AH5811" s="2" t="str">
        <f ca="1"/>
        <v>OK</v>
      </c>
    </row>
    <row r="5812" spans="2:34" x14ac:dyDescent="0.2">
      <c r="B5812" s="2">
        <f ca="1"/>
        <v>0.92186300726206061</v>
      </c>
      <c r="O5812" s="2">
        <f ca="1"/>
        <v>0.95912956196596599</v>
      </c>
      <c r="X5812" s="2">
        <f ca="1"/>
        <v>59.083507907373018</v>
      </c>
      <c r="AG5812" s="2">
        <f ca="1"/>
        <v>0.26889743509067987</v>
      </c>
      <c r="AH5812" s="2" t="str">
        <f ca="1"/>
        <v>OK</v>
      </c>
    </row>
    <row r="5813" spans="2:34" x14ac:dyDescent="0.2">
      <c r="B5813" s="2">
        <f ca="1"/>
        <v>0.98817129682250671</v>
      </c>
      <c r="O5813" s="2">
        <f ca="1"/>
        <v>1.1603014794406925</v>
      </c>
      <c r="X5813" s="2">
        <f ca="1"/>
        <v>39.410740617779695</v>
      </c>
      <c r="AG5813" s="2">
        <f ca="1"/>
        <v>0.70864348711863623</v>
      </c>
      <c r="AH5813" s="2" t="str">
        <f ca="1"/>
        <v>Bad</v>
      </c>
    </row>
    <row r="5814" spans="2:34" x14ac:dyDescent="0.2">
      <c r="B5814" s="2">
        <f ca="1"/>
        <v>0.83032516719164828</v>
      </c>
      <c r="O5814" s="2">
        <f ca="1"/>
        <v>-2.000586697483759E-2</v>
      </c>
      <c r="X5814" s="2">
        <f ca="1"/>
        <v>41.673689432587402</v>
      </c>
      <c r="AG5814" s="2">
        <f ca="1"/>
        <v>0.87939556442910649</v>
      </c>
      <c r="AH5814" s="2" t="str">
        <f ca="1"/>
        <v>Bad</v>
      </c>
    </row>
    <row r="5815" spans="2:34" x14ac:dyDescent="0.2">
      <c r="B5815" s="2">
        <f ca="1"/>
        <v>0.67625585297459101</v>
      </c>
      <c r="O5815" s="2">
        <f ca="1"/>
        <v>1.0586465926240931</v>
      </c>
      <c r="X5815" s="2">
        <f ca="1"/>
        <v>37.925474096316734</v>
      </c>
      <c r="AG5815" s="2">
        <f ca="1"/>
        <v>0.97924300266510134</v>
      </c>
      <c r="AH5815" s="2" t="str">
        <f ca="1"/>
        <v>Bad</v>
      </c>
    </row>
    <row r="5816" spans="2:34" x14ac:dyDescent="0.2">
      <c r="B5816" s="2">
        <f ca="1"/>
        <v>0.36356860843361183</v>
      </c>
      <c r="O5816" s="2">
        <f ca="1"/>
        <v>-0.31295746402810576</v>
      </c>
      <c r="X5816" s="2">
        <f ca="1"/>
        <v>35.047960653387278</v>
      </c>
      <c r="AG5816" s="2">
        <f ca="1"/>
        <v>0.61416937217247813</v>
      </c>
      <c r="AH5816" s="2" t="str">
        <f ca="1"/>
        <v>Bad</v>
      </c>
    </row>
    <row r="5817" spans="2:34" x14ac:dyDescent="0.2">
      <c r="B5817" s="2">
        <f ca="1"/>
        <v>0.76345992358045556</v>
      </c>
      <c r="O5817" s="2">
        <f ca="1"/>
        <v>1.3709657118848511</v>
      </c>
      <c r="X5817" s="2">
        <f ca="1"/>
        <v>62.961900597651891</v>
      </c>
      <c r="AG5817" s="2">
        <f ca="1"/>
        <v>0.4967212983258118</v>
      </c>
      <c r="AH5817" s="2" t="str">
        <f ca="1"/>
        <v>Bad</v>
      </c>
    </row>
    <row r="5818" spans="2:34" x14ac:dyDescent="0.2">
      <c r="B5818" s="2">
        <f ca="1"/>
        <v>0.95892081890089553</v>
      </c>
      <c r="O5818" s="2">
        <f ca="1"/>
        <v>0.40819914282032871</v>
      </c>
      <c r="X5818" s="2">
        <f ca="1"/>
        <v>43.94577220515707</v>
      </c>
      <c r="AG5818" s="2">
        <f ca="1"/>
        <v>0.25401256706922637</v>
      </c>
      <c r="AH5818" s="2" t="str">
        <f ca="1"/>
        <v>OK</v>
      </c>
    </row>
    <row r="5819" spans="2:34" x14ac:dyDescent="0.2">
      <c r="B5819" s="2">
        <f ca="1"/>
        <v>0.22036440439424432</v>
      </c>
      <c r="O5819" s="2">
        <f ca="1"/>
        <v>4.3080609915919638E-2</v>
      </c>
      <c r="X5819" s="2">
        <f ca="1"/>
        <v>66.967350243533758</v>
      </c>
      <c r="AG5819" s="2">
        <f ca="1"/>
        <v>0.78311922481886143</v>
      </c>
      <c r="AH5819" s="2" t="str">
        <f ca="1"/>
        <v>Bad</v>
      </c>
    </row>
    <row r="5820" spans="2:34" x14ac:dyDescent="0.2">
      <c r="B5820" s="2">
        <f ca="1"/>
        <v>0.40540497736559944</v>
      </c>
      <c r="O5820" s="2">
        <f ca="1"/>
        <v>1.3709874322634565</v>
      </c>
      <c r="X5820" s="2">
        <f ca="1"/>
        <v>45.960570711670684</v>
      </c>
      <c r="AG5820" s="2">
        <f ca="1"/>
        <v>0.92112572448036656</v>
      </c>
      <c r="AH5820" s="2" t="str">
        <f ca="1"/>
        <v>Bad</v>
      </c>
    </row>
    <row r="5821" spans="2:34" x14ac:dyDescent="0.2">
      <c r="B5821" s="2">
        <f ca="1"/>
        <v>0.256230472190764</v>
      </c>
      <c r="O5821" s="2">
        <f ca="1"/>
        <v>-1.2064432081107652</v>
      </c>
      <c r="X5821" s="2">
        <f ca="1"/>
        <v>57.02226043593474</v>
      </c>
      <c r="AG5821" s="2">
        <f ca="1"/>
        <v>0.66139760632467293</v>
      </c>
      <c r="AH5821" s="2" t="str">
        <f ca="1"/>
        <v>Bad</v>
      </c>
    </row>
    <row r="5822" spans="2:34" x14ac:dyDescent="0.2">
      <c r="B5822" s="2">
        <f ca="1"/>
        <v>0.60029681523960132</v>
      </c>
      <c r="O5822" s="2">
        <f ca="1"/>
        <v>8.8486856290414889E-2</v>
      </c>
      <c r="X5822" s="2">
        <f ca="1"/>
        <v>49.825163109216739</v>
      </c>
      <c r="AG5822" s="2">
        <f ca="1"/>
        <v>0.28500644420934074</v>
      </c>
      <c r="AH5822" s="2" t="str">
        <f ca="1"/>
        <v>OK</v>
      </c>
    </row>
    <row r="5823" spans="2:34" x14ac:dyDescent="0.2">
      <c r="B5823" s="2">
        <f ca="1"/>
        <v>0.92984207868080704</v>
      </c>
      <c r="O5823" s="2">
        <f ca="1"/>
        <v>2.3281390637303927</v>
      </c>
      <c r="X5823" s="2">
        <f ca="1"/>
        <v>44.045040103425507</v>
      </c>
      <c r="AG5823" s="2">
        <f ca="1"/>
        <v>0.69588889194570069</v>
      </c>
      <c r="AH5823" s="2" t="str">
        <f ca="1"/>
        <v>Bad</v>
      </c>
    </row>
    <row r="5824" spans="2:34" x14ac:dyDescent="0.2">
      <c r="B5824" s="2">
        <f ca="1"/>
        <v>0.89346376361981084</v>
      </c>
      <c r="O5824" s="2">
        <f ca="1"/>
        <v>-1.9837760270857401</v>
      </c>
      <c r="X5824" s="2">
        <f ca="1"/>
        <v>29.651295638685543</v>
      </c>
      <c r="AG5824" s="2">
        <f ca="1"/>
        <v>0.79361383765796223</v>
      </c>
      <c r="AH5824" s="2" t="str">
        <f ca="1"/>
        <v>Bad</v>
      </c>
    </row>
    <row r="5825" spans="2:34" x14ac:dyDescent="0.2">
      <c r="B5825" s="2">
        <f ca="1"/>
        <v>0.58461259370840835</v>
      </c>
      <c r="O5825" s="2">
        <f ca="1"/>
        <v>0.42883803722120234</v>
      </c>
      <c r="X5825" s="2">
        <f ca="1"/>
        <v>66.275969720330338</v>
      </c>
      <c r="AG5825" s="2">
        <f ca="1"/>
        <v>2.8462083110374348E-3</v>
      </c>
      <c r="AH5825" s="2" t="str">
        <f ca="1"/>
        <v>Good</v>
      </c>
    </row>
    <row r="5826" spans="2:34" x14ac:dyDescent="0.2">
      <c r="B5826" s="2">
        <f ca="1"/>
        <v>0.54737577805989357</v>
      </c>
      <c r="O5826" s="2">
        <f ca="1"/>
        <v>9.4808614347173886E-2</v>
      </c>
      <c r="X5826" s="2">
        <f ca="1"/>
        <v>49.697046643892399</v>
      </c>
      <c r="AG5826" s="2">
        <f ca="1"/>
        <v>0.28214013801146898</v>
      </c>
      <c r="AH5826" s="2" t="str">
        <f ca="1"/>
        <v>OK</v>
      </c>
    </row>
    <row r="5827" spans="2:34" x14ac:dyDescent="0.2">
      <c r="B5827" s="2">
        <f ca="1"/>
        <v>0.4685249408762957</v>
      </c>
      <c r="O5827" s="2">
        <f ca="1"/>
        <v>0.39173055628520431</v>
      </c>
      <c r="X5827" s="2">
        <f ca="1"/>
        <v>56.758327746998035</v>
      </c>
      <c r="AG5827" s="2">
        <f ca="1"/>
        <v>0.43065284028009421</v>
      </c>
      <c r="AH5827" s="2" t="str">
        <f ca="1"/>
        <v>Bad</v>
      </c>
    </row>
    <row r="5828" spans="2:34" x14ac:dyDescent="0.2">
      <c r="B5828" s="2">
        <f ca="1"/>
        <v>0.75693927958167051</v>
      </c>
      <c r="O5828" s="2">
        <f ca="1"/>
        <v>0.22842366334867203</v>
      </c>
      <c r="X5828" s="2">
        <f ca="1"/>
        <v>44.092850947511977</v>
      </c>
      <c r="AG5828" s="2">
        <f ca="1"/>
        <v>0.76260554976892636</v>
      </c>
      <c r="AH5828" s="2" t="str">
        <f ca="1"/>
        <v>Bad</v>
      </c>
    </row>
    <row r="5829" spans="2:34" x14ac:dyDescent="0.2">
      <c r="B5829" s="2">
        <f ca="1"/>
        <v>0.98565271346333772</v>
      </c>
      <c r="O5829" s="2">
        <f ca="1"/>
        <v>-1.5656083455430179</v>
      </c>
      <c r="X5829" s="2">
        <f ca="1"/>
        <v>57.175326463024319</v>
      </c>
      <c r="AG5829" s="2">
        <f ca="1"/>
        <v>0.9513812125943617</v>
      </c>
      <c r="AH5829" s="2" t="str">
        <f ca="1"/>
        <v>Bad</v>
      </c>
    </row>
    <row r="5830" spans="2:34" x14ac:dyDescent="0.2">
      <c r="B5830" s="2">
        <f ca="1"/>
        <v>5.0256415661363851E-2</v>
      </c>
      <c r="O5830" s="2">
        <f ca="1"/>
        <v>-1.201449349540243</v>
      </c>
      <c r="X5830" s="2">
        <f ca="1"/>
        <v>65.55754476405022</v>
      </c>
      <c r="AG5830" s="2">
        <f ca="1"/>
        <v>0.90396045672328662</v>
      </c>
      <c r="AH5830" s="2" t="str">
        <f ca="1"/>
        <v>Bad</v>
      </c>
    </row>
    <row r="5831" spans="2:34" x14ac:dyDescent="0.2">
      <c r="B5831" s="2">
        <f ca="1"/>
        <v>2.4668479644944785E-3</v>
      </c>
      <c r="O5831" s="2">
        <f ca="1"/>
        <v>-0.29713148194781186</v>
      </c>
      <c r="X5831" s="2">
        <f ca="1"/>
        <v>83.570445594142996</v>
      </c>
      <c r="AG5831" s="2">
        <f ca="1"/>
        <v>9.1493788240826435E-2</v>
      </c>
      <c r="AH5831" s="2" t="str">
        <f ca="1"/>
        <v>OK</v>
      </c>
    </row>
    <row r="5832" spans="2:34" x14ac:dyDescent="0.2">
      <c r="B5832" s="2">
        <f ca="1"/>
        <v>0.84156320059825673</v>
      </c>
      <c r="O5832" s="2">
        <f ca="1"/>
        <v>5.754754614887498E-2</v>
      </c>
      <c r="X5832" s="2">
        <f ca="1"/>
        <v>28.85580602377804</v>
      </c>
      <c r="AG5832" s="2">
        <f ca="1"/>
        <v>0.34094279065235811</v>
      </c>
      <c r="AH5832" s="2" t="str">
        <f ca="1"/>
        <v>OK</v>
      </c>
    </row>
    <row r="5833" spans="2:34" x14ac:dyDescent="0.2">
      <c r="B5833" s="2">
        <f ca="1"/>
        <v>4.6552836560142419E-2</v>
      </c>
      <c r="O5833" s="2">
        <f ca="1"/>
        <v>0.14098185586777096</v>
      </c>
      <c r="X5833" s="2">
        <f ca="1"/>
        <v>48.737461967415207</v>
      </c>
      <c r="AG5833" s="2">
        <f ca="1"/>
        <v>0.99589570882813816</v>
      </c>
      <c r="AH5833" s="2" t="str">
        <f ca="1"/>
        <v>Bad</v>
      </c>
    </row>
    <row r="5834" spans="2:34" x14ac:dyDescent="0.2">
      <c r="B5834" s="2">
        <f ca="1"/>
        <v>0.93110105561783962</v>
      </c>
      <c r="O5834" s="2">
        <f ca="1"/>
        <v>0.13194648287069355</v>
      </c>
      <c r="X5834" s="2">
        <f ca="1"/>
        <v>80.072653734053731</v>
      </c>
      <c r="AG5834" s="2">
        <f ca="1"/>
        <v>0.99902407846246555</v>
      </c>
      <c r="AH5834" s="2" t="str">
        <f ca="1"/>
        <v>Bad</v>
      </c>
    </row>
    <row r="5835" spans="2:34" x14ac:dyDescent="0.2">
      <c r="B5835" s="2">
        <f ca="1"/>
        <v>0.5475573304190009</v>
      </c>
      <c r="O5835" s="2">
        <f ca="1"/>
        <v>0.77843182312297066</v>
      </c>
      <c r="X5835" s="2">
        <f ca="1"/>
        <v>49.738810185630157</v>
      </c>
      <c r="AG5835" s="2">
        <f ca="1"/>
        <v>0.35630365588386281</v>
      </c>
      <c r="AH5835" s="2" t="str">
        <f ca="1"/>
        <v>OK</v>
      </c>
    </row>
    <row r="5836" spans="2:34" x14ac:dyDescent="0.2">
      <c r="B5836" s="2">
        <f ca="1"/>
        <v>0.93674169698115661</v>
      </c>
      <c r="O5836" s="2">
        <f ca="1"/>
        <v>-0.39463820286718643</v>
      </c>
      <c r="X5836" s="2">
        <f ca="1"/>
        <v>74.039466108297717</v>
      </c>
      <c r="AG5836" s="2">
        <f ca="1"/>
        <v>0.138278126307116</v>
      </c>
      <c r="AH5836" s="2" t="str">
        <f ca="1"/>
        <v>OK</v>
      </c>
    </row>
    <row r="5837" spans="2:34" x14ac:dyDescent="0.2">
      <c r="B5837" s="2">
        <f ca="1"/>
        <v>0.75672287954821482</v>
      </c>
      <c r="O5837" s="2">
        <f ca="1"/>
        <v>1.2151021512352023</v>
      </c>
      <c r="X5837" s="2">
        <f ca="1"/>
        <v>39.080960587873037</v>
      </c>
      <c r="AG5837" s="2">
        <f ca="1"/>
        <v>0.84635689101569311</v>
      </c>
      <c r="AH5837" s="2" t="str">
        <f ca="1"/>
        <v>Bad</v>
      </c>
    </row>
    <row r="5838" spans="2:34" x14ac:dyDescent="0.2">
      <c r="B5838" s="2">
        <f ca="1"/>
        <v>8.8475261390699389E-2</v>
      </c>
      <c r="O5838" s="2">
        <f ca="1"/>
        <v>-0.18285946184304819</v>
      </c>
      <c r="X5838" s="2">
        <f ca="1"/>
        <v>40.02103665030431</v>
      </c>
      <c r="AG5838" s="2">
        <f ca="1"/>
        <v>0.40903266643359992</v>
      </c>
      <c r="AH5838" s="2" t="str">
        <f ca="1"/>
        <v>Bad</v>
      </c>
    </row>
    <row r="5839" spans="2:34" x14ac:dyDescent="0.2">
      <c r="B5839" s="2">
        <f ca="1"/>
        <v>0.95442690403957187</v>
      </c>
      <c r="O5839" s="2">
        <f ca="1"/>
        <v>0.5078242864262229</v>
      </c>
      <c r="X5839" s="2">
        <f ca="1"/>
        <v>35.74095587934746</v>
      </c>
      <c r="AG5839" s="2">
        <f ca="1"/>
        <v>0.51835110317066491</v>
      </c>
      <c r="AH5839" s="2" t="str">
        <f ca="1"/>
        <v>Bad</v>
      </c>
    </row>
    <row r="5840" spans="2:34" x14ac:dyDescent="0.2">
      <c r="B5840" s="2">
        <f ca="1"/>
        <v>0.86815619610074135</v>
      </c>
      <c r="O5840" s="2">
        <f ca="1"/>
        <v>0.34025571209389072</v>
      </c>
      <c r="X5840" s="2">
        <f ca="1"/>
        <v>57.782486661784951</v>
      </c>
      <c r="AG5840" s="2">
        <f ca="1"/>
        <v>0.38013200491118271</v>
      </c>
      <c r="AH5840" s="2" t="str">
        <f ca="1"/>
        <v>OK</v>
      </c>
    </row>
    <row r="5841" spans="2:34" x14ac:dyDescent="0.2">
      <c r="B5841" s="2">
        <f ca="1"/>
        <v>0.70642669502672928</v>
      </c>
      <c r="O5841" s="2">
        <f ca="1"/>
        <v>1.3117152612083467</v>
      </c>
      <c r="X5841" s="2">
        <f ca="1"/>
        <v>46.010330897244259</v>
      </c>
      <c r="AG5841" s="2">
        <f ca="1"/>
        <v>0.97217960922688418</v>
      </c>
      <c r="AH5841" s="2" t="str">
        <f ca="1"/>
        <v>Bad</v>
      </c>
    </row>
    <row r="5842" spans="2:34" x14ac:dyDescent="0.2">
      <c r="B5842" s="2">
        <f ca="1"/>
        <v>0.21972287922923073</v>
      </c>
      <c r="O5842" s="2">
        <f ca="1"/>
        <v>-1.3779110263981396</v>
      </c>
      <c r="X5842" s="2">
        <f ca="1"/>
        <v>33.086138443597726</v>
      </c>
      <c r="AG5842" s="2">
        <f ca="1"/>
        <v>0.87671638818147613</v>
      </c>
      <c r="AH5842" s="2" t="str">
        <f ca="1"/>
        <v>Bad</v>
      </c>
    </row>
    <row r="5843" spans="2:34" x14ac:dyDescent="0.2">
      <c r="B5843" s="2">
        <f ca="1"/>
        <v>0.74194008146162926</v>
      </c>
      <c r="O5843" s="2">
        <f ca="1"/>
        <v>-1.0975066157684983</v>
      </c>
      <c r="X5843" s="2">
        <f ca="1"/>
        <v>24.953908645311131</v>
      </c>
      <c r="AG5843" s="2">
        <f ca="1"/>
        <v>0.23521616680381041</v>
      </c>
      <c r="AH5843" s="2" t="str">
        <f ca="1"/>
        <v>OK</v>
      </c>
    </row>
    <row r="5844" spans="2:34" x14ac:dyDescent="0.2">
      <c r="B5844" s="2">
        <f ca="1"/>
        <v>0.21569807639989902</v>
      </c>
      <c r="O5844" s="2">
        <f ca="1"/>
        <v>-1.5062444559486374</v>
      </c>
      <c r="X5844" s="2">
        <f ca="1"/>
        <v>70.088619797888683</v>
      </c>
      <c r="AG5844" s="2">
        <f ca="1"/>
        <v>0.72941515005769353</v>
      </c>
      <c r="AH5844" s="2" t="str">
        <f ca="1"/>
        <v>Bad</v>
      </c>
    </row>
    <row r="5845" spans="2:34" x14ac:dyDescent="0.2">
      <c r="B5845" s="2">
        <f ca="1"/>
        <v>0.41915319145539853</v>
      </c>
      <c r="O5845" s="2">
        <f ca="1"/>
        <v>-6.9971811751138091E-2</v>
      </c>
      <c r="X5845" s="2">
        <f ca="1"/>
        <v>53.316550143234245</v>
      </c>
      <c r="AG5845" s="2">
        <f ca="1"/>
        <v>0.56231724641326641</v>
      </c>
      <c r="AH5845" s="2" t="str">
        <f ca="1"/>
        <v>Bad</v>
      </c>
    </row>
    <row r="5846" spans="2:34" x14ac:dyDescent="0.2">
      <c r="B5846" s="2">
        <f ca="1"/>
        <v>0.98706078818670595</v>
      </c>
      <c r="O5846" s="2">
        <f ca="1"/>
        <v>-0.2112732635960326</v>
      </c>
      <c r="X5846" s="2">
        <f ca="1"/>
        <v>39.845039278975577</v>
      </c>
      <c r="AG5846" s="2">
        <f ca="1"/>
        <v>0.95171443585600524</v>
      </c>
      <c r="AH5846" s="2" t="str">
        <f ca="1"/>
        <v>Bad</v>
      </c>
    </row>
    <row r="5847" spans="2:34" x14ac:dyDescent="0.2">
      <c r="B5847" s="2">
        <f ca="1"/>
        <v>0.83749771507276938</v>
      </c>
      <c r="O5847" s="2">
        <f ca="1"/>
        <v>4.4807462968122026E-2</v>
      </c>
      <c r="X5847" s="2">
        <f ca="1"/>
        <v>41.979033777889697</v>
      </c>
      <c r="AG5847" s="2">
        <f ca="1"/>
        <v>0.41754574558003243</v>
      </c>
      <c r="AH5847" s="2" t="str">
        <f ca="1"/>
        <v>Bad</v>
      </c>
    </row>
    <row r="5848" spans="2:34" x14ac:dyDescent="0.2">
      <c r="B5848" s="2">
        <f ca="1"/>
        <v>0.99329213924647974</v>
      </c>
      <c r="O5848" s="2">
        <f ca="1"/>
        <v>0.19698710584442936</v>
      </c>
      <c r="X5848" s="2">
        <f ca="1"/>
        <v>44.554868370166822</v>
      </c>
      <c r="AG5848" s="2">
        <f ca="1"/>
        <v>4.6698894358445653E-2</v>
      </c>
      <c r="AH5848" s="2" t="str">
        <f ca="1"/>
        <v>Good</v>
      </c>
    </row>
    <row r="5849" spans="2:34" x14ac:dyDescent="0.2">
      <c r="B5849" s="2">
        <f ca="1"/>
        <v>0.99592393553535796</v>
      </c>
      <c r="O5849" s="2">
        <f ca="1"/>
        <v>-0.71406928523047608</v>
      </c>
      <c r="X5849" s="2">
        <f ca="1"/>
        <v>68.108978072993281</v>
      </c>
      <c r="AG5849" s="2">
        <f ca="1"/>
        <v>0.54185344762088428</v>
      </c>
      <c r="AH5849" s="2" t="str">
        <f ca="1"/>
        <v>Bad</v>
      </c>
    </row>
    <row r="5850" spans="2:34" x14ac:dyDescent="0.2">
      <c r="B5850" s="2">
        <f ca="1"/>
        <v>0.75461973229984358</v>
      </c>
      <c r="O5850" s="2">
        <f ca="1"/>
        <v>-1.5631454474938577E-3</v>
      </c>
      <c r="X5850" s="2">
        <f ca="1"/>
        <v>52.075468109807218</v>
      </c>
      <c r="AG5850" s="2">
        <f ca="1"/>
        <v>0.42296425814430072</v>
      </c>
      <c r="AH5850" s="2" t="str">
        <f ca="1"/>
        <v>Bad</v>
      </c>
    </row>
    <row r="5851" spans="2:34" x14ac:dyDescent="0.2">
      <c r="B5851" s="2">
        <f ca="1"/>
        <v>0.14486886941468757</v>
      </c>
      <c r="O5851" s="2">
        <f ca="1"/>
        <v>-2.1592366845931874</v>
      </c>
      <c r="X5851" s="2">
        <f ca="1"/>
        <v>43.476645570919281</v>
      </c>
      <c r="AG5851" s="2">
        <f ca="1"/>
        <v>0.80989706212907908</v>
      </c>
      <c r="AH5851" s="2" t="str">
        <f ca="1"/>
        <v>Bad</v>
      </c>
    </row>
    <row r="5852" spans="2:34" x14ac:dyDescent="0.2">
      <c r="B5852" s="2">
        <f ca="1"/>
        <v>0.15821100543578548</v>
      </c>
      <c r="O5852" s="2">
        <f ca="1"/>
        <v>-0.33078353193827625</v>
      </c>
      <c r="X5852" s="2">
        <f ca="1"/>
        <v>59.225992360900399</v>
      </c>
      <c r="AG5852" s="2">
        <f ca="1"/>
        <v>0.28584991550829941</v>
      </c>
      <c r="AH5852" s="2" t="str">
        <f ca="1"/>
        <v>OK</v>
      </c>
    </row>
    <row r="5853" spans="2:34" x14ac:dyDescent="0.2">
      <c r="B5853" s="2">
        <f ca="1"/>
        <v>0.97958323083158083</v>
      </c>
      <c r="O5853" s="2">
        <f ca="1"/>
        <v>-1.220363714869402</v>
      </c>
      <c r="X5853" s="2">
        <f ca="1"/>
        <v>46.150293137200734</v>
      </c>
      <c r="AG5853" s="2">
        <f ca="1"/>
        <v>0.35938437217938812</v>
      </c>
      <c r="AH5853" s="2" t="str">
        <f ca="1"/>
        <v>OK</v>
      </c>
    </row>
    <row r="5854" spans="2:34" x14ac:dyDescent="0.2">
      <c r="B5854" s="2">
        <f ca="1"/>
        <v>0.60436696104309573</v>
      </c>
      <c r="O5854" s="2">
        <f ca="1"/>
        <v>-0.66628999628338947</v>
      </c>
      <c r="X5854" s="2">
        <f ca="1"/>
        <v>51.982585102495705</v>
      </c>
      <c r="AG5854" s="2">
        <f ca="1"/>
        <v>0.16292229701015915</v>
      </c>
      <c r="AH5854" s="2" t="str">
        <f ca="1"/>
        <v>OK</v>
      </c>
    </row>
    <row r="5855" spans="2:34" x14ac:dyDescent="0.2">
      <c r="B5855" s="2">
        <f ca="1"/>
        <v>0.90472385581480119</v>
      </c>
      <c r="O5855" s="2">
        <f ca="1"/>
        <v>1.0790038787918028</v>
      </c>
      <c r="X5855" s="2">
        <f ca="1"/>
        <v>39.714673723223008</v>
      </c>
      <c r="AG5855" s="2">
        <f ca="1"/>
        <v>0.20803882834873466</v>
      </c>
      <c r="AH5855" s="2" t="str">
        <f ca="1"/>
        <v>OK</v>
      </c>
    </row>
    <row r="5856" spans="2:34" x14ac:dyDescent="0.2">
      <c r="B5856" s="2">
        <f ca="1"/>
        <v>0.23763443780675475</v>
      </c>
      <c r="O5856" s="2">
        <f ca="1"/>
        <v>-7.005737931302998E-2</v>
      </c>
      <c r="X5856" s="2">
        <f ca="1"/>
        <v>38.351855953610922</v>
      </c>
      <c r="AG5856" s="2">
        <f ca="1"/>
        <v>7.0774598563508651E-2</v>
      </c>
      <c r="AH5856" s="2" t="str">
        <f ca="1"/>
        <v>OK</v>
      </c>
    </row>
    <row r="5857" spans="2:34" x14ac:dyDescent="0.2">
      <c r="B5857" s="2">
        <f ca="1"/>
        <v>0.29932751026022331</v>
      </c>
      <c r="O5857" s="2">
        <f ca="1"/>
        <v>0.48548877682222868</v>
      </c>
      <c r="X5857" s="2">
        <f ca="1"/>
        <v>71.419781973972761</v>
      </c>
      <c r="AG5857" s="2">
        <f ca="1"/>
        <v>0.31259440578792508</v>
      </c>
      <c r="AH5857" s="2" t="str">
        <f ca="1"/>
        <v>OK</v>
      </c>
    </row>
    <row r="5858" spans="2:34" x14ac:dyDescent="0.2">
      <c r="B5858" s="2">
        <f ca="1"/>
        <v>0.54248129709572956</v>
      </c>
      <c r="O5858" s="2">
        <f ca="1"/>
        <v>0.18125986188498638</v>
      </c>
      <c r="X5858" s="2">
        <f ca="1"/>
        <v>56.461311568545057</v>
      </c>
      <c r="AG5858" s="2">
        <f ca="1"/>
        <v>0.68576749984080587</v>
      </c>
      <c r="AH5858" s="2" t="str">
        <f ca="1"/>
        <v>Bad</v>
      </c>
    </row>
    <row r="5859" spans="2:34" x14ac:dyDescent="0.2">
      <c r="B5859" s="2">
        <f ca="1"/>
        <v>0.32165426032309608</v>
      </c>
      <c r="O5859" s="2">
        <f ca="1"/>
        <v>1.3507612645333993</v>
      </c>
      <c r="X5859" s="2">
        <f ca="1"/>
        <v>110.73018789975069</v>
      </c>
      <c r="AG5859" s="2">
        <f ca="1"/>
        <v>0.60049142814834644</v>
      </c>
      <c r="AH5859" s="2" t="str">
        <f ca="1"/>
        <v>Bad</v>
      </c>
    </row>
    <row r="5860" spans="2:34" x14ac:dyDescent="0.2">
      <c r="B5860" s="2">
        <f ca="1"/>
        <v>0.16289414159397086</v>
      </c>
      <c r="O5860" s="2">
        <f ca="1"/>
        <v>-1.0163425574802556</v>
      </c>
      <c r="X5860" s="2">
        <f ca="1"/>
        <v>34.88869661364533</v>
      </c>
      <c r="AG5860" s="2">
        <f ca="1"/>
        <v>9.093205458017084E-2</v>
      </c>
      <c r="AH5860" s="2" t="str">
        <f ca="1"/>
        <v>OK</v>
      </c>
    </row>
    <row r="5861" spans="2:34" x14ac:dyDescent="0.2">
      <c r="B5861" s="2">
        <f ca="1"/>
        <v>0.32523400115218859</v>
      </c>
      <c r="O5861" s="2">
        <f ca="1"/>
        <v>-0.33974906474900018</v>
      </c>
      <c r="X5861" s="2">
        <f ca="1"/>
        <v>82.011393102959218</v>
      </c>
      <c r="AG5861" s="2">
        <f ca="1"/>
        <v>7.597362740451663E-2</v>
      </c>
      <c r="AH5861" s="2" t="str">
        <f ca="1"/>
        <v>OK</v>
      </c>
    </row>
    <row r="5862" spans="2:34" x14ac:dyDescent="0.2">
      <c r="B5862" s="2">
        <f ca="1"/>
        <v>0.43637955025674513</v>
      </c>
      <c r="O5862" s="2">
        <f ca="1"/>
        <v>-0.42846311536945797</v>
      </c>
      <c r="X5862" s="2">
        <f ca="1"/>
        <v>60.959046946026014</v>
      </c>
      <c r="AG5862" s="2">
        <f ca="1"/>
        <v>0.51800049013882976</v>
      </c>
      <c r="AH5862" s="2" t="str">
        <f ca="1"/>
        <v>Bad</v>
      </c>
    </row>
    <row r="5863" spans="2:34" x14ac:dyDescent="0.2">
      <c r="B5863" s="2">
        <f ca="1"/>
        <v>0.53168818696564157</v>
      </c>
      <c r="O5863" s="2">
        <f ca="1"/>
        <v>-1.1000666685327078</v>
      </c>
      <c r="X5863" s="2">
        <f ca="1"/>
        <v>71.603096778770933</v>
      </c>
      <c r="AG5863" s="2">
        <f ca="1"/>
        <v>0.46759419888080878</v>
      </c>
      <c r="AH5863" s="2" t="str">
        <f ca="1"/>
        <v>Bad</v>
      </c>
    </row>
    <row r="5864" spans="2:34" x14ac:dyDescent="0.2">
      <c r="B5864" s="2">
        <f ca="1"/>
        <v>0.82041153255500321</v>
      </c>
      <c r="O5864" s="2">
        <f ca="1"/>
        <v>-0.14083629437626588</v>
      </c>
      <c r="X5864" s="2">
        <f ca="1"/>
        <v>38.470556647725012</v>
      </c>
      <c r="AG5864" s="2">
        <f ca="1"/>
        <v>0.60522761885746967</v>
      </c>
      <c r="AH5864" s="2" t="str">
        <f ca="1"/>
        <v>Bad</v>
      </c>
    </row>
    <row r="5865" spans="2:34" x14ac:dyDescent="0.2">
      <c r="B5865" s="2">
        <f ca="1"/>
        <v>0.13716883494637511</v>
      </c>
      <c r="O5865" s="2">
        <f ca="1"/>
        <v>-0.49448669265780582</v>
      </c>
      <c r="X5865" s="2">
        <f ca="1"/>
        <v>46.72876472824715</v>
      </c>
      <c r="AG5865" s="2">
        <f ca="1"/>
        <v>0.2347642601455433</v>
      </c>
      <c r="AH5865" s="2" t="str">
        <f ca="1"/>
        <v>OK</v>
      </c>
    </row>
    <row r="5866" spans="2:34" x14ac:dyDescent="0.2">
      <c r="B5866" s="2">
        <f ca="1"/>
        <v>2.3061043843644713E-2</v>
      </c>
      <c r="O5866" s="2">
        <f ca="1"/>
        <v>0.36550633959065776</v>
      </c>
      <c r="X5866" s="2">
        <f ca="1"/>
        <v>37.150606450467713</v>
      </c>
      <c r="AG5866" s="2">
        <f ca="1"/>
        <v>0.34974800097162051</v>
      </c>
      <c r="AH5866" s="2" t="str">
        <f ca="1"/>
        <v>OK</v>
      </c>
    </row>
    <row r="5867" spans="2:34" x14ac:dyDescent="0.2">
      <c r="B5867" s="2">
        <f ca="1"/>
        <v>0.36856858571630347</v>
      </c>
      <c r="O5867" s="2">
        <f ca="1"/>
        <v>1.5830640587867915</v>
      </c>
      <c r="X5867" s="2">
        <f ca="1"/>
        <v>64.617558872650079</v>
      </c>
      <c r="AG5867" s="2">
        <f ca="1"/>
        <v>0.82514403476555964</v>
      </c>
      <c r="AH5867" s="2" t="str">
        <f ca="1"/>
        <v>Bad</v>
      </c>
    </row>
    <row r="5868" spans="2:34" x14ac:dyDescent="0.2">
      <c r="B5868" s="2">
        <f ca="1"/>
        <v>0.77865048536580161</v>
      </c>
      <c r="O5868" s="2">
        <f ca="1"/>
        <v>-5.0854538043849817E-2</v>
      </c>
      <c r="X5868" s="2">
        <f ca="1"/>
        <v>54.682344258478153</v>
      </c>
      <c r="AG5868" s="2">
        <f ca="1"/>
        <v>9.648542702662688E-2</v>
      </c>
      <c r="AH5868" s="2" t="str">
        <f ca="1"/>
        <v>OK</v>
      </c>
    </row>
    <row r="5869" spans="2:34" x14ac:dyDescent="0.2">
      <c r="B5869" s="2">
        <f ca="1"/>
        <v>0.38653970929729287</v>
      </c>
      <c r="O5869" s="2">
        <f ca="1"/>
        <v>0.55087411209853365</v>
      </c>
      <c r="X5869" s="2">
        <f ca="1"/>
        <v>64.205550963031087</v>
      </c>
      <c r="AG5869" s="2">
        <f ca="1"/>
        <v>0.62081421694790917</v>
      </c>
      <c r="AH5869" s="2" t="str">
        <f ca="1"/>
        <v>Bad</v>
      </c>
    </row>
    <row r="5870" spans="2:34" x14ac:dyDescent="0.2">
      <c r="B5870" s="2">
        <f ca="1"/>
        <v>0.93096449585878416</v>
      </c>
      <c r="O5870" s="2">
        <f ca="1"/>
        <v>-7.8012600405855271E-3</v>
      </c>
      <c r="X5870" s="2">
        <f ca="1"/>
        <v>71.579365582036885</v>
      </c>
      <c r="AG5870" s="2">
        <f ca="1"/>
        <v>0.3380202175152287</v>
      </c>
      <c r="AH5870" s="2" t="str">
        <f ca="1"/>
        <v>OK</v>
      </c>
    </row>
    <row r="5871" spans="2:34" x14ac:dyDescent="0.2">
      <c r="B5871" s="2">
        <f ca="1"/>
        <v>0.72912949135864591</v>
      </c>
      <c r="O5871" s="2">
        <f ca="1"/>
        <v>0.38532714381837013</v>
      </c>
      <c r="X5871" s="2">
        <f ca="1"/>
        <v>46.011568129462617</v>
      </c>
      <c r="AG5871" s="2">
        <f ca="1"/>
        <v>1.1806635908482077E-2</v>
      </c>
      <c r="AH5871" s="2" t="str">
        <f ca="1"/>
        <v>Good</v>
      </c>
    </row>
    <row r="5872" spans="2:34" x14ac:dyDescent="0.2">
      <c r="B5872" s="2">
        <f ca="1"/>
        <v>0.16933089722219941</v>
      </c>
      <c r="O5872" s="2">
        <f ca="1"/>
        <v>-1.4503164604115097</v>
      </c>
      <c r="X5872" s="2">
        <f ca="1"/>
        <v>49.232445720114583</v>
      </c>
      <c r="AG5872" s="2">
        <f ca="1"/>
        <v>0.62348968495339951</v>
      </c>
      <c r="AH5872" s="2" t="str">
        <f ca="1"/>
        <v>Bad</v>
      </c>
    </row>
    <row r="5873" spans="2:34" x14ac:dyDescent="0.2">
      <c r="B5873" s="2">
        <f ca="1"/>
        <v>0.79130355802517771</v>
      </c>
      <c r="O5873" s="2">
        <f ca="1"/>
        <v>-0.81125877403669933</v>
      </c>
      <c r="X5873" s="2">
        <f ca="1"/>
        <v>50.05013079346277</v>
      </c>
      <c r="AG5873" s="2">
        <f ca="1"/>
        <v>0.32690721377098764</v>
      </c>
      <c r="AH5873" s="2" t="str">
        <f ca="1"/>
        <v>OK</v>
      </c>
    </row>
    <row r="5874" spans="2:34" x14ac:dyDescent="0.2">
      <c r="B5874" s="2">
        <f ca="1"/>
        <v>0.8122583511999244</v>
      </c>
      <c r="O5874" s="2">
        <f ca="1"/>
        <v>-0.17066522463274419</v>
      </c>
      <c r="X5874" s="2">
        <f ca="1"/>
        <v>55.112930261231156</v>
      </c>
      <c r="AG5874" s="2">
        <f ca="1"/>
        <v>0.69704920820890437</v>
      </c>
      <c r="AH5874" s="2" t="str">
        <f ca="1"/>
        <v>Bad</v>
      </c>
    </row>
    <row r="5875" spans="2:34" x14ac:dyDescent="0.2">
      <c r="B5875" s="2">
        <f ca="1"/>
        <v>0.80923194267822285</v>
      </c>
      <c r="O5875" s="2">
        <f ca="1"/>
        <v>-0.98240729842783592</v>
      </c>
      <c r="X5875" s="2">
        <f ca="1"/>
        <v>47.513746935475325</v>
      </c>
      <c r="AG5875" s="2">
        <f ca="1"/>
        <v>0.29952714559875138</v>
      </c>
      <c r="AH5875" s="2" t="str">
        <f ca="1"/>
        <v>OK</v>
      </c>
    </row>
    <row r="5876" spans="2:34" x14ac:dyDescent="0.2">
      <c r="B5876" s="2">
        <f ca="1"/>
        <v>0.94694158814083274</v>
      </c>
      <c r="O5876" s="2">
        <f ca="1"/>
        <v>-1.7325344069659148</v>
      </c>
      <c r="X5876" s="2">
        <f ca="1"/>
        <v>40.943348332916059</v>
      </c>
      <c r="AG5876" s="2">
        <f ca="1"/>
        <v>0.32325973963150112</v>
      </c>
      <c r="AH5876" s="2" t="str">
        <f ca="1"/>
        <v>OK</v>
      </c>
    </row>
    <row r="5877" spans="2:34" x14ac:dyDescent="0.2">
      <c r="B5877" s="2">
        <f ca="1"/>
        <v>0.40049539569675896</v>
      </c>
      <c r="O5877" s="2">
        <f ca="1"/>
        <v>-1.2399641087866906</v>
      </c>
      <c r="X5877" s="2">
        <f ca="1"/>
        <v>40.847001858490898</v>
      </c>
      <c r="AG5877" s="2">
        <f ca="1"/>
        <v>0.84600861630678836</v>
      </c>
      <c r="AH5877" s="2" t="str">
        <f ca="1"/>
        <v>Bad</v>
      </c>
    </row>
    <row r="5878" spans="2:34" x14ac:dyDescent="0.2">
      <c r="B5878" s="2">
        <f ca="1"/>
        <v>0.26449041713044474</v>
      </c>
      <c r="O5878" s="2">
        <f ca="1"/>
        <v>2.1619983868457058</v>
      </c>
      <c r="X5878" s="2">
        <f ca="1"/>
        <v>27.538617373020212</v>
      </c>
      <c r="AG5878" s="2">
        <f ca="1"/>
        <v>0.25496483912035384</v>
      </c>
      <c r="AH5878" s="2" t="str">
        <f ca="1"/>
        <v>OK</v>
      </c>
    </row>
    <row r="5879" spans="2:34" x14ac:dyDescent="0.2">
      <c r="B5879" s="2">
        <f ca="1"/>
        <v>0.38578774905151225</v>
      </c>
      <c r="O5879" s="2">
        <f ca="1"/>
        <v>0.67324781519335741</v>
      </c>
      <c r="X5879" s="2">
        <f ca="1"/>
        <v>19.24971322683713</v>
      </c>
      <c r="AG5879" s="2">
        <f ca="1"/>
        <v>0.63912952837413317</v>
      </c>
      <c r="AH5879" s="2" t="str">
        <f ca="1"/>
        <v>Bad</v>
      </c>
    </row>
    <row r="5880" spans="2:34" x14ac:dyDescent="0.2">
      <c r="B5880" s="2">
        <f ca="1"/>
        <v>0.66757024472686899</v>
      </c>
      <c r="O5880" s="2">
        <f ca="1"/>
        <v>-0.7528486436584988</v>
      </c>
      <c r="X5880" s="2">
        <f ca="1"/>
        <v>76.067596419815104</v>
      </c>
      <c r="AG5880" s="2">
        <f ca="1"/>
        <v>0.8504345269503697</v>
      </c>
      <c r="AH5880" s="2" t="str">
        <f ca="1"/>
        <v>Bad</v>
      </c>
    </row>
    <row r="5881" spans="2:34" x14ac:dyDescent="0.2">
      <c r="B5881" s="2">
        <f ca="1"/>
        <v>0.71928225955673852</v>
      </c>
      <c r="O5881" s="2">
        <f ca="1"/>
        <v>-0.23510258114139279</v>
      </c>
      <c r="X5881" s="2">
        <f ca="1"/>
        <v>54.900058059412942</v>
      </c>
      <c r="AG5881" s="2">
        <f ca="1"/>
        <v>0.99561941784772645</v>
      </c>
      <c r="AH5881" s="2" t="str">
        <f ca="1"/>
        <v>Bad</v>
      </c>
    </row>
    <row r="5882" spans="2:34" x14ac:dyDescent="0.2">
      <c r="B5882" s="2">
        <f ca="1"/>
        <v>0.80974547973643651</v>
      </c>
      <c r="O5882" s="2">
        <f ca="1"/>
        <v>-0.82710668202820348</v>
      </c>
      <c r="X5882" s="2">
        <f ca="1"/>
        <v>26.024055053545201</v>
      </c>
      <c r="AG5882" s="2">
        <f ca="1"/>
        <v>0.3259821063912105</v>
      </c>
      <c r="AH5882" s="2" t="str">
        <f ca="1"/>
        <v>OK</v>
      </c>
    </row>
    <row r="5883" spans="2:34" x14ac:dyDescent="0.2">
      <c r="B5883" s="2">
        <f ca="1"/>
        <v>0.54652604979069275</v>
      </c>
      <c r="O5883" s="2">
        <f ca="1"/>
        <v>0.1005817466613453</v>
      </c>
      <c r="X5883" s="2">
        <f ca="1"/>
        <v>58.174150277195011</v>
      </c>
      <c r="AG5883" s="2">
        <f ca="1"/>
        <v>0.49345465640969333</v>
      </c>
      <c r="AH5883" s="2" t="str">
        <f ca="1"/>
        <v>Bad</v>
      </c>
    </row>
    <row r="5884" spans="2:34" x14ac:dyDescent="0.2">
      <c r="B5884" s="2">
        <f ca="1"/>
        <v>0.62139452891389224</v>
      </c>
      <c r="O5884" s="2">
        <f ca="1"/>
        <v>-0.46046746947262679</v>
      </c>
      <c r="X5884" s="2">
        <f ca="1"/>
        <v>50.372409666271729</v>
      </c>
      <c r="AG5884" s="2">
        <f ca="1"/>
        <v>0.8835500499898048</v>
      </c>
      <c r="AH5884" s="2" t="str">
        <f ca="1"/>
        <v>Bad</v>
      </c>
    </row>
    <row r="5885" spans="2:34" x14ac:dyDescent="0.2">
      <c r="B5885" s="2">
        <f ca="1"/>
        <v>0.60194318268337965</v>
      </c>
      <c r="O5885" s="2">
        <f ca="1"/>
        <v>-0.75586821217333278</v>
      </c>
      <c r="X5885" s="2">
        <f ca="1"/>
        <v>45.051020262673816</v>
      </c>
      <c r="AG5885" s="2">
        <f ca="1"/>
        <v>0.16081473959472059</v>
      </c>
      <c r="AH5885" s="2" t="str">
        <f ca="1"/>
        <v>OK</v>
      </c>
    </row>
    <row r="5886" spans="2:34" x14ac:dyDescent="0.2">
      <c r="B5886" s="2">
        <f ca="1"/>
        <v>0.32665081310566291</v>
      </c>
      <c r="O5886" s="2">
        <f ca="1"/>
        <v>-0.92869678656911425</v>
      </c>
      <c r="X5886" s="2">
        <f ca="1"/>
        <v>69.790433703462767</v>
      </c>
      <c r="AG5886" s="2">
        <f ca="1"/>
        <v>0.17966978532892508</v>
      </c>
      <c r="AH5886" s="2" t="str">
        <f ca="1"/>
        <v>OK</v>
      </c>
    </row>
    <row r="5887" spans="2:34" x14ac:dyDescent="0.2">
      <c r="B5887" s="2">
        <f ca="1"/>
        <v>0.78063422077364075</v>
      </c>
      <c r="O5887" s="2">
        <f ca="1"/>
        <v>1.6215572284263422</v>
      </c>
      <c r="X5887" s="2">
        <f ca="1"/>
        <v>70.971815092527692</v>
      </c>
      <c r="AG5887" s="2">
        <f ca="1"/>
        <v>0.66444947427721446</v>
      </c>
      <c r="AH5887" s="2" t="str">
        <f ca="1"/>
        <v>Bad</v>
      </c>
    </row>
    <row r="5888" spans="2:34" x14ac:dyDescent="0.2">
      <c r="B5888" s="2">
        <f ca="1"/>
        <v>0.52201825341783326</v>
      </c>
      <c r="O5888" s="2">
        <f ca="1"/>
        <v>-0.54454951326448175</v>
      </c>
      <c r="X5888" s="2">
        <f ca="1"/>
        <v>17.454245619258174</v>
      </c>
      <c r="AG5888" s="2">
        <f ca="1"/>
        <v>0.92681138660694495</v>
      </c>
      <c r="AH5888" s="2" t="str">
        <f ca="1"/>
        <v>Bad</v>
      </c>
    </row>
    <row r="5889" spans="2:34" x14ac:dyDescent="0.2">
      <c r="B5889" s="2">
        <f ca="1"/>
        <v>0.59889009417834327</v>
      </c>
      <c r="O5889" s="2">
        <f ca="1"/>
        <v>-0.55772771110762587</v>
      </c>
      <c r="X5889" s="2">
        <f ca="1"/>
        <v>30.693160290862146</v>
      </c>
      <c r="AG5889" s="2">
        <f ca="1"/>
        <v>0.78127917838348537</v>
      </c>
      <c r="AH5889" s="2" t="str">
        <f ca="1"/>
        <v>Bad</v>
      </c>
    </row>
    <row r="5890" spans="2:34" x14ac:dyDescent="0.2">
      <c r="B5890" s="2">
        <f ca="1"/>
        <v>0.70227067946104449</v>
      </c>
      <c r="O5890" s="2">
        <f ca="1"/>
        <v>0.70518974161079573</v>
      </c>
      <c r="X5890" s="2">
        <f ca="1"/>
        <v>76.963304512379409</v>
      </c>
      <c r="AG5890" s="2">
        <f ca="1"/>
        <v>4.8845211323902404E-2</v>
      </c>
      <c r="AH5890" s="2" t="str">
        <f ca="1"/>
        <v>Good</v>
      </c>
    </row>
    <row r="5891" spans="2:34" x14ac:dyDescent="0.2">
      <c r="B5891" s="2">
        <f ca="1"/>
        <v>0.99732418068733786</v>
      </c>
      <c r="O5891" s="2">
        <f ca="1"/>
        <v>-1.0051389794195833</v>
      </c>
      <c r="X5891" s="2">
        <f ca="1"/>
        <v>52.67379955155625</v>
      </c>
      <c r="AG5891" s="2">
        <f ca="1"/>
        <v>0.63167835087106372</v>
      </c>
      <c r="AH5891" s="2" t="str">
        <f ca="1"/>
        <v>Bad</v>
      </c>
    </row>
    <row r="5892" spans="2:34" x14ac:dyDescent="0.2">
      <c r="B5892" s="2">
        <f ca="1"/>
        <v>0.57384513791535707</v>
      </c>
      <c r="O5892" s="2">
        <f ca="1"/>
        <v>-0.20892809617367961</v>
      </c>
      <c r="X5892" s="2">
        <f ca="1"/>
        <v>61.652451954795026</v>
      </c>
      <c r="AG5892" s="2">
        <f ca="1"/>
        <v>0.65672740891926384</v>
      </c>
      <c r="AH5892" s="2" t="str">
        <f ca="1"/>
        <v>Bad</v>
      </c>
    </row>
    <row r="5893" spans="2:34" x14ac:dyDescent="0.2">
      <c r="B5893" s="2">
        <f ca="1"/>
        <v>0.295060205711563</v>
      </c>
      <c r="O5893" s="2">
        <f ca="1"/>
        <v>-0.45609713053991813</v>
      </c>
      <c r="X5893" s="2">
        <f ca="1"/>
        <v>71.697050894934108</v>
      </c>
      <c r="AG5893" s="2">
        <f ca="1"/>
        <v>0.82958179012734878</v>
      </c>
      <c r="AH5893" s="2" t="str">
        <f ca="1"/>
        <v>Bad</v>
      </c>
    </row>
    <row r="5894" spans="2:34" x14ac:dyDescent="0.2">
      <c r="B5894" s="2">
        <f ca="1"/>
        <v>7.2854319324442418E-3</v>
      </c>
      <c r="O5894" s="2">
        <f ca="1"/>
        <v>9.0321852032124658E-2</v>
      </c>
      <c r="X5894" s="2">
        <f ca="1"/>
        <v>19.232633235164801</v>
      </c>
      <c r="AG5894" s="2">
        <f ca="1"/>
        <v>0.5137922086121367</v>
      </c>
      <c r="AH5894" s="2" t="str">
        <f ca="1"/>
        <v>Bad</v>
      </c>
    </row>
    <row r="5895" spans="2:34" x14ac:dyDescent="0.2">
      <c r="B5895" s="2">
        <f ca="1"/>
        <v>0.70389039568961409</v>
      </c>
      <c r="O5895" s="2">
        <f ca="1"/>
        <v>-1.5713518547087473</v>
      </c>
      <c r="X5895" s="2">
        <f ca="1"/>
        <v>25.27449053670896</v>
      </c>
      <c r="AG5895" s="2">
        <f ca="1"/>
        <v>0.34981255877709705</v>
      </c>
      <c r="AH5895" s="2" t="str">
        <f ca="1"/>
        <v>OK</v>
      </c>
    </row>
    <row r="5896" spans="2:34" x14ac:dyDescent="0.2">
      <c r="B5896" s="2">
        <f ca="1"/>
        <v>0.63150053811718543</v>
      </c>
      <c r="O5896" s="2">
        <f ca="1"/>
        <v>0.40152972795052994</v>
      </c>
      <c r="X5896" s="2">
        <f ca="1"/>
        <v>59.273565745574246</v>
      </c>
      <c r="AG5896" s="2">
        <f ca="1"/>
        <v>1.4324767878086675E-2</v>
      </c>
      <c r="AH5896" s="2" t="str">
        <f ca="1"/>
        <v>Good</v>
      </c>
    </row>
    <row r="5897" spans="2:34" x14ac:dyDescent="0.2">
      <c r="B5897" s="2">
        <f ca="1"/>
        <v>0.85428981829607542</v>
      </c>
      <c r="O5897" s="2">
        <f ca="1"/>
        <v>0.35746105480511053</v>
      </c>
      <c r="X5897" s="2">
        <f ca="1"/>
        <v>17.082495888045749</v>
      </c>
      <c r="AG5897" s="2">
        <f ca="1"/>
        <v>9.1607390804168354E-2</v>
      </c>
      <c r="AH5897" s="2" t="str">
        <f ca="1"/>
        <v>OK</v>
      </c>
    </row>
    <row r="5898" spans="2:34" x14ac:dyDescent="0.2">
      <c r="B5898" s="2">
        <f ca="1"/>
        <v>0.75476599980492876</v>
      </c>
      <c r="O5898" s="2">
        <f ca="1"/>
        <v>-1.8137854124906705</v>
      </c>
      <c r="X5898" s="2">
        <f ca="1"/>
        <v>29.008313493387657</v>
      </c>
      <c r="AG5898" s="2">
        <f ca="1"/>
        <v>0.22435164295630394</v>
      </c>
      <c r="AH5898" s="2" t="str">
        <f ca="1"/>
        <v>OK</v>
      </c>
    </row>
    <row r="5899" spans="2:34" x14ac:dyDescent="0.2">
      <c r="B5899" s="2">
        <f ca="1"/>
        <v>0.76814816075645242</v>
      </c>
      <c r="O5899" s="2">
        <f ca="1"/>
        <v>-0.29952882450151369</v>
      </c>
      <c r="X5899" s="2">
        <f ca="1"/>
        <v>35.276802278776422</v>
      </c>
      <c r="AG5899" s="2">
        <f ca="1"/>
        <v>2.8042058433170425E-2</v>
      </c>
      <c r="AH5899" s="2" t="str">
        <f ca="1"/>
        <v>Good</v>
      </c>
    </row>
    <row r="5900" spans="2:34" x14ac:dyDescent="0.2">
      <c r="B5900" s="2">
        <f ca="1"/>
        <v>0.76903652008053291</v>
      </c>
      <c r="O5900" s="2">
        <f ca="1"/>
        <v>0.47511442869433962</v>
      </c>
      <c r="X5900" s="2">
        <f ca="1"/>
        <v>49.382763679353808</v>
      </c>
      <c r="AG5900" s="2">
        <f ca="1"/>
        <v>0.208774354866617</v>
      </c>
      <c r="AH5900" s="2" t="str">
        <f ca="1"/>
        <v>OK</v>
      </c>
    </row>
    <row r="5901" spans="2:34" x14ac:dyDescent="0.2">
      <c r="B5901" s="2">
        <f ca="1"/>
        <v>0.42422071697940722</v>
      </c>
      <c r="O5901" s="2">
        <f ca="1"/>
        <v>0.17386297515807375</v>
      </c>
      <c r="X5901" s="2">
        <f ca="1"/>
        <v>61.178272937966021</v>
      </c>
      <c r="AG5901" s="2">
        <f ca="1"/>
        <v>0.92693450960668633</v>
      </c>
      <c r="AH5901" s="2" t="str">
        <f ca="1"/>
        <v>Bad</v>
      </c>
    </row>
    <row r="5902" spans="2:34" x14ac:dyDescent="0.2">
      <c r="B5902" s="2">
        <f ca="1"/>
        <v>7.0723225179092131E-2</v>
      </c>
      <c r="O5902" s="2">
        <f ca="1"/>
        <v>-6.971035186037337E-3</v>
      </c>
      <c r="X5902" s="2">
        <f ca="1"/>
        <v>28.803459316134436</v>
      </c>
      <c r="AG5902" s="2">
        <f ca="1"/>
        <v>0.41958845368115716</v>
      </c>
      <c r="AH5902" s="2" t="str">
        <f ca="1"/>
        <v>Bad</v>
      </c>
    </row>
    <row r="5903" spans="2:34" x14ac:dyDescent="0.2">
      <c r="B5903" s="2">
        <f ca="1"/>
        <v>6.3855080257101404E-2</v>
      </c>
      <c r="O5903" s="2">
        <f ca="1"/>
        <v>-1.5556305868712728</v>
      </c>
      <c r="X5903" s="2">
        <f ca="1"/>
        <v>53.357106433115966</v>
      </c>
      <c r="AG5903" s="2">
        <f ca="1"/>
        <v>0.28141924150266262</v>
      </c>
      <c r="AH5903" s="2" t="str">
        <f ca="1"/>
        <v>OK</v>
      </c>
    </row>
    <row r="5904" spans="2:34" x14ac:dyDescent="0.2">
      <c r="B5904" s="2">
        <f ca="1"/>
        <v>0.66884490659878137</v>
      </c>
      <c r="O5904" s="2">
        <f ca="1"/>
        <v>0.81046947719290929</v>
      </c>
      <c r="X5904" s="2">
        <f ca="1"/>
        <v>48.541733518466131</v>
      </c>
      <c r="AG5904" s="2">
        <f ca="1"/>
        <v>0.19978291712177731</v>
      </c>
      <c r="AH5904" s="2" t="str">
        <f ca="1"/>
        <v>OK</v>
      </c>
    </row>
    <row r="5905" spans="2:34" x14ac:dyDescent="0.2">
      <c r="B5905" s="2">
        <f ca="1"/>
        <v>0.48717023730025555</v>
      </c>
      <c r="O5905" s="2">
        <f ca="1"/>
        <v>-0.88930701296252468</v>
      </c>
      <c r="X5905" s="2">
        <f ca="1"/>
        <v>30.354937592665891</v>
      </c>
      <c r="AG5905" s="2">
        <f ca="1"/>
        <v>5.68597157091002E-2</v>
      </c>
      <c r="AH5905" s="2" t="str">
        <f ca="1"/>
        <v>OK</v>
      </c>
    </row>
    <row r="5906" spans="2:34" x14ac:dyDescent="0.2">
      <c r="B5906" s="2">
        <f ca="1"/>
        <v>0.86090830786928252</v>
      </c>
      <c r="O5906" s="2">
        <f ca="1"/>
        <v>-0.64284678865960598</v>
      </c>
      <c r="X5906" s="2">
        <f ca="1"/>
        <v>44.661979093543778</v>
      </c>
      <c r="AG5906" s="2">
        <f ca="1"/>
        <v>0.62225676492510384</v>
      </c>
      <c r="AH5906" s="2" t="str">
        <f ca="1"/>
        <v>Bad</v>
      </c>
    </row>
    <row r="5907" spans="2:34" x14ac:dyDescent="0.2">
      <c r="B5907" s="2">
        <f ca="1"/>
        <v>0.17676683346956001</v>
      </c>
      <c r="O5907" s="2">
        <f ca="1"/>
        <v>-0.67853128023297649</v>
      </c>
      <c r="X5907" s="2">
        <f ca="1"/>
        <v>68.331777008254761</v>
      </c>
      <c r="AG5907" s="2">
        <f ca="1"/>
        <v>0.77863460518413352</v>
      </c>
      <c r="AH5907" s="2" t="str">
        <f ca="1"/>
        <v>Bad</v>
      </c>
    </row>
    <row r="5908" spans="2:34" x14ac:dyDescent="0.2">
      <c r="B5908" s="2">
        <f ca="1"/>
        <v>0.40555872965154682</v>
      </c>
      <c r="O5908" s="2">
        <f ca="1"/>
        <v>-1.3038003234088913</v>
      </c>
      <c r="X5908" s="2">
        <f ca="1"/>
        <v>64.249284441836792</v>
      </c>
      <c r="AG5908" s="2">
        <f ca="1"/>
        <v>0.74086747097081851</v>
      </c>
      <c r="AH5908" s="2" t="str">
        <f ca="1"/>
        <v>Bad</v>
      </c>
    </row>
    <row r="5909" spans="2:34" x14ac:dyDescent="0.2">
      <c r="B5909" s="2">
        <f ca="1"/>
        <v>0.65963569072176664</v>
      </c>
      <c r="O5909" s="2">
        <f ca="1"/>
        <v>-1.3218455022283186</v>
      </c>
      <c r="X5909" s="2">
        <f ca="1"/>
        <v>37.440682163364116</v>
      </c>
      <c r="AG5909" s="2">
        <f ca="1"/>
        <v>0.50920644476504195</v>
      </c>
      <c r="AH5909" s="2" t="str">
        <f ca="1"/>
        <v>Bad</v>
      </c>
    </row>
    <row r="5910" spans="2:34" x14ac:dyDescent="0.2">
      <c r="B5910" s="2">
        <f ca="1"/>
        <v>0.34539565687023788</v>
      </c>
      <c r="O5910" s="2">
        <f ca="1"/>
        <v>-0.81949260654020373</v>
      </c>
      <c r="X5910" s="2">
        <f ca="1"/>
        <v>48.727257525392474</v>
      </c>
      <c r="AG5910" s="2">
        <f ca="1"/>
        <v>0.14489883086427224</v>
      </c>
      <c r="AH5910" s="2" t="str">
        <f ca="1"/>
        <v>OK</v>
      </c>
    </row>
    <row r="5911" spans="2:34" x14ac:dyDescent="0.2">
      <c r="B5911" s="2">
        <f ca="1"/>
        <v>0.9222748763014903</v>
      </c>
      <c r="O5911" s="2">
        <f ca="1"/>
        <v>1.3171289278282001</v>
      </c>
      <c r="X5911" s="2">
        <f ca="1"/>
        <v>49.336648465419479</v>
      </c>
      <c r="AG5911" s="2">
        <f ca="1"/>
        <v>0.57890351934979223</v>
      </c>
      <c r="AH5911" s="2" t="str">
        <f ca="1"/>
        <v>Bad</v>
      </c>
    </row>
    <row r="5912" spans="2:34" x14ac:dyDescent="0.2">
      <c r="B5912" s="2">
        <f ca="1"/>
        <v>0.73019171676083028</v>
      </c>
      <c r="O5912" s="2">
        <f ca="1"/>
        <v>1.9743964856079304</v>
      </c>
      <c r="X5912" s="2">
        <f ca="1"/>
        <v>14.295866497703663</v>
      </c>
      <c r="AG5912" s="2">
        <f ca="1"/>
        <v>0.39142720057888258</v>
      </c>
      <c r="AH5912" s="2" t="str">
        <f ca="1"/>
        <v>OK</v>
      </c>
    </row>
    <row r="5913" spans="2:34" x14ac:dyDescent="0.2">
      <c r="B5913" s="2">
        <f ca="1"/>
        <v>0.56963735280817751</v>
      </c>
      <c r="O5913" s="2">
        <f ca="1"/>
        <v>1.0262398064193812</v>
      </c>
      <c r="X5913" s="2">
        <f ca="1"/>
        <v>47.117376913881444</v>
      </c>
      <c r="AG5913" s="2">
        <f ca="1"/>
        <v>9.4977857251103748E-2</v>
      </c>
      <c r="AH5913" s="2" t="str">
        <f ca="1"/>
        <v>OK</v>
      </c>
    </row>
    <row r="5914" spans="2:34" x14ac:dyDescent="0.2">
      <c r="B5914" s="2">
        <f ca="1"/>
        <v>0.67759271870465221</v>
      </c>
      <c r="O5914" s="2">
        <f ca="1"/>
        <v>1.7546382797439395</v>
      </c>
      <c r="X5914" s="2">
        <f ca="1"/>
        <v>52.084702811334516</v>
      </c>
      <c r="AG5914" s="2">
        <f ca="1"/>
        <v>0.47655086005705294</v>
      </c>
      <c r="AH5914" s="2" t="str">
        <f ca="1"/>
        <v>Bad</v>
      </c>
    </row>
    <row r="5915" spans="2:34" x14ac:dyDescent="0.2">
      <c r="B5915" s="2">
        <f ca="1"/>
        <v>0.70654764957512528</v>
      </c>
      <c r="O5915" s="2">
        <f ca="1"/>
        <v>0.6355622773709646</v>
      </c>
      <c r="X5915" s="2">
        <f ca="1"/>
        <v>39.231010598223747</v>
      </c>
      <c r="AG5915" s="2">
        <f ca="1"/>
        <v>0.83956200843263451</v>
      </c>
      <c r="AH5915" s="2" t="str">
        <f ca="1"/>
        <v>Bad</v>
      </c>
    </row>
    <row r="5916" spans="2:34" x14ac:dyDescent="0.2">
      <c r="B5916" s="2">
        <f ca="1"/>
        <v>0.72076928290440501</v>
      </c>
      <c r="O5916" s="2">
        <f ca="1"/>
        <v>1.0983941596880322</v>
      </c>
      <c r="X5916" s="2">
        <f ca="1"/>
        <v>49.624776078492012</v>
      </c>
      <c r="AG5916" s="2">
        <f ca="1"/>
        <v>0.41822601706514728</v>
      </c>
      <c r="AH5916" s="2" t="str">
        <f ca="1"/>
        <v>Bad</v>
      </c>
    </row>
    <row r="5917" spans="2:34" x14ac:dyDescent="0.2">
      <c r="B5917" s="2">
        <f ca="1"/>
        <v>0.26719444172056539</v>
      </c>
      <c r="O5917" s="2">
        <f ca="1"/>
        <v>0.40792118992779675</v>
      </c>
      <c r="X5917" s="2">
        <f ca="1"/>
        <v>58.979635328595421</v>
      </c>
      <c r="AG5917" s="2">
        <f ca="1"/>
        <v>0.22759708788449862</v>
      </c>
      <c r="AH5917" s="2" t="str">
        <f ca="1"/>
        <v>OK</v>
      </c>
    </row>
    <row r="5918" spans="2:34" x14ac:dyDescent="0.2">
      <c r="B5918" s="2">
        <f ca="1"/>
        <v>0.7133824142495393</v>
      </c>
      <c r="O5918" s="2">
        <f ca="1"/>
        <v>0.68362839045993273</v>
      </c>
      <c r="X5918" s="2">
        <f ca="1"/>
        <v>68.240306983403883</v>
      </c>
      <c r="AG5918" s="2">
        <f ca="1"/>
        <v>0.69941531528082401</v>
      </c>
      <c r="AH5918" s="2" t="str">
        <f ca="1"/>
        <v>Bad</v>
      </c>
    </row>
    <row r="5919" spans="2:34" x14ac:dyDescent="0.2">
      <c r="B5919" s="2">
        <f ca="1"/>
        <v>0.23899382643286482</v>
      </c>
      <c r="O5919" s="2">
        <f ca="1"/>
        <v>-1.2024322500256235</v>
      </c>
      <c r="X5919" s="2">
        <f ca="1"/>
        <v>49.660639894570167</v>
      </c>
      <c r="AG5919" s="2">
        <f ca="1"/>
        <v>0.57635350966010068</v>
      </c>
      <c r="AH5919" s="2" t="str">
        <f ca="1"/>
        <v>Bad</v>
      </c>
    </row>
    <row r="5920" spans="2:34" x14ac:dyDescent="0.2">
      <c r="B5920" s="2">
        <f ca="1"/>
        <v>0.62881734069193107</v>
      </c>
      <c r="O5920" s="2">
        <f ca="1"/>
        <v>0.89367694129967512</v>
      </c>
      <c r="X5920" s="2">
        <f ca="1"/>
        <v>42.982671346378737</v>
      </c>
      <c r="AG5920" s="2">
        <f ca="1"/>
        <v>0.65352102722529382</v>
      </c>
      <c r="AH5920" s="2" t="str">
        <f ca="1"/>
        <v>Bad</v>
      </c>
    </row>
    <row r="5921" spans="2:34" x14ac:dyDescent="0.2">
      <c r="B5921" s="2">
        <f ca="1"/>
        <v>0.67335675003998841</v>
      </c>
      <c r="O5921" s="2">
        <f ca="1"/>
        <v>0.99835651937955405</v>
      </c>
      <c r="X5921" s="2">
        <f ca="1"/>
        <v>61.847743284516667</v>
      </c>
      <c r="AG5921" s="2">
        <f ca="1"/>
        <v>0.87167031721835664</v>
      </c>
      <c r="AH5921" s="2" t="str">
        <f ca="1"/>
        <v>Bad</v>
      </c>
    </row>
    <row r="5922" spans="2:34" x14ac:dyDescent="0.2">
      <c r="B5922" s="2">
        <f ca="1"/>
        <v>0.85252162448084845</v>
      </c>
      <c r="O5922" s="2">
        <f ca="1"/>
        <v>1.4069509549645591</v>
      </c>
      <c r="X5922" s="2">
        <f ca="1"/>
        <v>75.900163490618681</v>
      </c>
      <c r="AG5922" s="2">
        <f ca="1"/>
        <v>0.52865451428735</v>
      </c>
      <c r="AH5922" s="2" t="str">
        <f ca="1"/>
        <v>Bad</v>
      </c>
    </row>
    <row r="5923" spans="2:34" x14ac:dyDescent="0.2">
      <c r="B5923" s="2">
        <f ca="1"/>
        <v>0.42186091722966457</v>
      </c>
      <c r="O5923" s="2">
        <f ca="1"/>
        <v>0.78966685895390887</v>
      </c>
      <c r="X5923" s="2">
        <f ca="1"/>
        <v>59.865965221114735</v>
      </c>
      <c r="AG5923" s="2">
        <f ca="1"/>
        <v>0.86391567392648017</v>
      </c>
      <c r="AH5923" s="2" t="str">
        <f ca="1"/>
        <v>Bad</v>
      </c>
    </row>
    <row r="5924" spans="2:34" x14ac:dyDescent="0.2">
      <c r="B5924" s="2">
        <f ca="1"/>
        <v>0.76938460801897812</v>
      </c>
      <c r="O5924" s="2">
        <f ca="1"/>
        <v>0.99912030148568398</v>
      </c>
      <c r="X5924" s="2">
        <f ca="1"/>
        <v>68.283551710444115</v>
      </c>
      <c r="AG5924" s="2">
        <f ca="1"/>
        <v>0.22363433434701729</v>
      </c>
      <c r="AH5924" s="2" t="str">
        <f ca="1"/>
        <v>OK</v>
      </c>
    </row>
    <row r="5925" spans="2:34" x14ac:dyDescent="0.2">
      <c r="B5925" s="2">
        <f ca="1"/>
        <v>0.87680803532108653</v>
      </c>
      <c r="O5925" s="2">
        <f ca="1"/>
        <v>-0.83463493618948648</v>
      </c>
      <c r="X5925" s="2">
        <f ca="1"/>
        <v>26.717868284884453</v>
      </c>
      <c r="AG5925" s="2">
        <f ca="1"/>
        <v>9.437697310419435E-2</v>
      </c>
      <c r="AH5925" s="2" t="str">
        <f ca="1"/>
        <v>OK</v>
      </c>
    </row>
    <row r="5926" spans="2:34" x14ac:dyDescent="0.2">
      <c r="B5926" s="2">
        <f ca="1"/>
        <v>0.35230756837292088</v>
      </c>
      <c r="O5926" s="2">
        <f ca="1"/>
        <v>-1.387049665253457</v>
      </c>
      <c r="X5926" s="2">
        <f ca="1"/>
        <v>64.77616710616374</v>
      </c>
      <c r="AG5926" s="2">
        <f ca="1"/>
        <v>0.46443907651909244</v>
      </c>
      <c r="AH5926" s="2" t="str">
        <f ca="1"/>
        <v>Bad</v>
      </c>
    </row>
    <row r="5927" spans="2:34" x14ac:dyDescent="0.2">
      <c r="B5927" s="2">
        <f ca="1"/>
        <v>0.39644796251928427</v>
      </c>
      <c r="O5927" s="2">
        <f ca="1"/>
        <v>-2.9766131269276346</v>
      </c>
      <c r="X5927" s="2">
        <f ca="1"/>
        <v>76.422193752890109</v>
      </c>
      <c r="AG5927" s="2">
        <f ca="1"/>
        <v>2.600650975455987E-2</v>
      </c>
      <c r="AH5927" s="2" t="str">
        <f ca="1"/>
        <v>Good</v>
      </c>
    </row>
    <row r="5928" spans="2:34" x14ac:dyDescent="0.2">
      <c r="B5928" s="2">
        <f ca="1"/>
        <v>0.45448785228368838</v>
      </c>
      <c r="O5928" s="2">
        <f ca="1"/>
        <v>-1.0241337596841287</v>
      </c>
      <c r="X5928" s="2">
        <f ca="1"/>
        <v>36.529365818241885</v>
      </c>
      <c r="AG5928" s="2">
        <f ca="1"/>
        <v>0.93351282944927516</v>
      </c>
      <c r="AH5928" s="2" t="str">
        <f ca="1"/>
        <v>Bad</v>
      </c>
    </row>
    <row r="5929" spans="2:34" x14ac:dyDescent="0.2">
      <c r="B5929" s="2">
        <f ca="1"/>
        <v>0.80229537884735991</v>
      </c>
      <c r="O5929" s="2">
        <f ca="1"/>
        <v>2.4981354838979075</v>
      </c>
      <c r="X5929" s="2">
        <f ca="1"/>
        <v>55.18971301798998</v>
      </c>
      <c r="AG5929" s="2">
        <f ca="1"/>
        <v>0.12906872322984486</v>
      </c>
      <c r="AH5929" s="2" t="str">
        <f ca="1"/>
        <v>OK</v>
      </c>
    </row>
    <row r="5930" spans="2:34" x14ac:dyDescent="0.2">
      <c r="B5930" s="2">
        <f ca="1"/>
        <v>0.98352185570975004</v>
      </c>
      <c r="O5930" s="2">
        <f ca="1"/>
        <v>0.66867979580904469</v>
      </c>
      <c r="X5930" s="2">
        <f ca="1"/>
        <v>55.435992518610597</v>
      </c>
      <c r="AG5930" s="2">
        <f ca="1"/>
        <v>0.28249146242239709</v>
      </c>
      <c r="AH5930" s="2" t="str">
        <f ca="1"/>
        <v>OK</v>
      </c>
    </row>
    <row r="5931" spans="2:34" x14ac:dyDescent="0.2">
      <c r="B5931" s="2">
        <f ca="1"/>
        <v>0.40279842095701635</v>
      </c>
      <c r="O5931" s="2">
        <f ca="1"/>
        <v>-0.14181738425144261</v>
      </c>
      <c r="X5931" s="2">
        <f ca="1"/>
        <v>57.374032649489031</v>
      </c>
      <c r="AG5931" s="2">
        <f ca="1"/>
        <v>0.57232334931588214</v>
      </c>
      <c r="AH5931" s="2" t="str">
        <f ca="1"/>
        <v>Bad</v>
      </c>
    </row>
    <row r="5932" spans="2:34" x14ac:dyDescent="0.2">
      <c r="B5932" s="2">
        <f ca="1"/>
        <v>0.28942884799656898</v>
      </c>
      <c r="O5932" s="2">
        <f ca="1"/>
        <v>-0.9148984343343971</v>
      </c>
      <c r="X5932" s="2">
        <f ca="1"/>
        <v>50.699310758376171</v>
      </c>
      <c r="AG5932" s="2">
        <f ca="1"/>
        <v>0.82233886306613235</v>
      </c>
      <c r="AH5932" s="2" t="str">
        <f ca="1"/>
        <v>Bad</v>
      </c>
    </row>
    <row r="5933" spans="2:34" x14ac:dyDescent="0.2">
      <c r="B5933" s="2">
        <f ca="1"/>
        <v>0.82718076637232185</v>
      </c>
      <c r="O5933" s="2">
        <f ca="1"/>
        <v>-0.51462878370468013</v>
      </c>
      <c r="X5933" s="2">
        <f ca="1"/>
        <v>46.139365777743961</v>
      </c>
      <c r="AG5933" s="2">
        <f ca="1"/>
        <v>8.6567200417829948E-2</v>
      </c>
      <c r="AH5933" s="2" t="str">
        <f ca="1"/>
        <v>OK</v>
      </c>
    </row>
    <row r="5934" spans="2:34" x14ac:dyDescent="0.2">
      <c r="B5934" s="2">
        <f ca="1"/>
        <v>0.61639412709661623</v>
      </c>
      <c r="O5934" s="2">
        <f ca="1"/>
        <v>-1.0698128626319403</v>
      </c>
      <c r="X5934" s="2">
        <f ca="1"/>
        <v>51.838594329468364</v>
      </c>
      <c r="AG5934" s="2">
        <f ca="1"/>
        <v>0.32894778331788732</v>
      </c>
      <c r="AH5934" s="2" t="str">
        <f ca="1"/>
        <v>OK</v>
      </c>
    </row>
    <row r="5935" spans="2:34" x14ac:dyDescent="0.2">
      <c r="B5935" s="2">
        <f ca="1"/>
        <v>0.22361622732044895</v>
      </c>
      <c r="O5935" s="2">
        <f ca="1"/>
        <v>1.1593344170787288</v>
      </c>
      <c r="X5935" s="2">
        <f ca="1"/>
        <v>51.409686397298643</v>
      </c>
      <c r="AG5935" s="2">
        <f ca="1"/>
        <v>0.71878061983121699</v>
      </c>
      <c r="AH5935" s="2" t="str">
        <f ca="1"/>
        <v>Bad</v>
      </c>
    </row>
    <row r="5936" spans="2:34" x14ac:dyDescent="0.2">
      <c r="B5936" s="2">
        <f ca="1"/>
        <v>0.58861420580447055</v>
      </c>
      <c r="O5936" s="2">
        <f ca="1"/>
        <v>0.36283852118341725</v>
      </c>
      <c r="X5936" s="2">
        <f ca="1"/>
        <v>58.889097980483236</v>
      </c>
      <c r="AG5936" s="2">
        <f ca="1"/>
        <v>0.71152760508497614</v>
      </c>
      <c r="AH5936" s="2" t="str">
        <f ca="1"/>
        <v>Bad</v>
      </c>
    </row>
    <row r="5937" spans="2:34" x14ac:dyDescent="0.2">
      <c r="B5937" s="2">
        <f ca="1"/>
        <v>0.20734214737684953</v>
      </c>
      <c r="O5937" s="2">
        <f ca="1"/>
        <v>-0.28423632464825155</v>
      </c>
      <c r="X5937" s="2">
        <f ca="1"/>
        <v>78.988150932631086</v>
      </c>
      <c r="AG5937" s="2">
        <f ca="1"/>
        <v>0.31450180684081142</v>
      </c>
      <c r="AH5937" s="2" t="str">
        <f ca="1"/>
        <v>OK</v>
      </c>
    </row>
    <row r="5938" spans="2:34" x14ac:dyDescent="0.2">
      <c r="B5938" s="2">
        <f ca="1"/>
        <v>0.31646498216487129</v>
      </c>
      <c r="O5938" s="2">
        <f ca="1"/>
        <v>0.2138879421286404</v>
      </c>
      <c r="X5938" s="2">
        <f ca="1"/>
        <v>40.342237675875566</v>
      </c>
      <c r="AG5938" s="2">
        <f ca="1"/>
        <v>0.13356476006029805</v>
      </c>
      <c r="AH5938" s="2" t="str">
        <f ca="1"/>
        <v>OK</v>
      </c>
    </row>
    <row r="5939" spans="2:34" x14ac:dyDescent="0.2">
      <c r="B5939" s="2">
        <f ca="1"/>
        <v>0.24363031879859065</v>
      </c>
      <c r="O5939" s="2">
        <f ca="1"/>
        <v>0.62212675160206043</v>
      </c>
      <c r="X5939" s="2">
        <f ca="1"/>
        <v>58.895017333373062</v>
      </c>
      <c r="AG5939" s="2">
        <f ca="1"/>
        <v>0.27074434511269563</v>
      </c>
      <c r="AH5939" s="2" t="str">
        <f ca="1"/>
        <v>OK</v>
      </c>
    </row>
    <row r="5940" spans="2:34" x14ac:dyDescent="0.2">
      <c r="B5940" s="2">
        <f ca="1"/>
        <v>0.44403895176691721</v>
      </c>
      <c r="O5940" s="2">
        <f ca="1"/>
        <v>0.55070538235333688</v>
      </c>
      <c r="X5940" s="2">
        <f ca="1"/>
        <v>31.425543829940285</v>
      </c>
      <c r="AG5940" s="2">
        <f ca="1"/>
        <v>0.21234992754718585</v>
      </c>
      <c r="AH5940" s="2" t="str">
        <f ca="1"/>
        <v>OK</v>
      </c>
    </row>
    <row r="5941" spans="2:34" x14ac:dyDescent="0.2">
      <c r="B5941" s="2">
        <f ca="1"/>
        <v>2.874567575399678E-2</v>
      </c>
      <c r="O5941" s="2">
        <f ca="1"/>
        <v>-1.5056490975271208</v>
      </c>
      <c r="X5941" s="2">
        <f ca="1"/>
        <v>68.553025014950322</v>
      </c>
      <c r="AG5941" s="2">
        <f ca="1"/>
        <v>2.1729491396715206E-2</v>
      </c>
      <c r="AH5941" s="2" t="str">
        <f ca="1"/>
        <v>Good</v>
      </c>
    </row>
    <row r="5942" spans="2:34" x14ac:dyDescent="0.2">
      <c r="B5942" s="2">
        <f ca="1"/>
        <v>0.76386063369293966</v>
      </c>
      <c r="O5942" s="2">
        <f ca="1"/>
        <v>-0.70209483442055809</v>
      </c>
      <c r="X5942" s="2">
        <f ca="1"/>
        <v>52.076645032153579</v>
      </c>
      <c r="AG5942" s="2">
        <f ca="1"/>
        <v>0.40602708893762784</v>
      </c>
      <c r="AH5942" s="2" t="str">
        <f ca="1"/>
        <v>Bad</v>
      </c>
    </row>
    <row r="5943" spans="2:34" x14ac:dyDescent="0.2">
      <c r="B5943" s="2">
        <f ca="1"/>
        <v>0.97434841891708612</v>
      </c>
      <c r="O5943" s="2">
        <f ca="1"/>
        <v>5.7747409354119365E-2</v>
      </c>
      <c r="X5943" s="2">
        <f ca="1"/>
        <v>44.877749715087575</v>
      </c>
      <c r="AG5943" s="2">
        <f ca="1"/>
        <v>0.26231120763915539</v>
      </c>
      <c r="AH5943" s="2" t="str">
        <f ca="1"/>
        <v>OK</v>
      </c>
    </row>
    <row r="5944" spans="2:34" x14ac:dyDescent="0.2">
      <c r="B5944" s="2">
        <f ca="1"/>
        <v>0.24133189651412201</v>
      </c>
      <c r="O5944" s="2">
        <f ca="1"/>
        <v>-2.0171085305161456</v>
      </c>
      <c r="X5944" s="2">
        <f ca="1"/>
        <v>75.788086138383804</v>
      </c>
      <c r="AG5944" s="2">
        <f ca="1"/>
        <v>0.43953700991868971</v>
      </c>
      <c r="AH5944" s="2" t="str">
        <f ca="1"/>
        <v>Bad</v>
      </c>
    </row>
    <row r="5945" spans="2:34" x14ac:dyDescent="0.2">
      <c r="B5945" s="2">
        <f ca="1"/>
        <v>0.86353095814309433</v>
      </c>
      <c r="O5945" s="2">
        <f ca="1"/>
        <v>-0.94000809410676234</v>
      </c>
      <c r="X5945" s="2">
        <f ca="1"/>
        <v>96.071264317581296</v>
      </c>
      <c r="AG5945" s="2">
        <f ca="1"/>
        <v>0.13140599053255841</v>
      </c>
      <c r="AH5945" s="2" t="str">
        <f ca="1"/>
        <v>OK</v>
      </c>
    </row>
    <row r="5946" spans="2:34" x14ac:dyDescent="0.2">
      <c r="B5946" s="2">
        <f ca="1"/>
        <v>0.77431894624565434</v>
      </c>
      <c r="O5946" s="2">
        <f ca="1"/>
        <v>-1.0163323904622397</v>
      </c>
      <c r="X5946" s="2">
        <f ca="1"/>
        <v>40.075106221393575</v>
      </c>
      <c r="AG5946" s="2">
        <f ca="1"/>
        <v>0.57383096586614801</v>
      </c>
      <c r="AH5946" s="2" t="str">
        <f ca="1"/>
        <v>Bad</v>
      </c>
    </row>
    <row r="5947" spans="2:34" x14ac:dyDescent="0.2">
      <c r="B5947" s="2">
        <f ca="1"/>
        <v>0.63717559545141955</v>
      </c>
      <c r="O5947" s="2">
        <f ca="1"/>
        <v>-0.46854193462599103</v>
      </c>
      <c r="X5947" s="2">
        <f ca="1"/>
        <v>89.96899499592584</v>
      </c>
      <c r="AG5947" s="2">
        <f ca="1"/>
        <v>0.80446276320036048</v>
      </c>
      <c r="AH5947" s="2" t="str">
        <f ca="1"/>
        <v>Bad</v>
      </c>
    </row>
    <row r="5948" spans="2:34" x14ac:dyDescent="0.2">
      <c r="B5948" s="2">
        <f ca="1"/>
        <v>0.38372398394970308</v>
      </c>
      <c r="O5948" s="2">
        <f ca="1"/>
        <v>0.45146515996281583</v>
      </c>
      <c r="X5948" s="2">
        <f ca="1"/>
        <v>34.017501119980565</v>
      </c>
      <c r="AG5948" s="2">
        <f ca="1"/>
        <v>0.27442209778651261</v>
      </c>
      <c r="AH5948" s="2" t="str">
        <f ca="1"/>
        <v>OK</v>
      </c>
    </row>
    <row r="5949" spans="2:34" x14ac:dyDescent="0.2">
      <c r="B5949" s="2">
        <f ca="1"/>
        <v>0.36956028061064061</v>
      </c>
      <c r="O5949" s="2">
        <f ca="1"/>
        <v>0.15151906289107953</v>
      </c>
      <c r="X5949" s="2">
        <f ca="1"/>
        <v>39.327858979407182</v>
      </c>
      <c r="AG5949" s="2">
        <f ca="1"/>
        <v>0.65745408087685342</v>
      </c>
      <c r="AH5949" s="2" t="str">
        <f ca="1"/>
        <v>Bad</v>
      </c>
    </row>
    <row r="5950" spans="2:34" x14ac:dyDescent="0.2">
      <c r="B5950" s="2">
        <f ca="1"/>
        <v>0.91500215569971433</v>
      </c>
      <c r="O5950" s="2">
        <f ca="1"/>
        <v>-0.78879164260799128</v>
      </c>
      <c r="X5950" s="2">
        <f ca="1"/>
        <v>74.073333725591127</v>
      </c>
      <c r="AG5950" s="2">
        <f ca="1"/>
        <v>0.4096257093508413</v>
      </c>
      <c r="AH5950" s="2" t="str">
        <f ca="1"/>
        <v>Bad</v>
      </c>
    </row>
    <row r="5951" spans="2:34" x14ac:dyDescent="0.2">
      <c r="B5951" s="2">
        <f ca="1"/>
        <v>2.1857952301567174E-3</v>
      </c>
      <c r="O5951" s="2">
        <f ca="1"/>
        <v>-0.29412308338278154</v>
      </c>
      <c r="X5951" s="2">
        <f ca="1"/>
        <v>49.245362928682468</v>
      </c>
      <c r="AG5951" s="2">
        <f ca="1"/>
        <v>0.11060109622648584</v>
      </c>
      <c r="AH5951" s="2" t="str">
        <f ca="1"/>
        <v>OK</v>
      </c>
    </row>
    <row r="5952" spans="2:34" x14ac:dyDescent="0.2">
      <c r="B5952" s="2">
        <f ca="1"/>
        <v>0.32769990198177834</v>
      </c>
      <c r="O5952" s="2">
        <f ca="1"/>
        <v>0.84082042713001603</v>
      </c>
      <c r="X5952" s="2">
        <f ca="1"/>
        <v>57.758019173409934</v>
      </c>
      <c r="AG5952" s="2">
        <f ca="1"/>
        <v>0.11267345064826118</v>
      </c>
      <c r="AH5952" s="2" t="str">
        <f ca="1"/>
        <v>OK</v>
      </c>
    </row>
    <row r="5953" spans="2:34" x14ac:dyDescent="0.2">
      <c r="B5953" s="2">
        <f ca="1"/>
        <v>8.7754654418441103E-2</v>
      </c>
      <c r="O5953" s="2">
        <f ca="1"/>
        <v>-0.29870235648605603</v>
      </c>
      <c r="X5953" s="2">
        <f ca="1"/>
        <v>57.545852320846549</v>
      </c>
      <c r="AG5953" s="2">
        <f ca="1"/>
        <v>0.97068970780859942</v>
      </c>
      <c r="AH5953" s="2" t="str">
        <f ca="1"/>
        <v>Bad</v>
      </c>
    </row>
    <row r="5954" spans="2:34" x14ac:dyDescent="0.2">
      <c r="B5954" s="2">
        <f ca="1"/>
        <v>0.10364247856624509</v>
      </c>
      <c r="O5954" s="2">
        <f ca="1"/>
        <v>0.53108216591542823</v>
      </c>
      <c r="X5954" s="2">
        <f ca="1"/>
        <v>67.672954594906869</v>
      </c>
      <c r="AG5954" s="2">
        <f ca="1"/>
        <v>0.94755629788263218</v>
      </c>
      <c r="AH5954" s="2" t="str">
        <f ca="1"/>
        <v>Bad</v>
      </c>
    </row>
    <row r="5955" spans="2:34" x14ac:dyDescent="0.2">
      <c r="B5955" s="2">
        <f ca="1"/>
        <v>0.38517498892121038</v>
      </c>
      <c r="O5955" s="2">
        <f ca="1"/>
        <v>-0.46413679312129702</v>
      </c>
      <c r="X5955" s="2">
        <f ca="1"/>
        <v>69.453570500131519</v>
      </c>
      <c r="AG5955" s="2">
        <f ca="1"/>
        <v>0.47880861377903083</v>
      </c>
      <c r="AH5955" s="2" t="str">
        <f ca="1"/>
        <v>Bad</v>
      </c>
    </row>
    <row r="5956" spans="2:34" x14ac:dyDescent="0.2">
      <c r="B5956" s="2">
        <f ca="1"/>
        <v>0.11645177641997084</v>
      </c>
      <c r="O5956" s="2">
        <f ca="1"/>
        <v>3.3135152185501449E-2</v>
      </c>
      <c r="X5956" s="2">
        <f ca="1"/>
        <v>99.386525368238182</v>
      </c>
      <c r="AG5956" s="2">
        <f ca="1"/>
        <v>0.27609524184595968</v>
      </c>
      <c r="AH5956" s="2" t="str">
        <f ca="1"/>
        <v>OK</v>
      </c>
    </row>
    <row r="5957" spans="2:34" x14ac:dyDescent="0.2">
      <c r="B5957" s="2">
        <f ca="1"/>
        <v>0.48823567633164555</v>
      </c>
      <c r="O5957" s="2">
        <f ca="1"/>
        <v>-1.3842106408919583</v>
      </c>
      <c r="X5957" s="2">
        <f ca="1"/>
        <v>34.027452199514002</v>
      </c>
      <c r="AG5957" s="2">
        <f ca="1"/>
        <v>0.23250453710729335</v>
      </c>
      <c r="AH5957" s="2" t="str">
        <f ca="1"/>
        <v>OK</v>
      </c>
    </row>
    <row r="5958" spans="2:34" x14ac:dyDescent="0.2">
      <c r="B5958" s="2">
        <f ca="1"/>
        <v>7.3325985519685499E-3</v>
      </c>
      <c r="O5958" s="2">
        <f ca="1"/>
        <v>1.3652103569890219</v>
      </c>
      <c r="X5958" s="2">
        <f ca="1"/>
        <v>37.221683300339798</v>
      </c>
      <c r="AG5958" s="2">
        <f ca="1"/>
        <v>0.4823180121895374</v>
      </c>
      <c r="AH5958" s="2" t="str">
        <f ca="1"/>
        <v>Bad</v>
      </c>
    </row>
    <row r="5959" spans="2:34" x14ac:dyDescent="0.2">
      <c r="B5959" s="2">
        <f ca="1"/>
        <v>0.60367276524753377</v>
      </c>
      <c r="O5959" s="2">
        <f ca="1"/>
        <v>-2.4130564289977917E-2</v>
      </c>
      <c r="X5959" s="2">
        <f ca="1"/>
        <v>54.888356978267467</v>
      </c>
      <c r="AG5959" s="2">
        <f ca="1"/>
        <v>8.5731366012644639E-2</v>
      </c>
      <c r="AH5959" s="2" t="str">
        <f ca="1"/>
        <v>OK</v>
      </c>
    </row>
    <row r="5960" spans="2:34" x14ac:dyDescent="0.2">
      <c r="B5960" s="2">
        <f ca="1"/>
        <v>0.4020093742059323</v>
      </c>
      <c r="O5960" s="2">
        <f ca="1"/>
        <v>-0.55144167731151172</v>
      </c>
      <c r="X5960" s="2">
        <f ca="1"/>
        <v>52.240482772638444</v>
      </c>
      <c r="AG5960" s="2">
        <f ca="1"/>
        <v>5.8093637135326448E-2</v>
      </c>
      <c r="AH5960" s="2" t="str">
        <f ca="1"/>
        <v>OK</v>
      </c>
    </row>
    <row r="5961" spans="2:34" x14ac:dyDescent="0.2">
      <c r="B5961" s="2">
        <f ca="1"/>
        <v>0.30964721525959016</v>
      </c>
      <c r="O5961" s="2">
        <f ca="1"/>
        <v>-0.28260065963262498</v>
      </c>
      <c r="X5961" s="2">
        <f ca="1"/>
        <v>46.383647494982711</v>
      </c>
      <c r="AG5961" s="2">
        <f ca="1"/>
        <v>0.37650096458565785</v>
      </c>
      <c r="AH5961" s="2" t="str">
        <f ca="1"/>
        <v>OK</v>
      </c>
    </row>
    <row r="5962" spans="2:34" x14ac:dyDescent="0.2">
      <c r="B5962" s="2">
        <f ca="1"/>
        <v>0.78537172379251441</v>
      </c>
      <c r="O5962" s="2">
        <f ca="1"/>
        <v>-1.2682307379756659</v>
      </c>
      <c r="X5962" s="2">
        <f ca="1"/>
        <v>39.325407760082939</v>
      </c>
      <c r="AG5962" s="2">
        <f ca="1"/>
        <v>1.479799238246482E-3</v>
      </c>
      <c r="AH5962" s="2" t="str">
        <f ca="1"/>
        <v>Good</v>
      </c>
    </row>
    <row r="5963" spans="2:34" x14ac:dyDescent="0.2">
      <c r="B5963" s="2">
        <f ca="1"/>
        <v>0.56654396317968181</v>
      </c>
      <c r="O5963" s="2">
        <f ca="1"/>
        <v>-0.47269110019097726</v>
      </c>
      <c r="X5963" s="2">
        <f ca="1"/>
        <v>51.390173480576529</v>
      </c>
      <c r="AG5963" s="2">
        <f ca="1"/>
        <v>0.35348446824214808</v>
      </c>
      <c r="AH5963" s="2" t="str">
        <f ca="1"/>
        <v>OK</v>
      </c>
    </row>
    <row r="5964" spans="2:34" x14ac:dyDescent="0.2">
      <c r="B5964" s="2">
        <f ca="1"/>
        <v>0.92262493271630075</v>
      </c>
      <c r="O5964" s="2">
        <f ca="1"/>
        <v>2.0872116114302939</v>
      </c>
      <c r="X5964" s="2">
        <f ca="1"/>
        <v>83.538406477747458</v>
      </c>
      <c r="AG5964" s="2">
        <f ca="1"/>
        <v>0.59948384371370089</v>
      </c>
      <c r="AH5964" s="2" t="str">
        <f ca="1"/>
        <v>Bad</v>
      </c>
    </row>
    <row r="5965" spans="2:34" x14ac:dyDescent="0.2">
      <c r="B5965" s="2">
        <f ca="1"/>
        <v>0.45239662031042016</v>
      </c>
      <c r="O5965" s="2">
        <f ca="1"/>
        <v>-0.16029857996243205</v>
      </c>
      <c r="X5965" s="2">
        <f ca="1"/>
        <v>39.00121009368857</v>
      </c>
      <c r="AG5965" s="2">
        <f ca="1"/>
        <v>0.31839758164476883</v>
      </c>
      <c r="AH5965" s="2" t="str">
        <f ca="1"/>
        <v>OK</v>
      </c>
    </row>
    <row r="5966" spans="2:34" x14ac:dyDescent="0.2">
      <c r="B5966" s="2">
        <f ca="1"/>
        <v>0.2659853979397715</v>
      </c>
      <c r="O5966" s="2">
        <f ca="1"/>
        <v>-0.33590266385350809</v>
      </c>
      <c r="X5966" s="2">
        <f ca="1"/>
        <v>45.421733521826241</v>
      </c>
      <c r="AG5966" s="2">
        <f ca="1"/>
        <v>0.9071727258913973</v>
      </c>
      <c r="AH5966" s="2" t="str">
        <f ca="1"/>
        <v>Bad</v>
      </c>
    </row>
    <row r="5967" spans="2:34" x14ac:dyDescent="0.2">
      <c r="B5967" s="2">
        <f ca="1"/>
        <v>0.51136623180086471</v>
      </c>
      <c r="O5967" s="2">
        <f ca="1"/>
        <v>-1.0640673751001546</v>
      </c>
      <c r="X5967" s="2">
        <f ca="1"/>
        <v>44.822879204218111</v>
      </c>
      <c r="AG5967" s="2">
        <f ca="1"/>
        <v>0.2153164549822939</v>
      </c>
      <c r="AH5967" s="2" t="str">
        <f ca="1"/>
        <v>OK</v>
      </c>
    </row>
    <row r="5968" spans="2:34" x14ac:dyDescent="0.2">
      <c r="B5968" s="2">
        <f ca="1"/>
        <v>0.40082366392015301</v>
      </c>
      <c r="O5968" s="2">
        <f ca="1"/>
        <v>0.30891747636190281</v>
      </c>
      <c r="X5968" s="2">
        <f ca="1"/>
        <v>69.603768153739665</v>
      </c>
      <c r="AG5968" s="2">
        <f ca="1"/>
        <v>7.285732268194578E-2</v>
      </c>
      <c r="AH5968" s="2" t="str">
        <f ca="1"/>
        <v>OK</v>
      </c>
    </row>
    <row r="5969" spans="2:34" x14ac:dyDescent="0.2">
      <c r="B5969" s="2">
        <f ca="1"/>
        <v>0.54652721429264806</v>
      </c>
      <c r="O5969" s="2">
        <f ca="1"/>
        <v>0.77994465897976117</v>
      </c>
      <c r="X5969" s="2">
        <f ca="1"/>
        <v>31.8505383296567</v>
      </c>
      <c r="AG5969" s="2">
        <f ca="1"/>
        <v>0.26641183233503285</v>
      </c>
      <c r="AH5969" s="2" t="str">
        <f ca="1"/>
        <v>OK</v>
      </c>
    </row>
    <row r="5970" spans="2:34" x14ac:dyDescent="0.2">
      <c r="B5970" s="2">
        <f ca="1"/>
        <v>0.82321357088758917</v>
      </c>
      <c r="O5970" s="2">
        <f ca="1"/>
        <v>0.41779910172570806</v>
      </c>
      <c r="X5970" s="2">
        <f ca="1"/>
        <v>38.461402164898544</v>
      </c>
      <c r="AG5970" s="2">
        <f ca="1"/>
        <v>0.8613889147935947</v>
      </c>
      <c r="AH5970" s="2" t="str">
        <f ca="1"/>
        <v>Bad</v>
      </c>
    </row>
    <row r="5971" spans="2:34" x14ac:dyDescent="0.2">
      <c r="B5971" s="2">
        <f ca="1"/>
        <v>0.8159991618248168</v>
      </c>
      <c r="O5971" s="2">
        <f ca="1"/>
        <v>-0.30058686145919655</v>
      </c>
      <c r="X5971" s="2">
        <f ca="1"/>
        <v>41.956155660839904</v>
      </c>
      <c r="AG5971" s="2">
        <f ca="1"/>
        <v>0.35498238652952496</v>
      </c>
      <c r="AH5971" s="2" t="str">
        <f ca="1"/>
        <v>OK</v>
      </c>
    </row>
    <row r="5972" spans="2:34" x14ac:dyDescent="0.2">
      <c r="B5972" s="2">
        <f ca="1"/>
        <v>0.51311802810596818</v>
      </c>
      <c r="O5972" s="2">
        <f ca="1"/>
        <v>0.48782407381952814</v>
      </c>
      <c r="X5972" s="2">
        <f ca="1"/>
        <v>51.110503984132698</v>
      </c>
      <c r="AG5972" s="2">
        <f ca="1"/>
        <v>3.4234947915787295E-2</v>
      </c>
      <c r="AH5972" s="2" t="str">
        <f ca="1"/>
        <v>Good</v>
      </c>
    </row>
    <row r="5973" spans="2:34" x14ac:dyDescent="0.2">
      <c r="B5973" s="2">
        <f ca="1"/>
        <v>0.36743836745507452</v>
      </c>
      <c r="O5973" s="2">
        <f ca="1"/>
        <v>-2.5389867482899628</v>
      </c>
      <c r="X5973" s="2">
        <f ca="1"/>
        <v>42.915722751792096</v>
      </c>
      <c r="AG5973" s="2">
        <f ca="1"/>
        <v>0.44852858197050094</v>
      </c>
      <c r="AH5973" s="2" t="str">
        <f ca="1"/>
        <v>Bad</v>
      </c>
    </row>
    <row r="5974" spans="2:34" x14ac:dyDescent="0.2">
      <c r="B5974" s="2">
        <f ca="1"/>
        <v>0.16938399045931019</v>
      </c>
      <c r="O5974" s="2">
        <f ca="1"/>
        <v>-1.2130372863953585</v>
      </c>
      <c r="X5974" s="2">
        <f ca="1"/>
        <v>42.446749764703142</v>
      </c>
      <c r="AG5974" s="2">
        <f ca="1"/>
        <v>0.5850152023523818</v>
      </c>
      <c r="AH5974" s="2" t="str">
        <f ca="1"/>
        <v>Bad</v>
      </c>
    </row>
    <row r="5975" spans="2:34" x14ac:dyDescent="0.2">
      <c r="B5975" s="2">
        <f ca="1"/>
        <v>0.59183928718152057</v>
      </c>
      <c r="O5975" s="2">
        <f ca="1"/>
        <v>-0.51180907525528196</v>
      </c>
      <c r="X5975" s="2">
        <f ca="1"/>
        <v>53.492986050265792</v>
      </c>
      <c r="AG5975" s="2">
        <f ca="1"/>
        <v>0.9131039661000615</v>
      </c>
      <c r="AH5975" s="2" t="str">
        <f ca="1"/>
        <v>Bad</v>
      </c>
    </row>
    <row r="5976" spans="2:34" x14ac:dyDescent="0.2">
      <c r="B5976" s="2">
        <f ca="1"/>
        <v>0.18897715115206792</v>
      </c>
      <c r="O5976" s="2">
        <f ca="1"/>
        <v>0.62922694943778024</v>
      </c>
      <c r="X5976" s="2">
        <f ca="1"/>
        <v>30.964207799011145</v>
      </c>
      <c r="AG5976" s="2">
        <f ca="1"/>
        <v>0.64561793476975304</v>
      </c>
      <c r="AH5976" s="2" t="str">
        <f ca="1"/>
        <v>Bad</v>
      </c>
    </row>
    <row r="5977" spans="2:34" x14ac:dyDescent="0.2">
      <c r="B5977" s="2">
        <f ca="1"/>
        <v>0.80142633255775864</v>
      </c>
      <c r="O5977" s="2">
        <f ca="1"/>
        <v>-6.13648061619445E-2</v>
      </c>
      <c r="X5977" s="2">
        <f ca="1"/>
        <v>57.176874974134904</v>
      </c>
      <c r="AG5977" s="2">
        <f ca="1"/>
        <v>0.39740284889397515</v>
      </c>
      <c r="AH5977" s="2" t="str">
        <f ca="1"/>
        <v>OK</v>
      </c>
    </row>
    <row r="5978" spans="2:34" x14ac:dyDescent="0.2">
      <c r="B5978" s="2">
        <f ca="1"/>
        <v>0.22310117635308302</v>
      </c>
      <c r="O5978" s="2">
        <f ca="1"/>
        <v>0.28109993050134469</v>
      </c>
      <c r="X5978" s="2">
        <f ca="1"/>
        <v>99.611438498562975</v>
      </c>
      <c r="AG5978" s="2">
        <f ca="1"/>
        <v>0.34859452757998888</v>
      </c>
      <c r="AH5978" s="2" t="str">
        <f ca="1"/>
        <v>OK</v>
      </c>
    </row>
    <row r="5979" spans="2:34" x14ac:dyDescent="0.2">
      <c r="B5979" s="2">
        <f ca="1"/>
        <v>0.80645788544857466</v>
      </c>
      <c r="O5979" s="2">
        <f ca="1"/>
        <v>0.60960918841884892</v>
      </c>
      <c r="X5979" s="2">
        <f ca="1"/>
        <v>31.346231676512176</v>
      </c>
      <c r="AG5979" s="2">
        <f ca="1"/>
        <v>0.51827895641888166</v>
      </c>
      <c r="AH5979" s="2" t="str">
        <f ca="1"/>
        <v>Bad</v>
      </c>
    </row>
    <row r="5980" spans="2:34" x14ac:dyDescent="0.2">
      <c r="B5980" s="2">
        <f ca="1"/>
        <v>0.51247263611487082</v>
      </c>
      <c r="O5980" s="2">
        <f ca="1"/>
        <v>2.5550103353967248</v>
      </c>
      <c r="X5980" s="2">
        <f ca="1"/>
        <v>52.267361927640152</v>
      </c>
      <c r="AG5980" s="2">
        <f ca="1"/>
        <v>0.77174175810932177</v>
      </c>
      <c r="AH5980" s="2" t="str">
        <f ca="1"/>
        <v>Bad</v>
      </c>
    </row>
    <row r="5981" spans="2:34" x14ac:dyDescent="0.2">
      <c r="B5981" s="2">
        <f ca="1"/>
        <v>0.9878704696670404</v>
      </c>
      <c r="O5981" s="2">
        <f ca="1"/>
        <v>-0.85934029148578983</v>
      </c>
      <c r="X5981" s="2">
        <f ca="1"/>
        <v>30.400909442293607</v>
      </c>
      <c r="AG5981" s="2">
        <f ca="1"/>
        <v>0.96564352280393595</v>
      </c>
      <c r="AH5981" s="2" t="str">
        <f ca="1"/>
        <v>Bad</v>
      </c>
    </row>
    <row r="5982" spans="2:34" x14ac:dyDescent="0.2">
      <c r="B5982" s="2">
        <f ca="1"/>
        <v>0.72430607158796789</v>
      </c>
      <c r="O5982" s="2">
        <f ca="1"/>
        <v>1.1701667487202265</v>
      </c>
      <c r="X5982" s="2">
        <f ca="1"/>
        <v>55.249401212930785</v>
      </c>
      <c r="AG5982" s="2">
        <f ca="1"/>
        <v>0.51206847640585629</v>
      </c>
      <c r="AH5982" s="2" t="str">
        <f ca="1"/>
        <v>Bad</v>
      </c>
    </row>
    <row r="5983" spans="2:34" x14ac:dyDescent="0.2">
      <c r="B5983" s="2">
        <f ca="1"/>
        <v>0.78531848781696345</v>
      </c>
      <c r="O5983" s="2">
        <f ca="1"/>
        <v>0.23030113866771248</v>
      </c>
      <c r="X5983" s="2">
        <f ca="1"/>
        <v>33.064736704176525</v>
      </c>
      <c r="AG5983" s="2">
        <f ca="1"/>
        <v>0.81262728907117343</v>
      </c>
      <c r="AH5983" s="2" t="str">
        <f ca="1"/>
        <v>Bad</v>
      </c>
    </row>
    <row r="5984" spans="2:34" x14ac:dyDescent="0.2">
      <c r="B5984" s="2">
        <f ca="1"/>
        <v>0.14748424117335412</v>
      </c>
      <c r="O5984" s="2">
        <f ca="1"/>
        <v>0.2940254249403384</v>
      </c>
      <c r="X5984" s="2">
        <f ca="1"/>
        <v>31.21509895112824</v>
      </c>
      <c r="AG5984" s="2">
        <f ca="1"/>
        <v>0.44855983105582764</v>
      </c>
      <c r="AH5984" s="2" t="str">
        <f ca="1"/>
        <v>Bad</v>
      </c>
    </row>
    <row r="5985" spans="2:34" x14ac:dyDescent="0.2">
      <c r="B5985" s="2">
        <f ca="1"/>
        <v>0.15626447230573426</v>
      </c>
      <c r="O5985" s="2">
        <f ca="1"/>
        <v>1.0158420340584748</v>
      </c>
      <c r="X5985" s="2">
        <f ca="1"/>
        <v>61.091021211019921</v>
      </c>
      <c r="AG5985" s="2">
        <f ca="1"/>
        <v>0.28917963641666922</v>
      </c>
      <c r="AH5985" s="2" t="str">
        <f ca="1"/>
        <v>OK</v>
      </c>
    </row>
    <row r="5986" spans="2:34" x14ac:dyDescent="0.2">
      <c r="B5986" s="2">
        <f ca="1"/>
        <v>0.6723691056290575</v>
      </c>
      <c r="O5986" s="2">
        <f ca="1"/>
        <v>-1.2583096192559755</v>
      </c>
      <c r="X5986" s="2">
        <f ca="1"/>
        <v>45.850187665642963</v>
      </c>
      <c r="AG5986" s="2">
        <f ca="1"/>
        <v>0.96458885469242239</v>
      </c>
      <c r="AH5986" s="2" t="str">
        <f ca="1"/>
        <v>Bad</v>
      </c>
    </row>
    <row r="5987" spans="2:34" x14ac:dyDescent="0.2">
      <c r="B5987" s="2">
        <f ca="1"/>
        <v>0.92121304236479551</v>
      </c>
      <c r="O5987" s="2">
        <f ca="1"/>
        <v>0.33337128383515646</v>
      </c>
      <c r="X5987" s="2">
        <f ca="1"/>
        <v>41.772161946442345</v>
      </c>
      <c r="AG5987" s="2">
        <f ca="1"/>
        <v>0.5052743730649436</v>
      </c>
      <c r="AH5987" s="2" t="str">
        <f ca="1"/>
        <v>Bad</v>
      </c>
    </row>
    <row r="5988" spans="2:34" x14ac:dyDescent="0.2">
      <c r="B5988" s="2">
        <f ca="1"/>
        <v>0.53907732784395535</v>
      </c>
      <c r="O5988" s="2">
        <f ca="1"/>
        <v>-1.4339778431598145</v>
      </c>
      <c r="X5988" s="2">
        <f ca="1"/>
        <v>71.97784420037982</v>
      </c>
      <c r="AG5988" s="2">
        <f ca="1"/>
        <v>0.75651239886907384</v>
      </c>
      <c r="AH5988" s="2" t="str">
        <f ca="1"/>
        <v>Bad</v>
      </c>
    </row>
    <row r="5989" spans="2:34" x14ac:dyDescent="0.2">
      <c r="B5989" s="2">
        <f ca="1"/>
        <v>0.17155911264496027</v>
      </c>
      <c r="O5989" s="2">
        <f ca="1"/>
        <v>0.76004093249459814</v>
      </c>
      <c r="X5989" s="2">
        <f ca="1"/>
        <v>60.153043113081743</v>
      </c>
      <c r="AG5989" s="2">
        <f ca="1"/>
        <v>0.4576588237596817</v>
      </c>
      <c r="AH5989" s="2" t="str">
        <f ca="1"/>
        <v>Bad</v>
      </c>
    </row>
    <row r="5990" spans="2:34" x14ac:dyDescent="0.2">
      <c r="B5990" s="2">
        <f ca="1"/>
        <v>0.46264507482728212</v>
      </c>
      <c r="O5990" s="2">
        <f ca="1"/>
        <v>0.119406149053654</v>
      </c>
      <c r="X5990" s="2">
        <f ca="1"/>
        <v>49.408343727934124</v>
      </c>
      <c r="AG5990" s="2">
        <f ca="1"/>
        <v>0.34684811972140306</v>
      </c>
      <c r="AH5990" s="2" t="str">
        <f ca="1"/>
        <v>OK</v>
      </c>
    </row>
    <row r="5991" spans="2:34" x14ac:dyDescent="0.2">
      <c r="B5991" s="2">
        <f ca="1"/>
        <v>0.3836432665477636</v>
      </c>
      <c r="O5991" s="2">
        <f ca="1"/>
        <v>-0.9013623193993443</v>
      </c>
      <c r="X5991" s="2">
        <f ca="1"/>
        <v>50.825456702156451</v>
      </c>
      <c r="AG5991" s="2">
        <f ca="1"/>
        <v>0.88059345233510111</v>
      </c>
      <c r="AH5991" s="2" t="str">
        <f ca="1"/>
        <v>Bad</v>
      </c>
    </row>
    <row r="5992" spans="2:34" x14ac:dyDescent="0.2">
      <c r="B5992" s="2">
        <f ca="1"/>
        <v>0.10343310618351897</v>
      </c>
      <c r="O5992" s="2">
        <f ca="1"/>
        <v>-0.13617872728144514</v>
      </c>
      <c r="X5992" s="2">
        <f ca="1"/>
        <v>49.225622487394489</v>
      </c>
      <c r="AG5992" s="2">
        <f ca="1"/>
        <v>0.80650027960610271</v>
      </c>
      <c r="AH5992" s="2" t="str">
        <f ca="1"/>
        <v>Bad</v>
      </c>
    </row>
    <row r="5993" spans="2:34" x14ac:dyDescent="0.2">
      <c r="B5993" s="2">
        <f ca="1"/>
        <v>0.97816022209597819</v>
      </c>
      <c r="O5993" s="2">
        <f ca="1"/>
        <v>8.0008422834237924E-2</v>
      </c>
      <c r="X5993" s="2">
        <f ca="1"/>
        <v>49.507677162930335</v>
      </c>
      <c r="AG5993" s="2">
        <f ca="1"/>
        <v>0.1769168534615102</v>
      </c>
      <c r="AH5993" s="2" t="str">
        <f ca="1"/>
        <v>OK</v>
      </c>
    </row>
    <row r="5994" spans="2:34" x14ac:dyDescent="0.2">
      <c r="B5994" s="2">
        <f ca="1"/>
        <v>0.74158919148575486</v>
      </c>
      <c r="O5994" s="2">
        <f ca="1"/>
        <v>0.49487743227894809</v>
      </c>
      <c r="X5994" s="2">
        <f ca="1"/>
        <v>93.634392403158813</v>
      </c>
      <c r="AG5994" s="2">
        <f ca="1"/>
        <v>0.17612991472739403</v>
      </c>
      <c r="AH5994" s="2" t="str">
        <f ca="1"/>
        <v>OK</v>
      </c>
    </row>
    <row r="5995" spans="2:34" x14ac:dyDescent="0.2">
      <c r="B5995" s="2">
        <f ca="1"/>
        <v>0.94153830095168844</v>
      </c>
      <c r="O5995" s="2">
        <f ca="1"/>
        <v>-2.3909218670109946</v>
      </c>
      <c r="X5995" s="2">
        <f ca="1"/>
        <v>53.900397694460558</v>
      </c>
      <c r="AG5995" s="2">
        <f ca="1"/>
        <v>0.28924856609953675</v>
      </c>
      <c r="AH5995" s="2" t="str">
        <f ca="1"/>
        <v>OK</v>
      </c>
    </row>
    <row r="5996" spans="2:34" x14ac:dyDescent="0.2">
      <c r="B5996" s="2">
        <f ca="1"/>
        <v>0.36593109410187452</v>
      </c>
      <c r="O5996" s="2">
        <f ca="1"/>
        <v>2.1845786857026335</v>
      </c>
      <c r="X5996" s="2">
        <f ca="1"/>
        <v>29.225977611073922</v>
      </c>
      <c r="AG5996" s="2">
        <f ca="1"/>
        <v>0.91698959508236433</v>
      </c>
      <c r="AH5996" s="2" t="str">
        <f ca="1"/>
        <v>Bad</v>
      </c>
    </row>
    <row r="5997" spans="2:34" x14ac:dyDescent="0.2">
      <c r="B5997" s="2">
        <f ca="1"/>
        <v>0.45439027506540675</v>
      </c>
      <c r="O5997" s="2">
        <f ca="1"/>
        <v>0.64413049512387388</v>
      </c>
      <c r="X5997" s="2">
        <f ca="1"/>
        <v>46.656763179594023</v>
      </c>
      <c r="AG5997" s="2">
        <f ca="1"/>
        <v>0.23852901307455587</v>
      </c>
      <c r="AH5997" s="2" t="str">
        <f ca="1"/>
        <v>OK</v>
      </c>
    </row>
    <row r="5998" spans="2:34" x14ac:dyDescent="0.2">
      <c r="B5998" s="2">
        <f ca="1"/>
        <v>0.962160262836113</v>
      </c>
      <c r="O5998" s="2">
        <f ca="1"/>
        <v>0.90943153005968125</v>
      </c>
      <c r="X5998" s="2">
        <f ca="1"/>
        <v>58.901104343953001</v>
      </c>
      <c r="AG5998" s="2">
        <f ca="1"/>
        <v>0.67922401198043136</v>
      </c>
      <c r="AH5998" s="2" t="str">
        <f ca="1"/>
        <v>Bad</v>
      </c>
    </row>
    <row r="5999" spans="2:34" x14ac:dyDescent="0.2">
      <c r="B5999" s="2">
        <f ca="1"/>
        <v>0.90251148390005076</v>
      </c>
      <c r="O5999" s="2">
        <f ca="1"/>
        <v>0.61993203316687517</v>
      </c>
      <c r="X5999" s="2">
        <f ca="1"/>
        <v>91.343043656625809</v>
      </c>
      <c r="AG5999" s="2">
        <f ca="1"/>
        <v>0.25647638831902664</v>
      </c>
      <c r="AH5999" s="2" t="str">
        <f ca="1"/>
        <v>OK</v>
      </c>
    </row>
    <row r="6000" spans="2:34" x14ac:dyDescent="0.2">
      <c r="B6000" s="2">
        <f ca="1"/>
        <v>0.93967291164488276</v>
      </c>
      <c r="O6000" s="2">
        <f ca="1"/>
        <v>-1.3455749090480815</v>
      </c>
      <c r="X6000" s="2">
        <f ca="1"/>
        <v>57.68101008503325</v>
      </c>
      <c r="AG6000" s="2">
        <f ca="1"/>
        <v>0.24308377308540474</v>
      </c>
      <c r="AH6000" s="2" t="str">
        <f ca="1"/>
        <v>OK</v>
      </c>
    </row>
    <row r="6001" spans="2:34" x14ac:dyDescent="0.2">
      <c r="B6001" s="2">
        <f ca="1"/>
        <v>0.30761442589173704</v>
      </c>
      <c r="O6001" s="2">
        <f ca="1"/>
        <v>-1.1451063099814081</v>
      </c>
      <c r="X6001" s="2">
        <f ca="1"/>
        <v>27.175990983549319</v>
      </c>
      <c r="AG6001" s="2">
        <f ca="1"/>
        <v>0.88628399880484943</v>
      </c>
      <c r="AH6001" s="2" t="str">
        <f ca="1"/>
        <v>Bad</v>
      </c>
    </row>
    <row r="6002" spans="2:34" x14ac:dyDescent="0.2">
      <c r="B6002" s="2">
        <f ca="1"/>
        <v>0.88311793174634245</v>
      </c>
      <c r="O6002" s="2">
        <f ca="1"/>
        <v>0.45215145663763895</v>
      </c>
      <c r="X6002" s="2">
        <f ca="1"/>
        <v>50.962619348814428</v>
      </c>
      <c r="AG6002" s="2">
        <f ca="1"/>
        <v>0.4802532140508029</v>
      </c>
      <c r="AH6002" s="2" t="str">
        <f ca="1"/>
        <v>Bad</v>
      </c>
    </row>
    <row r="6003" spans="2:34" x14ac:dyDescent="0.2">
      <c r="B6003" s="2">
        <f ca="1"/>
        <v>0.20695115817243837</v>
      </c>
      <c r="O6003" s="2">
        <f ca="1"/>
        <v>-0.87046827773188662</v>
      </c>
      <c r="X6003" s="2">
        <f ca="1"/>
        <v>55.527040177514195</v>
      </c>
      <c r="AG6003" s="2">
        <f ca="1"/>
        <v>0.94008769962015348</v>
      </c>
      <c r="AH6003" s="2" t="str">
        <f ca="1"/>
        <v>Bad</v>
      </c>
    </row>
    <row r="6004" spans="2:34" x14ac:dyDescent="0.2">
      <c r="B6004" s="2">
        <f ca="1"/>
        <v>0.93161393777597312</v>
      </c>
      <c r="O6004" s="2">
        <f ca="1"/>
        <v>-0.74557753696632045</v>
      </c>
      <c r="X6004" s="2">
        <f ca="1"/>
        <v>73.072725110888143</v>
      </c>
      <c r="AG6004" s="2">
        <f ca="1"/>
        <v>0.88190442350764364</v>
      </c>
      <c r="AH6004" s="2" t="str">
        <f ca="1"/>
        <v>Bad</v>
      </c>
    </row>
    <row r="6005" spans="2:34" x14ac:dyDescent="0.2">
      <c r="B6005" s="2">
        <f ca="1"/>
        <v>0.50368079191614035</v>
      </c>
      <c r="O6005" s="2">
        <f ca="1"/>
        <v>1.1646056717733624</v>
      </c>
      <c r="X6005" s="2">
        <f ca="1"/>
        <v>36.710721810896835</v>
      </c>
      <c r="AG6005" s="2">
        <f ca="1"/>
        <v>0.74615544498174446</v>
      </c>
      <c r="AH6005" s="2" t="str">
        <f ca="1"/>
        <v>Bad</v>
      </c>
    </row>
    <row r="6006" spans="2:34" x14ac:dyDescent="0.2">
      <c r="B6006" s="2">
        <f ca="1"/>
        <v>0.78040655847741003</v>
      </c>
      <c r="O6006" s="2">
        <f ca="1"/>
        <v>0.88035703459316894</v>
      </c>
      <c r="X6006" s="2">
        <f ca="1"/>
        <v>46.28998011335316</v>
      </c>
      <c r="AG6006" s="2">
        <f ca="1"/>
        <v>0.40788335574804768</v>
      </c>
      <c r="AH6006" s="2" t="str">
        <f ca="1"/>
        <v>Bad</v>
      </c>
    </row>
    <row r="6007" spans="2:34" x14ac:dyDescent="0.2">
      <c r="B6007" s="2">
        <f ca="1"/>
        <v>0.75543397132301893</v>
      </c>
      <c r="O6007" s="2">
        <f ca="1"/>
        <v>-1.1398136318520125</v>
      </c>
      <c r="X6007" s="2">
        <f ca="1"/>
        <v>55.093783239525806</v>
      </c>
      <c r="AG6007" s="2">
        <f ca="1"/>
        <v>0.58891830528626299</v>
      </c>
      <c r="AH6007" s="2" t="str">
        <f ca="1"/>
        <v>Bad</v>
      </c>
    </row>
    <row r="6008" spans="2:34" x14ac:dyDescent="0.2">
      <c r="B6008" s="2">
        <f ca="1"/>
        <v>0.16311145520119941</v>
      </c>
      <c r="O6008" s="2">
        <f ca="1"/>
        <v>1.5685701584299625</v>
      </c>
      <c r="X6008" s="2">
        <f ca="1"/>
        <v>38.988743025475415</v>
      </c>
      <c r="AG6008" s="2">
        <f ca="1"/>
        <v>6.612401836639914E-2</v>
      </c>
      <c r="AH6008" s="2" t="str">
        <f ca="1"/>
        <v>OK</v>
      </c>
    </row>
    <row r="6009" spans="2:34" x14ac:dyDescent="0.2">
      <c r="B6009" s="2">
        <f ca="1"/>
        <v>0.89849340050102144</v>
      </c>
      <c r="O6009" s="2">
        <f ca="1"/>
        <v>-0.19584255868582359</v>
      </c>
      <c r="X6009" s="2">
        <f ca="1"/>
        <v>96.051219704562413</v>
      </c>
      <c r="AG6009" s="2">
        <f ca="1"/>
        <v>0.22932222659192303</v>
      </c>
      <c r="AH6009" s="2" t="str">
        <f ca="1"/>
        <v>OK</v>
      </c>
    </row>
    <row r="6010" spans="2:34" x14ac:dyDescent="0.2">
      <c r="B6010" s="2">
        <f ca="1"/>
        <v>0.38809154665002255</v>
      </c>
      <c r="O6010" s="2">
        <f ca="1"/>
        <v>0.82454378296727093</v>
      </c>
      <c r="X6010" s="2">
        <f ca="1"/>
        <v>48.599010948338403</v>
      </c>
      <c r="AG6010" s="2">
        <f ca="1"/>
        <v>0.90108402932215292</v>
      </c>
      <c r="AH6010" s="2" t="str">
        <f ca="1"/>
        <v>Bad</v>
      </c>
    </row>
    <row r="6011" spans="2:34" x14ac:dyDescent="0.2">
      <c r="B6011" s="2">
        <f ca="1"/>
        <v>0.32063852147667604</v>
      </c>
      <c r="O6011" s="2">
        <f ca="1"/>
        <v>-0.65246419853155957</v>
      </c>
      <c r="X6011" s="2">
        <f ca="1"/>
        <v>47.198793735372739</v>
      </c>
      <c r="AG6011" s="2">
        <f ca="1"/>
        <v>0.75771636704849255</v>
      </c>
      <c r="AH6011" s="2" t="str">
        <f ca="1"/>
        <v>Bad</v>
      </c>
    </row>
    <row r="6012" spans="2:34" x14ac:dyDescent="0.2">
      <c r="B6012" s="2">
        <f ca="1"/>
        <v>0.95583102974958889</v>
      </c>
      <c r="O6012" s="2">
        <f ca="1"/>
        <v>-0.38433628641370909</v>
      </c>
      <c r="X6012" s="2">
        <f ca="1"/>
        <v>64.877534888699159</v>
      </c>
      <c r="AG6012" s="2">
        <f ca="1"/>
        <v>0.91890260528176104</v>
      </c>
      <c r="AH6012" s="2" t="str">
        <f ca="1"/>
        <v>Bad</v>
      </c>
    </row>
    <row r="6013" spans="2:34" x14ac:dyDescent="0.2">
      <c r="B6013" s="2">
        <f ca="1"/>
        <v>0.67370192749556157</v>
      </c>
      <c r="O6013" s="2">
        <f ca="1"/>
        <v>-0.15499428345738836</v>
      </c>
      <c r="X6013" s="2">
        <f ca="1"/>
        <v>29.471238635215521</v>
      </c>
      <c r="AG6013" s="2">
        <f ca="1"/>
        <v>0.14387226139928</v>
      </c>
      <c r="AH6013" s="2" t="str">
        <f ca="1"/>
        <v>OK</v>
      </c>
    </row>
    <row r="6014" spans="2:34" x14ac:dyDescent="0.2">
      <c r="B6014" s="2">
        <f ca="1"/>
        <v>0.48724137099648268</v>
      </c>
      <c r="O6014" s="2">
        <f ca="1"/>
        <v>0.7900351646064443</v>
      </c>
      <c r="X6014" s="2">
        <f ca="1"/>
        <v>50.118604604701993</v>
      </c>
      <c r="AG6014" s="2">
        <f ca="1"/>
        <v>0.59625106203469125</v>
      </c>
      <c r="AH6014" s="2" t="str">
        <f ca="1"/>
        <v>Bad</v>
      </c>
    </row>
    <row r="6015" spans="2:34" x14ac:dyDescent="0.2">
      <c r="B6015" s="2">
        <f ca="1"/>
        <v>0.17984662963017217</v>
      </c>
      <c r="O6015" s="2">
        <f ca="1"/>
        <v>-1.3030501350290968</v>
      </c>
      <c r="X6015" s="2">
        <f ca="1"/>
        <v>69.245553362226943</v>
      </c>
      <c r="AG6015" s="2">
        <f ca="1"/>
        <v>0.50610704803359341</v>
      </c>
      <c r="AH6015" s="2" t="str">
        <f ca="1"/>
        <v>Bad</v>
      </c>
    </row>
    <row r="6016" spans="2:34" x14ac:dyDescent="0.2">
      <c r="B6016" s="2">
        <f ca="1"/>
        <v>1.8819102717275271E-2</v>
      </c>
      <c r="O6016" s="2">
        <f ca="1"/>
        <v>-4.3304562845469345E-2</v>
      </c>
      <c r="X6016" s="2">
        <f ca="1"/>
        <v>41.22039442618933</v>
      </c>
      <c r="AG6016" s="2">
        <f ca="1"/>
        <v>0.19494743221898214</v>
      </c>
      <c r="AH6016" s="2" t="str">
        <f ca="1"/>
        <v>OK</v>
      </c>
    </row>
    <row r="6017" spans="2:34" x14ac:dyDescent="0.2">
      <c r="B6017" s="2">
        <f ca="1"/>
        <v>0.13183284670731155</v>
      </c>
      <c r="O6017" s="2">
        <f ca="1"/>
        <v>-0.65392133798712249</v>
      </c>
      <c r="X6017" s="2">
        <f ca="1"/>
        <v>41.622822090175184</v>
      </c>
      <c r="AG6017" s="2">
        <f ca="1"/>
        <v>0.23016748313484658</v>
      </c>
      <c r="AH6017" s="2" t="str">
        <f ca="1"/>
        <v>OK</v>
      </c>
    </row>
    <row r="6018" spans="2:34" x14ac:dyDescent="0.2">
      <c r="B6018" s="2">
        <f ca="1"/>
        <v>0.34552770246632103</v>
      </c>
      <c r="O6018" s="2">
        <f ca="1"/>
        <v>1.1244828704228993</v>
      </c>
      <c r="X6018" s="2">
        <f ca="1"/>
        <v>41.599300237245757</v>
      </c>
      <c r="AG6018" s="2">
        <f ca="1"/>
        <v>0.45301674172443174</v>
      </c>
      <c r="AH6018" s="2" t="str">
        <f ca="1"/>
        <v>Bad</v>
      </c>
    </row>
    <row r="6019" spans="2:34" x14ac:dyDescent="0.2">
      <c r="B6019" s="2">
        <f ca="1"/>
        <v>0.64416349617590218</v>
      </c>
      <c r="O6019" s="2">
        <f ca="1"/>
        <v>0.32236668971221066</v>
      </c>
      <c r="X6019" s="2">
        <f ca="1"/>
        <v>40.381019682509638</v>
      </c>
      <c r="AG6019" s="2">
        <f ca="1"/>
        <v>0.79147666078277923</v>
      </c>
      <c r="AH6019" s="2" t="str">
        <f ca="1"/>
        <v>Bad</v>
      </c>
    </row>
    <row r="6020" spans="2:34" x14ac:dyDescent="0.2">
      <c r="B6020" s="2">
        <f ca="1"/>
        <v>0.14199360105387648</v>
      </c>
      <c r="O6020" s="2">
        <f ca="1"/>
        <v>-2.6150646459218465</v>
      </c>
      <c r="X6020" s="2">
        <f ca="1"/>
        <v>40.147989449681162</v>
      </c>
      <c r="AG6020" s="2">
        <f ca="1"/>
        <v>0.14602879107437561</v>
      </c>
      <c r="AH6020" s="2" t="str">
        <f ca="1"/>
        <v>OK</v>
      </c>
    </row>
    <row r="6021" spans="2:34" x14ac:dyDescent="0.2">
      <c r="B6021" s="2">
        <f ca="1"/>
        <v>0.73434639749962716</v>
      </c>
      <c r="O6021" s="2">
        <f ca="1"/>
        <v>1.3502559173289164</v>
      </c>
      <c r="X6021" s="2">
        <f ca="1"/>
        <v>37.379530457837149</v>
      </c>
      <c r="AG6021" s="2">
        <f ca="1"/>
        <v>0.52529958367396357</v>
      </c>
      <c r="AH6021" s="2" t="str">
        <f ca="1"/>
        <v>Bad</v>
      </c>
    </row>
    <row r="6022" spans="2:34" x14ac:dyDescent="0.2">
      <c r="B6022" s="2">
        <f ca="1"/>
        <v>0.66762418246412003</v>
      </c>
      <c r="O6022" s="2">
        <f ca="1"/>
        <v>-1.2887816187552485</v>
      </c>
      <c r="X6022" s="2">
        <f ca="1"/>
        <v>54.334698937891858</v>
      </c>
      <c r="AG6022" s="2">
        <f ca="1"/>
        <v>0.71161739453650652</v>
      </c>
      <c r="AH6022" s="2" t="str">
        <f ca="1"/>
        <v>Bad</v>
      </c>
    </row>
    <row r="6023" spans="2:34" x14ac:dyDescent="0.2">
      <c r="B6023" s="2">
        <f ca="1"/>
        <v>7.9243764900497782E-2</v>
      </c>
      <c r="O6023" s="2">
        <f ca="1"/>
        <v>-1.3515337753609034</v>
      </c>
      <c r="X6023" s="2">
        <f ca="1"/>
        <v>73.28970145300633</v>
      </c>
      <c r="AG6023" s="2">
        <f ca="1"/>
        <v>0.74918067234161945</v>
      </c>
      <c r="AH6023" s="2" t="str">
        <f ca="1"/>
        <v>Bad</v>
      </c>
    </row>
    <row r="6024" spans="2:34" x14ac:dyDescent="0.2">
      <c r="B6024" s="2">
        <f ca="1"/>
        <v>0.87407734175905749</v>
      </c>
      <c r="O6024" s="2">
        <f ca="1"/>
        <v>-0.84967764440845095</v>
      </c>
      <c r="X6024" s="2">
        <f ca="1"/>
        <v>48.385630962327923</v>
      </c>
      <c r="AG6024" s="2">
        <f ca="1"/>
        <v>0.99396389173026711</v>
      </c>
      <c r="AH6024" s="2" t="str">
        <f ca="1"/>
        <v>Bad</v>
      </c>
    </row>
    <row r="6025" spans="2:34" x14ac:dyDescent="0.2">
      <c r="B6025" s="2">
        <f ca="1"/>
        <v>0.40824266965880329</v>
      </c>
      <c r="O6025" s="2">
        <f ca="1"/>
        <v>-0.25761207693015914</v>
      </c>
      <c r="X6025" s="2">
        <f ca="1"/>
        <v>69.008022376969663</v>
      </c>
      <c r="AG6025" s="2">
        <f ca="1"/>
        <v>0.67956891833858979</v>
      </c>
      <c r="AH6025" s="2" t="str">
        <f ca="1"/>
        <v>Bad</v>
      </c>
    </row>
    <row r="6026" spans="2:34" x14ac:dyDescent="0.2">
      <c r="B6026" s="2">
        <f ca="1"/>
        <v>0.94307925037470319</v>
      </c>
      <c r="O6026" s="2">
        <f ca="1"/>
        <v>-0.53331902220833527</v>
      </c>
      <c r="X6026" s="2">
        <f ca="1"/>
        <v>64.644168760107789</v>
      </c>
      <c r="AG6026" s="2">
        <f ca="1"/>
        <v>7.7192293200279316E-2</v>
      </c>
      <c r="AH6026" s="2" t="str">
        <f ca="1"/>
        <v>OK</v>
      </c>
    </row>
    <row r="6027" spans="2:34" x14ac:dyDescent="0.2">
      <c r="B6027" s="2">
        <f ca="1"/>
        <v>0.84913017291116533</v>
      </c>
      <c r="O6027" s="2">
        <f ca="1"/>
        <v>0.98532995960517367</v>
      </c>
      <c r="X6027" s="2">
        <f ca="1"/>
        <v>47.771609549609771</v>
      </c>
      <c r="AG6027" s="2">
        <f ca="1"/>
        <v>0.12421371405407577</v>
      </c>
      <c r="AH6027" s="2" t="str">
        <f ca="1"/>
        <v>OK</v>
      </c>
    </row>
    <row r="6028" spans="2:34" x14ac:dyDescent="0.2">
      <c r="B6028" s="2">
        <f ca="1"/>
        <v>0.99400585079097614</v>
      </c>
      <c r="O6028" s="2">
        <f ca="1"/>
        <v>0.37262766888845322</v>
      </c>
      <c r="X6028" s="2">
        <f ca="1"/>
        <v>87.595448204214691</v>
      </c>
      <c r="AG6028" s="2">
        <f ca="1"/>
        <v>0.80096148153484092</v>
      </c>
      <c r="AH6028" s="2" t="str">
        <f ca="1"/>
        <v>Bad</v>
      </c>
    </row>
    <row r="6029" spans="2:34" x14ac:dyDescent="0.2">
      <c r="B6029" s="2">
        <f ca="1"/>
        <v>0.13370535871354661</v>
      </c>
      <c r="O6029" s="2">
        <f ca="1"/>
        <v>-1.0540465378793173</v>
      </c>
      <c r="X6029" s="2">
        <f ca="1"/>
        <v>22.884403219121403</v>
      </c>
      <c r="AG6029" s="2">
        <f ca="1"/>
        <v>8.5136412291988872E-2</v>
      </c>
      <c r="AH6029" s="2" t="str">
        <f ca="1"/>
        <v>OK</v>
      </c>
    </row>
    <row r="6030" spans="2:34" x14ac:dyDescent="0.2">
      <c r="B6030" s="2">
        <f ca="1"/>
        <v>0.7994109408808534</v>
      </c>
      <c r="O6030" s="2">
        <f ca="1"/>
        <v>0.4390809191367061</v>
      </c>
      <c r="X6030" s="2">
        <f ca="1"/>
        <v>33.895050175453008</v>
      </c>
      <c r="AG6030" s="2">
        <f ca="1"/>
        <v>6.4967781230302002E-2</v>
      </c>
      <c r="AH6030" s="2" t="str">
        <f ca="1"/>
        <v>OK</v>
      </c>
    </row>
    <row r="6031" spans="2:34" x14ac:dyDescent="0.2">
      <c r="B6031" s="2">
        <f ca="1"/>
        <v>0.6060321489604219</v>
      </c>
      <c r="O6031" s="2">
        <f ca="1"/>
        <v>-1.6701101996181049</v>
      </c>
      <c r="X6031" s="2">
        <f ca="1"/>
        <v>52.485805394283133</v>
      </c>
      <c r="AG6031" s="2">
        <f ca="1"/>
        <v>0.55765805802423962</v>
      </c>
      <c r="AH6031" s="2" t="str">
        <f ca="1"/>
        <v>Bad</v>
      </c>
    </row>
    <row r="6032" spans="2:34" x14ac:dyDescent="0.2">
      <c r="B6032" s="2">
        <f ca="1"/>
        <v>0.85900250575965686</v>
      </c>
      <c r="O6032" s="2">
        <f ca="1"/>
        <v>0.60722225590895029</v>
      </c>
      <c r="X6032" s="2">
        <f ca="1"/>
        <v>31.458594169129764</v>
      </c>
      <c r="AG6032" s="2">
        <f ca="1"/>
        <v>0.82626844536929012</v>
      </c>
      <c r="AH6032" s="2" t="str">
        <f ca="1"/>
        <v>Bad</v>
      </c>
    </row>
    <row r="6033" spans="2:34" x14ac:dyDescent="0.2">
      <c r="B6033" s="2">
        <f ca="1"/>
        <v>0.53837347819561465</v>
      </c>
      <c r="O6033" s="2">
        <f ca="1"/>
        <v>-0.12532281137121098</v>
      </c>
      <c r="X6033" s="2">
        <f ca="1"/>
        <v>67.219402438412544</v>
      </c>
      <c r="AG6033" s="2">
        <f ca="1"/>
        <v>0.69601802627328091</v>
      </c>
      <c r="AH6033" s="2" t="str">
        <f ca="1"/>
        <v>Bad</v>
      </c>
    </row>
    <row r="6034" spans="2:34" x14ac:dyDescent="0.2">
      <c r="B6034" s="2">
        <f ca="1"/>
        <v>0.82210083501612874</v>
      </c>
      <c r="O6034" s="2">
        <f ca="1"/>
        <v>0.43894554367181554</v>
      </c>
      <c r="X6034" s="2">
        <f ca="1"/>
        <v>61.512637134298203</v>
      </c>
      <c r="AG6034" s="2">
        <f ca="1"/>
        <v>0.89344323641600432</v>
      </c>
      <c r="AH6034" s="2" t="str">
        <f ca="1"/>
        <v>Bad</v>
      </c>
    </row>
    <row r="6035" spans="2:34" x14ac:dyDescent="0.2">
      <c r="B6035" s="2">
        <f ca="1"/>
        <v>0.95748373141702015</v>
      </c>
      <c r="O6035" s="2">
        <f ca="1"/>
        <v>2.1525966000918717</v>
      </c>
      <c r="X6035" s="2">
        <f ca="1"/>
        <v>53.445626776517059</v>
      </c>
      <c r="AG6035" s="2">
        <f ca="1"/>
        <v>0.54632542420883934</v>
      </c>
      <c r="AH6035" s="2" t="str">
        <f ca="1"/>
        <v>Bad</v>
      </c>
    </row>
    <row r="6036" spans="2:34" x14ac:dyDescent="0.2">
      <c r="B6036" s="2">
        <f ca="1"/>
        <v>0.48512381549556549</v>
      </c>
      <c r="O6036" s="2">
        <f ca="1"/>
        <v>-2.0365090039425517</v>
      </c>
      <c r="X6036" s="2">
        <f ca="1"/>
        <v>47.014987491817372</v>
      </c>
      <c r="AG6036" s="2">
        <f ca="1"/>
        <v>0.59901066455827356</v>
      </c>
      <c r="AH6036" s="2" t="str">
        <f ca="1"/>
        <v>Bad</v>
      </c>
    </row>
    <row r="6037" spans="2:34" x14ac:dyDescent="0.2">
      <c r="B6037" s="2">
        <f ca="1"/>
        <v>0.80589117726635595</v>
      </c>
      <c r="O6037" s="2">
        <f ca="1"/>
        <v>-0.38174994041349786</v>
      </c>
      <c r="X6037" s="2">
        <f ca="1"/>
        <v>64.663971316754186</v>
      </c>
      <c r="AG6037" s="2">
        <f ca="1"/>
        <v>0.54673750607384464</v>
      </c>
      <c r="AH6037" s="2" t="str">
        <f ca="1"/>
        <v>Bad</v>
      </c>
    </row>
    <row r="6038" spans="2:34" x14ac:dyDescent="0.2">
      <c r="B6038" s="2">
        <f ca="1"/>
        <v>0.68622140972350754</v>
      </c>
      <c r="O6038" s="2">
        <f ca="1"/>
        <v>0.64605079551950495</v>
      </c>
      <c r="X6038" s="2">
        <f ca="1"/>
        <v>54.374720648757787</v>
      </c>
      <c r="AG6038" s="2">
        <f ca="1"/>
        <v>0.34234240696549478</v>
      </c>
      <c r="AH6038" s="2" t="str">
        <f ca="1"/>
        <v>OK</v>
      </c>
    </row>
    <row r="6039" spans="2:34" x14ac:dyDescent="0.2">
      <c r="B6039" s="2">
        <f ca="1"/>
        <v>0.3751678811430772</v>
      </c>
      <c r="O6039" s="2">
        <f ca="1"/>
        <v>0.51752816442662164</v>
      </c>
      <c r="X6039" s="2">
        <f ca="1"/>
        <v>29.057452807298855</v>
      </c>
      <c r="AG6039" s="2">
        <f ca="1"/>
        <v>0.66538936783790126</v>
      </c>
      <c r="AH6039" s="2" t="str">
        <f ca="1"/>
        <v>Bad</v>
      </c>
    </row>
    <row r="6040" spans="2:34" x14ac:dyDescent="0.2">
      <c r="B6040" s="2">
        <f ca="1"/>
        <v>0.90418628142106261</v>
      </c>
      <c r="O6040" s="2">
        <f ca="1"/>
        <v>-0.47181832860797057</v>
      </c>
      <c r="X6040" s="2">
        <f ca="1"/>
        <v>53.831106102601495</v>
      </c>
      <c r="AG6040" s="2">
        <f ca="1"/>
        <v>0.31459958529131726</v>
      </c>
      <c r="AH6040" s="2" t="str">
        <f ca="1"/>
        <v>OK</v>
      </c>
    </row>
    <row r="6041" spans="2:34" x14ac:dyDescent="0.2">
      <c r="B6041" s="2">
        <f ca="1"/>
        <v>0.15626145623096743</v>
      </c>
      <c r="O6041" s="2">
        <f ca="1"/>
        <v>-0.20085514254613962</v>
      </c>
      <c r="X6041" s="2">
        <f ca="1"/>
        <v>54.926104874247685</v>
      </c>
      <c r="AG6041" s="2">
        <f ca="1"/>
        <v>0.67522824772445489</v>
      </c>
      <c r="AH6041" s="2" t="str">
        <f ca="1"/>
        <v>Bad</v>
      </c>
    </row>
    <row r="6042" spans="2:34" x14ac:dyDescent="0.2">
      <c r="B6042" s="2">
        <f ca="1"/>
        <v>0.81466831015863161</v>
      </c>
      <c r="O6042" s="2">
        <f ca="1"/>
        <v>-0.54041043875743555</v>
      </c>
      <c r="X6042" s="2">
        <f ca="1"/>
        <v>42.197134394008359</v>
      </c>
      <c r="AG6042" s="2">
        <f ca="1"/>
        <v>0.76481049428465941</v>
      </c>
      <c r="AH6042" s="2" t="str">
        <f ca="1"/>
        <v>Bad</v>
      </c>
    </row>
    <row r="6043" spans="2:34" x14ac:dyDescent="0.2">
      <c r="B6043" s="2">
        <f ca="1"/>
        <v>0.58342649329445306</v>
      </c>
      <c r="O6043" s="2">
        <f ca="1"/>
        <v>0.49116843787561643</v>
      </c>
      <c r="X6043" s="2">
        <f ca="1"/>
        <v>47.799525456256433</v>
      </c>
      <c r="AG6043" s="2">
        <f ca="1"/>
        <v>8.9322753408073163E-2</v>
      </c>
      <c r="AH6043" s="2" t="str">
        <f ca="1"/>
        <v>OK</v>
      </c>
    </row>
    <row r="6044" spans="2:34" x14ac:dyDescent="0.2">
      <c r="B6044" s="2">
        <f ca="1"/>
        <v>0.71577009539473568</v>
      </c>
      <c r="O6044" s="2">
        <f ca="1"/>
        <v>-0.77779436978012784</v>
      </c>
      <c r="X6044" s="2">
        <f ca="1"/>
        <v>36.410654903234352</v>
      </c>
      <c r="AG6044" s="2">
        <f ca="1"/>
        <v>0.65598579675452795</v>
      </c>
      <c r="AH6044" s="2" t="str">
        <f ca="1"/>
        <v>Bad</v>
      </c>
    </row>
    <row r="6045" spans="2:34" x14ac:dyDescent="0.2">
      <c r="B6045" s="2">
        <f ca="1"/>
        <v>0.15980748605382655</v>
      </c>
      <c r="O6045" s="2">
        <f ca="1"/>
        <v>-0.20600175634149398</v>
      </c>
      <c r="X6045" s="2">
        <f ca="1"/>
        <v>44.813835605254695</v>
      </c>
      <c r="AG6045" s="2">
        <f ca="1"/>
        <v>0.84586196310453743</v>
      </c>
      <c r="AH6045" s="2" t="str">
        <f ca="1"/>
        <v>Bad</v>
      </c>
    </row>
    <row r="6046" spans="2:34" x14ac:dyDescent="0.2">
      <c r="B6046" s="2">
        <f ca="1"/>
        <v>0.46645961727236962</v>
      </c>
      <c r="O6046" s="2">
        <f ca="1"/>
        <v>-9.4339353584704286E-2</v>
      </c>
      <c r="X6046" s="2">
        <f ca="1"/>
        <v>51.995536563435955</v>
      </c>
      <c r="AG6046" s="2">
        <f ca="1"/>
        <v>0.30734149207403094</v>
      </c>
      <c r="AH6046" s="2" t="str">
        <f ca="1"/>
        <v>OK</v>
      </c>
    </row>
    <row r="6047" spans="2:34" x14ac:dyDescent="0.2">
      <c r="B6047" s="2">
        <f ca="1"/>
        <v>0.9292515817971736</v>
      </c>
      <c r="O6047" s="2">
        <f ca="1"/>
        <v>-3.0048584099902662E-2</v>
      </c>
      <c r="X6047" s="2">
        <f ca="1"/>
        <v>30.117037385988716</v>
      </c>
      <c r="AG6047" s="2">
        <f ca="1"/>
        <v>8.0714498235130661E-2</v>
      </c>
      <c r="AH6047" s="2" t="str">
        <f ca="1"/>
        <v>OK</v>
      </c>
    </row>
    <row r="6048" spans="2:34" x14ac:dyDescent="0.2">
      <c r="B6048" s="2">
        <f ca="1"/>
        <v>0.1552210168260646</v>
      </c>
      <c r="O6048" s="2">
        <f ca="1"/>
        <v>-0.16453962927368632</v>
      </c>
      <c r="X6048" s="2">
        <f ca="1"/>
        <v>58.831706240756489</v>
      </c>
      <c r="AG6048" s="2">
        <f ca="1"/>
        <v>0.34087702118447027</v>
      </c>
      <c r="AH6048" s="2" t="str">
        <f ca="1"/>
        <v>OK</v>
      </c>
    </row>
    <row r="6049" spans="2:34" x14ac:dyDescent="0.2">
      <c r="B6049" s="2">
        <f ca="1"/>
        <v>0.6123397717639345</v>
      </c>
      <c r="O6049" s="2">
        <f ca="1"/>
        <v>-8.6019123152758254E-4</v>
      </c>
      <c r="X6049" s="2">
        <f ca="1"/>
        <v>46.348530327735915</v>
      </c>
      <c r="AG6049" s="2">
        <f ca="1"/>
        <v>0.58658201145916866</v>
      </c>
      <c r="AH6049" s="2" t="str">
        <f ca="1"/>
        <v>Bad</v>
      </c>
    </row>
    <row r="6050" spans="2:34" x14ac:dyDescent="0.2">
      <c r="B6050" s="2">
        <f ca="1"/>
        <v>0.13246936597409098</v>
      </c>
      <c r="O6050" s="2">
        <f ca="1"/>
        <v>1.7102653096871097</v>
      </c>
      <c r="X6050" s="2">
        <f ca="1"/>
        <v>60.611976343471028</v>
      </c>
      <c r="AG6050" s="2">
        <f ca="1"/>
        <v>0.34032237515592212</v>
      </c>
      <c r="AH6050" s="2" t="str">
        <f ca="1"/>
        <v>OK</v>
      </c>
    </row>
    <row r="6051" spans="2:34" x14ac:dyDescent="0.2">
      <c r="B6051" s="2">
        <f ca="1"/>
        <v>0.15096359741272569</v>
      </c>
      <c r="O6051" s="2">
        <f ca="1"/>
        <v>-2.7252819039916332E-2</v>
      </c>
      <c r="X6051" s="2">
        <f ca="1"/>
        <v>87.081798585198101</v>
      </c>
      <c r="AG6051" s="2">
        <f ca="1"/>
        <v>0.17041978411945147</v>
      </c>
      <c r="AH6051" s="2" t="str">
        <f ca="1"/>
        <v>OK</v>
      </c>
    </row>
    <row r="6052" spans="2:34" x14ac:dyDescent="0.2">
      <c r="B6052" s="2">
        <f ca="1"/>
        <v>0.12164103907329582</v>
      </c>
      <c r="O6052" s="2">
        <f ca="1"/>
        <v>-0.26687719927500381</v>
      </c>
      <c r="X6052" s="2">
        <f ca="1"/>
        <v>52.52381239348221</v>
      </c>
      <c r="AG6052" s="2">
        <f ca="1"/>
        <v>7.0685061750529243E-2</v>
      </c>
      <c r="AH6052" s="2" t="str">
        <f ca="1"/>
        <v>OK</v>
      </c>
    </row>
    <row r="6053" spans="2:34" x14ac:dyDescent="0.2">
      <c r="B6053" s="2">
        <f ca="1"/>
        <v>0.80956457248421776</v>
      </c>
      <c r="O6053" s="2">
        <f ca="1"/>
        <v>0.53883181993623486</v>
      </c>
      <c r="X6053" s="2">
        <f ca="1"/>
        <v>71.792332407773202</v>
      </c>
      <c r="AG6053" s="2">
        <f ca="1"/>
        <v>0.3686245032800477</v>
      </c>
      <c r="AH6053" s="2" t="str">
        <f ca="1"/>
        <v>OK</v>
      </c>
    </row>
    <row r="6054" spans="2:34" x14ac:dyDescent="0.2">
      <c r="B6054" s="2">
        <f ca="1"/>
        <v>0.54054734185161735</v>
      </c>
      <c r="O6054" s="2">
        <f ca="1"/>
        <v>0.71899436724524235</v>
      </c>
      <c r="X6054" s="2">
        <f ca="1"/>
        <v>50.710599831737895</v>
      </c>
      <c r="AG6054" s="2">
        <f ca="1"/>
        <v>3.5308256793991522E-2</v>
      </c>
      <c r="AH6054" s="2" t="str">
        <f ca="1"/>
        <v>Good</v>
      </c>
    </row>
    <row r="6055" spans="2:34" x14ac:dyDescent="0.2">
      <c r="B6055" s="2">
        <f ca="1"/>
        <v>0.37353522976998899</v>
      </c>
      <c r="O6055" s="2">
        <f ca="1"/>
        <v>1.4365568824078618</v>
      </c>
      <c r="X6055" s="2">
        <f ca="1"/>
        <v>40.966885960935187</v>
      </c>
      <c r="AG6055" s="2">
        <f ca="1"/>
        <v>0.30635678762536966</v>
      </c>
      <c r="AH6055" s="2" t="str">
        <f ca="1"/>
        <v>OK</v>
      </c>
    </row>
    <row r="6056" spans="2:34" x14ac:dyDescent="0.2">
      <c r="B6056" s="2">
        <f ca="1"/>
        <v>0.4768879036336211</v>
      </c>
      <c r="O6056" s="2">
        <f ca="1"/>
        <v>-1.4581160289389863</v>
      </c>
      <c r="X6056" s="2">
        <f ca="1"/>
        <v>38.722653924414473</v>
      </c>
      <c r="AG6056" s="2">
        <f ca="1"/>
        <v>0.80222806195381824</v>
      </c>
      <c r="AH6056" s="2" t="str">
        <f ca="1"/>
        <v>Bad</v>
      </c>
    </row>
    <row r="6057" spans="2:34" x14ac:dyDescent="0.2">
      <c r="B6057" s="2">
        <f ca="1"/>
        <v>0.48118772035625201</v>
      </c>
      <c r="O6057" s="2">
        <f ca="1"/>
        <v>0.58688026011281447</v>
      </c>
      <c r="X6057" s="2">
        <f ca="1"/>
        <v>42.005671520264613</v>
      </c>
      <c r="AG6057" s="2">
        <f ca="1"/>
        <v>0.90520156065240531</v>
      </c>
      <c r="AH6057" s="2" t="str">
        <f ca="1"/>
        <v>Bad</v>
      </c>
    </row>
    <row r="6058" spans="2:34" x14ac:dyDescent="0.2">
      <c r="B6058" s="2">
        <f ca="1"/>
        <v>0.70283934519564095</v>
      </c>
      <c r="O6058" s="2">
        <f ca="1"/>
        <v>0.21149635581468029</v>
      </c>
      <c r="X6058" s="2">
        <f ca="1"/>
        <v>67.697519185992249</v>
      </c>
      <c r="AG6058" s="2">
        <f ca="1"/>
        <v>0.23669810243642497</v>
      </c>
      <c r="AH6058" s="2" t="str">
        <f ca="1"/>
        <v>OK</v>
      </c>
    </row>
    <row r="6059" spans="2:34" x14ac:dyDescent="0.2">
      <c r="B6059" s="2">
        <f ca="1"/>
        <v>0.42178135761876345</v>
      </c>
      <c r="O6059" s="2">
        <f ca="1"/>
        <v>-0.10932483263520321</v>
      </c>
      <c r="X6059" s="2">
        <f ca="1"/>
        <v>76.520823303084796</v>
      </c>
      <c r="AG6059" s="2">
        <f ca="1"/>
        <v>0.62720457836808552</v>
      </c>
      <c r="AH6059" s="2" t="str">
        <f ca="1"/>
        <v>Bad</v>
      </c>
    </row>
    <row r="6060" spans="2:34" x14ac:dyDescent="0.2">
      <c r="B6060" s="2">
        <f ca="1"/>
        <v>0.20878775193860166</v>
      </c>
      <c r="O6060" s="2">
        <f ca="1"/>
        <v>0.70756049293025869</v>
      </c>
      <c r="X6060" s="2">
        <f ca="1"/>
        <v>26.512961256257775</v>
      </c>
      <c r="AG6060" s="2">
        <f ca="1"/>
        <v>0.6570426320416165</v>
      </c>
      <c r="AH6060" s="2" t="str">
        <f ca="1"/>
        <v>Bad</v>
      </c>
    </row>
    <row r="6061" spans="2:34" x14ac:dyDescent="0.2">
      <c r="B6061" s="2">
        <f ca="1"/>
        <v>0.71158489380037993</v>
      </c>
      <c r="O6061" s="2">
        <f ca="1"/>
        <v>-1.6037086503024138</v>
      </c>
      <c r="X6061" s="2">
        <f ca="1"/>
        <v>52.714413397562112</v>
      </c>
      <c r="AG6061" s="2">
        <f ca="1"/>
        <v>8.195029472642501E-3</v>
      </c>
      <c r="AH6061" s="2" t="str">
        <f ca="1"/>
        <v>Good</v>
      </c>
    </row>
    <row r="6062" spans="2:34" x14ac:dyDescent="0.2">
      <c r="B6062" s="2">
        <f ca="1"/>
        <v>0.99775311930231525</v>
      </c>
      <c r="O6062" s="2">
        <f ca="1"/>
        <v>-1.1101242449517394</v>
      </c>
      <c r="X6062" s="2">
        <f ca="1"/>
        <v>83.08900399516483</v>
      </c>
      <c r="AG6062" s="2">
        <f ca="1"/>
        <v>0.93128974892300587</v>
      </c>
      <c r="AH6062" s="2" t="str">
        <f ca="1"/>
        <v>Bad</v>
      </c>
    </row>
    <row r="6063" spans="2:34" x14ac:dyDescent="0.2">
      <c r="B6063" s="2">
        <f ca="1"/>
        <v>0.99910148843673152</v>
      </c>
      <c r="O6063" s="2">
        <f ca="1"/>
        <v>-0.25071142406598346</v>
      </c>
      <c r="X6063" s="2">
        <f ca="1"/>
        <v>62.269820458860337</v>
      </c>
      <c r="AG6063" s="2">
        <f ca="1"/>
        <v>0.97928555051073407</v>
      </c>
      <c r="AH6063" s="2" t="str">
        <f ca="1"/>
        <v>Bad</v>
      </c>
    </row>
    <row r="6064" spans="2:34" x14ac:dyDescent="0.2">
      <c r="B6064" s="2">
        <f ca="1"/>
        <v>0.83917422470125858</v>
      </c>
      <c r="O6064" s="2">
        <f ca="1"/>
        <v>-0.13135828119589479</v>
      </c>
      <c r="X6064" s="2">
        <f ca="1"/>
        <v>36.330628992279109</v>
      </c>
      <c r="AG6064" s="2">
        <f ca="1"/>
        <v>0.92585199119827877</v>
      </c>
      <c r="AH6064" s="2" t="str">
        <f ca="1"/>
        <v>Bad</v>
      </c>
    </row>
    <row r="6065" spans="2:34" x14ac:dyDescent="0.2">
      <c r="B6065" s="2">
        <f ca="1"/>
        <v>0.37189943425592076</v>
      </c>
      <c r="O6065" s="2">
        <f ca="1"/>
        <v>1.4482162096272022</v>
      </c>
      <c r="X6065" s="2">
        <f ca="1"/>
        <v>34.005999250241103</v>
      </c>
      <c r="AG6065" s="2">
        <f ca="1"/>
        <v>0.25130958398235426</v>
      </c>
      <c r="AH6065" s="2" t="str">
        <f ca="1"/>
        <v>OK</v>
      </c>
    </row>
    <row r="6066" spans="2:34" x14ac:dyDescent="0.2">
      <c r="B6066" s="2">
        <f ca="1"/>
        <v>0.19372513995071916</v>
      </c>
      <c r="O6066" s="2">
        <f ca="1"/>
        <v>0.81976716061158017</v>
      </c>
      <c r="X6066" s="2">
        <f ca="1"/>
        <v>32.732741564916715</v>
      </c>
      <c r="AG6066" s="2">
        <f ca="1"/>
        <v>7.782533523756574E-2</v>
      </c>
      <c r="AH6066" s="2" t="str">
        <f ca="1"/>
        <v>OK</v>
      </c>
    </row>
    <row r="6067" spans="2:34" x14ac:dyDescent="0.2">
      <c r="B6067" s="2">
        <f ca="1"/>
        <v>0.3935604060202138</v>
      </c>
      <c r="O6067" s="2">
        <f ca="1"/>
        <v>-0.58155655546401908</v>
      </c>
      <c r="X6067" s="2">
        <f ca="1"/>
        <v>40.717380670155279</v>
      </c>
      <c r="AG6067" s="2">
        <f ca="1"/>
        <v>0.63453278876450114</v>
      </c>
      <c r="AH6067" s="2" t="str">
        <f ca="1"/>
        <v>Bad</v>
      </c>
    </row>
    <row r="6068" spans="2:34" x14ac:dyDescent="0.2">
      <c r="B6068" s="2">
        <f ca="1"/>
        <v>0.3719967350460196</v>
      </c>
      <c r="O6068" s="2">
        <f ca="1"/>
        <v>0.3335602736740475</v>
      </c>
      <c r="X6068" s="2">
        <f ca="1"/>
        <v>36.464793900593165</v>
      </c>
      <c r="AG6068" s="2">
        <f ca="1"/>
        <v>5.7831173921089496E-2</v>
      </c>
      <c r="AH6068" s="2" t="str">
        <f ca="1"/>
        <v>OK</v>
      </c>
    </row>
    <row r="6069" spans="2:34" x14ac:dyDescent="0.2">
      <c r="B6069" s="2">
        <f ca="1"/>
        <v>0.71671974556746521</v>
      </c>
      <c r="O6069" s="2">
        <f ca="1"/>
        <v>0.55333791808660515</v>
      </c>
      <c r="X6069" s="2">
        <f ca="1"/>
        <v>65.47483340032629</v>
      </c>
      <c r="AG6069" s="2">
        <f ca="1"/>
        <v>1.2183706247596016E-2</v>
      </c>
      <c r="AH6069" s="2" t="str">
        <f ca="1"/>
        <v>Good</v>
      </c>
    </row>
    <row r="6070" spans="2:34" x14ac:dyDescent="0.2">
      <c r="B6070" s="2">
        <f ca="1"/>
        <v>0.73753183066696426</v>
      </c>
      <c r="O6070" s="2">
        <f ca="1"/>
        <v>1.4741043050558951</v>
      </c>
      <c r="X6070" s="2">
        <f ca="1"/>
        <v>28.625648221864097</v>
      </c>
      <c r="AG6070" s="2">
        <f ca="1"/>
        <v>3.7168801519574579E-2</v>
      </c>
      <c r="AH6070" s="2" t="str">
        <f ca="1"/>
        <v>Good</v>
      </c>
    </row>
    <row r="6071" spans="2:34" x14ac:dyDescent="0.2">
      <c r="B6071" s="2">
        <f ca="1"/>
        <v>0.39665214540120286</v>
      </c>
      <c r="O6071" s="2">
        <f ca="1"/>
        <v>-0.23789614239490994</v>
      </c>
      <c r="X6071" s="2">
        <f ca="1"/>
        <v>93.411538993414041</v>
      </c>
      <c r="AG6071" s="2">
        <f ca="1"/>
        <v>0.22976546234844597</v>
      </c>
      <c r="AH6071" s="2" t="str">
        <f ca="1"/>
        <v>OK</v>
      </c>
    </row>
    <row r="6072" spans="2:34" x14ac:dyDescent="0.2">
      <c r="B6072" s="2">
        <f ca="1"/>
        <v>0.25648232896140577</v>
      </c>
      <c r="O6072" s="2">
        <f ca="1"/>
        <v>1.4030252747963254</v>
      </c>
      <c r="X6072" s="2">
        <f ca="1"/>
        <v>47.509431001822222</v>
      </c>
      <c r="AG6072" s="2">
        <f ca="1"/>
        <v>0.49100109341420128</v>
      </c>
      <c r="AH6072" s="2" t="str">
        <f ca="1"/>
        <v>Bad</v>
      </c>
    </row>
    <row r="6073" spans="2:34" x14ac:dyDescent="0.2">
      <c r="B6073" s="2">
        <f ca="1"/>
        <v>0.74596357733910179</v>
      </c>
      <c r="O6073" s="2">
        <f ca="1"/>
        <v>-1.2588881520279678</v>
      </c>
      <c r="X6073" s="2">
        <f ca="1"/>
        <v>40.038341279724683</v>
      </c>
      <c r="AG6073" s="2">
        <f ca="1"/>
        <v>0.51573649473920424</v>
      </c>
      <c r="AH6073" s="2" t="str">
        <f ca="1"/>
        <v>Bad</v>
      </c>
    </row>
    <row r="6074" spans="2:34" x14ac:dyDescent="0.2">
      <c r="B6074" s="2">
        <f ca="1"/>
        <v>0.95667482877498777</v>
      </c>
      <c r="O6074" s="2">
        <f ca="1"/>
        <v>-1.0098339116006787</v>
      </c>
      <c r="X6074" s="2">
        <f ca="1"/>
        <v>63.545017375109524</v>
      </c>
      <c r="AG6074" s="2">
        <f ca="1"/>
        <v>0.67794367272552369</v>
      </c>
      <c r="AH6074" s="2" t="str">
        <f ca="1"/>
        <v>Bad</v>
      </c>
    </row>
    <row r="6075" spans="2:34" x14ac:dyDescent="0.2">
      <c r="B6075" s="2">
        <f ca="1"/>
        <v>0.61646932899502183</v>
      </c>
      <c r="O6075" s="2">
        <f ca="1"/>
        <v>1.0064806058885898</v>
      </c>
      <c r="X6075" s="2">
        <f ca="1"/>
        <v>84.420864486565506</v>
      </c>
      <c r="AG6075" s="2">
        <f ca="1"/>
        <v>0.89740549204558229</v>
      </c>
      <c r="AH6075" s="2" t="str">
        <f ca="1"/>
        <v>Bad</v>
      </c>
    </row>
    <row r="6076" spans="2:34" x14ac:dyDescent="0.2">
      <c r="B6076" s="2">
        <f ca="1"/>
        <v>0.68300995214459559</v>
      </c>
      <c r="O6076" s="2">
        <f ca="1"/>
        <v>-0.44195518007769025</v>
      </c>
      <c r="X6076" s="2">
        <f ca="1"/>
        <v>40.856694625330206</v>
      </c>
      <c r="AG6076" s="2">
        <f ca="1"/>
        <v>0.13767562608302475</v>
      </c>
      <c r="AH6076" s="2" t="str">
        <f ca="1"/>
        <v>OK</v>
      </c>
    </row>
    <row r="6077" spans="2:34" x14ac:dyDescent="0.2">
      <c r="B6077" s="2">
        <f ca="1"/>
        <v>0.46442500549286181</v>
      </c>
      <c r="O6077" s="2">
        <f ca="1"/>
        <v>1.0072840439437056</v>
      </c>
      <c r="X6077" s="2">
        <f ca="1"/>
        <v>61.311317839946547</v>
      </c>
      <c r="AG6077" s="2">
        <f ca="1"/>
        <v>4.0845769614718419E-2</v>
      </c>
      <c r="AH6077" s="2" t="str">
        <f ca="1"/>
        <v>Good</v>
      </c>
    </row>
    <row r="6078" spans="2:34" x14ac:dyDescent="0.2">
      <c r="B6078" s="2">
        <f ca="1"/>
        <v>2.7757775166628695E-2</v>
      </c>
      <c r="O6078" s="2">
        <f ca="1"/>
        <v>0.6389354283491413</v>
      </c>
      <c r="X6078" s="2">
        <f ca="1"/>
        <v>53.28488954779295</v>
      </c>
      <c r="AG6078" s="2">
        <f ca="1"/>
        <v>0.69237193444906797</v>
      </c>
      <c r="AH6078" s="2" t="str">
        <f ca="1"/>
        <v>Bad</v>
      </c>
    </row>
    <row r="6079" spans="2:34" x14ac:dyDescent="0.2">
      <c r="B6079" s="2">
        <f ca="1"/>
        <v>0.24142399485984023</v>
      </c>
      <c r="O6079" s="2">
        <f ca="1"/>
        <v>0.47876808174941637</v>
      </c>
      <c r="X6079" s="2">
        <f ca="1"/>
        <v>57.552205300681578</v>
      </c>
      <c r="AG6079" s="2">
        <f ca="1"/>
        <v>0.33048319386579972</v>
      </c>
      <c r="AH6079" s="2" t="str">
        <f ca="1"/>
        <v>OK</v>
      </c>
    </row>
    <row r="6080" spans="2:34" x14ac:dyDescent="0.2">
      <c r="B6080" s="2">
        <f ca="1"/>
        <v>0.33160816911650826</v>
      </c>
      <c r="O6080" s="2">
        <f ca="1"/>
        <v>1.8354872962753241</v>
      </c>
      <c r="X6080" s="2">
        <f ca="1"/>
        <v>64.481778964063736</v>
      </c>
      <c r="AG6080" s="2">
        <f ca="1"/>
        <v>0.21502437696925369</v>
      </c>
      <c r="AH6080" s="2" t="str">
        <f ca="1"/>
        <v>OK</v>
      </c>
    </row>
    <row r="6081" spans="2:34" x14ac:dyDescent="0.2">
      <c r="B6081" s="2">
        <f ca="1"/>
        <v>0.3575000224313869</v>
      </c>
      <c r="O6081" s="2">
        <f ca="1"/>
        <v>0.32206644898780518</v>
      </c>
      <c r="X6081" s="2">
        <f ca="1"/>
        <v>61.743576334035559</v>
      </c>
      <c r="AG6081" s="2">
        <f ca="1"/>
        <v>0.18970921347048875</v>
      </c>
      <c r="AH6081" s="2" t="str">
        <f ca="1"/>
        <v>OK</v>
      </c>
    </row>
    <row r="6082" spans="2:34" x14ac:dyDescent="0.2">
      <c r="B6082" s="2">
        <f ca="1"/>
        <v>0.87136296149371062</v>
      </c>
      <c r="O6082" s="2">
        <f ca="1"/>
        <v>2.2588140860718053</v>
      </c>
      <c r="X6082" s="2">
        <f ca="1"/>
        <v>42.699592270193591</v>
      </c>
      <c r="AG6082" s="2">
        <f ca="1"/>
        <v>0.73958388005764308</v>
      </c>
      <c r="AH6082" s="2" t="str">
        <f ca="1"/>
        <v>Bad</v>
      </c>
    </row>
    <row r="6083" spans="2:34" x14ac:dyDescent="0.2">
      <c r="B6083" s="2">
        <f ca="1"/>
        <v>4.5257737279768895E-2</v>
      </c>
      <c r="O6083" s="2">
        <f ca="1"/>
        <v>-2.031163744591836</v>
      </c>
      <c r="X6083" s="2">
        <f ca="1"/>
        <v>42.601511442588873</v>
      </c>
      <c r="AG6083" s="2">
        <f ca="1"/>
        <v>0.93582008249903215</v>
      </c>
      <c r="AH6083" s="2" t="str">
        <f ca="1"/>
        <v>Bad</v>
      </c>
    </row>
    <row r="6084" spans="2:34" x14ac:dyDescent="0.2">
      <c r="B6084" s="2">
        <f ca="1"/>
        <v>0.53937697163007758</v>
      </c>
      <c r="O6084" s="2">
        <f ca="1"/>
        <v>-0.71573720711573907</v>
      </c>
      <c r="X6084" s="2">
        <f ca="1"/>
        <v>76.660113315987843</v>
      </c>
      <c r="AG6084" s="2">
        <f ca="1"/>
        <v>7.5231005827403052E-2</v>
      </c>
      <c r="AH6084" s="2" t="str">
        <f ca="1"/>
        <v>OK</v>
      </c>
    </row>
    <row r="6085" spans="2:34" x14ac:dyDescent="0.2">
      <c r="B6085" s="2">
        <f ca="1"/>
        <v>0.47234858210927722</v>
      </c>
      <c r="O6085" s="2">
        <f ca="1"/>
        <v>-0.480761345942253</v>
      </c>
      <c r="X6085" s="2">
        <f ca="1"/>
        <v>69.729155204950331</v>
      </c>
      <c r="AG6085" s="2">
        <f ca="1"/>
        <v>5.9133138125389451E-2</v>
      </c>
      <c r="AH6085" s="2" t="str">
        <f ca="1"/>
        <v>OK</v>
      </c>
    </row>
    <row r="6086" spans="2:34" x14ac:dyDescent="0.2">
      <c r="B6086" s="2">
        <f ca="1"/>
        <v>0.53949517902588329</v>
      </c>
      <c r="O6086" s="2">
        <f ca="1"/>
        <v>-0.51117159221214847</v>
      </c>
      <c r="X6086" s="2">
        <f ca="1"/>
        <v>62.211559669632528</v>
      </c>
      <c r="AG6086" s="2">
        <f ca="1"/>
        <v>0.82906685848873862</v>
      </c>
      <c r="AH6086" s="2" t="str">
        <f ca="1"/>
        <v>Bad</v>
      </c>
    </row>
    <row r="6087" spans="2:34" x14ac:dyDescent="0.2">
      <c r="B6087" s="2">
        <f ca="1"/>
        <v>0.29331284690301218</v>
      </c>
      <c r="O6087" s="2">
        <f ca="1"/>
        <v>0.58115057026092798</v>
      </c>
      <c r="X6087" s="2">
        <f ca="1"/>
        <v>60.864702800228457</v>
      </c>
      <c r="AG6087" s="2">
        <f ca="1"/>
        <v>0.9161528334861655</v>
      </c>
      <c r="AH6087" s="2" t="str">
        <f ca="1"/>
        <v>Bad</v>
      </c>
    </row>
    <row r="6088" spans="2:34" x14ac:dyDescent="0.2">
      <c r="B6088" s="2">
        <f ca="1"/>
        <v>0.22035871286277864</v>
      </c>
      <c r="O6088" s="2">
        <f ca="1"/>
        <v>-0.43726705321487958</v>
      </c>
      <c r="X6088" s="2">
        <f ca="1"/>
        <v>47.838244368836165</v>
      </c>
      <c r="AG6088" s="2">
        <f ca="1"/>
        <v>0.54098477292749725</v>
      </c>
      <c r="AH6088" s="2" t="str">
        <f ca="1"/>
        <v>Bad</v>
      </c>
    </row>
    <row r="6089" spans="2:34" x14ac:dyDescent="0.2">
      <c r="B6089" s="2">
        <f ca="1"/>
        <v>0.90112547798972309</v>
      </c>
      <c r="O6089" s="2">
        <f ca="1"/>
        <v>1.3918999259910629</v>
      </c>
      <c r="X6089" s="2">
        <f ca="1"/>
        <v>39.780989163499129</v>
      </c>
      <c r="AG6089" s="2">
        <f ca="1"/>
        <v>2.7986382391065989E-2</v>
      </c>
      <c r="AH6089" s="2" t="str">
        <f ca="1"/>
        <v>Good</v>
      </c>
    </row>
    <row r="6090" spans="2:34" x14ac:dyDescent="0.2">
      <c r="B6090" s="2">
        <f ca="1"/>
        <v>0.35855513205881007</v>
      </c>
      <c r="O6090" s="2">
        <f ca="1"/>
        <v>-1.0270603657379509</v>
      </c>
      <c r="X6090" s="2">
        <f ca="1"/>
        <v>40.008410346335836</v>
      </c>
      <c r="AG6090" s="2">
        <f ca="1"/>
        <v>0.65343867180587178</v>
      </c>
      <c r="AH6090" s="2" t="str">
        <f ca="1"/>
        <v>Bad</v>
      </c>
    </row>
    <row r="6091" spans="2:34" x14ac:dyDescent="0.2">
      <c r="B6091" s="2">
        <f ca="1"/>
        <v>1.3722762455626647E-2</v>
      </c>
      <c r="O6091" s="2">
        <f ca="1"/>
        <v>-0.94743944768473465</v>
      </c>
      <c r="X6091" s="2">
        <f ca="1"/>
        <v>63.864588071242906</v>
      </c>
      <c r="AG6091" s="2">
        <f ca="1"/>
        <v>0.37035115386268602</v>
      </c>
      <c r="AH6091" s="2" t="str">
        <f ca="1"/>
        <v>OK</v>
      </c>
    </row>
    <row r="6092" spans="2:34" x14ac:dyDescent="0.2">
      <c r="B6092" s="2">
        <f ca="1"/>
        <v>0.69718781691803966</v>
      </c>
      <c r="O6092" s="2">
        <f ca="1"/>
        <v>1.6557484873775865</v>
      </c>
      <c r="X6092" s="2">
        <f ca="1"/>
        <v>69.920152597662906</v>
      </c>
      <c r="AG6092" s="2">
        <f ca="1"/>
        <v>0.207774991103024</v>
      </c>
      <c r="AH6092" s="2" t="str">
        <f ca="1"/>
        <v>OK</v>
      </c>
    </row>
    <row r="6093" spans="2:34" x14ac:dyDescent="0.2">
      <c r="B6093" s="2">
        <f ca="1"/>
        <v>0.5558308170763413</v>
      </c>
      <c r="O6093" s="2">
        <f ca="1"/>
        <v>0.63355892323602114</v>
      </c>
      <c r="X6093" s="2">
        <f ca="1"/>
        <v>36.424246276895396</v>
      </c>
      <c r="AG6093" s="2">
        <f ca="1"/>
        <v>0.4131784867815953</v>
      </c>
      <c r="AH6093" s="2" t="str">
        <f ca="1"/>
        <v>Bad</v>
      </c>
    </row>
    <row r="6094" spans="2:34" x14ac:dyDescent="0.2">
      <c r="B6094" s="2">
        <f ca="1"/>
        <v>0.82786598690940427</v>
      </c>
      <c r="O6094" s="2">
        <f ca="1"/>
        <v>0.75045996004464288</v>
      </c>
      <c r="X6094" s="2">
        <f ca="1"/>
        <v>39.806629994261804</v>
      </c>
      <c r="AG6094" s="2">
        <f ca="1"/>
        <v>0.62521307862860076</v>
      </c>
      <c r="AH6094" s="2" t="str">
        <f ca="1"/>
        <v>Bad</v>
      </c>
    </row>
    <row r="6095" spans="2:34" x14ac:dyDescent="0.2">
      <c r="B6095" s="2">
        <f ca="1"/>
        <v>0.15675635394728205</v>
      </c>
      <c r="O6095" s="2">
        <f ca="1"/>
        <v>-0.55953865134681213</v>
      </c>
      <c r="X6095" s="2">
        <f ca="1"/>
        <v>45.553521120635274</v>
      </c>
      <c r="AG6095" s="2">
        <f ca="1"/>
        <v>0.56867248899009981</v>
      </c>
      <c r="AH6095" s="2" t="str">
        <f ca="1"/>
        <v>Bad</v>
      </c>
    </row>
    <row r="6096" spans="2:34" x14ac:dyDescent="0.2">
      <c r="B6096" s="2">
        <f ca="1"/>
        <v>0.1888211048826347</v>
      </c>
      <c r="O6096" s="2">
        <f ca="1"/>
        <v>0.26970746784644661</v>
      </c>
      <c r="X6096" s="2">
        <f ca="1"/>
        <v>66.069492086446289</v>
      </c>
      <c r="AG6096" s="2">
        <f ca="1"/>
        <v>0.4480890387087173</v>
      </c>
      <c r="AH6096" s="2" t="str">
        <f ca="1"/>
        <v>Bad</v>
      </c>
    </row>
    <row r="6097" spans="2:34" x14ac:dyDescent="0.2">
      <c r="B6097" s="2">
        <f ca="1"/>
        <v>0.14196824209083769</v>
      </c>
      <c r="O6097" s="2">
        <f ca="1"/>
        <v>-1.4520405913751528</v>
      </c>
      <c r="X6097" s="2">
        <f ca="1"/>
        <v>52.062620294391095</v>
      </c>
      <c r="AG6097" s="2">
        <f ca="1"/>
        <v>0.1171707856170161</v>
      </c>
      <c r="AH6097" s="2" t="str">
        <f ca="1"/>
        <v>OK</v>
      </c>
    </row>
    <row r="6098" spans="2:34" x14ac:dyDescent="0.2">
      <c r="B6098" s="2">
        <f ca="1"/>
        <v>0.58749589405869185</v>
      </c>
      <c r="O6098" s="2">
        <f ca="1"/>
        <v>-0.30895603745911437</v>
      </c>
      <c r="X6098" s="2">
        <f ca="1"/>
        <v>39.150589311464785</v>
      </c>
      <c r="AG6098" s="2">
        <f ca="1"/>
        <v>0.77927913562988516</v>
      </c>
      <c r="AH6098" s="2" t="str">
        <f ca="1"/>
        <v>Bad</v>
      </c>
    </row>
    <row r="6099" spans="2:34" x14ac:dyDescent="0.2">
      <c r="B6099" s="2">
        <f ca="1"/>
        <v>7.3894720751534804E-2</v>
      </c>
      <c r="O6099" s="2">
        <f ca="1"/>
        <v>0.74916912210787223</v>
      </c>
      <c r="X6099" s="2">
        <f ca="1"/>
        <v>66.020804241343868</v>
      </c>
      <c r="AG6099" s="2">
        <f ca="1"/>
        <v>0.65272080721161063</v>
      </c>
      <c r="AH6099" s="2" t="str">
        <f ca="1"/>
        <v>Bad</v>
      </c>
    </row>
    <row r="6100" spans="2:34" x14ac:dyDescent="0.2">
      <c r="B6100" s="2">
        <f ca="1"/>
        <v>0.2518013153763019</v>
      </c>
      <c r="O6100" s="2">
        <f ca="1"/>
        <v>0.30251717334031714</v>
      </c>
      <c r="X6100" s="2">
        <f ca="1"/>
        <v>48.131491080859796</v>
      </c>
      <c r="AG6100" s="2">
        <f ca="1"/>
        <v>0.3016879868195228</v>
      </c>
      <c r="AH6100" s="2" t="str">
        <f ca="1"/>
        <v>OK</v>
      </c>
    </row>
    <row r="6101" spans="2:34" x14ac:dyDescent="0.2">
      <c r="B6101" s="2">
        <f ca="1"/>
        <v>0.23416310715581834</v>
      </c>
      <c r="O6101" s="2">
        <f ca="1"/>
        <v>0.31099769557619028</v>
      </c>
      <c r="X6101" s="2">
        <f ca="1"/>
        <v>66.69135442203752</v>
      </c>
      <c r="AG6101" s="2">
        <f ca="1"/>
        <v>7.3119145217883652E-3</v>
      </c>
      <c r="AH6101" s="2" t="str">
        <f ca="1"/>
        <v>Good</v>
      </c>
    </row>
    <row r="6102" spans="2:34" x14ac:dyDescent="0.2">
      <c r="B6102" s="2">
        <f ca="1"/>
        <v>0.21105414267258893</v>
      </c>
      <c r="O6102" s="2">
        <f ca="1"/>
        <v>-0.31696192384531718</v>
      </c>
      <c r="X6102" s="2">
        <f ca="1"/>
        <v>25.888579030663315</v>
      </c>
      <c r="AG6102" s="2">
        <f ca="1"/>
        <v>0.56039225621467392</v>
      </c>
      <c r="AH6102" s="2" t="str">
        <f ca="1"/>
        <v>Bad</v>
      </c>
    </row>
    <row r="6103" spans="2:34" x14ac:dyDescent="0.2">
      <c r="B6103" s="2">
        <f ca="1"/>
        <v>0.71413514966827774</v>
      </c>
      <c r="O6103" s="2">
        <f ca="1"/>
        <v>-0.5076873091950056</v>
      </c>
      <c r="X6103" s="2">
        <f ca="1"/>
        <v>43.172666982066168</v>
      </c>
      <c r="AG6103" s="2">
        <f ca="1"/>
        <v>0.69011301280715576</v>
      </c>
      <c r="AH6103" s="2" t="str">
        <f ca="1"/>
        <v>Bad</v>
      </c>
    </row>
    <row r="6104" spans="2:34" x14ac:dyDescent="0.2">
      <c r="B6104" s="2">
        <f ca="1"/>
        <v>0.9541904046847598</v>
      </c>
      <c r="O6104" s="2">
        <f ca="1"/>
        <v>-0.86915845738462316</v>
      </c>
      <c r="X6104" s="2">
        <f ca="1"/>
        <v>46.917144068426026</v>
      </c>
      <c r="AG6104" s="2">
        <f ca="1"/>
        <v>0.25804840177711763</v>
      </c>
      <c r="AH6104" s="2" t="str">
        <f ca="1"/>
        <v>OK</v>
      </c>
    </row>
    <row r="6105" spans="2:34" x14ac:dyDescent="0.2">
      <c r="B6105" s="2">
        <f ca="1"/>
        <v>0.22027563768142033</v>
      </c>
      <c r="O6105" s="2">
        <f ca="1"/>
        <v>-1.6531310932676015</v>
      </c>
      <c r="X6105" s="2">
        <f ca="1"/>
        <v>54.520526268581158</v>
      </c>
      <c r="AG6105" s="2">
        <f ca="1"/>
        <v>3.8890819568797586E-3</v>
      </c>
      <c r="AH6105" s="2" t="str">
        <f ca="1"/>
        <v>Good</v>
      </c>
    </row>
    <row r="6106" spans="2:34" x14ac:dyDescent="0.2">
      <c r="B6106" s="2">
        <f ca="1"/>
        <v>9.666796943199274E-2</v>
      </c>
      <c r="O6106" s="2">
        <f ca="1"/>
        <v>0.82349570672135552</v>
      </c>
      <c r="X6106" s="2">
        <f ca="1"/>
        <v>29.210949281044542</v>
      </c>
      <c r="AG6106" s="2">
        <f ca="1"/>
        <v>0.9090277719702331</v>
      </c>
      <c r="AH6106" s="2" t="str">
        <f ca="1"/>
        <v>Bad</v>
      </c>
    </row>
    <row r="6107" spans="2:34" x14ac:dyDescent="0.2">
      <c r="B6107" s="2">
        <f ca="1"/>
        <v>0.69489724456031676</v>
      </c>
      <c r="O6107" s="2">
        <f ca="1"/>
        <v>4.4142878476126371E-2</v>
      </c>
      <c r="X6107" s="2">
        <f ca="1"/>
        <v>58.253379553664757</v>
      </c>
      <c r="AG6107" s="2">
        <f ca="1"/>
        <v>0.11654745197019323</v>
      </c>
      <c r="AH6107" s="2" t="str">
        <f ca="1"/>
        <v>OK</v>
      </c>
    </row>
    <row r="6108" spans="2:34" x14ac:dyDescent="0.2">
      <c r="B6108" s="2">
        <f ca="1"/>
        <v>0.66291703296698801</v>
      </c>
      <c r="O6108" s="2">
        <f ca="1"/>
        <v>-0.40905181497206133</v>
      </c>
      <c r="X6108" s="2">
        <f ca="1"/>
        <v>68.627967928008019</v>
      </c>
      <c r="AG6108" s="2">
        <f ca="1"/>
        <v>0.93868923374645141</v>
      </c>
      <c r="AH6108" s="2" t="str">
        <f ca="1"/>
        <v>Bad</v>
      </c>
    </row>
    <row r="6109" spans="2:34" x14ac:dyDescent="0.2">
      <c r="B6109" s="2">
        <f ca="1"/>
        <v>0.69370006974110043</v>
      </c>
      <c r="O6109" s="2">
        <f ca="1"/>
        <v>0.15075005243972045</v>
      </c>
      <c r="X6109" s="2">
        <f ca="1"/>
        <v>62.366208285434716</v>
      </c>
      <c r="AG6109" s="2">
        <f ca="1"/>
        <v>0.15504758796663132</v>
      </c>
      <c r="AH6109" s="2" t="str">
        <f ca="1"/>
        <v>OK</v>
      </c>
    </row>
    <row r="6110" spans="2:34" x14ac:dyDescent="0.2">
      <c r="B6110" s="2">
        <f ca="1"/>
        <v>0.23120233142367685</v>
      </c>
      <c r="O6110" s="2">
        <f ca="1"/>
        <v>-0.90224648705429078</v>
      </c>
      <c r="X6110" s="2">
        <f ca="1"/>
        <v>58.38661580484434</v>
      </c>
      <c r="AG6110" s="2">
        <f ca="1"/>
        <v>0.9440793551440716</v>
      </c>
      <c r="AH6110" s="2" t="str">
        <f ca="1"/>
        <v>Bad</v>
      </c>
    </row>
    <row r="6111" spans="2:34" x14ac:dyDescent="0.2">
      <c r="B6111" s="2">
        <f ca="1"/>
        <v>0.95218964818904972</v>
      </c>
      <c r="O6111" s="2">
        <f ca="1"/>
        <v>0.1440774064710871</v>
      </c>
      <c r="X6111" s="2">
        <f ca="1"/>
        <v>40.434250685338064</v>
      </c>
      <c r="AG6111" s="2">
        <f ca="1"/>
        <v>0.27075464689292628</v>
      </c>
      <c r="AH6111" s="2" t="str">
        <f ca="1"/>
        <v>OK</v>
      </c>
    </row>
    <row r="6112" spans="2:34" x14ac:dyDescent="0.2">
      <c r="B6112" s="2">
        <f ca="1"/>
        <v>0.19041969140059378</v>
      </c>
      <c r="O6112" s="2">
        <f ca="1"/>
        <v>0.36284411287932966</v>
      </c>
      <c r="X6112" s="2">
        <f ca="1"/>
        <v>61.998405190442725</v>
      </c>
      <c r="AG6112" s="2">
        <f ca="1"/>
        <v>0.33409400379693177</v>
      </c>
      <c r="AH6112" s="2" t="str">
        <f ca="1"/>
        <v>OK</v>
      </c>
    </row>
    <row r="6113" spans="2:34" x14ac:dyDescent="0.2">
      <c r="B6113" s="2">
        <f ca="1"/>
        <v>0.87472337007099754</v>
      </c>
      <c r="O6113" s="2">
        <f ca="1"/>
        <v>-0.29778662642482068</v>
      </c>
      <c r="X6113" s="2">
        <f ca="1"/>
        <v>37.747106792835595</v>
      </c>
      <c r="AG6113" s="2">
        <f ca="1"/>
        <v>0.53346441908182674</v>
      </c>
      <c r="AH6113" s="2" t="str">
        <f ca="1"/>
        <v>Bad</v>
      </c>
    </row>
    <row r="6114" spans="2:34" x14ac:dyDescent="0.2">
      <c r="B6114" s="2">
        <f ca="1"/>
        <v>0.54797332947337107</v>
      </c>
      <c r="O6114" s="2">
        <f ca="1"/>
        <v>0.78029365604510614</v>
      </c>
      <c r="X6114" s="2">
        <f ca="1"/>
        <v>65.741123893577395</v>
      </c>
      <c r="AG6114" s="2">
        <f ca="1"/>
        <v>0.39800245578735916</v>
      </c>
      <c r="AH6114" s="2" t="str">
        <f ca="1"/>
        <v>OK</v>
      </c>
    </row>
    <row r="6115" spans="2:34" x14ac:dyDescent="0.2">
      <c r="B6115" s="2">
        <f ca="1"/>
        <v>0.67784653711915377</v>
      </c>
      <c r="O6115" s="2">
        <f ca="1"/>
        <v>6.0669751879535376E-2</v>
      </c>
      <c r="X6115" s="2">
        <f ca="1"/>
        <v>28.181660180233614</v>
      </c>
      <c r="AG6115" s="2">
        <f ca="1"/>
        <v>0.53057396079156471</v>
      </c>
      <c r="AH6115" s="2" t="str">
        <f ca="1"/>
        <v>Bad</v>
      </c>
    </row>
    <row r="6116" spans="2:34" x14ac:dyDescent="0.2">
      <c r="B6116" s="2">
        <f ca="1"/>
        <v>1.3682114140296742E-2</v>
      </c>
      <c r="O6116" s="2">
        <f ca="1"/>
        <v>-1.6095149936699376</v>
      </c>
      <c r="X6116" s="2">
        <f ca="1"/>
        <v>54.000881910068514</v>
      </c>
      <c r="AG6116" s="2">
        <f ca="1"/>
        <v>0.92070963741423872</v>
      </c>
      <c r="AH6116" s="2" t="str">
        <f ca="1"/>
        <v>Bad</v>
      </c>
    </row>
    <row r="6117" spans="2:34" x14ac:dyDescent="0.2">
      <c r="B6117" s="2">
        <f ca="1"/>
        <v>0.63235370315880268</v>
      </c>
      <c r="O6117" s="2">
        <f ca="1"/>
        <v>-2.4091955371920246</v>
      </c>
      <c r="X6117" s="2">
        <f ca="1"/>
        <v>38.928694697006918</v>
      </c>
      <c r="AG6117" s="2">
        <f ca="1"/>
        <v>0.88664753077494751</v>
      </c>
      <c r="AH6117" s="2" t="str">
        <f ca="1"/>
        <v>Bad</v>
      </c>
    </row>
    <row r="6118" spans="2:34" x14ac:dyDescent="0.2">
      <c r="B6118" s="2">
        <f ca="1"/>
        <v>0.42146895178206445</v>
      </c>
      <c r="O6118" s="2">
        <f ca="1"/>
        <v>0.82547091266137207</v>
      </c>
      <c r="X6118" s="2">
        <f ca="1"/>
        <v>60.183092316685531</v>
      </c>
      <c r="AG6118" s="2">
        <f ca="1"/>
        <v>0.1200190838779307</v>
      </c>
      <c r="AH6118" s="2" t="str">
        <f ca="1"/>
        <v>OK</v>
      </c>
    </row>
    <row r="6119" spans="2:34" x14ac:dyDescent="0.2">
      <c r="B6119" s="2">
        <f ca="1"/>
        <v>0.37363583642381992</v>
      </c>
      <c r="O6119" s="2">
        <f ca="1"/>
        <v>-0.33383963211914425</v>
      </c>
      <c r="X6119" s="2">
        <f ca="1"/>
        <v>36.874767711993975</v>
      </c>
      <c r="AG6119" s="2">
        <f ca="1"/>
        <v>0.64340418700627144</v>
      </c>
      <c r="AH6119" s="2" t="str">
        <f ca="1"/>
        <v>Bad</v>
      </c>
    </row>
    <row r="6120" spans="2:34" x14ac:dyDescent="0.2">
      <c r="B6120" s="2">
        <f ca="1"/>
        <v>0.13206533779055074</v>
      </c>
      <c r="O6120" s="2">
        <f ca="1"/>
        <v>0.15146012831387004</v>
      </c>
      <c r="X6120" s="2">
        <f ca="1"/>
        <v>24.005194159558492</v>
      </c>
      <c r="AG6120" s="2">
        <f ca="1"/>
        <v>0.47201585126279433</v>
      </c>
      <c r="AH6120" s="2" t="str">
        <f ca="1"/>
        <v>Bad</v>
      </c>
    </row>
    <row r="6121" spans="2:34" x14ac:dyDescent="0.2">
      <c r="B6121" s="2">
        <f ca="1"/>
        <v>7.3544696516431474E-2</v>
      </c>
      <c r="O6121" s="2">
        <f ca="1"/>
        <v>0.18242094127086836</v>
      </c>
      <c r="X6121" s="2">
        <f ca="1"/>
        <v>66.601337809524509</v>
      </c>
      <c r="AG6121" s="2">
        <f ca="1"/>
        <v>0.72536628917111212</v>
      </c>
      <c r="AH6121" s="2" t="str">
        <f ca="1"/>
        <v>Bad</v>
      </c>
    </row>
    <row r="6122" spans="2:34" x14ac:dyDescent="0.2">
      <c r="B6122" s="2">
        <f ca="1"/>
        <v>0.98860980906386042</v>
      </c>
      <c r="O6122" s="2">
        <f ca="1"/>
        <v>0.39450411030387872</v>
      </c>
      <c r="X6122" s="2">
        <f ca="1"/>
        <v>48.374757828000824</v>
      </c>
      <c r="AG6122" s="2">
        <f ca="1"/>
        <v>5.8816904633050893E-2</v>
      </c>
      <c r="AH6122" s="2" t="str">
        <f ca="1"/>
        <v>OK</v>
      </c>
    </row>
    <row r="6123" spans="2:34" x14ac:dyDescent="0.2">
      <c r="B6123" s="2">
        <f ca="1"/>
        <v>0.40071696091178999</v>
      </c>
      <c r="O6123" s="2">
        <f ca="1"/>
        <v>-0.28466276793572798</v>
      </c>
      <c r="X6123" s="2">
        <f ca="1"/>
        <v>39.013612323995908</v>
      </c>
      <c r="AG6123" s="2">
        <f ca="1"/>
        <v>0.9428618036013976</v>
      </c>
      <c r="AH6123" s="2" t="str">
        <f ca="1"/>
        <v>Bad</v>
      </c>
    </row>
    <row r="6124" spans="2:34" x14ac:dyDescent="0.2">
      <c r="B6124" s="2">
        <f ca="1"/>
        <v>0.87747005177724513</v>
      </c>
      <c r="O6124" s="2">
        <f ca="1"/>
        <v>2.1190160141021677</v>
      </c>
      <c r="X6124" s="2">
        <f ca="1"/>
        <v>84.357973428893445</v>
      </c>
      <c r="AG6124" s="2">
        <f ca="1"/>
        <v>0.12360126507695313</v>
      </c>
      <c r="AH6124" s="2" t="str">
        <f ca="1"/>
        <v>OK</v>
      </c>
    </row>
    <row r="6125" spans="2:34" x14ac:dyDescent="0.2">
      <c r="B6125" s="2">
        <f ca="1"/>
        <v>0.52013395362700399</v>
      </c>
      <c r="O6125" s="2">
        <f ca="1"/>
        <v>-4.0599686647770881E-2</v>
      </c>
      <c r="X6125" s="2">
        <f ca="1"/>
        <v>45.805683718319372</v>
      </c>
      <c r="AG6125" s="2">
        <f ca="1"/>
        <v>0.50061055689195033</v>
      </c>
      <c r="AH6125" s="2" t="str">
        <f ca="1"/>
        <v>Bad</v>
      </c>
    </row>
    <row r="6126" spans="2:34" x14ac:dyDescent="0.2">
      <c r="B6126" s="2">
        <f ca="1"/>
        <v>0.78949931020561737</v>
      </c>
      <c r="O6126" s="2">
        <f ca="1"/>
        <v>1.1604053147082456</v>
      </c>
      <c r="X6126" s="2">
        <f ca="1"/>
        <v>63.53464482247611</v>
      </c>
      <c r="AG6126" s="2">
        <f ca="1"/>
        <v>0.85213386519338363</v>
      </c>
      <c r="AH6126" s="2" t="str">
        <f ca="1"/>
        <v>Bad</v>
      </c>
    </row>
    <row r="6127" spans="2:34" x14ac:dyDescent="0.2">
      <c r="B6127" s="2">
        <f ca="1"/>
        <v>0.8157573107183167</v>
      </c>
      <c r="O6127" s="2">
        <f ca="1"/>
        <v>-2.2830476123344732</v>
      </c>
      <c r="X6127" s="2">
        <f ca="1"/>
        <v>49.59411977318269</v>
      </c>
      <c r="AG6127" s="2">
        <f ca="1"/>
        <v>0.96372702573840541</v>
      </c>
      <c r="AH6127" s="2" t="str">
        <f ca="1"/>
        <v>Bad</v>
      </c>
    </row>
    <row r="6128" spans="2:34" x14ac:dyDescent="0.2">
      <c r="B6128" s="2">
        <f ca="1"/>
        <v>0.85369082007561548</v>
      </c>
      <c r="O6128" s="2">
        <f ca="1"/>
        <v>0.62217786978102141</v>
      </c>
      <c r="X6128" s="2">
        <f ca="1"/>
        <v>31.109003936550184</v>
      </c>
      <c r="AG6128" s="2">
        <f ca="1"/>
        <v>8.5770807078755285E-2</v>
      </c>
      <c r="AH6128" s="2" t="str">
        <f ca="1"/>
        <v>OK</v>
      </c>
    </row>
    <row r="6129" spans="2:34" x14ac:dyDescent="0.2">
      <c r="B6129" s="2">
        <f ca="1"/>
        <v>0.21290685754804994</v>
      </c>
      <c r="O6129" s="2">
        <f ca="1"/>
        <v>0.69635843927694752</v>
      </c>
      <c r="X6129" s="2">
        <f ca="1"/>
        <v>45.913130520374388</v>
      </c>
      <c r="AG6129" s="2">
        <f ca="1"/>
        <v>0.999585421975832</v>
      </c>
      <c r="AH6129" s="2" t="str">
        <f ca="1"/>
        <v>Bad</v>
      </c>
    </row>
    <row r="6130" spans="2:34" x14ac:dyDescent="0.2">
      <c r="B6130" s="2">
        <f ca="1"/>
        <v>0.17448495734725045</v>
      </c>
      <c r="O6130" s="2">
        <f ca="1"/>
        <v>1.5156657375130005</v>
      </c>
      <c r="X6130" s="2">
        <f ca="1"/>
        <v>58.055180805559736</v>
      </c>
      <c r="AG6130" s="2">
        <f ca="1"/>
        <v>4.5609005146134862E-2</v>
      </c>
      <c r="AH6130" s="2" t="str">
        <f ca="1"/>
        <v>Good</v>
      </c>
    </row>
    <row r="6131" spans="2:34" x14ac:dyDescent="0.2">
      <c r="B6131" s="2">
        <f ca="1"/>
        <v>0.43098359443223244</v>
      </c>
      <c r="O6131" s="2">
        <f ca="1"/>
        <v>1.0501835711628045</v>
      </c>
      <c r="X6131" s="2">
        <f ca="1"/>
        <v>54.291349281991089</v>
      </c>
      <c r="AG6131" s="2">
        <f ca="1"/>
        <v>0.61998261518218478</v>
      </c>
      <c r="AH6131" s="2" t="str">
        <f ca="1"/>
        <v>Bad</v>
      </c>
    </row>
    <row r="6132" spans="2:34" x14ac:dyDescent="0.2">
      <c r="B6132" s="2">
        <f ca="1"/>
        <v>0.77891467942535719</v>
      </c>
      <c r="O6132" s="2">
        <f ca="1"/>
        <v>-0.20527601733708306</v>
      </c>
      <c r="X6132" s="2">
        <f ca="1"/>
        <v>77.958427889584442</v>
      </c>
      <c r="AG6132" s="2">
        <f ca="1"/>
        <v>0.66842573190218801</v>
      </c>
      <c r="AH6132" s="2" t="str">
        <f ca="1"/>
        <v>Bad</v>
      </c>
    </row>
    <row r="6133" spans="2:34" x14ac:dyDescent="0.2">
      <c r="B6133" s="2">
        <f ca="1"/>
        <v>0.20562661015939576</v>
      </c>
      <c r="O6133" s="2">
        <f ca="1"/>
        <v>-1.6268949976498175</v>
      </c>
      <c r="X6133" s="2">
        <f ca="1"/>
        <v>63.490929434996104</v>
      </c>
      <c r="AG6133" s="2">
        <f ca="1"/>
        <v>1.6519833890444424E-2</v>
      </c>
      <c r="AH6133" s="2" t="str">
        <f ca="1"/>
        <v>Good</v>
      </c>
    </row>
    <row r="6134" spans="2:34" x14ac:dyDescent="0.2">
      <c r="B6134" s="2">
        <f ca="1"/>
        <v>0.38806442458336443</v>
      </c>
      <c r="O6134" s="2">
        <f ca="1"/>
        <v>-0.71437355368850586</v>
      </c>
      <c r="X6134" s="2">
        <f ca="1"/>
        <v>56.262412520230555</v>
      </c>
      <c r="AG6134" s="2">
        <f ca="1"/>
        <v>0.14777505998446783</v>
      </c>
      <c r="AH6134" s="2" t="str">
        <f ca="1"/>
        <v>OK</v>
      </c>
    </row>
    <row r="6135" spans="2:34" x14ac:dyDescent="0.2">
      <c r="B6135" s="2">
        <f ca="1"/>
        <v>4.7454466302082832E-2</v>
      </c>
      <c r="O6135" s="2">
        <f ca="1"/>
        <v>1.2172650282082251</v>
      </c>
      <c r="X6135" s="2">
        <f ca="1"/>
        <v>34.5054305691487</v>
      </c>
      <c r="AG6135" s="2">
        <f ca="1"/>
        <v>0.14592098382514518</v>
      </c>
      <c r="AH6135" s="2" t="str">
        <f ca="1"/>
        <v>OK</v>
      </c>
    </row>
    <row r="6136" spans="2:34" x14ac:dyDescent="0.2">
      <c r="B6136" s="2">
        <f ca="1"/>
        <v>0.65236881845745254</v>
      </c>
      <c r="O6136" s="2">
        <f ca="1"/>
        <v>-0.17183217246370203</v>
      </c>
      <c r="X6136" s="2">
        <f ca="1"/>
        <v>70.361804819804888</v>
      </c>
      <c r="AG6136" s="2">
        <f ca="1"/>
        <v>0.99048260230641438</v>
      </c>
      <c r="AH6136" s="2" t="str">
        <f ca="1"/>
        <v>Bad</v>
      </c>
    </row>
    <row r="6137" spans="2:34" x14ac:dyDescent="0.2">
      <c r="B6137" s="2">
        <f ca="1"/>
        <v>0.83423517240275435</v>
      </c>
      <c r="O6137" s="2">
        <f ca="1"/>
        <v>-0.44463697015112585</v>
      </c>
      <c r="X6137" s="2">
        <f ca="1"/>
        <v>58.884794845973801</v>
      </c>
      <c r="AG6137" s="2">
        <f ca="1"/>
        <v>0.73854370588192286</v>
      </c>
      <c r="AH6137" s="2" t="str">
        <f ca="1"/>
        <v>Bad</v>
      </c>
    </row>
    <row r="6138" spans="2:34" x14ac:dyDescent="0.2">
      <c r="B6138" s="2">
        <f ca="1"/>
        <v>0.49880757243313134</v>
      </c>
      <c r="O6138" s="2">
        <f ca="1"/>
        <v>1.2700640106517556</v>
      </c>
      <c r="X6138" s="2">
        <f ca="1"/>
        <v>26.042194372040548</v>
      </c>
      <c r="AG6138" s="2">
        <f ca="1"/>
        <v>0.75263701339012612</v>
      </c>
      <c r="AH6138" s="2" t="str">
        <f ca="1"/>
        <v>Bad</v>
      </c>
    </row>
    <row r="6139" spans="2:34" x14ac:dyDescent="0.2">
      <c r="B6139" s="2">
        <f ca="1"/>
        <v>0.62945373432404561</v>
      </c>
      <c r="O6139" s="2">
        <f ca="1"/>
        <v>-1.1985413518099628</v>
      </c>
      <c r="X6139" s="2">
        <f ca="1"/>
        <v>79.686553139821001</v>
      </c>
      <c r="AG6139" s="2">
        <f ca="1"/>
        <v>1.3060114219523022E-2</v>
      </c>
      <c r="AH6139" s="2" t="str">
        <f ca="1"/>
        <v>Good</v>
      </c>
    </row>
    <row r="6140" spans="2:34" x14ac:dyDescent="0.2">
      <c r="B6140" s="2">
        <f ca="1"/>
        <v>6.2595317584116739E-2</v>
      </c>
      <c r="O6140" s="2">
        <f ca="1"/>
        <v>1.2117828845762859</v>
      </c>
      <c r="X6140" s="2">
        <f ca="1"/>
        <v>42.964660922620808</v>
      </c>
      <c r="AG6140" s="2">
        <f ca="1"/>
        <v>0.31874035773298082</v>
      </c>
      <c r="AH6140" s="2" t="str">
        <f ca="1"/>
        <v>OK</v>
      </c>
    </row>
    <row r="6141" spans="2:34" x14ac:dyDescent="0.2">
      <c r="B6141" s="2">
        <f ca="1"/>
        <v>0.34555073787563106</v>
      </c>
      <c r="O6141" s="2">
        <f ca="1"/>
        <v>-0.26295595001424815</v>
      </c>
      <c r="X6141" s="2">
        <f ca="1"/>
        <v>30.913766103398451</v>
      </c>
      <c r="AG6141" s="2">
        <f ca="1"/>
        <v>0.35997754681047978</v>
      </c>
      <c r="AH6141" s="2" t="str">
        <f ca="1"/>
        <v>OK</v>
      </c>
    </row>
    <row r="6142" spans="2:34" x14ac:dyDescent="0.2">
      <c r="B6142" s="2">
        <f ca="1"/>
        <v>0.59327200242815592</v>
      </c>
      <c r="O6142" s="2">
        <f ca="1"/>
        <v>1.4051934984038794</v>
      </c>
      <c r="X6142" s="2">
        <f ca="1"/>
        <v>64.226560098080242</v>
      </c>
      <c r="AG6142" s="2">
        <f ca="1"/>
        <v>0.50282223749186472</v>
      </c>
      <c r="AH6142" s="2" t="str">
        <f ca="1"/>
        <v>Bad</v>
      </c>
    </row>
    <row r="6143" spans="2:34" x14ac:dyDescent="0.2">
      <c r="B6143" s="2">
        <f ca="1"/>
        <v>0.62517280625459537</v>
      </c>
      <c r="O6143" s="2">
        <f ca="1"/>
        <v>-0.93091980919526418</v>
      </c>
      <c r="X6143" s="2">
        <f ca="1"/>
        <v>39.817692851736901</v>
      </c>
      <c r="AG6143" s="2">
        <f ca="1"/>
        <v>0.64793884332909846</v>
      </c>
      <c r="AH6143" s="2" t="str">
        <f ca="1"/>
        <v>Bad</v>
      </c>
    </row>
    <row r="6144" spans="2:34" x14ac:dyDescent="0.2">
      <c r="B6144" s="2">
        <f ca="1"/>
        <v>0.14322769065432994</v>
      </c>
      <c r="O6144" s="2">
        <f ca="1"/>
        <v>0.69803642250835207</v>
      </c>
      <c r="X6144" s="2">
        <f ca="1"/>
        <v>41.191976536645186</v>
      </c>
      <c r="AG6144" s="2">
        <f ca="1"/>
        <v>0.37018918613703744</v>
      </c>
      <c r="AH6144" s="2" t="str">
        <f ca="1"/>
        <v>OK</v>
      </c>
    </row>
    <row r="6145" spans="2:34" x14ac:dyDescent="0.2">
      <c r="B6145" s="2">
        <f ca="1"/>
        <v>0.54737225879128748</v>
      </c>
      <c r="O6145" s="2">
        <f ca="1"/>
        <v>2.1889751901543057</v>
      </c>
      <c r="X6145" s="2">
        <f ca="1"/>
        <v>35.522755934137081</v>
      </c>
      <c r="AG6145" s="2">
        <f ca="1"/>
        <v>0.55100944798426266</v>
      </c>
      <c r="AH6145" s="2" t="str">
        <f ca="1"/>
        <v>Bad</v>
      </c>
    </row>
    <row r="6146" spans="2:34" x14ac:dyDescent="0.2">
      <c r="B6146" s="2">
        <f ca="1"/>
        <v>0.84513762590023478</v>
      </c>
      <c r="O6146" s="2">
        <f ca="1"/>
        <v>-0.9626692514018147</v>
      </c>
      <c r="X6146" s="2">
        <f ca="1"/>
        <v>35.883653969043792</v>
      </c>
      <c r="AG6146" s="2">
        <f ca="1"/>
        <v>0.2630157899264649</v>
      </c>
      <c r="AH6146" s="2" t="str">
        <f ca="1"/>
        <v>OK</v>
      </c>
    </row>
    <row r="6147" spans="2:34" x14ac:dyDescent="0.2">
      <c r="B6147" s="2">
        <f ca="1"/>
        <v>2.9807830377687861E-2</v>
      </c>
      <c r="O6147" s="2">
        <f ca="1"/>
        <v>-2.7998091778427575E-2</v>
      </c>
      <c r="X6147" s="2">
        <f ca="1"/>
        <v>48.255175335780606</v>
      </c>
      <c r="AG6147" s="2">
        <f ca="1"/>
        <v>0.58238988033127836</v>
      </c>
      <c r="AH6147" s="2" t="str">
        <f ca="1"/>
        <v>Bad</v>
      </c>
    </row>
    <row r="6148" spans="2:34" x14ac:dyDescent="0.2">
      <c r="B6148" s="2">
        <f ca="1"/>
        <v>0.15239999326834552</v>
      </c>
      <c r="O6148" s="2">
        <f ca="1"/>
        <v>-0.2928301132648744</v>
      </c>
      <c r="X6148" s="2">
        <f ca="1"/>
        <v>34.194021161026768</v>
      </c>
      <c r="AG6148" s="2">
        <f ca="1"/>
        <v>0.5885619615941331</v>
      </c>
      <c r="AH6148" s="2" t="str">
        <f ca="1"/>
        <v>Bad</v>
      </c>
    </row>
    <row r="6149" spans="2:34" x14ac:dyDescent="0.2">
      <c r="B6149" s="2">
        <f ca="1"/>
        <v>0.3035016163758073</v>
      </c>
      <c r="O6149" s="2">
        <f ca="1"/>
        <v>0.4892021478519093</v>
      </c>
      <c r="X6149" s="2">
        <f ca="1"/>
        <v>68.783406301548055</v>
      </c>
      <c r="AG6149" s="2">
        <f ca="1"/>
        <v>0.15608916673774531</v>
      </c>
      <c r="AH6149" s="2" t="str">
        <f ca="1"/>
        <v>OK</v>
      </c>
    </row>
    <row r="6150" spans="2:34" x14ac:dyDescent="0.2">
      <c r="B6150" s="2">
        <f ca="1"/>
        <v>0.20424442055915693</v>
      </c>
      <c r="O6150" s="2">
        <f ca="1"/>
        <v>-1.4449499976766003</v>
      </c>
      <c r="X6150" s="2">
        <f ca="1"/>
        <v>26.538341185047095</v>
      </c>
      <c r="AG6150" s="2">
        <f ca="1"/>
        <v>2.3178770949803251E-3</v>
      </c>
      <c r="AH6150" s="2" t="str">
        <f ca="1"/>
        <v>Good</v>
      </c>
    </row>
    <row r="6151" spans="2:34" x14ac:dyDescent="0.2">
      <c r="B6151" s="2">
        <f ca="1"/>
        <v>0.83476529561663071</v>
      </c>
      <c r="O6151" s="2">
        <f ca="1"/>
        <v>0.90617291669658395</v>
      </c>
      <c r="X6151" s="2">
        <f ca="1"/>
        <v>38.97504986984741</v>
      </c>
      <c r="AG6151" s="2">
        <f ca="1"/>
        <v>0.55271303829478335</v>
      </c>
      <c r="AH6151" s="2" t="str">
        <f ca="1"/>
        <v>Bad</v>
      </c>
    </row>
    <row r="6152" spans="2:34" x14ac:dyDescent="0.2">
      <c r="B6152" s="2">
        <f ca="1"/>
        <v>0.97651402445833768</v>
      </c>
      <c r="O6152" s="2">
        <f ca="1"/>
        <v>-1.1953487230378832</v>
      </c>
      <c r="X6152" s="2">
        <f ca="1"/>
        <v>52.927724626158827</v>
      </c>
      <c r="AG6152" s="2">
        <f ca="1"/>
        <v>0.96553348568364528</v>
      </c>
      <c r="AH6152" s="2" t="str">
        <f ca="1"/>
        <v>Bad</v>
      </c>
    </row>
    <row r="6153" spans="2:34" x14ac:dyDescent="0.2">
      <c r="B6153" s="2">
        <f ca="1"/>
        <v>0.21691234937427351</v>
      </c>
      <c r="O6153" s="2">
        <f ca="1"/>
        <v>0.20552241267534033</v>
      </c>
      <c r="X6153" s="2">
        <f ca="1"/>
        <v>63.653077394124338</v>
      </c>
      <c r="AG6153" s="2">
        <f ca="1"/>
        <v>0.75741788055290038</v>
      </c>
      <c r="AH6153" s="2" t="str">
        <f ca="1"/>
        <v>Bad</v>
      </c>
    </row>
    <row r="6154" spans="2:34" x14ac:dyDescent="0.2">
      <c r="B6154" s="2">
        <f ca="1"/>
        <v>0.61949746812243744</v>
      </c>
      <c r="O6154" s="2">
        <f ca="1"/>
        <v>-2.5877244918802105</v>
      </c>
      <c r="X6154" s="2">
        <f ca="1"/>
        <v>36.386250975994329</v>
      </c>
      <c r="AG6154" s="2">
        <f ca="1"/>
        <v>0.89423410852904062</v>
      </c>
      <c r="AH6154" s="2" t="str">
        <f ca="1"/>
        <v>Bad</v>
      </c>
    </row>
    <row r="6155" spans="2:34" x14ac:dyDescent="0.2">
      <c r="B6155" s="2">
        <f ca="1"/>
        <v>0.85497612262092582</v>
      </c>
      <c r="O6155" s="2">
        <f ca="1"/>
        <v>0.82325627745270613</v>
      </c>
      <c r="X6155" s="2">
        <f ca="1"/>
        <v>37.155855903551796</v>
      </c>
      <c r="AG6155" s="2">
        <f ca="1"/>
        <v>0.49898815759324777</v>
      </c>
      <c r="AH6155" s="2" t="str">
        <f ca="1"/>
        <v>Bad</v>
      </c>
    </row>
    <row r="6156" spans="2:34" x14ac:dyDescent="0.2">
      <c r="B6156" s="2">
        <f ca="1"/>
        <v>0.2695371653987173</v>
      </c>
      <c r="O6156" s="2">
        <f ca="1"/>
        <v>0.80295524955175968</v>
      </c>
      <c r="X6156" s="2">
        <f ca="1"/>
        <v>44.436758345756289</v>
      </c>
      <c r="AG6156" s="2">
        <f ca="1"/>
        <v>0.16223980053571307</v>
      </c>
      <c r="AH6156" s="2" t="str">
        <f ca="1"/>
        <v>OK</v>
      </c>
    </row>
    <row r="6157" spans="2:34" x14ac:dyDescent="0.2">
      <c r="B6157" s="2">
        <f ca="1"/>
        <v>0.20920127377208009</v>
      </c>
      <c r="O6157" s="2">
        <f ca="1"/>
        <v>-1.2590958837995097</v>
      </c>
      <c r="X6157" s="2">
        <f ca="1"/>
        <v>83.367843763500602</v>
      </c>
      <c r="AG6157" s="2">
        <f ca="1"/>
        <v>5.0711323038155287E-2</v>
      </c>
      <c r="AH6157" s="2" t="str">
        <f ca="1"/>
        <v>OK</v>
      </c>
    </row>
    <row r="6158" spans="2:34" x14ac:dyDescent="0.2">
      <c r="B6158" s="2">
        <f ca="1"/>
        <v>0.29987706855457175</v>
      </c>
      <c r="O6158" s="2">
        <f ca="1"/>
        <v>0.99679104699268239</v>
      </c>
      <c r="X6158" s="2">
        <f ca="1"/>
        <v>48.442289074491867</v>
      </c>
      <c r="AG6158" s="2">
        <f ca="1"/>
        <v>0.11496378326576595</v>
      </c>
      <c r="AH6158" s="2" t="str">
        <f ca="1"/>
        <v>OK</v>
      </c>
    </row>
    <row r="6159" spans="2:34" x14ac:dyDescent="0.2">
      <c r="B6159" s="2">
        <f ca="1"/>
        <v>0.5227868991335396</v>
      </c>
      <c r="O6159" s="2">
        <f ca="1"/>
        <v>1.0048954465261257</v>
      </c>
      <c r="X6159" s="2">
        <f ca="1"/>
        <v>39.958274123883363</v>
      </c>
      <c r="AG6159" s="2">
        <f ca="1"/>
        <v>0.56929852806000714</v>
      </c>
      <c r="AH6159" s="2" t="str">
        <f ca="1"/>
        <v>Bad</v>
      </c>
    </row>
    <row r="6160" spans="2:34" x14ac:dyDescent="0.2">
      <c r="B6160" s="2">
        <f ca="1"/>
        <v>0.19255002541276989</v>
      </c>
      <c r="O6160" s="2">
        <f ca="1"/>
        <v>0.25926027382692085</v>
      </c>
      <c r="X6160" s="2">
        <f ca="1"/>
        <v>40.563974573728899</v>
      </c>
      <c r="AG6160" s="2">
        <f ca="1"/>
        <v>2.3972250957911667E-2</v>
      </c>
      <c r="AH6160" s="2" t="str">
        <f ca="1"/>
        <v>Good</v>
      </c>
    </row>
    <row r="6161" spans="2:34" x14ac:dyDescent="0.2">
      <c r="B6161" s="2">
        <f ca="1"/>
        <v>2.2584178985362247E-2</v>
      </c>
      <c r="O6161" s="2">
        <f ca="1"/>
        <v>-1.2505640275467589</v>
      </c>
      <c r="X6161" s="2">
        <f ca="1"/>
        <v>27.435131954478894</v>
      </c>
      <c r="AG6161" s="2">
        <f ca="1"/>
        <v>0.48044971099723255</v>
      </c>
      <c r="AH6161" s="2" t="str">
        <f ca="1"/>
        <v>Bad</v>
      </c>
    </row>
    <row r="6162" spans="2:34" x14ac:dyDescent="0.2">
      <c r="B6162" s="2">
        <f ca="1"/>
        <v>0.52772150148894204</v>
      </c>
      <c r="O6162" s="2">
        <f ca="1"/>
        <v>-7.3229007196569107E-2</v>
      </c>
      <c r="X6162" s="2">
        <f ca="1"/>
        <v>30.435451476406648</v>
      </c>
      <c r="AG6162" s="2">
        <f ca="1"/>
        <v>6.2288627344115E-2</v>
      </c>
      <c r="AH6162" s="2" t="str">
        <f ca="1"/>
        <v>OK</v>
      </c>
    </row>
    <row r="6163" spans="2:34" x14ac:dyDescent="0.2">
      <c r="B6163" s="2">
        <f ca="1"/>
        <v>0.17671004015450698</v>
      </c>
      <c r="O6163" s="2">
        <f ca="1"/>
        <v>-0.93865084931398801</v>
      </c>
      <c r="X6163" s="2">
        <f ca="1"/>
        <v>65.159635481953899</v>
      </c>
      <c r="AG6163" s="2">
        <f ca="1"/>
        <v>0.40883558942620768</v>
      </c>
      <c r="AH6163" s="2" t="str">
        <f ca="1"/>
        <v>Bad</v>
      </c>
    </row>
    <row r="6164" spans="2:34" x14ac:dyDescent="0.2">
      <c r="B6164" s="2">
        <f ca="1"/>
        <v>2.230997774707566E-2</v>
      </c>
      <c r="O6164" s="2">
        <f ca="1"/>
        <v>-0.77157051933455645</v>
      </c>
      <c r="X6164" s="2">
        <f ca="1"/>
        <v>56.236454703602789</v>
      </c>
      <c r="AG6164" s="2">
        <f ca="1"/>
        <v>0.96872919264125534</v>
      </c>
      <c r="AH6164" s="2" t="str">
        <f ca="1"/>
        <v>Bad</v>
      </c>
    </row>
    <row r="6165" spans="2:34" x14ac:dyDescent="0.2">
      <c r="B6165" s="2">
        <f ca="1"/>
        <v>0.9884776130780677</v>
      </c>
      <c r="O6165" s="2">
        <f ca="1"/>
        <v>-0.9533158174904357</v>
      </c>
      <c r="X6165" s="2">
        <f ca="1"/>
        <v>78.973766765783836</v>
      </c>
      <c r="AG6165" s="2">
        <f ca="1"/>
        <v>0.63088539142584366</v>
      </c>
      <c r="AH6165" s="2" t="str">
        <f ca="1"/>
        <v>Bad</v>
      </c>
    </row>
    <row r="6166" spans="2:34" x14ac:dyDescent="0.2">
      <c r="B6166" s="2">
        <f ca="1"/>
        <v>0.27739093623579447</v>
      </c>
      <c r="O6166" s="2">
        <f ca="1"/>
        <v>1.3625748768769437</v>
      </c>
      <c r="X6166" s="2">
        <f ca="1"/>
        <v>67.47332699090768</v>
      </c>
      <c r="AG6166" s="2">
        <f ca="1"/>
        <v>0.92810037820920055</v>
      </c>
      <c r="AH6166" s="2" t="str">
        <f ca="1"/>
        <v>Bad</v>
      </c>
    </row>
    <row r="6167" spans="2:34" x14ac:dyDescent="0.2">
      <c r="B6167" s="2">
        <f ca="1"/>
        <v>0.5597073095725098</v>
      </c>
      <c r="O6167" s="2">
        <f ca="1"/>
        <v>0.13079124218423371</v>
      </c>
      <c r="X6167" s="2">
        <f ca="1"/>
        <v>61.503722641788087</v>
      </c>
      <c r="AG6167" s="2">
        <f ca="1"/>
        <v>0.25320070632093894</v>
      </c>
      <c r="AH6167" s="2" t="str">
        <f ca="1"/>
        <v>OK</v>
      </c>
    </row>
    <row r="6168" spans="2:34" x14ac:dyDescent="0.2">
      <c r="B6168" s="2">
        <f ca="1"/>
        <v>0.39450305399926955</v>
      </c>
      <c r="O6168" s="2">
        <f ca="1"/>
        <v>0.89607680082873176</v>
      </c>
      <c r="X6168" s="2">
        <f ca="1"/>
        <v>84.406630626981993</v>
      </c>
      <c r="AG6168" s="2">
        <f ca="1"/>
        <v>0.38043907151604106</v>
      </c>
      <c r="AH6168" s="2" t="str">
        <f ca="1"/>
        <v>OK</v>
      </c>
    </row>
    <row r="6169" spans="2:34" x14ac:dyDescent="0.2">
      <c r="B6169" s="2">
        <f ca="1"/>
        <v>0.2855942003037244</v>
      </c>
      <c r="O6169" s="2">
        <f ca="1"/>
        <v>-0.67193422436098349</v>
      </c>
      <c r="X6169" s="2">
        <f ca="1"/>
        <v>34.97096043579387</v>
      </c>
      <c r="AG6169" s="2">
        <f ca="1"/>
        <v>0.9560562058794424</v>
      </c>
      <c r="AH6169" s="2" t="str">
        <f ca="1"/>
        <v>Bad</v>
      </c>
    </row>
    <row r="6170" spans="2:34" x14ac:dyDescent="0.2">
      <c r="B6170" s="2">
        <f ca="1"/>
        <v>0.61291098886238915</v>
      </c>
      <c r="O6170" s="2">
        <f ca="1"/>
        <v>1.0841390064454526</v>
      </c>
      <c r="X6170" s="2">
        <f ca="1"/>
        <v>41.112966841936128</v>
      </c>
      <c r="AG6170" s="2">
        <f ca="1"/>
        <v>0.60384613181268554</v>
      </c>
      <c r="AH6170" s="2" t="str">
        <f ca="1"/>
        <v>Bad</v>
      </c>
    </row>
    <row r="6171" spans="2:34" x14ac:dyDescent="0.2">
      <c r="B6171" s="2">
        <f ca="1"/>
        <v>0.42160940350599496</v>
      </c>
      <c r="O6171" s="2">
        <f ca="1"/>
        <v>-2.2608287840458847</v>
      </c>
      <c r="X6171" s="2">
        <f ca="1"/>
        <v>33.217592778173803</v>
      </c>
      <c r="AG6171" s="2">
        <f ca="1"/>
        <v>0.90060376346755855</v>
      </c>
      <c r="AH6171" s="2" t="str">
        <f ca="1"/>
        <v>Bad</v>
      </c>
    </row>
    <row r="6172" spans="2:34" x14ac:dyDescent="0.2">
      <c r="B6172" s="2">
        <f ca="1"/>
        <v>0.99821276414377014</v>
      </c>
      <c r="O6172" s="2">
        <f ca="1"/>
        <v>-0.65720460924110236</v>
      </c>
      <c r="X6172" s="2">
        <f ca="1"/>
        <v>85.069997291925844</v>
      </c>
      <c r="AG6172" s="2">
        <f ca="1"/>
        <v>0.89783765532169246</v>
      </c>
      <c r="AH6172" s="2" t="str">
        <f ca="1"/>
        <v>Bad</v>
      </c>
    </row>
    <row r="6173" spans="2:34" x14ac:dyDescent="0.2">
      <c r="B6173" s="2">
        <f ca="1"/>
        <v>7.472611837499965E-2</v>
      </c>
      <c r="O6173" s="2">
        <f ca="1"/>
        <v>0.22484623555104219</v>
      </c>
      <c r="X6173" s="2">
        <f ca="1"/>
        <v>52.200284317927697</v>
      </c>
      <c r="AG6173" s="2">
        <f ca="1"/>
        <v>0.65449922731544441</v>
      </c>
      <c r="AH6173" s="2" t="str">
        <f ca="1"/>
        <v>Bad</v>
      </c>
    </row>
    <row r="6174" spans="2:34" x14ac:dyDescent="0.2">
      <c r="B6174" s="2">
        <f ca="1"/>
        <v>0.6977668986863772</v>
      </c>
      <c r="O6174" s="2">
        <f ca="1"/>
        <v>0.55649575079637104</v>
      </c>
      <c r="X6174" s="2">
        <f ca="1"/>
        <v>49.691290788573653</v>
      </c>
      <c r="AG6174" s="2">
        <f ca="1"/>
        <v>6.62901200329713E-2</v>
      </c>
      <c r="AH6174" s="2" t="str">
        <f ca="1"/>
        <v>OK</v>
      </c>
    </row>
    <row r="6175" spans="2:34" x14ac:dyDescent="0.2">
      <c r="B6175" s="2">
        <f ca="1"/>
        <v>0.37770521639158305</v>
      </c>
      <c r="O6175" s="2">
        <f ca="1"/>
        <v>-0.90063993763072525</v>
      </c>
      <c r="X6175" s="2">
        <f ca="1"/>
        <v>54.618458523127202</v>
      </c>
      <c r="AG6175" s="2">
        <f ca="1"/>
        <v>0.47591406850037954</v>
      </c>
      <c r="AH6175" s="2" t="str">
        <f ca="1"/>
        <v>Bad</v>
      </c>
    </row>
    <row r="6176" spans="2:34" x14ac:dyDescent="0.2">
      <c r="B6176" s="2">
        <f ca="1"/>
        <v>0.64650910923901006</v>
      </c>
      <c r="O6176" s="2">
        <f ca="1"/>
        <v>-0.49662856948936784</v>
      </c>
      <c r="X6176" s="2">
        <f ca="1"/>
        <v>63.551798785687438</v>
      </c>
      <c r="AG6176" s="2">
        <f ca="1"/>
        <v>0.92834019069538654</v>
      </c>
      <c r="AH6176" s="2" t="str">
        <f ca="1"/>
        <v>Bad</v>
      </c>
    </row>
    <row r="6177" spans="2:34" x14ac:dyDescent="0.2">
      <c r="B6177" s="2">
        <f ca="1"/>
        <v>8.9103249699863607E-2</v>
      </c>
      <c r="O6177" s="2">
        <f ca="1"/>
        <v>1.2167498370820586</v>
      </c>
      <c r="X6177" s="2">
        <f ca="1"/>
        <v>26.374152989996649</v>
      </c>
      <c r="AG6177" s="2">
        <f ca="1"/>
        <v>0.67984185336908598</v>
      </c>
      <c r="AH6177" s="2" t="str">
        <f ca="1"/>
        <v>Bad</v>
      </c>
    </row>
    <row r="6178" spans="2:34" x14ac:dyDescent="0.2">
      <c r="B6178" s="2">
        <f ca="1"/>
        <v>0.36923633751577078</v>
      </c>
      <c r="O6178" s="2">
        <f ca="1"/>
        <v>-1.4568542224605929</v>
      </c>
      <c r="X6178" s="2">
        <f ca="1"/>
        <v>80.269467132323228</v>
      </c>
      <c r="AG6178" s="2">
        <f ca="1"/>
        <v>0.6343995712559638</v>
      </c>
      <c r="AH6178" s="2" t="str">
        <f ca="1"/>
        <v>Bad</v>
      </c>
    </row>
    <row r="6179" spans="2:34" x14ac:dyDescent="0.2">
      <c r="B6179" s="2">
        <f ca="1"/>
        <v>0.38705506508165799</v>
      </c>
      <c r="O6179" s="2">
        <f ca="1"/>
        <v>-0.53851891322365764</v>
      </c>
      <c r="X6179" s="2">
        <f ca="1"/>
        <v>44.698617193464443</v>
      </c>
      <c r="AG6179" s="2">
        <f ca="1"/>
        <v>0.12546666023649333</v>
      </c>
      <c r="AH6179" s="2" t="str">
        <f ca="1"/>
        <v>OK</v>
      </c>
    </row>
    <row r="6180" spans="2:34" x14ac:dyDescent="0.2">
      <c r="B6180" s="2">
        <f ca="1"/>
        <v>0.1725435907961379</v>
      </c>
      <c r="O6180" s="2">
        <f ca="1"/>
        <v>-0.18672104932854686</v>
      </c>
      <c r="X6180" s="2">
        <f ca="1"/>
        <v>45.111067139757452</v>
      </c>
      <c r="AG6180" s="2">
        <f ca="1"/>
        <v>0.68004355690219387</v>
      </c>
      <c r="AH6180" s="2" t="str">
        <f ca="1"/>
        <v>Bad</v>
      </c>
    </row>
    <row r="6181" spans="2:34" x14ac:dyDescent="0.2">
      <c r="B6181" s="2">
        <f ca="1"/>
        <v>0.27063699224287352</v>
      </c>
      <c r="O6181" s="2">
        <f ca="1"/>
        <v>0.61495233259499438</v>
      </c>
      <c r="X6181" s="2">
        <f ca="1"/>
        <v>27.157700323636476</v>
      </c>
      <c r="AG6181" s="2">
        <f ca="1"/>
        <v>0.83930922967151789</v>
      </c>
      <c r="AH6181" s="2" t="str">
        <f ca="1"/>
        <v>Bad</v>
      </c>
    </row>
    <row r="6182" spans="2:34" x14ac:dyDescent="0.2">
      <c r="B6182" s="2">
        <f ca="1"/>
        <v>0.79369881947808119</v>
      </c>
      <c r="O6182" s="2">
        <f ca="1"/>
        <v>-1.8184545466398803</v>
      </c>
      <c r="X6182" s="2">
        <f ca="1"/>
        <v>31.121501799441404</v>
      </c>
      <c r="AG6182" s="2">
        <f ca="1"/>
        <v>0.69663144174298997</v>
      </c>
      <c r="AH6182" s="2" t="str">
        <f ca="1"/>
        <v>Bad</v>
      </c>
    </row>
    <row r="6183" spans="2:34" x14ac:dyDescent="0.2">
      <c r="B6183" s="2">
        <f ca="1"/>
        <v>0.40637952145068446</v>
      </c>
      <c r="O6183" s="2">
        <f ca="1"/>
        <v>0.37288354145688635</v>
      </c>
      <c r="X6183" s="2">
        <f ca="1"/>
        <v>34.527246191119772</v>
      </c>
      <c r="AG6183" s="2">
        <f ca="1"/>
        <v>0.13217255676193629</v>
      </c>
      <c r="AH6183" s="2" t="str">
        <f ca="1"/>
        <v>OK</v>
      </c>
    </row>
    <row r="6184" spans="2:34" x14ac:dyDescent="0.2">
      <c r="B6184" s="2">
        <f ca="1"/>
        <v>0.44438328866891652</v>
      </c>
      <c r="O6184" s="2">
        <f ca="1"/>
        <v>-0.90757134932113903</v>
      </c>
      <c r="X6184" s="2">
        <f ca="1"/>
        <v>46.837446713527612</v>
      </c>
      <c r="AG6184" s="2">
        <f ca="1"/>
        <v>0.16954197999489695</v>
      </c>
      <c r="AH6184" s="2" t="str">
        <f ca="1"/>
        <v>OK</v>
      </c>
    </row>
    <row r="6185" spans="2:34" x14ac:dyDescent="0.2">
      <c r="B6185" s="2">
        <f ca="1"/>
        <v>0.50420931270202418</v>
      </c>
      <c r="O6185" s="2">
        <f ca="1"/>
        <v>0.83749316065848833</v>
      </c>
      <c r="X6185" s="2">
        <f ca="1"/>
        <v>61.419305484081683</v>
      </c>
      <c r="AG6185" s="2">
        <f ca="1"/>
        <v>0.51433368251655964</v>
      </c>
      <c r="AH6185" s="2" t="str">
        <f ca="1"/>
        <v>Bad</v>
      </c>
    </row>
    <row r="6186" spans="2:34" x14ac:dyDescent="0.2">
      <c r="B6186" s="2">
        <f ca="1"/>
        <v>0.61798214023249365</v>
      </c>
      <c r="O6186" s="2">
        <f ca="1"/>
        <v>3.2915653350945845E-2</v>
      </c>
      <c r="X6186" s="2">
        <f ca="1"/>
        <v>52.020386310720134</v>
      </c>
      <c r="AG6186" s="2">
        <f ca="1"/>
        <v>0.50692685265097914</v>
      </c>
      <c r="AH6186" s="2" t="str">
        <f ca="1"/>
        <v>Bad</v>
      </c>
    </row>
    <row r="6187" spans="2:34" x14ac:dyDescent="0.2">
      <c r="B6187" s="2">
        <f ca="1"/>
        <v>0.64756594506510501</v>
      </c>
      <c r="O6187" s="2">
        <f ca="1"/>
        <v>-0.18131867601424659</v>
      </c>
      <c r="X6187" s="2">
        <f ca="1"/>
        <v>73.736150659432923</v>
      </c>
      <c r="AG6187" s="2">
        <f ca="1"/>
        <v>0.97525542160654211</v>
      </c>
      <c r="AH6187" s="2" t="str">
        <f ca="1"/>
        <v>Bad</v>
      </c>
    </row>
    <row r="6188" spans="2:34" x14ac:dyDescent="0.2">
      <c r="B6188" s="2">
        <f ca="1"/>
        <v>0.13177995358517491</v>
      </c>
      <c r="O6188" s="2">
        <f ca="1"/>
        <v>-1.4040397867347953</v>
      </c>
      <c r="X6188" s="2">
        <f ca="1"/>
        <v>44.325501479646206</v>
      </c>
      <c r="AG6188" s="2">
        <f ca="1"/>
        <v>0.38398308063705255</v>
      </c>
      <c r="AH6188" s="2" t="str">
        <f ca="1"/>
        <v>OK</v>
      </c>
    </row>
    <row r="6189" spans="2:34" x14ac:dyDescent="0.2">
      <c r="B6189" s="2">
        <f ca="1"/>
        <v>0.7126060972236099</v>
      </c>
      <c r="O6189" s="2">
        <f ca="1"/>
        <v>0.60115135365272865</v>
      </c>
      <c r="X6189" s="2">
        <f ca="1"/>
        <v>59.385157149382756</v>
      </c>
      <c r="AG6189" s="2">
        <f ca="1"/>
        <v>0.48458841288729704</v>
      </c>
      <c r="AH6189" s="2" t="str">
        <f ca="1"/>
        <v>Bad</v>
      </c>
    </row>
    <row r="6190" spans="2:34" x14ac:dyDescent="0.2">
      <c r="B6190" s="2">
        <f ca="1"/>
        <v>0.75714372506494976</v>
      </c>
      <c r="O6190" s="2">
        <f ca="1"/>
        <v>-0.36595469216573617</v>
      </c>
      <c r="X6190" s="2">
        <f ca="1"/>
        <v>53.114418329954667</v>
      </c>
      <c r="AG6190" s="2">
        <f ca="1"/>
        <v>0.37518391115437311</v>
      </c>
      <c r="AH6190" s="2" t="str">
        <f ca="1"/>
        <v>OK</v>
      </c>
    </row>
    <row r="6191" spans="2:34" x14ac:dyDescent="0.2">
      <c r="B6191" s="2">
        <f ca="1"/>
        <v>0.71101455565955995</v>
      </c>
      <c r="O6191" s="2">
        <f ca="1"/>
        <v>-8.3621586465456241E-2</v>
      </c>
      <c r="X6191" s="2">
        <f ca="1"/>
        <v>41.628650302341413</v>
      </c>
      <c r="AG6191" s="2">
        <f ca="1"/>
        <v>0.96635781205260063</v>
      </c>
      <c r="AH6191" s="2" t="str">
        <f ca="1"/>
        <v>Bad</v>
      </c>
    </row>
    <row r="6192" spans="2:34" x14ac:dyDescent="0.2">
      <c r="B6192" s="2">
        <f ca="1"/>
        <v>0.12169242538436587</v>
      </c>
      <c r="O6192" s="2">
        <f ca="1"/>
        <v>1.5275992851532239</v>
      </c>
      <c r="X6192" s="2">
        <f ca="1"/>
        <v>20.384116028990409</v>
      </c>
      <c r="AG6192" s="2">
        <f ca="1"/>
        <v>0.7615607685293333</v>
      </c>
      <c r="AH6192" s="2" t="str">
        <f ca="1"/>
        <v>Bad</v>
      </c>
    </row>
    <row r="6193" spans="2:34" x14ac:dyDescent="0.2">
      <c r="B6193" s="2">
        <f ca="1"/>
        <v>7.5667061158256388E-2</v>
      </c>
      <c r="O6193" s="2">
        <f ca="1"/>
        <v>-0.27078263035502037</v>
      </c>
      <c r="X6193" s="2">
        <f ca="1"/>
        <v>51.14060768063937</v>
      </c>
      <c r="AG6193" s="2">
        <f ca="1"/>
        <v>0.4373595797937897</v>
      </c>
      <c r="AH6193" s="2" t="str">
        <f ca="1"/>
        <v>Bad</v>
      </c>
    </row>
    <row r="6194" spans="2:34" x14ac:dyDescent="0.2">
      <c r="B6194" s="2">
        <f ca="1"/>
        <v>0.31067419996626167</v>
      </c>
      <c r="O6194" s="2">
        <f ca="1"/>
        <v>-0.2530400942803484</v>
      </c>
      <c r="X6194" s="2">
        <f ca="1"/>
        <v>52.74353551381332</v>
      </c>
      <c r="AG6194" s="2">
        <f ca="1"/>
        <v>0.6662812489806953</v>
      </c>
      <c r="AH6194" s="2" t="str">
        <f ca="1"/>
        <v>Bad</v>
      </c>
    </row>
    <row r="6195" spans="2:34" x14ac:dyDescent="0.2">
      <c r="B6195" s="2">
        <f ca="1"/>
        <v>0.40620877803018351</v>
      </c>
      <c r="O6195" s="2">
        <f ca="1"/>
        <v>-0.69582019172842657</v>
      </c>
      <c r="X6195" s="2">
        <f ca="1"/>
        <v>36.736119752369788</v>
      </c>
      <c r="AG6195" s="2">
        <f ca="1"/>
        <v>0.31921141338981962</v>
      </c>
      <c r="AH6195" s="2" t="str">
        <f ca="1"/>
        <v>OK</v>
      </c>
    </row>
    <row r="6196" spans="2:34" x14ac:dyDescent="0.2">
      <c r="B6196" s="2">
        <f ca="1"/>
        <v>0.33853994848810554</v>
      </c>
      <c r="O6196" s="2">
        <f ca="1"/>
        <v>2.3546606242957719</v>
      </c>
      <c r="X6196" s="2">
        <f ca="1"/>
        <v>32.887396232540183</v>
      </c>
      <c r="AG6196" s="2">
        <f ca="1"/>
        <v>2.4667823814110257E-2</v>
      </c>
      <c r="AH6196" s="2" t="str">
        <f ca="1"/>
        <v>Good</v>
      </c>
    </row>
    <row r="6197" spans="2:34" x14ac:dyDescent="0.2">
      <c r="B6197" s="2">
        <f ca="1"/>
        <v>0.75255436560797917</v>
      </c>
      <c r="O6197" s="2">
        <f ca="1"/>
        <v>0.92749103709056135</v>
      </c>
      <c r="X6197" s="2">
        <f ca="1"/>
        <v>48.785399783545564</v>
      </c>
      <c r="AG6197" s="2">
        <f ca="1"/>
        <v>0.32609596622143777</v>
      </c>
      <c r="AH6197" s="2" t="str">
        <f ca="1"/>
        <v>OK</v>
      </c>
    </row>
    <row r="6198" spans="2:34" x14ac:dyDescent="0.2">
      <c r="B6198" s="2">
        <f ca="1"/>
        <v>0.91808486264071298</v>
      </c>
      <c r="O6198" s="2">
        <f ca="1"/>
        <v>-7.952032153962868E-2</v>
      </c>
      <c r="X6198" s="2">
        <f ca="1"/>
        <v>57.370535103882325</v>
      </c>
      <c r="AG6198" s="2">
        <f ca="1"/>
        <v>0.708432567510904</v>
      </c>
      <c r="AH6198" s="2" t="str">
        <f ca="1"/>
        <v>Bad</v>
      </c>
    </row>
    <row r="6199" spans="2:34" x14ac:dyDescent="0.2">
      <c r="B6199" s="2">
        <f ca="1"/>
        <v>0.52908600202076927</v>
      </c>
      <c r="O6199" s="2">
        <f ca="1"/>
        <v>-0.47331774141569749</v>
      </c>
      <c r="X6199" s="2">
        <f ca="1"/>
        <v>33.202931056952551</v>
      </c>
      <c r="AG6199" s="2">
        <f ca="1"/>
        <v>0.31675280338182832</v>
      </c>
      <c r="AH6199" s="2" t="str">
        <f ca="1"/>
        <v>OK</v>
      </c>
    </row>
    <row r="6200" spans="2:34" x14ac:dyDescent="0.2">
      <c r="B6200" s="2">
        <f ca="1"/>
        <v>0.29864970446005112</v>
      </c>
      <c r="O6200" s="2">
        <f ca="1"/>
        <v>-0.88852712527476452</v>
      </c>
      <c r="X6200" s="2">
        <f ca="1"/>
        <v>33.525422375922147</v>
      </c>
      <c r="AG6200" s="2">
        <f ca="1"/>
        <v>0.98911462237417869</v>
      </c>
      <c r="AH6200" s="2" t="str">
        <f ca="1"/>
        <v>Bad</v>
      </c>
    </row>
    <row r="6201" spans="2:34" x14ac:dyDescent="0.2">
      <c r="B6201" s="2">
        <f ca="1"/>
        <v>0.67748713215134848</v>
      </c>
      <c r="O6201" s="2">
        <f ca="1"/>
        <v>-0.15696174463810225</v>
      </c>
      <c r="X6201" s="2">
        <f ca="1"/>
        <v>41.136065109288261</v>
      </c>
      <c r="AG6201" s="2">
        <f ca="1"/>
        <v>0.51725165889906322</v>
      </c>
      <c r="AH6201" s="2" t="str">
        <f ca="1"/>
        <v>Bad</v>
      </c>
    </row>
    <row r="6202" spans="2:34" x14ac:dyDescent="0.2">
      <c r="B6202" s="2">
        <f ca="1"/>
        <v>0.14460173453703606</v>
      </c>
      <c r="O6202" s="2">
        <f ca="1"/>
        <v>0.22308154538621283</v>
      </c>
      <c r="X6202" s="2">
        <f ca="1"/>
        <v>43.993866006881277</v>
      </c>
      <c r="AG6202" s="2">
        <f ca="1"/>
        <v>0.11215694699058698</v>
      </c>
      <c r="AH6202" s="2" t="str">
        <f ca="1"/>
        <v>OK</v>
      </c>
    </row>
    <row r="6203" spans="2:34" x14ac:dyDescent="0.2">
      <c r="B6203" s="2">
        <f ca="1"/>
        <v>0.49516642385795984</v>
      </c>
      <c r="O6203" s="2">
        <f ca="1"/>
        <v>-0.16487688600907388</v>
      </c>
      <c r="X6203" s="2">
        <f ca="1"/>
        <v>71.434130296848124</v>
      </c>
      <c r="AG6203" s="2">
        <f ca="1"/>
        <v>0.88506222585698424</v>
      </c>
      <c r="AH6203" s="2" t="str">
        <f ca="1"/>
        <v>Bad</v>
      </c>
    </row>
    <row r="6204" spans="2:34" x14ac:dyDescent="0.2">
      <c r="B6204" s="2">
        <f ca="1"/>
        <v>0.21776792050034532</v>
      </c>
      <c r="O6204" s="2">
        <f ca="1"/>
        <v>-9.4833783449364634E-2</v>
      </c>
      <c r="X6204" s="2">
        <f ca="1"/>
        <v>44.482724468786273</v>
      </c>
      <c r="AG6204" s="2">
        <f ca="1"/>
        <v>0.9228052452657074</v>
      </c>
      <c r="AH6204" s="2" t="str">
        <f ca="1"/>
        <v>Bad</v>
      </c>
    </row>
    <row r="6205" spans="2:34" x14ac:dyDescent="0.2">
      <c r="B6205" s="2">
        <f ca="1"/>
        <v>0.8924944555701062</v>
      </c>
      <c r="O6205" s="2">
        <f ca="1"/>
        <v>-1.3382405734954117</v>
      </c>
      <c r="X6205" s="2">
        <f ca="1"/>
        <v>47.330648595619429</v>
      </c>
      <c r="AG6205" s="2">
        <f ca="1"/>
        <v>0.1123586701078958</v>
      </c>
      <c r="AH6205" s="2" t="str">
        <f ca="1"/>
        <v>OK</v>
      </c>
    </row>
    <row r="6206" spans="2:34" x14ac:dyDescent="0.2">
      <c r="B6206" s="2">
        <f ca="1"/>
        <v>0.75741584011209184</v>
      </c>
      <c r="O6206" s="2">
        <f ca="1"/>
        <v>-0.82831882017529279</v>
      </c>
      <c r="X6206" s="2">
        <f ca="1"/>
        <v>37.367749833686091</v>
      </c>
      <c r="AG6206" s="2">
        <f ca="1"/>
        <v>0.5406096352864449</v>
      </c>
      <c r="AH6206" s="2" t="str">
        <f ca="1"/>
        <v>Bad</v>
      </c>
    </row>
    <row r="6207" spans="2:34" x14ac:dyDescent="0.2">
      <c r="B6207" s="2">
        <f ca="1"/>
        <v>0.16647070168320743</v>
      </c>
      <c r="O6207" s="2">
        <f ca="1"/>
        <v>-0.64359663822882396</v>
      </c>
      <c r="X6207" s="2">
        <f ca="1"/>
        <v>36.510270132461784</v>
      </c>
      <c r="AG6207" s="2">
        <f ca="1"/>
        <v>0.80258759881841746</v>
      </c>
      <c r="AH6207" s="2" t="str">
        <f ca="1"/>
        <v>Bad</v>
      </c>
    </row>
    <row r="6208" spans="2:34" x14ac:dyDescent="0.2">
      <c r="B6208" s="2">
        <f ca="1"/>
        <v>0.99221785143779684</v>
      </c>
      <c r="O6208" s="2">
        <f ca="1"/>
        <v>-0.89912794958641173</v>
      </c>
      <c r="X6208" s="2">
        <f ca="1"/>
        <v>44.034609299360426</v>
      </c>
      <c r="AG6208" s="2">
        <f ca="1"/>
        <v>0.95234286249564359</v>
      </c>
      <c r="AH6208" s="2" t="str">
        <f ca="1"/>
        <v>Bad</v>
      </c>
    </row>
    <row r="6209" spans="2:34" x14ac:dyDescent="0.2">
      <c r="B6209" s="2">
        <f ca="1"/>
        <v>0.61209243441469208</v>
      </c>
      <c r="O6209" s="2">
        <f ca="1"/>
        <v>0.57563126273541121</v>
      </c>
      <c r="X6209" s="2">
        <f ca="1"/>
        <v>69.566702315731519</v>
      </c>
      <c r="AG6209" s="2">
        <f ca="1"/>
        <v>0.94260846560457545</v>
      </c>
      <c r="AH6209" s="2" t="str">
        <f ca="1"/>
        <v>Bad</v>
      </c>
    </row>
    <row r="6210" spans="2:34" x14ac:dyDescent="0.2">
      <c r="B6210" s="2">
        <f ca="1"/>
        <v>0.53317686865850611</v>
      </c>
      <c r="O6210" s="2">
        <f ca="1"/>
        <v>-0.87604602788293828</v>
      </c>
      <c r="X6210" s="2">
        <f ca="1"/>
        <v>70.237954846162879</v>
      </c>
      <c r="AG6210" s="2">
        <f ca="1"/>
        <v>0.13811654131824591</v>
      </c>
      <c r="AH6210" s="2" t="str">
        <f ca="1"/>
        <v>OK</v>
      </c>
    </row>
    <row r="6211" spans="2:34" x14ac:dyDescent="0.2">
      <c r="B6211" s="2">
        <f ca="1"/>
        <v>0.9183046314160459</v>
      </c>
      <c r="O6211" s="2">
        <f ca="1"/>
        <v>-0.70838167114831718</v>
      </c>
      <c r="X6211" s="2">
        <f ca="1"/>
        <v>28.851344228565662</v>
      </c>
      <c r="AG6211" s="2">
        <f ca="1"/>
        <v>0.18931973828789972</v>
      </c>
      <c r="AH6211" s="2" t="str">
        <f ca="1"/>
        <v>OK</v>
      </c>
    </row>
    <row r="6212" spans="2:34" x14ac:dyDescent="0.2">
      <c r="B6212" s="2">
        <f ca="1"/>
        <v>0.51944973502429037</v>
      </c>
      <c r="O6212" s="2">
        <f ca="1"/>
        <v>-0.25084750599349298</v>
      </c>
      <c r="X6212" s="2">
        <f ca="1"/>
        <v>53.395518397170463</v>
      </c>
      <c r="AG6212" s="2">
        <f ca="1"/>
        <v>0.64652075266250431</v>
      </c>
      <c r="AH6212" s="2" t="str">
        <f ca="1"/>
        <v>Bad</v>
      </c>
    </row>
    <row r="6213" spans="2:34" x14ac:dyDescent="0.2">
      <c r="B6213" s="2">
        <f ca="1"/>
        <v>0.15535802473630134</v>
      </c>
      <c r="O6213" s="2">
        <f ca="1"/>
        <v>0.37887033914782309</v>
      </c>
      <c r="X6213" s="2">
        <f ca="1"/>
        <v>44.253608865248488</v>
      </c>
      <c r="AG6213" s="2">
        <f ca="1"/>
        <v>0.31252913669998006</v>
      </c>
      <c r="AH6213" s="2" t="str">
        <f ca="1"/>
        <v>OK</v>
      </c>
    </row>
    <row r="6214" spans="2:34" x14ac:dyDescent="0.2">
      <c r="B6214" s="2">
        <f ca="1"/>
        <v>0.18428682723724621</v>
      </c>
      <c r="O6214" s="2">
        <f ca="1"/>
        <v>-1.468677564574584</v>
      </c>
      <c r="X6214" s="2">
        <f ca="1"/>
        <v>42.537497793927621</v>
      </c>
      <c r="AG6214" s="2">
        <f ca="1"/>
        <v>0.53028154970871211</v>
      </c>
      <c r="AH6214" s="2" t="str">
        <f ca="1"/>
        <v>Bad</v>
      </c>
    </row>
    <row r="6215" spans="2:34" x14ac:dyDescent="0.2">
      <c r="B6215" s="2">
        <f ca="1"/>
        <v>0.56775809921477194</v>
      </c>
      <c r="O6215" s="2">
        <f ca="1"/>
        <v>-1.9925453046877779</v>
      </c>
      <c r="X6215" s="2">
        <f ca="1"/>
        <v>51.766173070432743</v>
      </c>
      <c r="AG6215" s="2">
        <f ca="1"/>
        <v>0.38832286508716196</v>
      </c>
      <c r="AH6215" s="2" t="str">
        <f ca="1"/>
        <v>OK</v>
      </c>
    </row>
    <row r="6216" spans="2:34" x14ac:dyDescent="0.2">
      <c r="B6216" s="2">
        <f ca="1"/>
        <v>0.8785720822379568</v>
      </c>
      <c r="O6216" s="2">
        <f ca="1"/>
        <v>0.81134455912086478</v>
      </c>
      <c r="X6216" s="2">
        <f ca="1"/>
        <v>30.703901401237403</v>
      </c>
      <c r="AG6216" s="2">
        <f ca="1"/>
        <v>0.4833823957731993</v>
      </c>
      <c r="AH6216" s="2" t="str">
        <f ca="1"/>
        <v>Bad</v>
      </c>
    </row>
    <row r="6217" spans="2:34" x14ac:dyDescent="0.2">
      <c r="B6217" s="2">
        <f ca="1"/>
        <v>0.74964482791264375</v>
      </c>
      <c r="O6217" s="2">
        <f ca="1"/>
        <v>1.1653322640025869</v>
      </c>
      <c r="X6217" s="2">
        <f ca="1"/>
        <v>30.686611790783857</v>
      </c>
      <c r="AG6217" s="2">
        <f ca="1"/>
        <v>0.98993907423056848</v>
      </c>
      <c r="AH6217" s="2" t="str">
        <f ca="1"/>
        <v>Bad</v>
      </c>
    </row>
    <row r="6218" spans="2:34" x14ac:dyDescent="0.2">
      <c r="B6218" s="2">
        <f ca="1"/>
        <v>0.47936553992425934</v>
      </c>
      <c r="O6218" s="2">
        <f ca="1"/>
        <v>1.3734836778525241</v>
      </c>
      <c r="X6218" s="2">
        <f ca="1"/>
        <v>34.969537817507465</v>
      </c>
      <c r="AG6218" s="2">
        <f ca="1"/>
        <v>2.9121031531731401E-3</v>
      </c>
      <c r="AH6218" s="2" t="str">
        <f ca="1"/>
        <v>Good</v>
      </c>
    </row>
    <row r="6219" spans="2:34" x14ac:dyDescent="0.2">
      <c r="B6219" s="2">
        <f ca="1"/>
        <v>0.42400241505519576</v>
      </c>
      <c r="O6219" s="2">
        <f ca="1"/>
        <v>1.0600511045244043</v>
      </c>
      <c r="X6219" s="2">
        <f ca="1"/>
        <v>32.965294661715738</v>
      </c>
      <c r="AG6219" s="2">
        <f ca="1"/>
        <v>0.7619795563870404</v>
      </c>
      <c r="AH6219" s="2" t="str">
        <f ca="1"/>
        <v>Bad</v>
      </c>
    </row>
    <row r="6220" spans="2:34" x14ac:dyDescent="0.2">
      <c r="B6220" s="2">
        <f ca="1"/>
        <v>0.15745215550141656</v>
      </c>
      <c r="O6220" s="2">
        <f ca="1"/>
        <v>-0.5167740934475531</v>
      </c>
      <c r="X6220" s="2">
        <f ca="1"/>
        <v>38.985379462871819</v>
      </c>
      <c r="AG6220" s="2">
        <f ca="1"/>
        <v>0.10501238851302075</v>
      </c>
      <c r="AH6220" s="2" t="str">
        <f ca="1"/>
        <v>OK</v>
      </c>
    </row>
    <row r="6221" spans="2:34" x14ac:dyDescent="0.2">
      <c r="B6221" s="2">
        <f ca="1"/>
        <v>0.90497994146508853</v>
      </c>
      <c r="O6221" s="2">
        <f ca="1"/>
        <v>-0.29635358192292355</v>
      </c>
      <c r="X6221" s="2">
        <f ca="1"/>
        <v>86.452190916951707</v>
      </c>
      <c r="AG6221" s="2">
        <f ca="1"/>
        <v>0.90860189421256621</v>
      </c>
      <c r="AH6221" s="2" t="str">
        <f ca="1"/>
        <v>Bad</v>
      </c>
    </row>
    <row r="6222" spans="2:34" x14ac:dyDescent="0.2">
      <c r="B6222" s="2">
        <f ca="1"/>
        <v>0.51145646543776491</v>
      </c>
      <c r="O6222" s="2">
        <f ca="1"/>
        <v>0.2169264169924352</v>
      </c>
      <c r="X6222" s="2">
        <f ca="1"/>
        <v>38.649799967956724</v>
      </c>
      <c r="AG6222" s="2">
        <f ca="1"/>
        <v>0.63048861708930981</v>
      </c>
      <c r="AH6222" s="2" t="str">
        <f ca="1"/>
        <v>Bad</v>
      </c>
    </row>
    <row r="6223" spans="2:34" x14ac:dyDescent="0.2">
      <c r="B6223" s="2">
        <f ca="1"/>
        <v>0.19920673257436539</v>
      </c>
      <c r="O6223" s="2">
        <f ca="1"/>
        <v>-0.17228743576731981</v>
      </c>
      <c r="X6223" s="2">
        <f ca="1"/>
        <v>38.242389644058413</v>
      </c>
      <c r="AG6223" s="2">
        <f ca="1"/>
        <v>0.47155533741961286</v>
      </c>
      <c r="AH6223" s="2" t="str">
        <f ca="1"/>
        <v>Bad</v>
      </c>
    </row>
    <row r="6224" spans="2:34" x14ac:dyDescent="0.2">
      <c r="B6224" s="2">
        <f ca="1"/>
        <v>0.22503277963653945</v>
      </c>
      <c r="O6224" s="2">
        <f ca="1"/>
        <v>0.72243860587526376</v>
      </c>
      <c r="X6224" s="2">
        <f ca="1"/>
        <v>47.133050852065068</v>
      </c>
      <c r="AG6224" s="2">
        <f ca="1"/>
        <v>6.0434661205612583E-2</v>
      </c>
      <c r="AH6224" s="2" t="str">
        <f ca="1"/>
        <v>OK</v>
      </c>
    </row>
    <row r="6225" spans="2:34" x14ac:dyDescent="0.2">
      <c r="B6225" s="2">
        <f ca="1"/>
        <v>0.59708846676908056</v>
      </c>
      <c r="O6225" s="2">
        <f ca="1"/>
        <v>0.28642725075429759</v>
      </c>
      <c r="X6225" s="2">
        <f ca="1"/>
        <v>51.103783050574407</v>
      </c>
      <c r="AG6225" s="2">
        <f ca="1"/>
        <v>0.43682394447582618</v>
      </c>
      <c r="AH6225" s="2" t="str">
        <f ca="1"/>
        <v>Bad</v>
      </c>
    </row>
    <row r="6226" spans="2:34" x14ac:dyDescent="0.2">
      <c r="B6226" s="2">
        <f ca="1"/>
        <v>0.92647764343739558</v>
      </c>
      <c r="O6226" s="2">
        <f ca="1"/>
        <v>0.68861634386074799</v>
      </c>
      <c r="X6226" s="2">
        <f ca="1"/>
        <v>37.420906785151892</v>
      </c>
      <c r="AG6226" s="2">
        <f ca="1"/>
        <v>0.99301637574411505</v>
      </c>
      <c r="AH6226" s="2" t="str">
        <f ca="1"/>
        <v>Bad</v>
      </c>
    </row>
    <row r="6227" spans="2:34" x14ac:dyDescent="0.2">
      <c r="B6227" s="2">
        <f ca="1"/>
        <v>0.91596497935738519</v>
      </c>
      <c r="O6227" s="2">
        <f ca="1"/>
        <v>-0.88102923034755554</v>
      </c>
      <c r="X6227" s="2">
        <f ca="1"/>
        <v>34.957647860511599</v>
      </c>
      <c r="AG6227" s="2">
        <f ca="1"/>
        <v>0.61035398759088344</v>
      </c>
      <c r="AH6227" s="2" t="str">
        <f ca="1"/>
        <v>Bad</v>
      </c>
    </row>
    <row r="6228" spans="2:34" x14ac:dyDescent="0.2">
      <c r="B6228" s="2">
        <f ca="1"/>
        <v>0.10559702886398981</v>
      </c>
      <c r="O6228" s="2">
        <f ca="1"/>
        <v>-0.16464679234906712</v>
      </c>
      <c r="X6228" s="2">
        <f ca="1"/>
        <v>59.241013705379082</v>
      </c>
      <c r="AG6228" s="2">
        <f ca="1"/>
        <v>0.77398401938323058</v>
      </c>
      <c r="AH6228" s="2" t="str">
        <f ca="1"/>
        <v>Bad</v>
      </c>
    </row>
    <row r="6229" spans="2:34" x14ac:dyDescent="0.2">
      <c r="B6229" s="2">
        <f ca="1"/>
        <v>0.24149947541660399</v>
      </c>
      <c r="O6229" s="2">
        <f ca="1"/>
        <v>-0.46570007322924928</v>
      </c>
      <c r="X6229" s="2">
        <f ca="1"/>
        <v>26.717158577469668</v>
      </c>
      <c r="AG6229" s="2">
        <f ca="1"/>
        <v>0.51277792627648888</v>
      </c>
      <c r="AH6229" s="2" t="str">
        <f ca="1"/>
        <v>Bad</v>
      </c>
    </row>
    <row r="6230" spans="2:34" x14ac:dyDescent="0.2">
      <c r="B6230" s="2">
        <f ca="1"/>
        <v>0.16285578255149136</v>
      </c>
      <c r="O6230" s="2">
        <f ca="1"/>
        <v>-0.46274603580921175</v>
      </c>
      <c r="X6230" s="2">
        <f ca="1"/>
        <v>59.400584278823075</v>
      </c>
      <c r="AG6230" s="2">
        <f ca="1"/>
        <v>0.39716392111491894</v>
      </c>
      <c r="AH6230" s="2" t="str">
        <f ca="1"/>
        <v>OK</v>
      </c>
    </row>
    <row r="6231" spans="2:34" x14ac:dyDescent="0.2">
      <c r="B6231" s="2">
        <f ca="1"/>
        <v>2.7755404061529765E-2</v>
      </c>
      <c r="O6231" s="2">
        <f ca="1"/>
        <v>-0.11226205942607623</v>
      </c>
      <c r="X6231" s="2">
        <f ca="1"/>
        <v>62.343241001000195</v>
      </c>
      <c r="AG6231" s="2">
        <f ca="1"/>
        <v>0.46895118732354613</v>
      </c>
      <c r="AH6231" s="2" t="str">
        <f ca="1"/>
        <v>Bad</v>
      </c>
    </row>
    <row r="6232" spans="2:34" x14ac:dyDescent="0.2">
      <c r="B6232" s="2">
        <f ca="1"/>
        <v>0.83051095348265247</v>
      </c>
      <c r="O6232" s="2">
        <f ca="1"/>
        <v>1.5105779370388719</v>
      </c>
      <c r="X6232" s="2">
        <f ca="1"/>
        <v>73.291226901635355</v>
      </c>
      <c r="AG6232" s="2">
        <f ca="1"/>
        <v>0.88617370869298195</v>
      </c>
      <c r="AH6232" s="2" t="str">
        <f ca="1"/>
        <v>Bad</v>
      </c>
    </row>
    <row r="6233" spans="2:34" x14ac:dyDescent="0.2">
      <c r="B6233" s="2">
        <f ca="1"/>
        <v>0.57911827005601957</v>
      </c>
      <c r="O6233" s="2">
        <f ca="1"/>
        <v>-2.1230566468182266</v>
      </c>
      <c r="X6233" s="2">
        <f ca="1"/>
        <v>41.069789788963774</v>
      </c>
      <c r="AG6233" s="2">
        <f ca="1"/>
        <v>0.7430897331018349</v>
      </c>
      <c r="AH6233" s="2" t="str">
        <f ca="1"/>
        <v>Bad</v>
      </c>
    </row>
    <row r="6234" spans="2:34" x14ac:dyDescent="0.2">
      <c r="B6234" s="2">
        <f ca="1"/>
        <v>0.36902845330120448</v>
      </c>
      <c r="O6234" s="2">
        <f ca="1"/>
        <v>-0.57076104364089209</v>
      </c>
      <c r="X6234" s="2">
        <f ca="1"/>
        <v>31.367027276726411</v>
      </c>
      <c r="AG6234" s="2">
        <f ca="1"/>
        <v>0.93541330378640408</v>
      </c>
      <c r="AH6234" s="2" t="str">
        <f ca="1"/>
        <v>Bad</v>
      </c>
    </row>
    <row r="6235" spans="2:34" x14ac:dyDescent="0.2">
      <c r="B6235" s="2">
        <f ca="1"/>
        <v>0.99303334253881159</v>
      </c>
      <c r="O6235" s="2">
        <f ca="1"/>
        <v>1.6164163609177187</v>
      </c>
      <c r="X6235" s="2">
        <f ca="1"/>
        <v>54.988335419034073</v>
      </c>
      <c r="AG6235" s="2">
        <f ca="1"/>
        <v>0.41784482974475656</v>
      </c>
      <c r="AH6235" s="2" t="str">
        <f ca="1"/>
        <v>Bad</v>
      </c>
    </row>
    <row r="6236" spans="2:34" x14ac:dyDescent="0.2">
      <c r="B6236" s="2">
        <f ca="1"/>
        <v>0.16726050409342808</v>
      </c>
      <c r="O6236" s="2">
        <f ca="1"/>
        <v>-0.66389803279130177</v>
      </c>
      <c r="X6236" s="2">
        <f ca="1"/>
        <v>77.424137077446701</v>
      </c>
      <c r="AG6236" s="2">
        <f ca="1"/>
        <v>0.17989381105822133</v>
      </c>
      <c r="AH6236" s="2" t="str">
        <f ca="1"/>
        <v>OK</v>
      </c>
    </row>
    <row r="6237" spans="2:34" x14ac:dyDescent="0.2">
      <c r="B6237" s="2">
        <f ca="1"/>
        <v>5.7556000428748311E-2</v>
      </c>
      <c r="O6237" s="2">
        <f ca="1"/>
        <v>0.30034293594925693</v>
      </c>
      <c r="X6237" s="2">
        <f ca="1"/>
        <v>20.607724388529476</v>
      </c>
      <c r="AG6237" s="2">
        <f ca="1"/>
        <v>0.46409270079528531</v>
      </c>
      <c r="AH6237" s="2" t="str">
        <f ca="1"/>
        <v>Bad</v>
      </c>
    </row>
    <row r="6238" spans="2:34" x14ac:dyDescent="0.2">
      <c r="B6238" s="2">
        <f ca="1"/>
        <v>0.52686937216350005</v>
      </c>
      <c r="O6238" s="2">
        <f ca="1"/>
        <v>-1.0953171920744855</v>
      </c>
      <c r="X6238" s="2">
        <f ca="1"/>
        <v>38.435181530436537</v>
      </c>
      <c r="AG6238" s="2">
        <f ca="1"/>
        <v>0.77026331971883133</v>
      </c>
      <c r="AH6238" s="2" t="str">
        <f ca="1"/>
        <v>Bad</v>
      </c>
    </row>
    <row r="6239" spans="2:34" x14ac:dyDescent="0.2">
      <c r="B6239" s="2">
        <f ca="1"/>
        <v>0.82494966224304633</v>
      </c>
      <c r="O6239" s="2">
        <f ca="1"/>
        <v>-1.2464938963518843</v>
      </c>
      <c r="X6239" s="2">
        <f ca="1"/>
        <v>54.186047859958066</v>
      </c>
      <c r="AG6239" s="2">
        <f ca="1"/>
        <v>0.87027449720867511</v>
      </c>
      <c r="AH6239" s="2" t="str">
        <f ca="1"/>
        <v>Bad</v>
      </c>
    </row>
    <row r="6240" spans="2:34" x14ac:dyDescent="0.2">
      <c r="B6240" s="2">
        <f ca="1"/>
        <v>0.37850497676327666</v>
      </c>
      <c r="O6240" s="2">
        <f ca="1"/>
        <v>0.80454539022499483</v>
      </c>
      <c r="X6240" s="2">
        <f ca="1"/>
        <v>33.58300843302883</v>
      </c>
      <c r="AG6240" s="2">
        <f ca="1"/>
        <v>0.88366797253348728</v>
      </c>
      <c r="AH6240" s="2" t="str">
        <f ca="1"/>
        <v>Bad</v>
      </c>
    </row>
    <row r="6241" spans="2:34" x14ac:dyDescent="0.2">
      <c r="B6241" s="2">
        <f ca="1"/>
        <v>0.61773265529203369</v>
      </c>
      <c r="O6241" s="2">
        <f ca="1"/>
        <v>2.1435040978619067</v>
      </c>
      <c r="X6241" s="2">
        <f ca="1"/>
        <v>69.943461994617053</v>
      </c>
      <c r="AG6241" s="2">
        <f ca="1"/>
        <v>0.73139832131527815</v>
      </c>
      <c r="AH6241" s="2" t="str">
        <f ca="1"/>
        <v>Bad</v>
      </c>
    </row>
    <row r="6242" spans="2:34" x14ac:dyDescent="0.2">
      <c r="B6242" s="2">
        <f ca="1"/>
        <v>0.6940367912169807</v>
      </c>
      <c r="O6242" s="2">
        <f ca="1"/>
        <v>0.62094981916591263</v>
      </c>
      <c r="X6242" s="2">
        <f ca="1"/>
        <v>39.633848983617746</v>
      </c>
      <c r="AG6242" s="2">
        <f ca="1"/>
        <v>0.50748827054605439</v>
      </c>
      <c r="AH6242" s="2" t="str">
        <f ca="1"/>
        <v>Bad</v>
      </c>
    </row>
    <row r="6243" spans="2:34" x14ac:dyDescent="0.2">
      <c r="B6243" s="2">
        <f ca="1"/>
        <v>0.68008010683576692</v>
      </c>
      <c r="O6243" s="2">
        <f ca="1"/>
        <v>-1.2899459444603458</v>
      </c>
      <c r="X6243" s="2">
        <f ca="1"/>
        <v>43.558684737954522</v>
      </c>
      <c r="AG6243" s="2">
        <f ca="1"/>
        <v>0.7881469356511388</v>
      </c>
      <c r="AH6243" s="2" t="str">
        <f ca="1"/>
        <v>Bad</v>
      </c>
    </row>
    <row r="6244" spans="2:34" x14ac:dyDescent="0.2">
      <c r="B6244" s="2">
        <f ca="1"/>
        <v>6.6131094214217256E-2</v>
      </c>
      <c r="O6244" s="2">
        <f ca="1"/>
        <v>-0.58649951342190332</v>
      </c>
      <c r="X6244" s="2">
        <f ca="1"/>
        <v>35.539899615441726</v>
      </c>
      <c r="AG6244" s="2">
        <f ca="1"/>
        <v>0.93816751333628567</v>
      </c>
      <c r="AH6244" s="2" t="str">
        <f ca="1"/>
        <v>Bad</v>
      </c>
    </row>
    <row r="6245" spans="2:34" x14ac:dyDescent="0.2">
      <c r="B6245" s="2">
        <f ca="1"/>
        <v>0.85134718626744244</v>
      </c>
      <c r="O6245" s="2">
        <f ca="1"/>
        <v>-0.60076912946521888</v>
      </c>
      <c r="X6245" s="2">
        <f ca="1"/>
        <v>38.808138978491783</v>
      </c>
      <c r="AG6245" s="2">
        <f ca="1"/>
        <v>0.42836672858859282</v>
      </c>
      <c r="AH6245" s="2" t="str">
        <f ca="1"/>
        <v>Bad</v>
      </c>
    </row>
    <row r="6246" spans="2:34" x14ac:dyDescent="0.2">
      <c r="B6246" s="2">
        <f ca="1"/>
        <v>0.37824736185963914</v>
      </c>
      <c r="O6246" s="2">
        <f ca="1"/>
        <v>0.48130207293833444</v>
      </c>
      <c r="X6246" s="2">
        <f ca="1"/>
        <v>48.154338504379467</v>
      </c>
      <c r="AG6246" s="2">
        <f ca="1"/>
        <v>0.40737573299358387</v>
      </c>
      <c r="AH6246" s="2" t="str">
        <f ca="1"/>
        <v>Bad</v>
      </c>
    </row>
    <row r="6247" spans="2:34" x14ac:dyDescent="0.2">
      <c r="B6247" s="2">
        <f ca="1"/>
        <v>0.93432576776535492</v>
      </c>
      <c r="O6247" s="2">
        <f ca="1"/>
        <v>-1.6398720842040779E-2</v>
      </c>
      <c r="X6247" s="2">
        <f ca="1"/>
        <v>59.350850155958419</v>
      </c>
      <c r="AG6247" s="2">
        <f ca="1"/>
        <v>0.9793917884019816</v>
      </c>
      <c r="AH6247" s="2" t="str">
        <f ca="1"/>
        <v>Bad</v>
      </c>
    </row>
    <row r="6248" spans="2:34" x14ac:dyDescent="0.2">
      <c r="B6248" s="2">
        <f ca="1"/>
        <v>0.6137182976090727</v>
      </c>
      <c r="O6248" s="2">
        <f ca="1"/>
        <v>0.29178748931031251</v>
      </c>
      <c r="X6248" s="2">
        <f ca="1"/>
        <v>65.306407795027795</v>
      </c>
      <c r="AG6248" s="2">
        <f ca="1"/>
        <v>0.82697048690378572</v>
      </c>
      <c r="AH6248" s="2" t="str">
        <f ca="1"/>
        <v>Bad</v>
      </c>
    </row>
    <row r="6249" spans="2:34" x14ac:dyDescent="0.2">
      <c r="B6249" s="2">
        <f ca="1"/>
        <v>0.469173900358967</v>
      </c>
      <c r="O6249" s="2">
        <f ca="1"/>
        <v>0.71409894819758513</v>
      </c>
      <c r="X6249" s="2">
        <f ca="1"/>
        <v>64.163927267283853</v>
      </c>
      <c r="AG6249" s="2">
        <f ca="1"/>
        <v>0.53024759888493933</v>
      </c>
      <c r="AH6249" s="2" t="str">
        <f ca="1"/>
        <v>Bad</v>
      </c>
    </row>
    <row r="6250" spans="2:34" x14ac:dyDescent="0.2">
      <c r="B6250" s="2">
        <f ca="1"/>
        <v>0.29884719354323241</v>
      </c>
      <c r="O6250" s="2">
        <f ca="1"/>
        <v>-0.68367019046030231</v>
      </c>
      <c r="X6250" s="2">
        <f ca="1"/>
        <v>40.06887009552738</v>
      </c>
      <c r="AG6250" s="2">
        <f ca="1"/>
        <v>0.48916779802686827</v>
      </c>
      <c r="AH6250" s="2" t="str">
        <f ca="1"/>
        <v>Bad</v>
      </c>
    </row>
    <row r="6251" spans="2:34" x14ac:dyDescent="0.2">
      <c r="B6251" s="2">
        <f ca="1"/>
        <v>3.3730847002039654E-2</v>
      </c>
      <c r="O6251" s="2">
        <f ca="1"/>
        <v>-2.7486106920280348E-2</v>
      </c>
      <c r="X6251" s="2">
        <f ca="1"/>
        <v>40.594727957368008</v>
      </c>
      <c r="AG6251" s="2">
        <f ca="1"/>
        <v>0.87818013942265871</v>
      </c>
      <c r="AH6251" s="2" t="str">
        <f ca="1"/>
        <v>Bad</v>
      </c>
    </row>
    <row r="6252" spans="2:34" x14ac:dyDescent="0.2">
      <c r="B6252" s="2">
        <f ca="1"/>
        <v>0.24232408400688521</v>
      </c>
      <c r="O6252" s="2">
        <f ca="1"/>
        <v>-1.1412193442973655</v>
      </c>
      <c r="X6252" s="2">
        <f ca="1"/>
        <v>73.649551596617727</v>
      </c>
      <c r="AG6252" s="2">
        <f ca="1"/>
        <v>0.62739695057927536</v>
      </c>
      <c r="AH6252" s="2" t="str">
        <f ca="1"/>
        <v>Bad</v>
      </c>
    </row>
    <row r="6253" spans="2:34" x14ac:dyDescent="0.2">
      <c r="B6253" s="2">
        <f ca="1"/>
        <v>0.62060356982302389</v>
      </c>
      <c r="O6253" s="2">
        <f ca="1"/>
        <v>-0.44117575939443848</v>
      </c>
      <c r="X6253" s="2">
        <f ca="1"/>
        <v>46.421470453168567</v>
      </c>
      <c r="AG6253" s="2">
        <f ca="1"/>
        <v>2.9201963908024098E-2</v>
      </c>
      <c r="AH6253" s="2" t="str">
        <f ca="1"/>
        <v>Good</v>
      </c>
    </row>
    <row r="6254" spans="2:34" x14ac:dyDescent="0.2">
      <c r="B6254" s="2">
        <f ca="1"/>
        <v>0.45188885387651756</v>
      </c>
      <c r="O6254" s="2">
        <f ca="1"/>
        <v>0.52365799155863901</v>
      </c>
      <c r="X6254" s="2">
        <f ca="1"/>
        <v>41.029843387279392</v>
      </c>
      <c r="AG6254" s="2">
        <f ca="1"/>
        <v>0.51798893172179428</v>
      </c>
      <c r="AH6254" s="2" t="str">
        <f ca="1"/>
        <v>Bad</v>
      </c>
    </row>
    <row r="6255" spans="2:34" x14ac:dyDescent="0.2">
      <c r="B6255" s="2">
        <f ca="1"/>
        <v>0.16902790628087261</v>
      </c>
      <c r="O6255" s="2">
        <f ca="1"/>
        <v>-6.5053772033342769E-2</v>
      </c>
      <c r="X6255" s="2">
        <f ca="1"/>
        <v>49.422315979467164</v>
      </c>
      <c r="AG6255" s="2">
        <f ca="1"/>
        <v>0.9713351078520307</v>
      </c>
      <c r="AH6255" s="2" t="str">
        <f ca="1"/>
        <v>Bad</v>
      </c>
    </row>
    <row r="6256" spans="2:34" x14ac:dyDescent="0.2">
      <c r="B6256" s="2">
        <f ca="1"/>
        <v>0.40408844586137849</v>
      </c>
      <c r="O6256" s="2">
        <f ca="1"/>
        <v>2.3994476759970738</v>
      </c>
      <c r="X6256" s="2">
        <f ca="1"/>
        <v>40.398234430371573</v>
      </c>
      <c r="AG6256" s="2">
        <f ca="1"/>
        <v>0.85546430288095898</v>
      </c>
      <c r="AH6256" s="2" t="str">
        <f ca="1"/>
        <v>Bad</v>
      </c>
    </row>
    <row r="6257" spans="2:34" x14ac:dyDescent="0.2">
      <c r="B6257" s="2">
        <f ca="1"/>
        <v>0.30848274428211808</v>
      </c>
      <c r="O6257" s="2">
        <f ca="1"/>
        <v>-2.2839450065895721</v>
      </c>
      <c r="X6257" s="2">
        <f ca="1"/>
        <v>41.366233222473063</v>
      </c>
      <c r="AG6257" s="2">
        <f ca="1"/>
        <v>0.63720107878057419</v>
      </c>
      <c r="AH6257" s="2" t="str">
        <f ca="1"/>
        <v>Bad</v>
      </c>
    </row>
    <row r="6258" spans="2:34" x14ac:dyDescent="0.2">
      <c r="B6258" s="2">
        <f ca="1"/>
        <v>0.74185438548665306</v>
      </c>
      <c r="O6258" s="2">
        <f ca="1"/>
        <v>5.5346510553582418E-2</v>
      </c>
      <c r="X6258" s="2">
        <f ca="1"/>
        <v>47.962878531306671</v>
      </c>
      <c r="AG6258" s="2">
        <f ca="1"/>
        <v>0.95031969014527928</v>
      </c>
      <c r="AH6258" s="2" t="str">
        <f ca="1"/>
        <v>Bad</v>
      </c>
    </row>
    <row r="6259" spans="2:34" x14ac:dyDescent="0.2">
      <c r="B6259" s="2">
        <f ca="1"/>
        <v>0.22808579038544585</v>
      </c>
      <c r="O6259" s="2">
        <f ca="1"/>
        <v>8.0003364409939062E-2</v>
      </c>
      <c r="X6259" s="2">
        <f ca="1"/>
        <v>68.312862161409399</v>
      </c>
      <c r="AG6259" s="2">
        <f ca="1"/>
        <v>0.89917478745540014</v>
      </c>
      <c r="AH6259" s="2" t="str">
        <f ca="1"/>
        <v>Bad</v>
      </c>
    </row>
    <row r="6260" spans="2:34" x14ac:dyDescent="0.2">
      <c r="B6260" s="2">
        <f ca="1"/>
        <v>0.88237451750169127</v>
      </c>
      <c r="O6260" s="2">
        <f ca="1"/>
        <v>1.4210431779038242</v>
      </c>
      <c r="X6260" s="2">
        <f ca="1"/>
        <v>40.359260662977611</v>
      </c>
      <c r="AG6260" s="2">
        <f ca="1"/>
        <v>2.1217608924500864E-2</v>
      </c>
      <c r="AH6260" s="2" t="str">
        <f ca="1"/>
        <v>Good</v>
      </c>
    </row>
    <row r="6261" spans="2:34" x14ac:dyDescent="0.2">
      <c r="B6261" s="2">
        <f ca="1"/>
        <v>0.11478049225781795</v>
      </c>
      <c r="O6261" s="2">
        <f ca="1"/>
        <v>-0.69044198337452467</v>
      </c>
      <c r="X6261" s="2">
        <f ca="1"/>
        <v>50.230101176169413</v>
      </c>
      <c r="AG6261" s="2">
        <f ca="1"/>
        <v>0.36407324341836911</v>
      </c>
      <c r="AH6261" s="2" t="str">
        <f ca="1"/>
        <v>OK</v>
      </c>
    </row>
    <row r="6262" spans="2:34" x14ac:dyDescent="0.2">
      <c r="B6262" s="2">
        <f ca="1"/>
        <v>9.2389818663499268E-2</v>
      </c>
      <c r="O6262" s="2">
        <f ca="1"/>
        <v>0.51105082514142586</v>
      </c>
      <c r="X6262" s="2">
        <f ca="1"/>
        <v>41.018043698497657</v>
      </c>
      <c r="AG6262" s="2">
        <f ca="1"/>
        <v>0.66867226505053878</v>
      </c>
      <c r="AH6262" s="2" t="str">
        <f ca="1"/>
        <v>Bad</v>
      </c>
    </row>
    <row r="6263" spans="2:34" x14ac:dyDescent="0.2">
      <c r="B6263" s="2">
        <f ca="1"/>
        <v>3.0870364288376528E-2</v>
      </c>
      <c r="O6263" s="2">
        <f ca="1"/>
        <v>-0.95572412198472356</v>
      </c>
      <c r="X6263" s="2">
        <f ca="1"/>
        <v>46.151179563552553</v>
      </c>
      <c r="AG6263" s="2">
        <f ca="1"/>
        <v>0.79874078647661384</v>
      </c>
      <c r="AH6263" s="2" t="str">
        <f ca="1"/>
        <v>Bad</v>
      </c>
    </row>
    <row r="6264" spans="2:34" x14ac:dyDescent="0.2">
      <c r="B6264" s="2">
        <f ca="1"/>
        <v>0.94742584142692055</v>
      </c>
      <c r="O6264" s="2">
        <f ca="1"/>
        <v>-0.47279947499705693</v>
      </c>
      <c r="X6264" s="2">
        <f ca="1"/>
        <v>35.904030003544392</v>
      </c>
      <c r="AG6264" s="2">
        <f ca="1"/>
        <v>0.46002351384491202</v>
      </c>
      <c r="AH6264" s="2" t="str">
        <f ca="1"/>
        <v>Bad</v>
      </c>
    </row>
    <row r="6265" spans="2:34" x14ac:dyDescent="0.2">
      <c r="B6265" s="2">
        <f ca="1"/>
        <v>0.51541158765537287</v>
      </c>
      <c r="O6265" s="2">
        <f ca="1"/>
        <v>0.62158796762210244</v>
      </c>
      <c r="X6265" s="2">
        <f ca="1"/>
        <v>35.806803617197104</v>
      </c>
      <c r="AG6265" s="2">
        <f ca="1"/>
        <v>0.1197386409882466</v>
      </c>
      <c r="AH6265" s="2" t="str">
        <f ca="1"/>
        <v>OK</v>
      </c>
    </row>
    <row r="6266" spans="2:34" x14ac:dyDescent="0.2">
      <c r="B6266" s="2">
        <f ca="1"/>
        <v>0.53670448828395223</v>
      </c>
      <c r="O6266" s="2">
        <f ca="1"/>
        <v>0.94025576463828409</v>
      </c>
      <c r="X6266" s="2">
        <f ca="1"/>
        <v>54.581751948122495</v>
      </c>
      <c r="AG6266" s="2">
        <f ca="1"/>
        <v>0.2172682286915415</v>
      </c>
      <c r="AH6266" s="2" t="str">
        <f ca="1"/>
        <v>OK</v>
      </c>
    </row>
    <row r="6267" spans="2:34" x14ac:dyDescent="0.2">
      <c r="B6267" s="2">
        <f ca="1"/>
        <v>0.30761404066771858</v>
      </c>
      <c r="O6267" s="2">
        <f ca="1"/>
        <v>-0.96625797174918504</v>
      </c>
      <c r="X6267" s="2">
        <f ca="1"/>
        <v>83.123997652142094</v>
      </c>
      <c r="AG6267" s="2">
        <f ca="1"/>
        <v>0.67927749990400677</v>
      </c>
      <c r="AH6267" s="2" t="str">
        <f ca="1"/>
        <v>Bad</v>
      </c>
    </row>
    <row r="6268" spans="2:34" x14ac:dyDescent="0.2">
      <c r="B6268" s="2">
        <f ca="1"/>
        <v>0.86831237625323721</v>
      </c>
      <c r="O6268" s="2">
        <f ca="1"/>
        <v>0.42118342043097518</v>
      </c>
      <c r="X6268" s="2">
        <f ca="1"/>
        <v>54.38629996774587</v>
      </c>
      <c r="AG6268" s="2">
        <f ca="1"/>
        <v>0.33958410201686706</v>
      </c>
      <c r="AH6268" s="2" t="str">
        <f ca="1"/>
        <v>OK</v>
      </c>
    </row>
    <row r="6269" spans="2:34" x14ac:dyDescent="0.2">
      <c r="B6269" s="2">
        <f ca="1"/>
        <v>0.21934945807190087</v>
      </c>
      <c r="O6269" s="2">
        <f ca="1"/>
        <v>0.83477343258188308</v>
      </c>
      <c r="X6269" s="2">
        <f ca="1"/>
        <v>55.228968898479323</v>
      </c>
      <c r="AG6269" s="2">
        <f ca="1"/>
        <v>0.91076807874858989</v>
      </c>
      <c r="AH6269" s="2" t="str">
        <f ca="1"/>
        <v>Bad</v>
      </c>
    </row>
    <row r="6270" spans="2:34" x14ac:dyDescent="0.2">
      <c r="B6270" s="2">
        <f ca="1"/>
        <v>0.17543285608990855</v>
      </c>
      <c r="O6270" s="2">
        <f ca="1"/>
        <v>1.110942955804219</v>
      </c>
      <c r="X6270" s="2">
        <f ca="1"/>
        <v>47.595628201208491</v>
      </c>
      <c r="AG6270" s="2">
        <f ca="1"/>
        <v>0.13138862948230101</v>
      </c>
      <c r="AH6270" s="2" t="str">
        <f ca="1"/>
        <v>OK</v>
      </c>
    </row>
    <row r="6271" spans="2:34" x14ac:dyDescent="0.2">
      <c r="B6271" s="2">
        <f ca="1"/>
        <v>0.43532534412756418</v>
      </c>
      <c r="O6271" s="2">
        <f ca="1"/>
        <v>0.75864628026510972</v>
      </c>
      <c r="X6271" s="2">
        <f ca="1"/>
        <v>27.950858639785366</v>
      </c>
      <c r="AG6271" s="2">
        <f ca="1"/>
        <v>0.41553010948390057</v>
      </c>
      <c r="AH6271" s="2" t="str">
        <f ca="1"/>
        <v>Bad</v>
      </c>
    </row>
    <row r="6272" spans="2:34" x14ac:dyDescent="0.2">
      <c r="B6272" s="2">
        <f ca="1"/>
        <v>0.51705438575679996</v>
      </c>
      <c r="O6272" s="2">
        <f ca="1"/>
        <v>1.5114352541589151</v>
      </c>
      <c r="X6272" s="2">
        <f ca="1"/>
        <v>78.448410837717532</v>
      </c>
      <c r="AG6272" s="2">
        <f ca="1"/>
        <v>0.40083791717187212</v>
      </c>
      <c r="AH6272" s="2" t="str">
        <f ca="1"/>
        <v>Bad</v>
      </c>
    </row>
    <row r="6273" spans="2:34" x14ac:dyDescent="0.2">
      <c r="B6273" s="2">
        <f ca="1"/>
        <v>0.23304198142134225</v>
      </c>
      <c r="O6273" s="2">
        <f ca="1"/>
        <v>0.1090947325872102</v>
      </c>
      <c r="X6273" s="2">
        <f ca="1"/>
        <v>75.314226468891363</v>
      </c>
      <c r="AG6273" s="2">
        <f ca="1"/>
        <v>0.66451998383418398</v>
      </c>
      <c r="AH6273" s="2" t="str">
        <f ca="1"/>
        <v>Bad</v>
      </c>
    </row>
    <row r="6274" spans="2:34" x14ac:dyDescent="0.2">
      <c r="B6274" s="2">
        <f ca="1"/>
        <v>0.10459994551165241</v>
      </c>
      <c r="O6274" s="2">
        <f ca="1"/>
        <v>-0.70563174882593827</v>
      </c>
      <c r="X6274" s="2">
        <f ca="1"/>
        <v>52.129301380997902</v>
      </c>
      <c r="AG6274" s="2">
        <f ca="1"/>
        <v>0.17005722064647721</v>
      </c>
      <c r="AH6274" s="2" t="str">
        <f ca="1"/>
        <v>OK</v>
      </c>
    </row>
    <row r="6275" spans="2:34" x14ac:dyDescent="0.2">
      <c r="B6275" s="2">
        <f ca="1"/>
        <v>1.64463439701652E-2</v>
      </c>
      <c r="O6275" s="2">
        <f ca="1"/>
        <v>-0.48973212430106905</v>
      </c>
      <c r="X6275" s="2">
        <f ca="1"/>
        <v>34.91674718474534</v>
      </c>
      <c r="AG6275" s="2">
        <f ca="1"/>
        <v>8.3583211952761749E-2</v>
      </c>
      <c r="AH6275" s="2" t="str">
        <f ca="1"/>
        <v>OK</v>
      </c>
    </row>
    <row r="6276" spans="2:34" x14ac:dyDescent="0.2">
      <c r="B6276" s="2">
        <f ca="1"/>
        <v>0.99679050416544612</v>
      </c>
      <c r="O6276" s="2">
        <f ca="1"/>
        <v>0.92388828548844271</v>
      </c>
      <c r="X6276" s="2">
        <f ca="1"/>
        <v>48.045015072656334</v>
      </c>
      <c r="AG6276" s="2">
        <f ca="1"/>
        <v>0.6291245997740329</v>
      </c>
      <c r="AH6276" s="2" t="str">
        <f ca="1"/>
        <v>Bad</v>
      </c>
    </row>
    <row r="6277" spans="2:34" x14ac:dyDescent="0.2">
      <c r="B6277" s="2">
        <f ca="1"/>
        <v>0.47534351107552308</v>
      </c>
      <c r="O6277" s="2">
        <f ca="1"/>
        <v>1.914146639627522</v>
      </c>
      <c r="X6277" s="2">
        <f ca="1"/>
        <v>63.60883625260324</v>
      </c>
      <c r="AG6277" s="2">
        <f ca="1"/>
        <v>0.94827342655835367</v>
      </c>
      <c r="AH6277" s="2" t="str">
        <f ca="1"/>
        <v>Bad</v>
      </c>
    </row>
    <row r="6278" spans="2:34" x14ac:dyDescent="0.2">
      <c r="B6278" s="2">
        <f ca="1"/>
        <v>0.56570737830774043</v>
      </c>
      <c r="O6278" s="2">
        <f ca="1"/>
        <v>-5.7186499727105912E-2</v>
      </c>
      <c r="X6278" s="2">
        <f ca="1"/>
        <v>92.014804355429604</v>
      </c>
      <c r="AG6278" s="2">
        <f ca="1"/>
        <v>0.70859831849429633</v>
      </c>
      <c r="AH6278" s="2" t="str">
        <f ca="1"/>
        <v>Bad</v>
      </c>
    </row>
    <row r="6279" spans="2:34" x14ac:dyDescent="0.2">
      <c r="B6279" s="2">
        <f ca="1"/>
        <v>0.69524352979883242</v>
      </c>
      <c r="O6279" s="2">
        <f ca="1"/>
        <v>0.18962691892184563</v>
      </c>
      <c r="X6279" s="2">
        <f ca="1"/>
        <v>57.178566614203568</v>
      </c>
      <c r="AG6279" s="2">
        <f ca="1"/>
        <v>0.77694961987940236</v>
      </c>
      <c r="AH6279" s="2" t="str">
        <f ca="1"/>
        <v>Bad</v>
      </c>
    </row>
    <row r="6280" spans="2:34" x14ac:dyDescent="0.2">
      <c r="B6280" s="2">
        <f ca="1"/>
        <v>5.7256460702014289E-2</v>
      </c>
      <c r="O6280" s="2">
        <f ca="1"/>
        <v>-1.3179422662493394</v>
      </c>
      <c r="X6280" s="2">
        <f ca="1"/>
        <v>41.46529107804006</v>
      </c>
      <c r="AG6280" s="2">
        <f ca="1"/>
        <v>0.97418710523322161</v>
      </c>
      <c r="AH6280" s="2" t="str">
        <f ca="1"/>
        <v>Bad</v>
      </c>
    </row>
    <row r="6281" spans="2:34" x14ac:dyDescent="0.2">
      <c r="B6281" s="2">
        <f ca="1"/>
        <v>0.92159624934132123</v>
      </c>
      <c r="O6281" s="2">
        <f ca="1"/>
        <v>9.4375658786448297E-2</v>
      </c>
      <c r="X6281" s="2">
        <f ca="1"/>
        <v>31.807938287935617</v>
      </c>
      <c r="AG6281" s="2">
        <f ca="1"/>
        <v>0.20717129140261026</v>
      </c>
      <c r="AH6281" s="2" t="str">
        <f ca="1"/>
        <v>OK</v>
      </c>
    </row>
    <row r="6282" spans="2:34" x14ac:dyDescent="0.2">
      <c r="B6282" s="2">
        <f ca="1"/>
        <v>0.62830044817894826</v>
      </c>
      <c r="O6282" s="2">
        <f ca="1"/>
        <v>0.95062677449982558</v>
      </c>
      <c r="X6282" s="2">
        <f ca="1"/>
        <v>41.764436182607305</v>
      </c>
      <c r="AG6282" s="2">
        <f ca="1"/>
        <v>0.64831239277363828</v>
      </c>
      <c r="AH6282" s="2" t="str">
        <f ca="1"/>
        <v>Bad</v>
      </c>
    </row>
    <row r="6283" spans="2:34" x14ac:dyDescent="0.2">
      <c r="B6283" s="2">
        <f ca="1"/>
        <v>0.59074160839476164</v>
      </c>
      <c r="O6283" s="2">
        <f ca="1"/>
        <v>0.83858096859297426</v>
      </c>
      <c r="X6283" s="2">
        <f ca="1"/>
        <v>53.458256036216909</v>
      </c>
      <c r="AG6283" s="2">
        <f ca="1"/>
        <v>0.6172063783500612</v>
      </c>
      <c r="AH6283" s="2" t="str">
        <f ca="1"/>
        <v>Bad</v>
      </c>
    </row>
    <row r="6284" spans="2:34" x14ac:dyDescent="0.2">
      <c r="B6284" s="2">
        <f ca="1"/>
        <v>0.78472394090725839</v>
      </c>
      <c r="O6284" s="2">
        <f ca="1"/>
        <v>1.1497646415830121</v>
      </c>
      <c r="X6284" s="2">
        <f ca="1"/>
        <v>50.042378709508256</v>
      </c>
      <c r="AG6284" s="2">
        <f ca="1"/>
        <v>0.61588745726720862</v>
      </c>
      <c r="AH6284" s="2" t="str">
        <f ca="1"/>
        <v>Bad</v>
      </c>
    </row>
    <row r="6285" spans="2:34" x14ac:dyDescent="0.2">
      <c r="B6285" s="2">
        <f ca="1"/>
        <v>0.43529148957948993</v>
      </c>
      <c r="O6285" s="2">
        <f ca="1"/>
        <v>0.5194142110090898</v>
      </c>
      <c r="X6285" s="2">
        <f ca="1"/>
        <v>27.365826151166559</v>
      </c>
      <c r="AG6285" s="2">
        <f ca="1"/>
        <v>0.49239155538827362</v>
      </c>
      <c r="AH6285" s="2" t="str">
        <f ca="1"/>
        <v>Bad</v>
      </c>
    </row>
    <row r="6286" spans="2:34" x14ac:dyDescent="0.2">
      <c r="B6286" s="2">
        <f ca="1"/>
        <v>0.54790702845998673</v>
      </c>
      <c r="O6286" s="2">
        <f ca="1"/>
        <v>1.0105388305529688</v>
      </c>
      <c r="X6286" s="2">
        <f ca="1"/>
        <v>37.455011483028464</v>
      </c>
      <c r="AG6286" s="2">
        <f ca="1"/>
        <v>0.27800752494708147</v>
      </c>
      <c r="AH6286" s="2" t="str">
        <f ca="1"/>
        <v>OK</v>
      </c>
    </row>
    <row r="6287" spans="2:34" x14ac:dyDescent="0.2">
      <c r="B6287" s="2">
        <f ca="1"/>
        <v>0.88481968426536439</v>
      </c>
      <c r="O6287" s="2">
        <f ca="1"/>
        <v>0.7264934969531357</v>
      </c>
      <c r="X6287" s="2">
        <f ca="1"/>
        <v>44.398152189942678</v>
      </c>
      <c r="AG6287" s="2">
        <f ca="1"/>
        <v>0.39940930941638819</v>
      </c>
      <c r="AH6287" s="2" t="str">
        <f ca="1"/>
        <v>OK</v>
      </c>
    </row>
    <row r="6288" spans="2:34" x14ac:dyDescent="0.2">
      <c r="B6288" s="2">
        <f ca="1"/>
        <v>0.19868277430301706</v>
      </c>
      <c r="O6288" s="2">
        <f ca="1"/>
        <v>-0.3852556091258787</v>
      </c>
      <c r="X6288" s="2">
        <f ca="1"/>
        <v>69.288929684193434</v>
      </c>
      <c r="AG6288" s="2">
        <f ca="1"/>
        <v>0.56451137373337157</v>
      </c>
      <c r="AH6288" s="2" t="str">
        <f ca="1"/>
        <v>Bad</v>
      </c>
    </row>
    <row r="6289" spans="2:34" x14ac:dyDescent="0.2">
      <c r="B6289" s="2">
        <f ca="1"/>
        <v>0.95729966405238898</v>
      </c>
      <c r="O6289" s="2">
        <f ca="1"/>
        <v>-0.76291667117162321</v>
      </c>
      <c r="X6289" s="2">
        <f ca="1"/>
        <v>58.545640379818835</v>
      </c>
      <c r="AG6289" s="2">
        <f ca="1"/>
        <v>0.28808074906109082</v>
      </c>
      <c r="AH6289" s="2" t="str">
        <f ca="1"/>
        <v>OK</v>
      </c>
    </row>
    <row r="6290" spans="2:34" x14ac:dyDescent="0.2">
      <c r="B6290" s="2">
        <f ca="1"/>
        <v>2.6141714405456762E-2</v>
      </c>
      <c r="O6290" s="2">
        <f ca="1"/>
        <v>1.2185484002150253</v>
      </c>
      <c r="X6290" s="2">
        <f ca="1"/>
        <v>48.403696016196271</v>
      </c>
      <c r="AG6290" s="2">
        <f ca="1"/>
        <v>0.13475646678066644</v>
      </c>
      <c r="AH6290" s="2" t="str">
        <f ca="1"/>
        <v>OK</v>
      </c>
    </row>
    <row r="6291" spans="2:34" x14ac:dyDescent="0.2">
      <c r="B6291" s="2">
        <f ca="1"/>
        <v>0.32452230847202923</v>
      </c>
      <c r="O6291" s="2">
        <f ca="1"/>
        <v>-1.2809482965952297</v>
      </c>
      <c r="X6291" s="2">
        <f ca="1"/>
        <v>44.610897515922254</v>
      </c>
      <c r="AG6291" s="2">
        <f ca="1"/>
        <v>0.7210029123165238</v>
      </c>
      <c r="AH6291" s="2" t="str">
        <f ca="1"/>
        <v>Bad</v>
      </c>
    </row>
    <row r="6292" spans="2:34" x14ac:dyDescent="0.2">
      <c r="B6292" s="2">
        <f ca="1"/>
        <v>0.87185144945194804</v>
      </c>
      <c r="O6292" s="2">
        <f ca="1"/>
        <v>-2.1882416069416002</v>
      </c>
      <c r="X6292" s="2">
        <f ca="1"/>
        <v>32.143868828673206</v>
      </c>
      <c r="AG6292" s="2">
        <f ca="1"/>
        <v>0.83397244020022687</v>
      </c>
      <c r="AH6292" s="2" t="str">
        <f ca="1"/>
        <v>Bad</v>
      </c>
    </row>
    <row r="6293" spans="2:34" x14ac:dyDescent="0.2">
      <c r="B6293" s="2">
        <f ca="1"/>
        <v>8.5715187060974918E-2</v>
      </c>
      <c r="O6293" s="2">
        <f ca="1"/>
        <v>0.66057068295155985</v>
      </c>
      <c r="X6293" s="2">
        <f ca="1"/>
        <v>55.365517257405308</v>
      </c>
      <c r="AG6293" s="2">
        <f ca="1"/>
        <v>0.58513820978861841</v>
      </c>
      <c r="AH6293" s="2" t="str">
        <f ca="1"/>
        <v>Bad</v>
      </c>
    </row>
    <row r="6294" spans="2:34" x14ac:dyDescent="0.2">
      <c r="B6294" s="2">
        <f ca="1"/>
        <v>0.35355085553148324</v>
      </c>
      <c r="O6294" s="2">
        <f ca="1"/>
        <v>0.73725433760740766</v>
      </c>
      <c r="X6294" s="2">
        <f ca="1"/>
        <v>60.899696247614258</v>
      </c>
      <c r="AG6294" s="2">
        <f ca="1"/>
        <v>0.86504713256677546</v>
      </c>
      <c r="AH6294" s="2" t="str">
        <f ca="1"/>
        <v>Bad</v>
      </c>
    </row>
    <row r="6295" spans="2:34" x14ac:dyDescent="0.2">
      <c r="B6295" s="2">
        <f ca="1"/>
        <v>0.20397040847451486</v>
      </c>
      <c r="O6295" s="2">
        <f ca="1"/>
        <v>0.74074684625088283</v>
      </c>
      <c r="X6295" s="2">
        <f ca="1"/>
        <v>75.669590004174097</v>
      </c>
      <c r="AG6295" s="2">
        <f ca="1"/>
        <v>0.85610515345015514</v>
      </c>
      <c r="AH6295" s="2" t="str">
        <f ca="1"/>
        <v>Bad</v>
      </c>
    </row>
    <row r="6296" spans="2:34" x14ac:dyDescent="0.2">
      <c r="B6296" s="2">
        <f ca="1"/>
        <v>0.2048256619624429</v>
      </c>
      <c r="O6296" s="2">
        <f ca="1"/>
        <v>-1.7756208686423891</v>
      </c>
      <c r="X6296" s="2">
        <f ca="1"/>
        <v>51.310007614850043</v>
      </c>
      <c r="AG6296" s="2">
        <f ca="1"/>
        <v>0.5607135700887802</v>
      </c>
      <c r="AH6296" s="2" t="str">
        <f ca="1"/>
        <v>Bad</v>
      </c>
    </row>
    <row r="6297" spans="2:34" x14ac:dyDescent="0.2">
      <c r="B6297" s="2">
        <f ca="1"/>
        <v>0.92948776774990804</v>
      </c>
      <c r="O6297" s="2">
        <f ca="1"/>
        <v>-0.85181543831317041</v>
      </c>
      <c r="X6297" s="2">
        <f ca="1"/>
        <v>32.626497934481982</v>
      </c>
      <c r="AG6297" s="2">
        <f ca="1"/>
        <v>0.58056489525228328</v>
      </c>
      <c r="AH6297" s="2" t="str">
        <f ca="1"/>
        <v>Bad</v>
      </c>
    </row>
    <row r="6298" spans="2:34" x14ac:dyDescent="0.2">
      <c r="B6298" s="2">
        <f ca="1"/>
        <v>0.92964254998106011</v>
      </c>
      <c r="O6298" s="2">
        <f ca="1"/>
        <v>1.4758609225028314</v>
      </c>
      <c r="X6298" s="2">
        <f ca="1"/>
        <v>46.20175021918417</v>
      </c>
      <c r="AG6298" s="2">
        <f ca="1"/>
        <v>0.3022269913741602</v>
      </c>
      <c r="AH6298" s="2" t="str">
        <f ca="1"/>
        <v>OK</v>
      </c>
    </row>
    <row r="6299" spans="2:34" x14ac:dyDescent="0.2">
      <c r="B6299" s="2">
        <f ca="1"/>
        <v>0.80871879537636726</v>
      </c>
      <c r="O6299" s="2">
        <f ca="1"/>
        <v>-0.86369575624175621</v>
      </c>
      <c r="X6299" s="2">
        <f ca="1"/>
        <v>40.932119016796953</v>
      </c>
      <c r="AG6299" s="2">
        <f ca="1"/>
        <v>0.16282912190593479</v>
      </c>
      <c r="AH6299" s="2" t="str">
        <f ca="1"/>
        <v>OK</v>
      </c>
    </row>
    <row r="6300" spans="2:34" x14ac:dyDescent="0.2">
      <c r="B6300" s="2">
        <f ca="1"/>
        <v>0.36890789871461838</v>
      </c>
      <c r="O6300" s="2">
        <f ca="1"/>
        <v>2.7153830049297949</v>
      </c>
      <c r="X6300" s="2">
        <f ca="1"/>
        <v>42.84438978150704</v>
      </c>
      <c r="AG6300" s="2">
        <f ca="1"/>
        <v>7.5071787372661403E-2</v>
      </c>
      <c r="AH6300" s="2" t="str">
        <f ca="1"/>
        <v>OK</v>
      </c>
    </row>
    <row r="6301" spans="2:34" x14ac:dyDescent="0.2">
      <c r="B6301" s="2">
        <f ca="1"/>
        <v>0.84530338060566312</v>
      </c>
      <c r="O6301" s="2">
        <f ca="1"/>
        <v>-0.27874387166246822</v>
      </c>
      <c r="X6301" s="2">
        <f ca="1"/>
        <v>47.183132069479683</v>
      </c>
      <c r="AG6301" s="2">
        <f ca="1"/>
        <v>0.21129354426667812</v>
      </c>
      <c r="AH6301" s="2" t="str">
        <f ca="1"/>
        <v>OK</v>
      </c>
    </row>
    <row r="6302" spans="2:34" x14ac:dyDescent="0.2">
      <c r="B6302" s="2">
        <f ca="1"/>
        <v>0.81800110929578795</v>
      </c>
      <c r="O6302" s="2">
        <f ca="1"/>
        <v>-2.3125880376915617</v>
      </c>
      <c r="X6302" s="2">
        <f ca="1"/>
        <v>41.981845923053271</v>
      </c>
      <c r="AG6302" s="2">
        <f ca="1"/>
        <v>0.59611731858045092</v>
      </c>
      <c r="AH6302" s="2" t="str">
        <f ca="1"/>
        <v>Bad</v>
      </c>
    </row>
    <row r="6303" spans="2:34" x14ac:dyDescent="0.2">
      <c r="B6303" s="2">
        <f ca="1"/>
        <v>0.15399660787740732</v>
      </c>
      <c r="O6303" s="2">
        <f ca="1"/>
        <v>-0.29964229331707637</v>
      </c>
      <c r="X6303" s="2">
        <f ca="1"/>
        <v>77.810106275294388</v>
      </c>
      <c r="AG6303" s="2">
        <f ca="1"/>
        <v>0.81138470420132869</v>
      </c>
      <c r="AH6303" s="2" t="str">
        <f ca="1"/>
        <v>Bad</v>
      </c>
    </row>
    <row r="6304" spans="2:34" x14ac:dyDescent="0.2">
      <c r="B6304" s="2">
        <f ca="1"/>
        <v>0.90621685160315235</v>
      </c>
      <c r="O6304" s="2">
        <f ca="1"/>
        <v>-3.0628695412076079E-2</v>
      </c>
      <c r="X6304" s="2">
        <f ca="1"/>
        <v>75.022116255556341</v>
      </c>
      <c r="AG6304" s="2">
        <f ca="1"/>
        <v>0.45163549143210036</v>
      </c>
      <c r="AH6304" s="2" t="str">
        <f ca="1"/>
        <v>Bad</v>
      </c>
    </row>
    <row r="6305" spans="2:34" x14ac:dyDescent="0.2">
      <c r="B6305" s="2">
        <f ca="1"/>
        <v>0.95513986349237645</v>
      </c>
      <c r="O6305" s="2">
        <f ca="1"/>
        <v>0.55644694610491163</v>
      </c>
      <c r="X6305" s="2">
        <f ca="1"/>
        <v>41.564831294537008</v>
      </c>
      <c r="AG6305" s="2">
        <f ca="1"/>
        <v>0.280272065456173</v>
      </c>
      <c r="AH6305" s="2" t="str">
        <f ca="1"/>
        <v>OK</v>
      </c>
    </row>
    <row r="6306" spans="2:34" x14ac:dyDescent="0.2">
      <c r="B6306" s="2">
        <f ca="1"/>
        <v>0.44613318414349989</v>
      </c>
      <c r="O6306" s="2">
        <f ca="1"/>
        <v>0.68999908067178684</v>
      </c>
      <c r="X6306" s="2">
        <f ca="1"/>
        <v>92.522348916181855</v>
      </c>
      <c r="AG6306" s="2">
        <f ca="1"/>
        <v>0.8036818824126708</v>
      </c>
      <c r="AH6306" s="2" t="str">
        <f ca="1"/>
        <v>Bad</v>
      </c>
    </row>
    <row r="6307" spans="2:34" x14ac:dyDescent="0.2">
      <c r="B6307" s="2">
        <f ca="1"/>
        <v>0.24007345094495536</v>
      </c>
      <c r="O6307" s="2">
        <f ca="1"/>
        <v>2.7319843502344008</v>
      </c>
      <c r="X6307" s="2">
        <f ca="1"/>
        <v>34.210956947174502</v>
      </c>
      <c r="AG6307" s="2">
        <f ca="1"/>
        <v>0.73681239180446156</v>
      </c>
      <c r="AH6307" s="2" t="str">
        <f ca="1"/>
        <v>Bad</v>
      </c>
    </row>
    <row r="6308" spans="2:34" x14ac:dyDescent="0.2">
      <c r="B6308" s="2">
        <f ca="1"/>
        <v>0.74206507622403395</v>
      </c>
      <c r="O6308" s="2">
        <f ca="1"/>
        <v>1.0055122262899463</v>
      </c>
      <c r="X6308" s="2">
        <f ca="1"/>
        <v>76.767580610571926</v>
      </c>
      <c r="AG6308" s="2">
        <f ca="1"/>
        <v>3.2543046312217383E-2</v>
      </c>
      <c r="AH6308" s="2" t="str">
        <f ca="1"/>
        <v>Good</v>
      </c>
    </row>
    <row r="6309" spans="2:34" x14ac:dyDescent="0.2">
      <c r="B6309" s="2">
        <f ca="1"/>
        <v>0.20090773693413388</v>
      </c>
      <c r="O6309" s="2">
        <f ca="1"/>
        <v>0.69937631267300004</v>
      </c>
      <c r="X6309" s="2">
        <f ca="1"/>
        <v>50.368257243470978</v>
      </c>
      <c r="AG6309" s="2">
        <f ca="1"/>
        <v>6.0891467331745108E-2</v>
      </c>
      <c r="AH6309" s="2" t="str">
        <f ca="1"/>
        <v>OK</v>
      </c>
    </row>
    <row r="6310" spans="2:34" x14ac:dyDescent="0.2">
      <c r="B6310" s="2">
        <f ca="1"/>
        <v>0.33479737957068978</v>
      </c>
      <c r="O6310" s="2">
        <f ca="1"/>
        <v>1.1104012963265881</v>
      </c>
      <c r="X6310" s="2">
        <f ca="1"/>
        <v>45.993312418596688</v>
      </c>
      <c r="AG6310" s="2">
        <f ca="1"/>
        <v>0.75876882416909219</v>
      </c>
      <c r="AH6310" s="2" t="str">
        <f ca="1"/>
        <v>Bad</v>
      </c>
    </row>
    <row r="6311" spans="2:34" x14ac:dyDescent="0.2">
      <c r="B6311" s="2">
        <f ca="1"/>
        <v>3.2696032532619768E-4</v>
      </c>
      <c r="O6311" s="2">
        <f ca="1"/>
        <v>-2.0911756392087648</v>
      </c>
      <c r="X6311" s="2">
        <f ca="1"/>
        <v>21.22771176642825</v>
      </c>
      <c r="AG6311" s="2">
        <f ca="1"/>
        <v>1.7146567780288002E-2</v>
      </c>
      <c r="AH6311" s="2" t="str">
        <f ca="1"/>
        <v>Good</v>
      </c>
    </row>
    <row r="6312" spans="2:34" x14ac:dyDescent="0.2">
      <c r="B6312" s="2">
        <f ca="1"/>
        <v>0.66492488763215651</v>
      </c>
      <c r="O6312" s="2">
        <f ca="1"/>
        <v>-0.58023026753198548</v>
      </c>
      <c r="X6312" s="2">
        <f ca="1"/>
        <v>47.951435034296914</v>
      </c>
      <c r="AG6312" s="2">
        <f ca="1"/>
        <v>0.30550508473531512</v>
      </c>
      <c r="AH6312" s="2" t="str">
        <f ca="1"/>
        <v>OK</v>
      </c>
    </row>
    <row r="6313" spans="2:34" x14ac:dyDescent="0.2">
      <c r="B6313" s="2">
        <f ca="1"/>
        <v>6.7871632882070765E-2</v>
      </c>
      <c r="O6313" s="2">
        <f ca="1"/>
        <v>-3.2289138201695489E-2</v>
      </c>
      <c r="X6313" s="2">
        <f ca="1"/>
        <v>29.61557244457644</v>
      </c>
      <c r="AG6313" s="2">
        <f ca="1"/>
        <v>0.8150793795263247</v>
      </c>
      <c r="AH6313" s="2" t="str">
        <f ca="1"/>
        <v>Bad</v>
      </c>
    </row>
    <row r="6314" spans="2:34" x14ac:dyDescent="0.2">
      <c r="B6314" s="2">
        <f ca="1"/>
        <v>0.47838299550215857</v>
      </c>
      <c r="O6314" s="2">
        <f ca="1"/>
        <v>-1.3928663852120822</v>
      </c>
      <c r="X6314" s="2">
        <f ca="1"/>
        <v>75.995549417560937</v>
      </c>
      <c r="AG6314" s="2">
        <f ca="1"/>
        <v>0.87666748508662407</v>
      </c>
      <c r="AH6314" s="2" t="str">
        <f ca="1"/>
        <v>Bad</v>
      </c>
    </row>
    <row r="6315" spans="2:34" x14ac:dyDescent="0.2">
      <c r="B6315" s="2">
        <f ca="1"/>
        <v>0.60265120141366446</v>
      </c>
      <c r="O6315" s="2">
        <f ca="1"/>
        <v>-0.95096344133417876</v>
      </c>
      <c r="X6315" s="2">
        <f ca="1"/>
        <v>66.836766472924282</v>
      </c>
      <c r="AG6315" s="2">
        <f ca="1"/>
        <v>0.97468249958828124</v>
      </c>
      <c r="AH6315" s="2" t="str">
        <f ca="1"/>
        <v>Bad</v>
      </c>
    </row>
    <row r="6316" spans="2:34" x14ac:dyDescent="0.2">
      <c r="B6316" s="2">
        <f ca="1"/>
        <v>7.5298930525477648E-2</v>
      </c>
      <c r="O6316" s="2">
        <f ca="1"/>
        <v>0.85282666505120142</v>
      </c>
      <c r="X6316" s="2">
        <f ca="1"/>
        <v>27.884494951503797</v>
      </c>
      <c r="AG6316" s="2">
        <f ca="1"/>
        <v>0.62552101263392035</v>
      </c>
      <c r="AH6316" s="2" t="str">
        <f ca="1"/>
        <v>Bad</v>
      </c>
    </row>
    <row r="6317" spans="2:34" x14ac:dyDescent="0.2">
      <c r="B6317" s="2">
        <f ca="1"/>
        <v>0.83969076198735304</v>
      </c>
      <c r="O6317" s="2">
        <f ca="1"/>
        <v>1.327730287892535</v>
      </c>
      <c r="X6317" s="2">
        <f ca="1"/>
        <v>25.807300613845786</v>
      </c>
      <c r="AG6317" s="2">
        <f ca="1"/>
        <v>0.12739284280787344</v>
      </c>
      <c r="AH6317" s="2" t="str">
        <f ca="1"/>
        <v>OK</v>
      </c>
    </row>
    <row r="6318" spans="2:34" x14ac:dyDescent="0.2">
      <c r="B6318" s="2">
        <f ca="1"/>
        <v>0.32281519819106363</v>
      </c>
      <c r="O6318" s="2">
        <f ca="1"/>
        <v>-1.1272877935427486</v>
      </c>
      <c r="X6318" s="2">
        <f ca="1"/>
        <v>46.66907843660502</v>
      </c>
      <c r="AG6318" s="2">
        <f ca="1"/>
        <v>0.41134587208391782</v>
      </c>
      <c r="AH6318" s="2" t="str">
        <f ca="1"/>
        <v>Bad</v>
      </c>
    </row>
    <row r="6319" spans="2:34" x14ac:dyDescent="0.2">
      <c r="B6319" s="2">
        <f ca="1"/>
        <v>0.14348153738516078</v>
      </c>
      <c r="O6319" s="2">
        <f ca="1"/>
        <v>1.3756551207582444</v>
      </c>
      <c r="X6319" s="2">
        <f ca="1"/>
        <v>41.800023925806151</v>
      </c>
      <c r="AG6319" s="2">
        <f ca="1"/>
        <v>0.38237176184003352</v>
      </c>
      <c r="AH6319" s="2" t="str">
        <f ca="1"/>
        <v>OK</v>
      </c>
    </row>
    <row r="6320" spans="2:34" x14ac:dyDescent="0.2">
      <c r="B6320" s="2">
        <f ca="1"/>
        <v>0.55625178222012783</v>
      </c>
      <c r="O6320" s="2">
        <f ca="1"/>
        <v>-0.54744848505709021</v>
      </c>
      <c r="X6320" s="2">
        <f ca="1"/>
        <v>24.20811556013096</v>
      </c>
      <c r="AG6320" s="2">
        <f ca="1"/>
        <v>0.63035969486892074</v>
      </c>
      <c r="AH6320" s="2" t="str">
        <f ca="1"/>
        <v>Bad</v>
      </c>
    </row>
    <row r="6321" spans="2:34" x14ac:dyDescent="0.2">
      <c r="B6321" s="2">
        <f ca="1"/>
        <v>0.57815757712684501</v>
      </c>
      <c r="O6321" s="2">
        <f ca="1"/>
        <v>1.3940586261000816</v>
      </c>
      <c r="X6321" s="2">
        <f ca="1"/>
        <v>38.696024061507828</v>
      </c>
      <c r="AG6321" s="2">
        <f ca="1"/>
        <v>0.32677322292965338</v>
      </c>
      <c r="AH6321" s="2" t="str">
        <f ca="1"/>
        <v>OK</v>
      </c>
    </row>
    <row r="6322" spans="2:34" x14ac:dyDescent="0.2">
      <c r="B6322" s="2">
        <f ca="1"/>
        <v>0.9623162131494214</v>
      </c>
      <c r="O6322" s="2">
        <f ca="1"/>
        <v>-0.13341507268161276</v>
      </c>
      <c r="X6322" s="2">
        <f ca="1"/>
        <v>25.620963188210769</v>
      </c>
      <c r="AG6322" s="2">
        <f ca="1"/>
        <v>0.71504418417992466</v>
      </c>
      <c r="AH6322" s="2" t="str">
        <f ca="1"/>
        <v>Bad</v>
      </c>
    </row>
    <row r="6323" spans="2:34" x14ac:dyDescent="0.2">
      <c r="B6323" s="2">
        <f ca="1"/>
        <v>4.7834285712307079E-3</v>
      </c>
      <c r="O6323" s="2">
        <f ca="1"/>
        <v>-0.5130323325534123</v>
      </c>
      <c r="X6323" s="2">
        <f ca="1"/>
        <v>44.815951528978758</v>
      </c>
      <c r="AG6323" s="2">
        <f ca="1"/>
        <v>0.81012645446939335</v>
      </c>
      <c r="AH6323" s="2" t="str">
        <f ca="1"/>
        <v>Bad</v>
      </c>
    </row>
    <row r="6324" spans="2:34" x14ac:dyDescent="0.2">
      <c r="B6324" s="2">
        <f ca="1"/>
        <v>0.26489913704921109</v>
      </c>
      <c r="O6324" s="2">
        <f ca="1"/>
        <v>-1.9974799612379739E-2</v>
      </c>
      <c r="X6324" s="2">
        <f ca="1"/>
        <v>41.220394614984301</v>
      </c>
      <c r="AG6324" s="2">
        <f ca="1"/>
        <v>0.30822775935994162</v>
      </c>
      <c r="AH6324" s="2" t="str">
        <f ca="1"/>
        <v>OK</v>
      </c>
    </row>
    <row r="6325" spans="2:34" x14ac:dyDescent="0.2">
      <c r="B6325" s="2">
        <f ca="1"/>
        <v>0.81815605986784345</v>
      </c>
      <c r="O6325" s="2">
        <f ca="1"/>
        <v>0.98185492816147135</v>
      </c>
      <c r="X6325" s="2">
        <f ca="1"/>
        <v>52.35367919613482</v>
      </c>
      <c r="AG6325" s="2">
        <f ca="1"/>
        <v>0.21954206523164932</v>
      </c>
      <c r="AH6325" s="2" t="str">
        <f ca="1"/>
        <v>OK</v>
      </c>
    </row>
    <row r="6326" spans="2:34" x14ac:dyDescent="0.2">
      <c r="B6326" s="2">
        <f ca="1"/>
        <v>0.55972380110423181</v>
      </c>
      <c r="O6326" s="2">
        <f ca="1"/>
        <v>0.36733903019953373</v>
      </c>
      <c r="X6326" s="2">
        <f ca="1"/>
        <v>18.534115901682714</v>
      </c>
      <c r="AG6326" s="2">
        <f ca="1"/>
        <v>0.34247183309241769</v>
      </c>
      <c r="AH6326" s="2" t="str">
        <f ca="1"/>
        <v>OK</v>
      </c>
    </row>
    <row r="6327" spans="2:34" x14ac:dyDescent="0.2">
      <c r="B6327" s="2">
        <f ca="1"/>
        <v>0.31530061233465156</v>
      </c>
      <c r="O6327" s="2">
        <f ca="1"/>
        <v>0.64706071775555329</v>
      </c>
      <c r="X6327" s="2">
        <f ca="1"/>
        <v>57.99476557289654</v>
      </c>
      <c r="AG6327" s="2">
        <f ca="1"/>
        <v>0.91248685699470933</v>
      </c>
      <c r="AH6327" s="2" t="str">
        <f ca="1"/>
        <v>Bad</v>
      </c>
    </row>
    <row r="6328" spans="2:34" x14ac:dyDescent="0.2">
      <c r="B6328" s="2">
        <f ca="1"/>
        <v>0.2146641070602695</v>
      </c>
      <c r="O6328" s="2">
        <f ca="1"/>
        <v>0.55166385328828649</v>
      </c>
      <c r="X6328" s="2">
        <f ca="1"/>
        <v>25.093473548581922</v>
      </c>
      <c r="AG6328" s="2">
        <f ca="1"/>
        <v>0.20981075530623672</v>
      </c>
      <c r="AH6328" s="2" t="str">
        <f ca="1"/>
        <v>OK</v>
      </c>
    </row>
    <row r="6329" spans="2:34" x14ac:dyDescent="0.2">
      <c r="B6329" s="2">
        <f ca="1"/>
        <v>0.30332713196925254</v>
      </c>
      <c r="O6329" s="2">
        <f ca="1"/>
        <v>1.1709244737169158</v>
      </c>
      <c r="X6329" s="2">
        <f ca="1"/>
        <v>45.196578315380229</v>
      </c>
      <c r="AG6329" s="2">
        <f ca="1"/>
        <v>0.78743065628171949</v>
      </c>
      <c r="AH6329" s="2" t="str">
        <f ca="1"/>
        <v>Bad</v>
      </c>
    </row>
    <row r="6330" spans="2:34" x14ac:dyDescent="0.2">
      <c r="B6330" s="2">
        <f ca="1"/>
        <v>0.70805315666604796</v>
      </c>
      <c r="O6330" s="2">
        <f ca="1"/>
        <v>-0.16448760398332662</v>
      </c>
      <c r="X6330" s="2">
        <f ca="1"/>
        <v>76.078473533308738</v>
      </c>
      <c r="AG6330" s="2">
        <f ca="1"/>
        <v>0.27597414999418746</v>
      </c>
      <c r="AH6330" s="2" t="str">
        <f ca="1"/>
        <v>OK</v>
      </c>
    </row>
    <row r="6331" spans="2:34" x14ac:dyDescent="0.2">
      <c r="B6331" s="2">
        <f ca="1"/>
        <v>0.96245556585175884</v>
      </c>
      <c r="O6331" s="2">
        <f ca="1"/>
        <v>-1.7250407705327013</v>
      </c>
      <c r="X6331" s="2">
        <f ca="1"/>
        <v>69.680582796624989</v>
      </c>
      <c r="AG6331" s="2">
        <f ca="1"/>
        <v>0.87775161104520261</v>
      </c>
      <c r="AH6331" s="2" t="str">
        <f ca="1"/>
        <v>Bad</v>
      </c>
    </row>
    <row r="6332" spans="2:34" x14ac:dyDescent="0.2">
      <c r="B6332" s="2">
        <f ca="1"/>
        <v>0.37244045003602522</v>
      </c>
      <c r="O6332" s="2">
        <f ca="1"/>
        <v>-1.0429901706569225</v>
      </c>
      <c r="X6332" s="2">
        <f ca="1"/>
        <v>37.002766216020262</v>
      </c>
      <c r="AG6332" s="2">
        <f ca="1"/>
        <v>0.59918883362636666</v>
      </c>
      <c r="AH6332" s="2" t="str">
        <f ca="1"/>
        <v>Bad</v>
      </c>
    </row>
    <row r="6333" spans="2:34" x14ac:dyDescent="0.2">
      <c r="B6333" s="2">
        <f ca="1"/>
        <v>0.95155143400800379</v>
      </c>
      <c r="O6333" s="2">
        <f ca="1"/>
        <v>1.4818913823910218</v>
      </c>
      <c r="X6333" s="2">
        <f ca="1"/>
        <v>30.784475843131741</v>
      </c>
      <c r="AG6333" s="2">
        <f ca="1"/>
        <v>0.38345338933407724</v>
      </c>
      <c r="AH6333" s="2" t="str">
        <f ca="1"/>
        <v>OK</v>
      </c>
    </row>
    <row r="6334" spans="2:34" x14ac:dyDescent="0.2">
      <c r="B6334" s="2">
        <f ca="1"/>
        <v>0.72823174081129172</v>
      </c>
      <c r="O6334" s="2">
        <f ca="1"/>
        <v>-0.35921565679733841</v>
      </c>
      <c r="X6334" s="2">
        <f ca="1"/>
        <v>34.141076188298591</v>
      </c>
      <c r="AG6334" s="2">
        <f ca="1"/>
        <v>0.5513904607123119</v>
      </c>
      <c r="AH6334" s="2" t="str">
        <f ca="1"/>
        <v>Bad</v>
      </c>
    </row>
    <row r="6335" spans="2:34" x14ac:dyDescent="0.2">
      <c r="B6335" s="2">
        <f ca="1"/>
        <v>7.1221807745671661E-3</v>
      </c>
      <c r="O6335" s="2">
        <f ca="1"/>
        <v>1.8930943565502928E-2</v>
      </c>
      <c r="X6335" s="2">
        <f ca="1"/>
        <v>29.559181165961355</v>
      </c>
      <c r="AG6335" s="2">
        <f ca="1"/>
        <v>8.6210759420841665E-3</v>
      </c>
      <c r="AH6335" s="2" t="str">
        <f ca="1"/>
        <v>Good</v>
      </c>
    </row>
    <row r="6336" spans="2:34" x14ac:dyDescent="0.2">
      <c r="B6336" s="2">
        <f ca="1"/>
        <v>0.48028017626631447</v>
      </c>
      <c r="O6336" s="2">
        <f ca="1"/>
        <v>1.1291900479707144</v>
      </c>
      <c r="X6336" s="2">
        <f ca="1"/>
        <v>62.280679164370127</v>
      </c>
      <c r="AG6336" s="2">
        <f ca="1"/>
        <v>0.31006272219395847</v>
      </c>
      <c r="AH6336" s="2" t="str">
        <f ca="1"/>
        <v>OK</v>
      </c>
    </row>
    <row r="6337" spans="2:34" x14ac:dyDescent="0.2">
      <c r="B6337" s="2">
        <f ca="1"/>
        <v>3.4813177197971168E-2</v>
      </c>
      <c r="O6337" s="2">
        <f ca="1"/>
        <v>-1.4248195069385685</v>
      </c>
      <c r="X6337" s="2">
        <f ca="1"/>
        <v>59.622414979479458</v>
      </c>
      <c r="AG6337" s="2">
        <f ca="1"/>
        <v>0.50229117746040552</v>
      </c>
      <c r="AH6337" s="2" t="str">
        <f ca="1"/>
        <v>Bad</v>
      </c>
    </row>
    <row r="6338" spans="2:34" x14ac:dyDescent="0.2">
      <c r="B6338" s="2">
        <f ca="1"/>
        <v>0.46617488793222517</v>
      </c>
      <c r="O6338" s="2">
        <f ca="1"/>
        <v>-6.9821043278639763E-2</v>
      </c>
      <c r="X6338" s="2">
        <f ca="1"/>
        <v>42.101166999348862</v>
      </c>
      <c r="AG6338" s="2">
        <f ca="1"/>
        <v>0.14471552494232576</v>
      </c>
      <c r="AH6338" s="2" t="str">
        <f ca="1"/>
        <v>OK</v>
      </c>
    </row>
    <row r="6339" spans="2:34" x14ac:dyDescent="0.2">
      <c r="B6339" s="2">
        <f ca="1"/>
        <v>0.22126653992503176</v>
      </c>
      <c r="O6339" s="2">
        <f ca="1"/>
        <v>0.20293588432934501</v>
      </c>
      <c r="X6339" s="2">
        <f ca="1"/>
        <v>27.69415403870758</v>
      </c>
      <c r="AG6339" s="2">
        <f ca="1"/>
        <v>0.51130834452038965</v>
      </c>
      <c r="AH6339" s="2" t="str">
        <f ca="1"/>
        <v>Bad</v>
      </c>
    </row>
    <row r="6340" spans="2:34" x14ac:dyDescent="0.2">
      <c r="B6340" s="2">
        <f ca="1"/>
        <v>0.93857489050098275</v>
      </c>
      <c r="O6340" s="2">
        <f ca="1"/>
        <v>0.2851554895660946</v>
      </c>
      <c r="X6340" s="2">
        <f ca="1"/>
        <v>55.004950652778092</v>
      </c>
      <c r="AG6340" s="2">
        <f ca="1"/>
        <v>0.65530827789641988</v>
      </c>
      <c r="AH6340" s="2" t="str">
        <f ca="1"/>
        <v>Bad</v>
      </c>
    </row>
    <row r="6341" spans="2:34" x14ac:dyDescent="0.2">
      <c r="B6341" s="2">
        <f ca="1"/>
        <v>0.92997448865681753</v>
      </c>
      <c r="O6341" s="2">
        <f ca="1"/>
        <v>-0.70871403231854668</v>
      </c>
      <c r="X6341" s="2">
        <f ca="1"/>
        <v>46.337607823505351</v>
      </c>
      <c r="AG6341" s="2">
        <f ca="1"/>
        <v>0.44480823684683335</v>
      </c>
      <c r="AH6341" s="2" t="str">
        <f ca="1"/>
        <v>Bad</v>
      </c>
    </row>
    <row r="6342" spans="2:34" x14ac:dyDescent="0.2">
      <c r="B6342" s="2">
        <f ca="1"/>
        <v>0.12361412090893009</v>
      </c>
      <c r="O6342" s="2">
        <f ca="1"/>
        <v>0.6701872437759322</v>
      </c>
      <c r="X6342" s="2">
        <f ca="1"/>
        <v>58.49263593227694</v>
      </c>
      <c r="AG6342" s="2">
        <f ca="1"/>
        <v>0.56002416563934987</v>
      </c>
      <c r="AH6342" s="2" t="str">
        <f ca="1"/>
        <v>Bad</v>
      </c>
    </row>
    <row r="6343" spans="2:34" x14ac:dyDescent="0.2">
      <c r="B6343" s="2">
        <f ca="1"/>
        <v>0.27907265237528711</v>
      </c>
      <c r="O6343" s="2">
        <f ca="1"/>
        <v>-1.0111878722676391</v>
      </c>
      <c r="X6343" s="2">
        <f ca="1"/>
        <v>34.243407765923862</v>
      </c>
      <c r="AG6343" s="2">
        <f ca="1"/>
        <v>0.4258694689858189</v>
      </c>
      <c r="AH6343" s="2" t="str">
        <f ca="1"/>
        <v>Bad</v>
      </c>
    </row>
    <row r="6344" spans="2:34" x14ac:dyDescent="0.2">
      <c r="B6344" s="2">
        <f ca="1"/>
        <v>0.40064503230690662</v>
      </c>
      <c r="O6344" s="2">
        <f ca="1"/>
        <v>-0.12109481525409289</v>
      </c>
      <c r="X6344" s="2">
        <f ca="1"/>
        <v>44.227660755635597</v>
      </c>
      <c r="AG6344" s="2">
        <f ca="1"/>
        <v>0.87985185290413392</v>
      </c>
      <c r="AH6344" s="2" t="str">
        <f ca="1"/>
        <v>Bad</v>
      </c>
    </row>
    <row r="6345" spans="2:34" x14ac:dyDescent="0.2">
      <c r="B6345" s="2">
        <f ca="1"/>
        <v>0.846591087147752</v>
      </c>
      <c r="O6345" s="2">
        <f ca="1"/>
        <v>1.2172301673330539</v>
      </c>
      <c r="X6345" s="2">
        <f ca="1"/>
        <v>48.621338927311569</v>
      </c>
      <c r="AG6345" s="2">
        <f ca="1"/>
        <v>0.92399062739390647</v>
      </c>
      <c r="AH6345" s="2" t="str">
        <f ca="1"/>
        <v>Bad</v>
      </c>
    </row>
    <row r="6346" spans="2:34" x14ac:dyDescent="0.2">
      <c r="B6346" s="2">
        <f ca="1"/>
        <v>0.90979146286811408</v>
      </c>
      <c r="O6346" s="2">
        <f ca="1"/>
        <v>0.18552979439095035</v>
      </c>
      <c r="X6346" s="2">
        <f ca="1"/>
        <v>78.051614730854922</v>
      </c>
      <c r="AG6346" s="2">
        <f ca="1"/>
        <v>0.81067734876868625</v>
      </c>
      <c r="AH6346" s="2" t="str">
        <f ca="1"/>
        <v>Bad</v>
      </c>
    </row>
    <row r="6347" spans="2:34" x14ac:dyDescent="0.2">
      <c r="B6347" s="2">
        <f ca="1"/>
        <v>0.50206595986679714</v>
      </c>
      <c r="O6347" s="2">
        <f ca="1"/>
        <v>1.6972687178771231</v>
      </c>
      <c r="X6347" s="2">
        <f ca="1"/>
        <v>39.076183513071562</v>
      </c>
      <c r="AG6347" s="2">
        <f ca="1"/>
        <v>0.65414101982396033</v>
      </c>
      <c r="AH6347" s="2" t="str">
        <f ca="1"/>
        <v>Bad</v>
      </c>
    </row>
    <row r="6348" spans="2:34" x14ac:dyDescent="0.2">
      <c r="B6348" s="2">
        <f ca="1"/>
        <v>0.41596538625071422</v>
      </c>
      <c r="O6348" s="2">
        <f ca="1"/>
        <v>-2.2313514049796144</v>
      </c>
      <c r="X6348" s="2">
        <f ca="1"/>
        <v>30.675083794143994</v>
      </c>
      <c r="AG6348" s="2">
        <f ca="1"/>
        <v>0.98510181091323545</v>
      </c>
      <c r="AH6348" s="2" t="str">
        <f ca="1"/>
        <v>Bad</v>
      </c>
    </row>
    <row r="6349" spans="2:34" x14ac:dyDescent="0.2">
      <c r="B6349" s="2">
        <f ca="1"/>
        <v>0.2693152975041726</v>
      </c>
      <c r="O6349" s="2">
        <f ca="1"/>
        <v>-0.84855275837904065</v>
      </c>
      <c r="X6349" s="2">
        <f ca="1"/>
        <v>48.884775732596154</v>
      </c>
      <c r="AG6349" s="2">
        <f ca="1"/>
        <v>0.83383570550026498</v>
      </c>
      <c r="AH6349" s="2" t="str">
        <f ca="1"/>
        <v>Bad</v>
      </c>
    </row>
    <row r="6350" spans="2:34" x14ac:dyDescent="0.2">
      <c r="B6350" s="2">
        <f ca="1"/>
        <v>0.7869927768120204</v>
      </c>
      <c r="O6350" s="2">
        <f ca="1"/>
        <v>-0.39042799053094457</v>
      </c>
      <c r="X6350" s="2">
        <f ca="1"/>
        <v>69.449074869005116</v>
      </c>
      <c r="AG6350" s="2">
        <f ca="1"/>
        <v>0.26778014193452471</v>
      </c>
      <c r="AH6350" s="2" t="str">
        <f ca="1"/>
        <v>OK</v>
      </c>
    </row>
    <row r="6351" spans="2:34" x14ac:dyDescent="0.2">
      <c r="B6351" s="2">
        <f ca="1"/>
        <v>1.0802952980633274E-2</v>
      </c>
      <c r="O6351" s="2">
        <f ca="1"/>
        <v>1.6190139224052642</v>
      </c>
      <c r="X6351" s="2">
        <f ca="1"/>
        <v>35.43948142875719</v>
      </c>
      <c r="AG6351" s="2">
        <f ca="1"/>
        <v>0.6634134279181001</v>
      </c>
      <c r="AH6351" s="2" t="str">
        <f ca="1"/>
        <v>Bad</v>
      </c>
    </row>
    <row r="6352" spans="2:34" x14ac:dyDescent="0.2">
      <c r="B6352" s="2">
        <f ca="1"/>
        <v>7.4733248372444994E-2</v>
      </c>
      <c r="O6352" s="2">
        <f ca="1"/>
        <v>0.56742259652358895</v>
      </c>
      <c r="X6352" s="2">
        <f ca="1"/>
        <v>43.887484498898232</v>
      </c>
      <c r="AG6352" s="2">
        <f ca="1"/>
        <v>0.75175463734651493</v>
      </c>
      <c r="AH6352" s="2" t="str">
        <f ca="1"/>
        <v>Bad</v>
      </c>
    </row>
    <row r="6353" spans="2:34" x14ac:dyDescent="0.2">
      <c r="B6353" s="2">
        <f ca="1"/>
        <v>0.57604498776407742</v>
      </c>
      <c r="O6353" s="2">
        <f ca="1"/>
        <v>1.8566774760941231</v>
      </c>
      <c r="X6353" s="2">
        <f ca="1"/>
        <v>49.983311293112578</v>
      </c>
      <c r="AG6353" s="2">
        <f ca="1"/>
        <v>3.4911348008899168E-2</v>
      </c>
      <c r="AH6353" s="2" t="str">
        <f ca="1"/>
        <v>Good</v>
      </c>
    </row>
    <row r="6354" spans="2:34" x14ac:dyDescent="0.2">
      <c r="B6354" s="2">
        <f ca="1"/>
        <v>0.75999036607178838</v>
      </c>
      <c r="O6354" s="2">
        <f ca="1"/>
        <v>-0.90227824513263444</v>
      </c>
      <c r="X6354" s="2">
        <f ca="1"/>
        <v>33.77112768698484</v>
      </c>
      <c r="AG6354" s="2">
        <f ca="1"/>
        <v>0.68166986409133434</v>
      </c>
      <c r="AH6354" s="2" t="str">
        <f ca="1"/>
        <v>Bad</v>
      </c>
    </row>
    <row r="6355" spans="2:34" x14ac:dyDescent="0.2">
      <c r="B6355" s="2">
        <f ca="1"/>
        <v>0.78400337927667918</v>
      </c>
      <c r="O6355" s="2">
        <f ca="1"/>
        <v>1.6950942873709949</v>
      </c>
      <c r="X6355" s="2">
        <f ca="1"/>
        <v>63.910174259235006</v>
      </c>
      <c r="AG6355" s="2">
        <f ca="1"/>
        <v>0.76995765738121968</v>
      </c>
      <c r="AH6355" s="2" t="str">
        <f ca="1"/>
        <v>Bad</v>
      </c>
    </row>
    <row r="6356" spans="2:34" x14ac:dyDescent="0.2">
      <c r="B6356" s="2">
        <f ca="1"/>
        <v>0.9326381097684715</v>
      </c>
      <c r="O6356" s="2">
        <f ca="1"/>
        <v>0.4699423803771674</v>
      </c>
      <c r="X6356" s="2">
        <f ca="1"/>
        <v>33.7872166502952</v>
      </c>
      <c r="AG6356" s="2">
        <f ca="1"/>
        <v>0.894438620554727</v>
      </c>
      <c r="AH6356" s="2" t="str">
        <f ca="1"/>
        <v>Bad</v>
      </c>
    </row>
    <row r="6357" spans="2:34" x14ac:dyDescent="0.2">
      <c r="B6357" s="2">
        <f ca="1"/>
        <v>4.1281840498678113E-2</v>
      </c>
      <c r="O6357" s="2">
        <f ca="1"/>
        <v>-0.58679141784285882</v>
      </c>
      <c r="X6357" s="2">
        <f ca="1"/>
        <v>42.710725075035747</v>
      </c>
      <c r="AG6357" s="2">
        <f ca="1"/>
        <v>0.84229115127862353</v>
      </c>
      <c r="AH6357" s="2" t="str">
        <f ca="1"/>
        <v>Bad</v>
      </c>
    </row>
    <row r="6358" spans="2:34" x14ac:dyDescent="0.2">
      <c r="B6358" s="2">
        <f ca="1"/>
        <v>0.30983622286935075</v>
      </c>
      <c r="O6358" s="2">
        <f ca="1"/>
        <v>-0.5816818478087179</v>
      </c>
      <c r="X6358" s="2">
        <f ca="1"/>
        <v>22.183286729476993</v>
      </c>
      <c r="AG6358" s="2">
        <f ca="1"/>
        <v>0.52351502460480792</v>
      </c>
      <c r="AH6358" s="2" t="str">
        <f ca="1"/>
        <v>Bad</v>
      </c>
    </row>
    <row r="6359" spans="2:34" x14ac:dyDescent="0.2">
      <c r="B6359" s="2">
        <f ca="1"/>
        <v>0.62789413946814987</v>
      </c>
      <c r="O6359" s="2">
        <f ca="1"/>
        <v>-7.8670709305419015E-2</v>
      </c>
      <c r="X6359" s="2">
        <f ca="1"/>
        <v>80.041311895985132</v>
      </c>
      <c r="AG6359" s="2">
        <f ca="1"/>
        <v>5.5909227082588275E-2</v>
      </c>
      <c r="AH6359" s="2" t="str">
        <f ca="1"/>
        <v>OK</v>
      </c>
    </row>
    <row r="6360" spans="2:34" x14ac:dyDescent="0.2">
      <c r="B6360" s="2">
        <f ca="1"/>
        <v>0.23855216611772256</v>
      </c>
      <c r="O6360" s="2">
        <f ca="1"/>
        <v>-0.80722461887524988</v>
      </c>
      <c r="X6360" s="2">
        <f ca="1"/>
        <v>61.821833928658442</v>
      </c>
      <c r="AG6360" s="2">
        <f ca="1"/>
        <v>0.38650264350853392</v>
      </c>
      <c r="AH6360" s="2" t="str">
        <f ca="1"/>
        <v>OK</v>
      </c>
    </row>
    <row r="6361" spans="2:34" x14ac:dyDescent="0.2">
      <c r="B6361" s="2">
        <f ca="1"/>
        <v>0.52513138852659935</v>
      </c>
      <c r="O6361" s="2">
        <f ca="1"/>
        <v>0.51510125150793673</v>
      </c>
      <c r="X6361" s="2">
        <f ca="1"/>
        <v>58.091757287009862</v>
      </c>
      <c r="AG6361" s="2">
        <f ca="1"/>
        <v>4.141862703156951E-2</v>
      </c>
      <c r="AH6361" s="2" t="str">
        <f ca="1"/>
        <v>Good</v>
      </c>
    </row>
    <row r="6362" spans="2:34" x14ac:dyDescent="0.2">
      <c r="B6362" s="2">
        <f ca="1"/>
        <v>3.3408245136585801E-2</v>
      </c>
      <c r="O6362" s="2">
        <f ca="1"/>
        <v>0.68082685523837416</v>
      </c>
      <c r="X6362" s="2">
        <f ca="1"/>
        <v>46.884539084907345</v>
      </c>
      <c r="AG6362" s="2">
        <f ca="1"/>
        <v>0.12881562888538278</v>
      </c>
      <c r="AH6362" s="2" t="str">
        <f ca="1"/>
        <v>OK</v>
      </c>
    </row>
    <row r="6363" spans="2:34" x14ac:dyDescent="0.2">
      <c r="B6363" s="2">
        <f ca="1"/>
        <v>0.14025282739487976</v>
      </c>
      <c r="O6363" s="2">
        <f ca="1"/>
        <v>-0.24507273734717563</v>
      </c>
      <c r="X6363" s="2">
        <f ca="1"/>
        <v>40.854485049798456</v>
      </c>
      <c r="AG6363" s="2">
        <f ca="1"/>
        <v>0.94186651981082758</v>
      </c>
      <c r="AH6363" s="2" t="str">
        <f ca="1"/>
        <v>Bad</v>
      </c>
    </row>
    <row r="6364" spans="2:34" x14ac:dyDescent="0.2">
      <c r="B6364" s="2">
        <f ca="1"/>
        <v>0.51646347956742145</v>
      </c>
      <c r="O6364" s="2">
        <f ca="1"/>
        <v>-0.26039261536522829</v>
      </c>
      <c r="X6364" s="2">
        <f ca="1"/>
        <v>27.523941019709724</v>
      </c>
      <c r="AG6364" s="2">
        <f ca="1"/>
        <v>2.6488051644225852E-2</v>
      </c>
      <c r="AH6364" s="2" t="str">
        <f ca="1"/>
        <v>Good</v>
      </c>
    </row>
    <row r="6365" spans="2:34" x14ac:dyDescent="0.2">
      <c r="B6365" s="2">
        <f ca="1"/>
        <v>0.25488672615841867</v>
      </c>
      <c r="O6365" s="2">
        <f ca="1"/>
        <v>-9.7440392421889677E-2</v>
      </c>
      <c r="X6365" s="2">
        <f ca="1"/>
        <v>39.111476974755753</v>
      </c>
      <c r="AG6365" s="2">
        <f ca="1"/>
        <v>0.37528926212867786</v>
      </c>
      <c r="AH6365" s="2" t="str">
        <f ca="1"/>
        <v>OK</v>
      </c>
    </row>
    <row r="6366" spans="2:34" x14ac:dyDescent="0.2">
      <c r="B6366" s="2">
        <f ca="1"/>
        <v>0.38393081466820855</v>
      </c>
      <c r="O6366" s="2">
        <f ca="1"/>
        <v>-0.12139700635888584</v>
      </c>
      <c r="X6366" s="2">
        <f ca="1"/>
        <v>64.80521434746737</v>
      </c>
      <c r="AG6366" s="2">
        <f ca="1"/>
        <v>0.33026805385920777</v>
      </c>
      <c r="AH6366" s="2" t="str">
        <f ca="1"/>
        <v>OK</v>
      </c>
    </row>
    <row r="6367" spans="2:34" x14ac:dyDescent="0.2">
      <c r="B6367" s="2">
        <f ca="1"/>
        <v>0.76492276840418927</v>
      </c>
      <c r="O6367" s="2">
        <f ca="1"/>
        <v>2.3052301301000306</v>
      </c>
      <c r="X6367" s="2">
        <f ca="1"/>
        <v>52.25545167022549</v>
      </c>
      <c r="AG6367" s="2">
        <f ca="1"/>
        <v>0.34308909929060216</v>
      </c>
      <c r="AH6367" s="2" t="str">
        <f ca="1"/>
        <v>OK</v>
      </c>
    </row>
    <row r="6368" spans="2:34" x14ac:dyDescent="0.2">
      <c r="B6368" s="2">
        <f ca="1"/>
        <v>0.25025118548318992</v>
      </c>
      <c r="O6368" s="2">
        <f ca="1"/>
        <v>-0.92370658931555183</v>
      </c>
      <c r="X6368" s="2">
        <f ca="1"/>
        <v>50.357018393096993</v>
      </c>
      <c r="AG6368" s="2">
        <f ca="1"/>
        <v>0.59113598915949095</v>
      </c>
      <c r="AH6368" s="2" t="str">
        <f ca="1"/>
        <v>Bad</v>
      </c>
    </row>
    <row r="6369" spans="2:34" x14ac:dyDescent="0.2">
      <c r="B6369" s="2">
        <f ca="1"/>
        <v>0.21139969036232209</v>
      </c>
      <c r="O6369" s="2">
        <f ca="1"/>
        <v>-1.0412508475162905</v>
      </c>
      <c r="X6369" s="2">
        <f ca="1"/>
        <v>47.644182743989447</v>
      </c>
      <c r="AG6369" s="2">
        <f ca="1"/>
        <v>0.63020387696232372</v>
      </c>
      <c r="AH6369" s="2" t="str">
        <f ca="1"/>
        <v>Bad</v>
      </c>
    </row>
    <row r="6370" spans="2:34" x14ac:dyDescent="0.2">
      <c r="B6370" s="2">
        <f ca="1"/>
        <v>0.70919196850836808</v>
      </c>
      <c r="O6370" s="2">
        <f ca="1"/>
        <v>0.5325409756498668</v>
      </c>
      <c r="X6370" s="2">
        <f ca="1"/>
        <v>39.904114715675632</v>
      </c>
      <c r="AG6370" s="2">
        <f ca="1"/>
        <v>0.10185586976143735</v>
      </c>
      <c r="AH6370" s="2" t="str">
        <f ca="1"/>
        <v>OK</v>
      </c>
    </row>
    <row r="6371" spans="2:34" x14ac:dyDescent="0.2">
      <c r="B6371" s="2">
        <f ca="1"/>
        <v>0.84387367382488065</v>
      </c>
      <c r="O6371" s="2">
        <f ca="1"/>
        <v>2.1674436938811956</v>
      </c>
      <c r="X6371" s="2">
        <f ca="1"/>
        <v>30.852214448536877</v>
      </c>
      <c r="AG6371" s="2">
        <f ca="1"/>
        <v>0.93627226146181575</v>
      </c>
      <c r="AH6371" s="2" t="str">
        <f ca="1"/>
        <v>Bad</v>
      </c>
    </row>
    <row r="6372" spans="2:34" x14ac:dyDescent="0.2">
      <c r="B6372" s="2">
        <f ca="1"/>
        <v>0.32233847077944078</v>
      </c>
      <c r="O6372" s="2">
        <f ca="1"/>
        <v>0.58485228072064432</v>
      </c>
      <c r="X6372" s="2">
        <f ca="1"/>
        <v>51.792102330031547</v>
      </c>
      <c r="AG6372" s="2">
        <f ca="1"/>
        <v>0.86230696104383164</v>
      </c>
      <c r="AH6372" s="2" t="str">
        <f ca="1"/>
        <v>Bad</v>
      </c>
    </row>
    <row r="6373" spans="2:34" x14ac:dyDescent="0.2">
      <c r="B6373" s="2">
        <f ca="1"/>
        <v>0.19726930857264424</v>
      </c>
      <c r="O6373" s="2">
        <f ca="1"/>
        <v>0.87484454869000083</v>
      </c>
      <c r="X6373" s="2">
        <f ca="1"/>
        <v>83.161469098357685</v>
      </c>
      <c r="AG6373" s="2">
        <f ca="1"/>
        <v>0.14262577911204577</v>
      </c>
      <c r="AH6373" s="2" t="str">
        <f ca="1"/>
        <v>OK</v>
      </c>
    </row>
    <row r="6374" spans="2:34" x14ac:dyDescent="0.2">
      <c r="B6374" s="2">
        <f ca="1"/>
        <v>0.97398676651408733</v>
      </c>
      <c r="O6374" s="2">
        <f ca="1"/>
        <v>1.933424359612673</v>
      </c>
      <c r="X6374" s="2">
        <f ca="1"/>
        <v>51.745142672699018</v>
      </c>
      <c r="AG6374" s="2">
        <f ca="1"/>
        <v>0.67453020714140655</v>
      </c>
      <c r="AH6374" s="2" t="str">
        <f ca="1"/>
        <v>Bad</v>
      </c>
    </row>
    <row r="6375" spans="2:34" x14ac:dyDescent="0.2">
      <c r="B6375" s="2">
        <f ca="1"/>
        <v>0.74837697666050573</v>
      </c>
      <c r="O6375" s="2">
        <f ca="1"/>
        <v>1.0086372291211094</v>
      </c>
      <c r="X6375" s="2">
        <f ca="1"/>
        <v>37.850963264424593</v>
      </c>
      <c r="AG6375" s="2">
        <f ca="1"/>
        <v>0.76551973157477926</v>
      </c>
      <c r="AH6375" s="2" t="str">
        <f ca="1"/>
        <v>Bad</v>
      </c>
    </row>
    <row r="6376" spans="2:34" x14ac:dyDescent="0.2">
      <c r="B6376" s="2">
        <f ca="1"/>
        <v>0.81609959604694438</v>
      </c>
      <c r="O6376" s="2">
        <f ca="1"/>
        <v>-0.43062985497011935</v>
      </c>
      <c r="X6376" s="2">
        <f ca="1"/>
        <v>66.661643589532417</v>
      </c>
      <c r="AG6376" s="2">
        <f ca="1"/>
        <v>0.60121264741928404</v>
      </c>
      <c r="AH6376" s="2" t="str">
        <f ca="1"/>
        <v>Bad</v>
      </c>
    </row>
    <row r="6377" spans="2:34" x14ac:dyDescent="0.2">
      <c r="B6377" s="2">
        <f ca="1"/>
        <v>3.0537131734597045E-2</v>
      </c>
      <c r="O6377" s="2">
        <f ca="1"/>
        <v>-0.17008022998113617</v>
      </c>
      <c r="X6377" s="2">
        <f ca="1"/>
        <v>50.675863400578066</v>
      </c>
      <c r="AG6377" s="2">
        <f ca="1"/>
        <v>0.18941622729574537</v>
      </c>
      <c r="AH6377" s="2" t="str">
        <f ca="1"/>
        <v>OK</v>
      </c>
    </row>
    <row r="6378" spans="2:34" x14ac:dyDescent="0.2">
      <c r="B6378" s="2">
        <f ca="1"/>
        <v>0.71892681118175328</v>
      </c>
      <c r="O6378" s="2">
        <f ca="1"/>
        <v>-0.11869864426641445</v>
      </c>
      <c r="X6378" s="2">
        <f ca="1"/>
        <v>66.981546644581186</v>
      </c>
      <c r="AG6378" s="2">
        <f ca="1"/>
        <v>0.6633311846419212</v>
      </c>
      <c r="AH6378" s="2" t="str">
        <f ca="1"/>
        <v>Bad</v>
      </c>
    </row>
    <row r="6379" spans="2:34" x14ac:dyDescent="0.2">
      <c r="B6379" s="2">
        <f ca="1"/>
        <v>0.53211398540927002</v>
      </c>
      <c r="O6379" s="2">
        <f ca="1"/>
        <v>-0.50514269620182495</v>
      </c>
      <c r="X6379" s="2">
        <f ca="1"/>
        <v>43.192780227861036</v>
      </c>
      <c r="AG6379" s="2">
        <f ca="1"/>
        <v>0.22916843478511528</v>
      </c>
      <c r="AH6379" s="2" t="str">
        <f ca="1"/>
        <v>OK</v>
      </c>
    </row>
    <row r="6380" spans="2:34" x14ac:dyDescent="0.2">
      <c r="B6380" s="2">
        <f ca="1"/>
        <v>0.41234318709098039</v>
      </c>
      <c r="O6380" s="2">
        <f ca="1"/>
        <v>0.87259722577623511</v>
      </c>
      <c r="X6380" s="2">
        <f ca="1"/>
        <v>89.237876793000567</v>
      </c>
      <c r="AG6380" s="2">
        <f ca="1"/>
        <v>0.49381912106196002</v>
      </c>
      <c r="AH6380" s="2" t="str">
        <f ca="1"/>
        <v>Bad</v>
      </c>
    </row>
    <row r="6381" spans="2:34" x14ac:dyDescent="0.2">
      <c r="B6381" s="2">
        <f ca="1"/>
        <v>0.70764076110377738</v>
      </c>
      <c r="O6381" s="2">
        <f ca="1"/>
        <v>0.15505408232651466</v>
      </c>
      <c r="X6381" s="2">
        <f ca="1"/>
        <v>47.931792782568621</v>
      </c>
      <c r="AG6381" s="2">
        <f ca="1"/>
        <v>0.692534128217557</v>
      </c>
      <c r="AH6381" s="2" t="str">
        <f ca="1"/>
        <v>Bad</v>
      </c>
    </row>
    <row r="6382" spans="2:34" x14ac:dyDescent="0.2">
      <c r="B6382" s="2">
        <f ca="1"/>
        <v>0.69300663676770857</v>
      </c>
      <c r="O6382" s="2">
        <f ca="1"/>
        <v>1.3344504371558632</v>
      </c>
      <c r="X6382" s="2">
        <f ca="1"/>
        <v>44.333517098341389</v>
      </c>
      <c r="AG6382" s="2">
        <f ca="1"/>
        <v>0.1236975659786046</v>
      </c>
      <c r="AH6382" s="2" t="str">
        <f ca="1"/>
        <v>OK</v>
      </c>
    </row>
    <row r="6383" spans="2:34" x14ac:dyDescent="0.2">
      <c r="B6383" s="2">
        <f ca="1"/>
        <v>9.8638296721707652E-2</v>
      </c>
      <c r="O6383" s="2">
        <f ca="1"/>
        <v>1.4074703111012432</v>
      </c>
      <c r="X6383" s="2">
        <f ca="1"/>
        <v>66.841662622850521</v>
      </c>
      <c r="AG6383" s="2">
        <f ca="1"/>
        <v>0.8510679589305683</v>
      </c>
      <c r="AH6383" s="2" t="str">
        <f ca="1"/>
        <v>Bad</v>
      </c>
    </row>
    <row r="6384" spans="2:34" x14ac:dyDescent="0.2">
      <c r="B6384" s="2">
        <f ca="1"/>
        <v>0.47426305242451039</v>
      </c>
      <c r="O6384" s="2">
        <f ca="1"/>
        <v>0.95985046791021122</v>
      </c>
      <c r="X6384" s="2">
        <f ca="1"/>
        <v>34.672326311450995</v>
      </c>
      <c r="AG6384" s="2">
        <f ca="1"/>
        <v>0.65711202127668322</v>
      </c>
      <c r="AH6384" s="2" t="str">
        <f ca="1"/>
        <v>Bad</v>
      </c>
    </row>
    <row r="6385" spans="2:34" x14ac:dyDescent="0.2">
      <c r="B6385" s="2">
        <f ca="1"/>
        <v>0.31153492708227959</v>
      </c>
      <c r="O6385" s="2">
        <f ca="1"/>
        <v>1.3993102928396002</v>
      </c>
      <c r="X6385" s="2">
        <f ca="1"/>
        <v>59.070410423824349</v>
      </c>
      <c r="AG6385" s="2">
        <f ca="1"/>
        <v>0.652531549351824</v>
      </c>
      <c r="AH6385" s="2" t="str">
        <f ca="1"/>
        <v>Bad</v>
      </c>
    </row>
    <row r="6386" spans="2:34" x14ac:dyDescent="0.2">
      <c r="B6386" s="2">
        <f ca="1"/>
        <v>0.50584148674078189</v>
      </c>
      <c r="O6386" s="2">
        <f ca="1"/>
        <v>0.59263504431027381</v>
      </c>
      <c r="X6386" s="2">
        <f ca="1"/>
        <v>56.42251312461471</v>
      </c>
      <c r="AG6386" s="2">
        <f ca="1"/>
        <v>0.73181140085494345</v>
      </c>
      <c r="AH6386" s="2" t="str">
        <f ca="1"/>
        <v>Bad</v>
      </c>
    </row>
    <row r="6387" spans="2:34" x14ac:dyDescent="0.2">
      <c r="B6387" s="2">
        <f ca="1"/>
        <v>9.6033073117022916E-2</v>
      </c>
      <c r="O6387" s="2">
        <f ca="1"/>
        <v>-0.71443974491772066</v>
      </c>
      <c r="X6387" s="2">
        <f ca="1"/>
        <v>50.158389845816941</v>
      </c>
      <c r="AG6387" s="2">
        <f ca="1"/>
        <v>0.49415740539147812</v>
      </c>
      <c r="AH6387" s="2" t="str">
        <f ca="1"/>
        <v>Bad</v>
      </c>
    </row>
    <row r="6388" spans="2:34" x14ac:dyDescent="0.2">
      <c r="B6388" s="2">
        <f ca="1"/>
        <v>0.38289868763131629</v>
      </c>
      <c r="O6388" s="2">
        <f ca="1"/>
        <v>-0.42482223080618436</v>
      </c>
      <c r="X6388" s="2">
        <f ca="1"/>
        <v>51.327161306357503</v>
      </c>
      <c r="AG6388" s="2">
        <f ca="1"/>
        <v>2.0147577727986921E-3</v>
      </c>
      <c r="AH6388" s="2" t="str">
        <f ca="1"/>
        <v>Good</v>
      </c>
    </row>
    <row r="6389" spans="2:34" x14ac:dyDescent="0.2">
      <c r="B6389" s="2">
        <f ca="1"/>
        <v>6.0233849628770431E-2</v>
      </c>
      <c r="O6389" s="2">
        <f ca="1"/>
        <v>-3.1000613023790414E-2</v>
      </c>
      <c r="X6389" s="2">
        <f ca="1"/>
        <v>39.171183751303211</v>
      </c>
      <c r="AG6389" s="2">
        <f ca="1"/>
        <v>0.40657355664886907</v>
      </c>
      <c r="AH6389" s="2" t="str">
        <f ca="1"/>
        <v>Bad</v>
      </c>
    </row>
    <row r="6390" spans="2:34" x14ac:dyDescent="0.2">
      <c r="B6390" s="2">
        <f ca="1"/>
        <v>0.62307201065483486</v>
      </c>
      <c r="O6390" s="2">
        <f ca="1"/>
        <v>-1.4832390852627804</v>
      </c>
      <c r="X6390" s="2">
        <f ca="1"/>
        <v>37.123439423407717</v>
      </c>
      <c r="AG6390" s="2">
        <f ca="1"/>
        <v>0.91890198657733935</v>
      </c>
      <c r="AH6390" s="2" t="str">
        <f ca="1"/>
        <v>Bad</v>
      </c>
    </row>
    <row r="6391" spans="2:34" x14ac:dyDescent="0.2">
      <c r="B6391" s="2">
        <f ca="1"/>
        <v>0.29554347754368626</v>
      </c>
      <c r="O6391" s="2">
        <f ca="1"/>
        <v>0.91094773796984607</v>
      </c>
      <c r="X6391" s="2">
        <f ca="1"/>
        <v>50.412351800264396</v>
      </c>
      <c r="AG6391" s="2">
        <f ca="1"/>
        <v>0.89903755330741419</v>
      </c>
      <c r="AH6391" s="2" t="str">
        <f ca="1"/>
        <v>Bad</v>
      </c>
    </row>
    <row r="6392" spans="2:34" x14ac:dyDescent="0.2">
      <c r="B6392" s="2">
        <f ca="1"/>
        <v>5.1943446298949647E-2</v>
      </c>
      <c r="O6392" s="2">
        <f ca="1"/>
        <v>0.53685719000826648</v>
      </c>
      <c r="X6392" s="2">
        <f ca="1"/>
        <v>39.711124615948208</v>
      </c>
      <c r="AG6392" s="2">
        <f ca="1"/>
        <v>0.63105070366904559</v>
      </c>
      <c r="AH6392" s="2" t="str">
        <f ca="1"/>
        <v>Bad</v>
      </c>
    </row>
    <row r="6393" spans="2:34" x14ac:dyDescent="0.2">
      <c r="B6393" s="2">
        <f ca="1"/>
        <v>0.53093466220003793</v>
      </c>
      <c r="O6393" s="2">
        <f ca="1"/>
        <v>0.46052253730279968</v>
      </c>
      <c r="X6393" s="2">
        <f ca="1"/>
        <v>32.731342614255247</v>
      </c>
      <c r="AG6393" s="2">
        <f ca="1"/>
        <v>0.11327541287975307</v>
      </c>
      <c r="AH6393" s="2" t="str">
        <f ca="1"/>
        <v>OK</v>
      </c>
    </row>
    <row r="6394" spans="2:34" x14ac:dyDescent="0.2">
      <c r="B6394" s="2">
        <f ca="1"/>
        <v>0.69058094790821722</v>
      </c>
      <c r="O6394" s="2">
        <f ca="1"/>
        <v>1.127017490948989</v>
      </c>
      <c r="X6394" s="2">
        <f ca="1"/>
        <v>30.995692693075497</v>
      </c>
      <c r="AG6394" s="2">
        <f ca="1"/>
        <v>0.1533368143063969</v>
      </c>
      <c r="AH6394" s="2" t="str">
        <f ca="1"/>
        <v>OK</v>
      </c>
    </row>
    <row r="6395" spans="2:34" x14ac:dyDescent="0.2">
      <c r="B6395" s="2">
        <f ca="1"/>
        <v>0.41574914022222487</v>
      </c>
      <c r="O6395" s="2">
        <f ca="1"/>
        <v>-0.40845726794617787</v>
      </c>
      <c r="X6395" s="2">
        <f ca="1"/>
        <v>37.919588050786921</v>
      </c>
      <c r="AG6395" s="2">
        <f ca="1"/>
        <v>0.18819123091191625</v>
      </c>
      <c r="AH6395" s="2" t="str">
        <f ca="1"/>
        <v>OK</v>
      </c>
    </row>
    <row r="6396" spans="2:34" x14ac:dyDescent="0.2">
      <c r="B6396" s="2">
        <f ca="1"/>
        <v>0.79786272554955384</v>
      </c>
      <c r="O6396" s="2">
        <f ca="1"/>
        <v>0.94492535288655521</v>
      </c>
      <c r="X6396" s="2">
        <f ca="1"/>
        <v>75.066308989230507</v>
      </c>
      <c r="AG6396" s="2">
        <f ca="1"/>
        <v>0.68310224592778712</v>
      </c>
      <c r="AH6396" s="2" t="str">
        <f ca="1"/>
        <v>Bad</v>
      </c>
    </row>
    <row r="6397" spans="2:34" x14ac:dyDescent="0.2">
      <c r="B6397" s="2">
        <f ca="1"/>
        <v>8.8676099474701564E-2</v>
      </c>
      <c r="O6397" s="2">
        <f ca="1"/>
        <v>-0.38141279426652497</v>
      </c>
      <c r="X6397" s="2">
        <f ca="1"/>
        <v>31.248928492958182</v>
      </c>
      <c r="AG6397" s="2">
        <f ca="1"/>
        <v>0.3055427185853179</v>
      </c>
      <c r="AH6397" s="2" t="str">
        <f ca="1"/>
        <v>OK</v>
      </c>
    </row>
    <row r="6398" spans="2:34" x14ac:dyDescent="0.2">
      <c r="B6398" s="2">
        <f ca="1"/>
        <v>0.37250243122090243</v>
      </c>
      <c r="O6398" s="2">
        <f ca="1"/>
        <v>0.6417650325762676</v>
      </c>
      <c r="X6398" s="2">
        <f ca="1"/>
        <v>24.611372142043454</v>
      </c>
      <c r="AG6398" s="2">
        <f ca="1"/>
        <v>0.12700309833642498</v>
      </c>
      <c r="AH6398" s="2" t="str">
        <f ca="1"/>
        <v>OK</v>
      </c>
    </row>
    <row r="6399" spans="2:34" x14ac:dyDescent="0.2">
      <c r="B6399" s="2">
        <f ca="1"/>
        <v>0.59222310943283296</v>
      </c>
      <c r="O6399" s="2">
        <f ca="1"/>
        <v>4.0275936447276527E-2</v>
      </c>
      <c r="X6399" s="2">
        <f ca="1"/>
        <v>51.980243445620431</v>
      </c>
      <c r="AG6399" s="2">
        <f ca="1"/>
        <v>0.10685750937327598</v>
      </c>
      <c r="AH6399" s="2" t="str">
        <f ca="1"/>
        <v>OK</v>
      </c>
    </row>
    <row r="6400" spans="2:34" x14ac:dyDescent="0.2">
      <c r="B6400" s="2">
        <f ca="1"/>
        <v>0.79334753877610487</v>
      </c>
      <c r="O6400" s="2">
        <f ca="1"/>
        <v>0.15926218454501745</v>
      </c>
      <c r="X6400" s="2">
        <f ca="1"/>
        <v>57.035315199068357</v>
      </c>
      <c r="AG6400" s="2">
        <f ca="1"/>
        <v>0.11739593879276566</v>
      </c>
      <c r="AH6400" s="2" t="str">
        <f ca="1"/>
        <v>OK</v>
      </c>
    </row>
    <row r="6401" spans="2:34" x14ac:dyDescent="0.2">
      <c r="B6401" s="2">
        <f ca="1"/>
        <v>0.50643048105963717</v>
      </c>
      <c r="O6401" s="2">
        <f ca="1"/>
        <v>1.4766891366816661</v>
      </c>
      <c r="X6401" s="2">
        <f ca="1"/>
        <v>60.547860879110189</v>
      </c>
      <c r="AG6401" s="2">
        <f ca="1"/>
        <v>0.78683573587125832</v>
      </c>
      <c r="AH6401" s="2" t="str">
        <f ca="1"/>
        <v>Bad</v>
      </c>
    </row>
    <row r="6402" spans="2:34" x14ac:dyDescent="0.2">
      <c r="B6402" s="2">
        <f ca="1"/>
        <v>0.91019594970673201</v>
      </c>
      <c r="O6402" s="2">
        <f ca="1"/>
        <v>-0.19924770682343082</v>
      </c>
      <c r="X6402" s="2">
        <f ca="1"/>
        <v>68.99739718926935</v>
      </c>
      <c r="AG6402" s="2">
        <f ca="1"/>
        <v>0.5344013505840608</v>
      </c>
      <c r="AH6402" s="2" t="str">
        <f ca="1"/>
        <v>Bad</v>
      </c>
    </row>
    <row r="6403" spans="2:34" x14ac:dyDescent="0.2">
      <c r="B6403" s="2">
        <f ca="1"/>
        <v>0.2836951682268003</v>
      </c>
      <c r="O6403" s="2">
        <f ca="1"/>
        <v>0.55128646482415666</v>
      </c>
      <c r="X6403" s="2">
        <f ca="1"/>
        <v>38.943679733117278</v>
      </c>
      <c r="AG6403" s="2">
        <f ca="1"/>
        <v>1.9997274412510535E-2</v>
      </c>
      <c r="AH6403" s="2" t="str">
        <f ca="1"/>
        <v>Good</v>
      </c>
    </row>
    <row r="6404" spans="2:34" x14ac:dyDescent="0.2">
      <c r="B6404" s="2">
        <f ca="1"/>
        <v>0.98756360512101216</v>
      </c>
      <c r="O6404" s="2">
        <f ca="1"/>
        <v>-0.46178181442850513</v>
      </c>
      <c r="X6404" s="2">
        <f ca="1"/>
        <v>43.824388000354915</v>
      </c>
      <c r="AG6404" s="2">
        <f ca="1"/>
        <v>0.58950002647862787</v>
      </c>
      <c r="AH6404" s="2" t="str">
        <f ca="1"/>
        <v>Bad</v>
      </c>
    </row>
    <row r="6405" spans="2:34" x14ac:dyDescent="0.2">
      <c r="B6405" s="2">
        <f ca="1"/>
        <v>0.59692643572336213</v>
      </c>
      <c r="O6405" s="2">
        <f ca="1"/>
        <v>-8.8393459592719575E-2</v>
      </c>
      <c r="X6405" s="2">
        <f ca="1"/>
        <v>59.480529705495321</v>
      </c>
      <c r="AG6405" s="2">
        <f ca="1"/>
        <v>0.45675814506807511</v>
      </c>
      <c r="AH6405" s="2" t="str">
        <f ca="1"/>
        <v>Bad</v>
      </c>
    </row>
    <row r="6406" spans="2:34" x14ac:dyDescent="0.2">
      <c r="B6406" s="2">
        <f ca="1"/>
        <v>0.19148317757852418</v>
      </c>
      <c r="O6406" s="2">
        <f ca="1"/>
        <v>-0.63993245064816384</v>
      </c>
      <c r="X6406" s="2">
        <f ca="1"/>
        <v>47.811097711091875</v>
      </c>
      <c r="AG6406" s="2">
        <f ca="1"/>
        <v>0.85996711307662599</v>
      </c>
      <c r="AH6406" s="2" t="str">
        <f ca="1"/>
        <v>Bad</v>
      </c>
    </row>
    <row r="6407" spans="2:34" x14ac:dyDescent="0.2">
      <c r="B6407" s="2">
        <f ca="1"/>
        <v>0.58154614383222847</v>
      </c>
      <c r="O6407" s="2">
        <f ca="1"/>
        <v>1.164451401282403</v>
      </c>
      <c r="X6407" s="2">
        <f ca="1"/>
        <v>80.272791296026682</v>
      </c>
      <c r="AG6407" s="2">
        <f ca="1"/>
        <v>0.32557517235479883</v>
      </c>
      <c r="AH6407" s="2" t="str">
        <f ca="1"/>
        <v>OK</v>
      </c>
    </row>
    <row r="6408" spans="2:34" x14ac:dyDescent="0.2">
      <c r="B6408" s="2">
        <f ca="1"/>
        <v>0.27618166574157943</v>
      </c>
      <c r="O6408" s="2">
        <f ca="1"/>
        <v>5.3793520106267763E-2</v>
      </c>
      <c r="X6408" s="2">
        <f ca="1"/>
        <v>44.301364096360558</v>
      </c>
      <c r="AG6408" s="2">
        <f ca="1"/>
        <v>4.8880042278691471E-2</v>
      </c>
      <c r="AH6408" s="2" t="str">
        <f ca="1"/>
        <v>Good</v>
      </c>
    </row>
    <row r="6409" spans="2:34" x14ac:dyDescent="0.2">
      <c r="B6409" s="2">
        <f ca="1"/>
        <v>0.23011367689227247</v>
      </c>
      <c r="O6409" s="2">
        <f ca="1"/>
        <v>0.61007858430469042</v>
      </c>
      <c r="X6409" s="2">
        <f ca="1"/>
        <v>56.328585655243202</v>
      </c>
      <c r="AG6409" s="2">
        <f ca="1"/>
        <v>0.75659309500738137</v>
      </c>
      <c r="AH6409" s="2" t="str">
        <f ca="1"/>
        <v>Bad</v>
      </c>
    </row>
    <row r="6410" spans="2:34" x14ac:dyDescent="0.2">
      <c r="B6410" s="2">
        <f ca="1"/>
        <v>0.50990020519336809</v>
      </c>
      <c r="O6410" s="2">
        <f ca="1"/>
        <v>0.98600977599373862</v>
      </c>
      <c r="X6410" s="2">
        <f ca="1"/>
        <v>48.767640418014786</v>
      </c>
      <c r="AG6410" s="2">
        <f ca="1"/>
        <v>0.77781821939649709</v>
      </c>
      <c r="AH6410" s="2" t="str">
        <f ca="1"/>
        <v>Bad</v>
      </c>
    </row>
    <row r="6411" spans="2:34" x14ac:dyDescent="0.2">
      <c r="B6411" s="2">
        <f ca="1"/>
        <v>0.18471261854653864</v>
      </c>
      <c r="O6411" s="2">
        <f ca="1"/>
        <v>0.22649670898605198</v>
      </c>
      <c r="X6411" s="2">
        <f ca="1"/>
        <v>41.151779487100086</v>
      </c>
      <c r="AG6411" s="2">
        <f ca="1"/>
        <v>1.7597048382865577E-2</v>
      </c>
      <c r="AH6411" s="2" t="str">
        <f ca="1"/>
        <v>Good</v>
      </c>
    </row>
    <row r="6412" spans="2:34" x14ac:dyDescent="0.2">
      <c r="B6412" s="2">
        <f ca="1"/>
        <v>0.24535672365974781</v>
      </c>
      <c r="O6412" s="2">
        <f ca="1"/>
        <v>-0.37143464482292571</v>
      </c>
      <c r="X6412" s="2">
        <f ca="1"/>
        <v>58.086559124638285</v>
      </c>
      <c r="AG6412" s="2">
        <f ca="1"/>
        <v>0.36054514551644856</v>
      </c>
      <c r="AH6412" s="2" t="str">
        <f ca="1"/>
        <v>OK</v>
      </c>
    </row>
    <row r="6413" spans="2:34" x14ac:dyDescent="0.2">
      <c r="B6413" s="2">
        <f ca="1"/>
        <v>0.77540320087886183</v>
      </c>
      <c r="O6413" s="2">
        <f ca="1"/>
        <v>0.36818453556978781</v>
      </c>
      <c r="X6413" s="2">
        <f ca="1"/>
        <v>49.161356920368426</v>
      </c>
      <c r="AG6413" s="2">
        <f ca="1"/>
        <v>8.5561646377219081E-2</v>
      </c>
      <c r="AH6413" s="2" t="str">
        <f ca="1"/>
        <v>OK</v>
      </c>
    </row>
    <row r="6414" spans="2:34" x14ac:dyDescent="0.2">
      <c r="B6414" s="2">
        <f ca="1"/>
        <v>0.93162746702417887</v>
      </c>
      <c r="O6414" s="2">
        <f ca="1"/>
        <v>4.8349907167380163E-2</v>
      </c>
      <c r="X6414" s="2">
        <f ca="1"/>
        <v>34.950671849150076</v>
      </c>
      <c r="AG6414" s="2">
        <f ca="1"/>
        <v>0.58129705488503602</v>
      </c>
      <c r="AH6414" s="2" t="str">
        <f ca="1"/>
        <v>Bad</v>
      </c>
    </row>
    <row r="6415" spans="2:34" x14ac:dyDescent="0.2">
      <c r="B6415" s="2">
        <f ca="1"/>
        <v>0.22971869273889434</v>
      </c>
      <c r="O6415" s="2">
        <f ca="1"/>
        <v>0.47423381838494943</v>
      </c>
      <c r="X6415" s="2">
        <f ca="1"/>
        <v>36.450345199656716</v>
      </c>
      <c r="AG6415" s="2">
        <f ca="1"/>
        <v>0.71775255032815166</v>
      </c>
      <c r="AH6415" s="2" t="str">
        <f ca="1"/>
        <v>Bad</v>
      </c>
    </row>
    <row r="6416" spans="2:34" x14ac:dyDescent="0.2">
      <c r="B6416" s="2">
        <f ca="1"/>
        <v>0.69639544406287213</v>
      </c>
      <c r="O6416" s="2">
        <f ca="1"/>
        <v>-1.4004452473651976</v>
      </c>
      <c r="X6416" s="2">
        <f ca="1"/>
        <v>51.553593415317465</v>
      </c>
      <c r="AG6416" s="2">
        <f ca="1"/>
        <v>0.74788062031347224</v>
      </c>
      <c r="AH6416" s="2" t="str">
        <f ca="1"/>
        <v>Bad</v>
      </c>
    </row>
    <row r="6417" spans="2:34" x14ac:dyDescent="0.2">
      <c r="B6417" s="2">
        <f ca="1"/>
        <v>0.70385190515846086</v>
      </c>
      <c r="O6417" s="2">
        <f ca="1"/>
        <v>0.20994318015086819</v>
      </c>
      <c r="X6417" s="2">
        <f ca="1"/>
        <v>30.828049255803872</v>
      </c>
      <c r="AG6417" s="2">
        <f ca="1"/>
        <v>0.2925779904509076</v>
      </c>
      <c r="AH6417" s="2" t="str">
        <f ca="1"/>
        <v>OK</v>
      </c>
    </row>
    <row r="6418" spans="2:34" x14ac:dyDescent="0.2">
      <c r="B6418" s="2">
        <f ca="1"/>
        <v>0.75954249979933608</v>
      </c>
      <c r="O6418" s="2">
        <f ca="1"/>
        <v>-0.87542546816182321</v>
      </c>
      <c r="X6418" s="2">
        <f ca="1"/>
        <v>50.13507431796554</v>
      </c>
      <c r="AG6418" s="2">
        <f ca="1"/>
        <v>0.28041359519266473</v>
      </c>
      <c r="AH6418" s="2" t="str">
        <f ca="1"/>
        <v>OK</v>
      </c>
    </row>
    <row r="6419" spans="2:34" x14ac:dyDescent="0.2">
      <c r="B6419" s="2">
        <f ca="1"/>
        <v>0.21863633960874784</v>
      </c>
      <c r="O6419" s="2">
        <f ca="1"/>
        <v>-1.1921628845992125</v>
      </c>
      <c r="X6419" s="2">
        <f ca="1"/>
        <v>41.741763376854841</v>
      </c>
      <c r="AG6419" s="2">
        <f ca="1"/>
        <v>4.6464049342390012E-2</v>
      </c>
      <c r="AH6419" s="2" t="str">
        <f ca="1"/>
        <v>Good</v>
      </c>
    </row>
    <row r="6420" spans="2:34" x14ac:dyDescent="0.2">
      <c r="B6420" s="2">
        <f ca="1"/>
        <v>0.29966650328593802</v>
      </c>
      <c r="O6420" s="2">
        <f ca="1"/>
        <v>-0.45752729327116465</v>
      </c>
      <c r="X6420" s="2">
        <f ca="1"/>
        <v>25.724399429233216</v>
      </c>
      <c r="AG6420" s="2">
        <f ca="1"/>
        <v>0.49128134519697464</v>
      </c>
      <c r="AH6420" s="2" t="str">
        <f ca="1"/>
        <v>Bad</v>
      </c>
    </row>
    <row r="6421" spans="2:34" x14ac:dyDescent="0.2">
      <c r="B6421" s="2">
        <f ca="1"/>
        <v>3.7253657465668777E-2</v>
      </c>
      <c r="O6421" s="2">
        <f ca="1"/>
        <v>0.45126046888965732</v>
      </c>
      <c r="X6421" s="2">
        <f ca="1"/>
        <v>45.849577351892137</v>
      </c>
      <c r="AG6421" s="2">
        <f ca="1"/>
        <v>0.75638997239482375</v>
      </c>
      <c r="AH6421" s="2" t="str">
        <f ca="1"/>
        <v>Bad</v>
      </c>
    </row>
    <row r="6422" spans="2:34" x14ac:dyDescent="0.2">
      <c r="B6422" s="2">
        <f ca="1"/>
        <v>0.85407461095734405</v>
      </c>
      <c r="O6422" s="2">
        <f ca="1"/>
        <v>0.37183174035528899</v>
      </c>
      <c r="X6422" s="2">
        <f ca="1"/>
        <v>52.892127355179667</v>
      </c>
      <c r="AG6422" s="2">
        <f ca="1"/>
        <v>0.40217976896660979</v>
      </c>
      <c r="AH6422" s="2" t="str">
        <f ca="1"/>
        <v>Bad</v>
      </c>
    </row>
    <row r="6423" spans="2:34" x14ac:dyDescent="0.2">
      <c r="B6423" s="2">
        <f ca="1"/>
        <v>1.3264253045097929E-2</v>
      </c>
      <c r="O6423" s="2">
        <f ca="1"/>
        <v>0.90102098380723517</v>
      </c>
      <c r="X6423" s="2">
        <f ca="1"/>
        <v>52.918878299859557</v>
      </c>
      <c r="AG6423" s="2">
        <f ca="1"/>
        <v>0.53688634275029101</v>
      </c>
      <c r="AH6423" s="2" t="str">
        <f ca="1"/>
        <v>Bad</v>
      </c>
    </row>
    <row r="6424" spans="2:34" x14ac:dyDescent="0.2">
      <c r="B6424" s="2">
        <f ca="1"/>
        <v>8.9989435372275661E-2</v>
      </c>
      <c r="O6424" s="2">
        <f ca="1"/>
        <v>0.72287771648720645</v>
      </c>
      <c r="X6424" s="2">
        <f ca="1"/>
        <v>64.088130159932717</v>
      </c>
      <c r="AG6424" s="2">
        <f ca="1"/>
        <v>0.25826876995061121</v>
      </c>
      <c r="AH6424" s="2" t="str">
        <f ca="1"/>
        <v>OK</v>
      </c>
    </row>
    <row r="6425" spans="2:34" x14ac:dyDescent="0.2">
      <c r="B6425" s="2">
        <f ca="1"/>
        <v>0.1515564753682539</v>
      </c>
      <c r="O6425" s="2">
        <f ca="1"/>
        <v>-1.1983850055860419</v>
      </c>
      <c r="X6425" s="2">
        <f ca="1"/>
        <v>38.839776114317438</v>
      </c>
      <c r="AG6425" s="2">
        <f ca="1"/>
        <v>0.26062373680387507</v>
      </c>
      <c r="AH6425" s="2" t="str">
        <f ca="1"/>
        <v>OK</v>
      </c>
    </row>
    <row r="6426" spans="2:34" x14ac:dyDescent="0.2">
      <c r="B6426" s="2">
        <f ca="1"/>
        <v>0.88442350742713383</v>
      </c>
      <c r="O6426" s="2">
        <f ca="1"/>
        <v>-0.92684635409835914</v>
      </c>
      <c r="X6426" s="2">
        <f ca="1"/>
        <v>45.816262568660953</v>
      </c>
      <c r="AG6426" s="2">
        <f ca="1"/>
        <v>0.50555052458635963</v>
      </c>
      <c r="AH6426" s="2" t="str">
        <f ca="1"/>
        <v>Bad</v>
      </c>
    </row>
    <row r="6427" spans="2:34" x14ac:dyDescent="0.2">
      <c r="B6427" s="2">
        <f ca="1"/>
        <v>0.77696200236888635</v>
      </c>
      <c r="O6427" s="2">
        <f ca="1"/>
        <v>1.2608096789743317</v>
      </c>
      <c r="X6427" s="2">
        <f ca="1"/>
        <v>89.006322155294015</v>
      </c>
      <c r="AG6427" s="2">
        <f ca="1"/>
        <v>0.45564066925040736</v>
      </c>
      <c r="AH6427" s="2" t="str">
        <f ca="1"/>
        <v>Bad</v>
      </c>
    </row>
    <row r="6428" spans="2:34" x14ac:dyDescent="0.2">
      <c r="B6428" s="2">
        <f ca="1"/>
        <v>0.14080671410427503</v>
      </c>
      <c r="O6428" s="2">
        <f ca="1"/>
        <v>0.72707820464615613</v>
      </c>
      <c r="X6428" s="2">
        <f ca="1"/>
        <v>33.22453888501596</v>
      </c>
      <c r="AG6428" s="2">
        <f ca="1"/>
        <v>0.14065055569685958</v>
      </c>
      <c r="AH6428" s="2" t="str">
        <f ca="1"/>
        <v>OK</v>
      </c>
    </row>
    <row r="6429" spans="2:34" x14ac:dyDescent="0.2">
      <c r="B6429" s="2">
        <f ca="1"/>
        <v>0.41780403077351513</v>
      </c>
      <c r="O6429" s="2">
        <f ca="1"/>
        <v>1.2101316407148135</v>
      </c>
      <c r="X6429" s="2">
        <f ca="1"/>
        <v>50.299541466074217</v>
      </c>
      <c r="AG6429" s="2">
        <f ca="1"/>
        <v>0.7241706621986681</v>
      </c>
      <c r="AH6429" s="2" t="str">
        <f ca="1"/>
        <v>Bad</v>
      </c>
    </row>
    <row r="6430" spans="2:34" x14ac:dyDescent="0.2">
      <c r="B6430" s="2">
        <f ca="1"/>
        <v>0.10870709324792793</v>
      </c>
      <c r="O6430" s="2">
        <f ca="1"/>
        <v>-0.16113108879051674</v>
      </c>
      <c r="X6430" s="2">
        <f ca="1"/>
        <v>41.413650097605455</v>
      </c>
      <c r="AG6430" s="2">
        <f ca="1"/>
        <v>0.63520689071737158</v>
      </c>
      <c r="AH6430" s="2" t="str">
        <f ca="1"/>
        <v>Bad</v>
      </c>
    </row>
    <row r="6431" spans="2:34" x14ac:dyDescent="0.2">
      <c r="B6431" s="2">
        <f ca="1"/>
        <v>0.8870222891595767</v>
      </c>
      <c r="O6431" s="2">
        <f ca="1"/>
        <v>-0.16912339508470212</v>
      </c>
      <c r="X6431" s="2">
        <f ca="1"/>
        <v>39.685732591960246</v>
      </c>
      <c r="AG6431" s="2">
        <f ca="1"/>
        <v>0.4794757719829672</v>
      </c>
      <c r="AH6431" s="2" t="str">
        <f ca="1"/>
        <v>Bad</v>
      </c>
    </row>
    <row r="6432" spans="2:34" x14ac:dyDescent="0.2">
      <c r="B6432" s="2">
        <f ca="1"/>
        <v>0.76487191888764006</v>
      </c>
      <c r="O6432" s="2">
        <f ca="1"/>
        <v>-0.34757833403373106</v>
      </c>
      <c r="X6432" s="2">
        <f ca="1"/>
        <v>33.480275560860029</v>
      </c>
      <c r="AG6432" s="2">
        <f ca="1"/>
        <v>0.83322174559776419</v>
      </c>
      <c r="AH6432" s="2" t="str">
        <f ca="1"/>
        <v>Bad</v>
      </c>
    </row>
    <row r="6433" spans="2:34" x14ac:dyDescent="0.2">
      <c r="B6433" s="2">
        <f ca="1"/>
        <v>0.95816697798628891</v>
      </c>
      <c r="O6433" s="2">
        <f ca="1"/>
        <v>-3.8738207657039396</v>
      </c>
      <c r="X6433" s="2">
        <f ca="1"/>
        <v>28.192190551935248</v>
      </c>
      <c r="AG6433" s="2">
        <f ca="1"/>
        <v>0.26385388690346256</v>
      </c>
      <c r="AH6433" s="2" t="str">
        <f ca="1"/>
        <v>OK</v>
      </c>
    </row>
    <row r="6434" spans="2:34" x14ac:dyDescent="0.2">
      <c r="B6434" s="2">
        <f ca="1"/>
        <v>0.81516993539004945</v>
      </c>
      <c r="O6434" s="2">
        <f ca="1"/>
        <v>0.7297977948775497</v>
      </c>
      <c r="X6434" s="2">
        <f ca="1"/>
        <v>34.102236381459434</v>
      </c>
      <c r="AG6434" s="2">
        <f ca="1"/>
        <v>3.1638166220298691E-2</v>
      </c>
      <c r="AH6434" s="2" t="str">
        <f ca="1"/>
        <v>Good</v>
      </c>
    </row>
    <row r="6435" spans="2:34" x14ac:dyDescent="0.2">
      <c r="B6435" s="2">
        <f ca="1"/>
        <v>5.7954889499975959E-3</v>
      </c>
      <c r="O6435" s="2">
        <f ca="1"/>
        <v>1.1899245200124729E-2</v>
      </c>
      <c r="X6435" s="2">
        <f ca="1"/>
        <v>39.068759925388392</v>
      </c>
      <c r="AG6435" s="2">
        <f ca="1"/>
        <v>0.42293127663273911</v>
      </c>
      <c r="AH6435" s="2" t="str">
        <f ca="1"/>
        <v>Bad</v>
      </c>
    </row>
    <row r="6436" spans="2:34" x14ac:dyDescent="0.2">
      <c r="B6436" s="2">
        <f ca="1"/>
        <v>0.5020155547329288</v>
      </c>
      <c r="O6436" s="2">
        <f ca="1"/>
        <v>-0.92488669601095375</v>
      </c>
      <c r="X6436" s="2">
        <f ca="1"/>
        <v>44.410947627236332</v>
      </c>
      <c r="AG6436" s="2">
        <f ca="1"/>
        <v>0.26041758844005414</v>
      </c>
      <c r="AH6436" s="2" t="str">
        <f ca="1"/>
        <v>OK</v>
      </c>
    </row>
    <row r="6437" spans="2:34" x14ac:dyDescent="0.2">
      <c r="B6437" s="2">
        <f ca="1"/>
        <v>0.5319373624782775</v>
      </c>
      <c r="O6437" s="2">
        <f ca="1"/>
        <v>0.9512835569135919</v>
      </c>
      <c r="X6437" s="2">
        <f ca="1"/>
        <v>51.332906398926355</v>
      </c>
      <c r="AG6437" s="2">
        <f ca="1"/>
        <v>0.43988008150809921</v>
      </c>
      <c r="AH6437" s="2" t="str">
        <f ca="1"/>
        <v>Bad</v>
      </c>
    </row>
    <row r="6438" spans="2:34" x14ac:dyDescent="0.2">
      <c r="B6438" s="2">
        <f ca="1"/>
        <v>0.51496930675019192</v>
      </c>
      <c r="O6438" s="2">
        <f ca="1"/>
        <v>-0.8000649929066258</v>
      </c>
      <c r="X6438" s="2">
        <f ca="1"/>
        <v>59.856863812663399</v>
      </c>
      <c r="AG6438" s="2">
        <f ca="1"/>
        <v>0.92539129775521523</v>
      </c>
      <c r="AH6438" s="2" t="str">
        <f ca="1"/>
        <v>Bad</v>
      </c>
    </row>
    <row r="6439" spans="2:34" x14ac:dyDescent="0.2">
      <c r="B6439" s="2">
        <f ca="1"/>
        <v>0.9283556102116961</v>
      </c>
      <c r="O6439" s="2">
        <f ca="1"/>
        <v>-1.3744028645933206</v>
      </c>
      <c r="X6439" s="2">
        <f ca="1"/>
        <v>74.16706503172351</v>
      </c>
      <c r="AG6439" s="2">
        <f ca="1"/>
        <v>0.76443771082278955</v>
      </c>
      <c r="AH6439" s="2" t="str">
        <f ca="1"/>
        <v>Bad</v>
      </c>
    </row>
    <row r="6440" spans="2:34" x14ac:dyDescent="0.2">
      <c r="B6440" s="2">
        <f ca="1"/>
        <v>0.92925223993490813</v>
      </c>
      <c r="O6440" s="2">
        <f ca="1"/>
        <v>-0.16900010357500123</v>
      </c>
      <c r="X6440" s="2">
        <f ca="1"/>
        <v>59.808909159524895</v>
      </c>
      <c r="AG6440" s="2">
        <f ca="1"/>
        <v>3.4746355281898067E-2</v>
      </c>
      <c r="AH6440" s="2" t="str">
        <f ca="1"/>
        <v>Good</v>
      </c>
    </row>
    <row r="6441" spans="2:34" x14ac:dyDescent="0.2">
      <c r="B6441" s="2">
        <f ca="1"/>
        <v>0.25165978746643636</v>
      </c>
      <c r="O6441" s="2">
        <f ca="1"/>
        <v>0.21505679184247892</v>
      </c>
      <c r="X6441" s="2">
        <f ca="1"/>
        <v>54.147664818775866</v>
      </c>
      <c r="AG6441" s="2">
        <f ca="1"/>
        <v>0.70601534285648526</v>
      </c>
      <c r="AH6441" s="2" t="str">
        <f ca="1"/>
        <v>Bad</v>
      </c>
    </row>
    <row r="6442" spans="2:34" x14ac:dyDescent="0.2">
      <c r="B6442" s="2">
        <f ca="1"/>
        <v>0.81002394184839788</v>
      </c>
      <c r="O6442" s="2">
        <f ca="1"/>
        <v>0.17134680007283395</v>
      </c>
      <c r="X6442" s="2">
        <f ca="1"/>
        <v>44.045717209919637</v>
      </c>
      <c r="AG6442" s="2">
        <f ca="1"/>
        <v>0.52660386717161667</v>
      </c>
      <c r="AH6442" s="2" t="str">
        <f ca="1"/>
        <v>Bad</v>
      </c>
    </row>
    <row r="6443" spans="2:34" x14ac:dyDescent="0.2">
      <c r="B6443" s="2">
        <f ca="1"/>
        <v>0.54237494647329343</v>
      </c>
      <c r="O6443" s="2">
        <f ca="1"/>
        <v>1.3374687140910655</v>
      </c>
      <c r="X6443" s="2">
        <f ca="1"/>
        <v>52.483776217428456</v>
      </c>
      <c r="AG6443" s="2">
        <f ca="1"/>
        <v>0.53338758794763752</v>
      </c>
      <c r="AH6443" s="2" t="str">
        <f ca="1"/>
        <v>Bad</v>
      </c>
    </row>
    <row r="6444" spans="2:34" x14ac:dyDescent="0.2">
      <c r="B6444" s="2">
        <f ca="1"/>
        <v>0.54308417458103952</v>
      </c>
      <c r="O6444" s="2">
        <f ca="1"/>
        <v>0.23054914569144666</v>
      </c>
      <c r="X6444" s="2">
        <f ca="1"/>
        <v>65.667330101695768</v>
      </c>
      <c r="AG6444" s="2">
        <f ca="1"/>
        <v>0.78023521875447321</v>
      </c>
      <c r="AH6444" s="2" t="str">
        <f ca="1"/>
        <v>Bad</v>
      </c>
    </row>
    <row r="6445" spans="2:34" x14ac:dyDescent="0.2">
      <c r="B6445" s="2">
        <f ca="1"/>
        <v>0.18673100988740132</v>
      </c>
      <c r="O6445" s="2">
        <f ca="1"/>
        <v>-1.4232002119755334</v>
      </c>
      <c r="X6445" s="2">
        <f ca="1"/>
        <v>58.148226754855308</v>
      </c>
      <c r="AG6445" s="2">
        <f ca="1"/>
        <v>0.54775930559024899</v>
      </c>
      <c r="AH6445" s="2" t="str">
        <f ca="1"/>
        <v>Bad</v>
      </c>
    </row>
    <row r="6446" spans="2:34" x14ac:dyDescent="0.2">
      <c r="B6446" s="2">
        <f ca="1"/>
        <v>1.7973540196626558E-2</v>
      </c>
      <c r="O6446" s="2">
        <f ca="1"/>
        <v>0.50720630546569168</v>
      </c>
      <c r="X6446" s="2">
        <f ca="1"/>
        <v>82.225527745831215</v>
      </c>
      <c r="AG6446" s="2">
        <f ca="1"/>
        <v>3.7234797255368601E-2</v>
      </c>
      <c r="AH6446" s="2" t="str">
        <f ca="1"/>
        <v>Good</v>
      </c>
    </row>
    <row r="6447" spans="2:34" x14ac:dyDescent="0.2">
      <c r="B6447" s="2">
        <f ca="1"/>
        <v>0.31472244982607611</v>
      </c>
      <c r="O6447" s="2">
        <f ca="1"/>
        <v>0.48650373957337872</v>
      </c>
      <c r="X6447" s="2">
        <f ca="1"/>
        <v>41.411279601101796</v>
      </c>
      <c r="AG6447" s="2">
        <f ca="1"/>
        <v>0.54199102399008314</v>
      </c>
      <c r="AH6447" s="2" t="str">
        <f ca="1"/>
        <v>Bad</v>
      </c>
    </row>
    <row r="6448" spans="2:34" x14ac:dyDescent="0.2">
      <c r="B6448" s="2">
        <f ca="1"/>
        <v>0.23876155823509659</v>
      </c>
      <c r="O6448" s="2">
        <f ca="1"/>
        <v>-0.7959438161887139</v>
      </c>
      <c r="X6448" s="2">
        <f ca="1"/>
        <v>34.86001340544361</v>
      </c>
      <c r="AG6448" s="2">
        <f ca="1"/>
        <v>0.93950019414315933</v>
      </c>
      <c r="AH6448" s="2" t="str">
        <f ca="1"/>
        <v>Bad</v>
      </c>
    </row>
    <row r="6449" spans="2:34" x14ac:dyDescent="0.2">
      <c r="B6449" s="2">
        <f ca="1"/>
        <v>0.79346282212660246</v>
      </c>
      <c r="O6449" s="2">
        <f ca="1"/>
        <v>0.86893116759340172</v>
      </c>
      <c r="X6449" s="2">
        <f ca="1"/>
        <v>34.565594238428083</v>
      </c>
      <c r="AG6449" s="2">
        <f ca="1"/>
        <v>0.27796972284833332</v>
      </c>
      <c r="AH6449" s="2" t="str">
        <f ca="1"/>
        <v>OK</v>
      </c>
    </row>
    <row r="6450" spans="2:34" x14ac:dyDescent="0.2">
      <c r="B6450" s="2">
        <f ca="1"/>
        <v>0.72118560185221026</v>
      </c>
      <c r="O6450" s="2">
        <f ca="1"/>
        <v>1.860492455346598</v>
      </c>
      <c r="X6450" s="2">
        <f ca="1"/>
        <v>47.461712935195095</v>
      </c>
      <c r="AG6450" s="2">
        <f ca="1"/>
        <v>0.51864646043755513</v>
      </c>
      <c r="AH6450" s="2" t="str">
        <f ca="1"/>
        <v>Bad</v>
      </c>
    </row>
    <row r="6451" spans="2:34" x14ac:dyDescent="0.2">
      <c r="B6451" s="2">
        <f ca="1"/>
        <v>5.5293052577114699E-2</v>
      </c>
      <c r="O6451" s="2">
        <f ca="1"/>
        <v>-1.2204292819281812</v>
      </c>
      <c r="X6451" s="2">
        <f ca="1"/>
        <v>41.675833704111668</v>
      </c>
      <c r="AG6451" s="2">
        <f ca="1"/>
        <v>0.26409930207476484</v>
      </c>
      <c r="AH6451" s="2" t="str">
        <f ca="1"/>
        <v>OK</v>
      </c>
    </row>
    <row r="6452" spans="2:34" x14ac:dyDescent="0.2">
      <c r="B6452" s="2">
        <f ca="1"/>
        <v>0.60137394264408539</v>
      </c>
      <c r="O6452" s="2">
        <f ca="1"/>
        <v>1.1123730774314016</v>
      </c>
      <c r="X6452" s="2">
        <f ca="1"/>
        <v>36.899468019099643</v>
      </c>
      <c r="AG6452" s="2">
        <f ca="1"/>
        <v>0.36809173219042757</v>
      </c>
      <c r="AH6452" s="2" t="str">
        <f ca="1"/>
        <v>OK</v>
      </c>
    </row>
    <row r="6453" spans="2:34" x14ac:dyDescent="0.2">
      <c r="B6453" s="2">
        <f ca="1"/>
        <v>0.99843625183925511</v>
      </c>
      <c r="O6453" s="2">
        <f ca="1"/>
        <v>1.0917421449279037</v>
      </c>
      <c r="X6453" s="2">
        <f ca="1"/>
        <v>76.992735148752473</v>
      </c>
      <c r="AG6453" s="2">
        <f ca="1"/>
        <v>0.20785966661769884</v>
      </c>
      <c r="AH6453" s="2" t="str">
        <f ca="1"/>
        <v>OK</v>
      </c>
    </row>
    <row r="6454" spans="2:34" x14ac:dyDescent="0.2">
      <c r="B6454" s="2">
        <f ca="1"/>
        <v>0.80447051168520445</v>
      </c>
      <c r="O6454" s="2">
        <f ca="1"/>
        <v>-1.0392035209598316</v>
      </c>
      <c r="X6454" s="2">
        <f ca="1"/>
        <v>38.729544569776351</v>
      </c>
      <c r="AG6454" s="2">
        <f ca="1"/>
        <v>0.71507445697766281</v>
      </c>
      <c r="AH6454" s="2" t="str">
        <f ca="1"/>
        <v>Bad</v>
      </c>
    </row>
    <row r="6455" spans="2:34" x14ac:dyDescent="0.2">
      <c r="B6455" s="2">
        <f ca="1"/>
        <v>0.80211509924894653</v>
      </c>
      <c r="O6455" s="2">
        <f ca="1"/>
        <v>1.2048102543769403</v>
      </c>
      <c r="X6455" s="2">
        <f ca="1"/>
        <v>38.58246494253563</v>
      </c>
      <c r="AG6455" s="2">
        <f ca="1"/>
        <v>0.9985118492786933</v>
      </c>
      <c r="AH6455" s="2" t="str">
        <f ca="1"/>
        <v>Bad</v>
      </c>
    </row>
    <row r="6456" spans="2:34" x14ac:dyDescent="0.2">
      <c r="B6456" s="2">
        <f ca="1"/>
        <v>0.77705237964505058</v>
      </c>
      <c r="O6456" s="2">
        <f ca="1"/>
        <v>-0.34017769640823664</v>
      </c>
      <c r="X6456" s="2">
        <f ca="1"/>
        <v>48.444069366254119</v>
      </c>
      <c r="AG6456" s="2">
        <f ca="1"/>
        <v>0.29445395412962294</v>
      </c>
      <c r="AH6456" s="2" t="str">
        <f ca="1"/>
        <v>OK</v>
      </c>
    </row>
    <row r="6457" spans="2:34" x14ac:dyDescent="0.2">
      <c r="B6457" s="2">
        <f ca="1"/>
        <v>0.58678128544901487</v>
      </c>
      <c r="O6457" s="2">
        <f ca="1"/>
        <v>0.54227505048877878</v>
      </c>
      <c r="X6457" s="2">
        <f ca="1"/>
        <v>39.748268958085703</v>
      </c>
      <c r="AG6457" s="2">
        <f ca="1"/>
        <v>0.63649187826402742</v>
      </c>
      <c r="AH6457" s="2" t="str">
        <f ca="1"/>
        <v>Bad</v>
      </c>
    </row>
    <row r="6458" spans="2:34" x14ac:dyDescent="0.2">
      <c r="B6458" s="2">
        <f ca="1"/>
        <v>0.14601158913622814</v>
      </c>
      <c r="O6458" s="2">
        <f ca="1"/>
        <v>0.9202255932299549</v>
      </c>
      <c r="X6458" s="2">
        <f ca="1"/>
        <v>79.837784352687549</v>
      </c>
      <c r="AG6458" s="2">
        <f ca="1"/>
        <v>0.30345597321339279</v>
      </c>
      <c r="AH6458" s="2" t="str">
        <f ca="1"/>
        <v>OK</v>
      </c>
    </row>
    <row r="6459" spans="2:34" x14ac:dyDescent="0.2">
      <c r="B6459" s="2">
        <f ca="1"/>
        <v>4.7135652020505736E-2</v>
      </c>
      <c r="O6459" s="2">
        <f ca="1"/>
        <v>1.4891475107033139E-2</v>
      </c>
      <c r="X6459" s="2">
        <f ca="1"/>
        <v>38.253247573203375</v>
      </c>
      <c r="AG6459" s="2">
        <f ca="1"/>
        <v>0.91143062436438838</v>
      </c>
      <c r="AH6459" s="2" t="str">
        <f ca="1"/>
        <v>Bad</v>
      </c>
    </row>
    <row r="6460" spans="2:34" x14ac:dyDescent="0.2">
      <c r="B6460" s="2">
        <f ca="1"/>
        <v>0.94398857175814888</v>
      </c>
      <c r="O6460" s="2">
        <f ca="1"/>
        <v>0.36781594457208738</v>
      </c>
      <c r="X6460" s="2">
        <f ca="1"/>
        <v>38.230510698095785</v>
      </c>
      <c r="AG6460" s="2">
        <f ca="1"/>
        <v>0.31481968366882795</v>
      </c>
      <c r="AH6460" s="2" t="str">
        <f ca="1"/>
        <v>OK</v>
      </c>
    </row>
    <row r="6461" spans="2:34" x14ac:dyDescent="0.2">
      <c r="B6461" s="2">
        <f ca="1"/>
        <v>8.0623688727982312E-2</v>
      </c>
      <c r="O6461" s="2">
        <f ca="1"/>
        <v>1.0312901366018898</v>
      </c>
      <c r="X6461" s="2">
        <f ca="1"/>
        <v>49.533429443883335</v>
      </c>
      <c r="AG6461" s="2">
        <f ca="1"/>
        <v>0.86544116642479696</v>
      </c>
      <c r="AH6461" s="2" t="str">
        <f ca="1"/>
        <v>Bad</v>
      </c>
    </row>
    <row r="6462" spans="2:34" x14ac:dyDescent="0.2">
      <c r="B6462" s="2">
        <f ca="1"/>
        <v>0.68188567622399932</v>
      </c>
      <c r="O6462" s="2">
        <f ca="1"/>
        <v>0.47911921156097992</v>
      </c>
      <c r="X6462" s="2">
        <f ca="1"/>
        <v>42.725482718836645</v>
      </c>
      <c r="AG6462" s="2">
        <f ca="1"/>
        <v>0.29008801493767145</v>
      </c>
      <c r="AH6462" s="2" t="str">
        <f ca="1"/>
        <v>OK</v>
      </c>
    </row>
    <row r="6463" spans="2:34" x14ac:dyDescent="0.2">
      <c r="B6463" s="2">
        <f ca="1"/>
        <v>0.21900549580225226</v>
      </c>
      <c r="O6463" s="2">
        <f ca="1"/>
        <v>-1.2481442479555724</v>
      </c>
      <c r="X6463" s="2">
        <f ca="1"/>
        <v>52.510584901501396</v>
      </c>
      <c r="AG6463" s="2">
        <f ca="1"/>
        <v>0.62237426374213323</v>
      </c>
      <c r="AH6463" s="2" t="str">
        <f ca="1"/>
        <v>Bad</v>
      </c>
    </row>
    <row r="6464" spans="2:34" x14ac:dyDescent="0.2">
      <c r="B6464" s="2">
        <f ca="1"/>
        <v>0.47118146711117825</v>
      </c>
      <c r="O6464" s="2">
        <f ca="1"/>
        <v>0.91667877503542339</v>
      </c>
      <c r="X6464" s="2">
        <f ca="1"/>
        <v>41.350627632117003</v>
      </c>
      <c r="AG6464" s="2">
        <f ca="1"/>
        <v>0.30090818444827883</v>
      </c>
      <c r="AH6464" s="2" t="str">
        <f ca="1"/>
        <v>OK</v>
      </c>
    </row>
    <row r="6465" spans="2:34" x14ac:dyDescent="0.2">
      <c r="B6465" s="2">
        <f ca="1"/>
        <v>0.80183781256694053</v>
      </c>
      <c r="O6465" s="2">
        <f ca="1"/>
        <v>-0.66532330980066823</v>
      </c>
      <c r="X6465" s="2">
        <f ca="1"/>
        <v>37.587449172721477</v>
      </c>
      <c r="AG6465" s="2">
        <f ca="1"/>
        <v>0.70941326181761166</v>
      </c>
      <c r="AH6465" s="2" t="str">
        <f ca="1"/>
        <v>Bad</v>
      </c>
    </row>
    <row r="6466" spans="2:34" x14ac:dyDescent="0.2">
      <c r="B6466" s="2">
        <f ca="1"/>
        <v>0.57938852240830396</v>
      </c>
      <c r="O6466" s="2">
        <f ca="1"/>
        <v>-1.147674582494959</v>
      </c>
      <c r="X6466" s="2">
        <f ca="1"/>
        <v>40.822151186038276</v>
      </c>
      <c r="AG6466" s="2">
        <f ca="1"/>
        <v>0.87911461546800251</v>
      </c>
      <c r="AH6466" s="2" t="str">
        <f ca="1"/>
        <v>Bad</v>
      </c>
    </row>
    <row r="6467" spans="2:34" x14ac:dyDescent="0.2">
      <c r="B6467" s="2">
        <f ca="1"/>
        <v>3.6384174401116853E-2</v>
      </c>
      <c r="O6467" s="2">
        <f ca="1"/>
        <v>-0.60692164371073942</v>
      </c>
      <c r="X6467" s="2">
        <f ca="1"/>
        <v>34.465809489243753</v>
      </c>
      <c r="AG6467" s="2">
        <f ca="1"/>
        <v>0.26110101312358647</v>
      </c>
      <c r="AH6467" s="2" t="str">
        <f ca="1"/>
        <v>OK</v>
      </c>
    </row>
    <row r="6468" spans="2:34" x14ac:dyDescent="0.2">
      <c r="B6468" s="2">
        <f ca="1"/>
        <v>0.6196202405186968</v>
      </c>
      <c r="O6468" s="2">
        <f ca="1"/>
        <v>1.0052814095980613</v>
      </c>
      <c r="X6468" s="2">
        <f ca="1"/>
        <v>45.699769385010384</v>
      </c>
      <c r="AG6468" s="2">
        <f ca="1"/>
        <v>0.86396053986633037</v>
      </c>
      <c r="AH6468" s="2" t="str">
        <f ca="1"/>
        <v>Bad</v>
      </c>
    </row>
    <row r="6469" spans="2:34" x14ac:dyDescent="0.2">
      <c r="B6469" s="2">
        <f ca="1"/>
        <v>0.6312758134173051</v>
      </c>
      <c r="O6469" s="2">
        <f ca="1"/>
        <v>-1.1115747136525587</v>
      </c>
      <c r="X6469" s="2">
        <f ca="1"/>
        <v>56.384111288607713</v>
      </c>
      <c r="AG6469" s="2">
        <f ca="1"/>
        <v>0.97596437673584302</v>
      </c>
      <c r="AH6469" s="2" t="str">
        <f ca="1"/>
        <v>Bad</v>
      </c>
    </row>
    <row r="6470" spans="2:34" x14ac:dyDescent="0.2">
      <c r="B6470" s="2">
        <f ca="1"/>
        <v>0.8548925997214385</v>
      </c>
      <c r="O6470" s="2">
        <f ca="1"/>
        <v>0.80053511023796387</v>
      </c>
      <c r="X6470" s="2">
        <f ca="1"/>
        <v>38.633346210139436</v>
      </c>
      <c r="AG6470" s="2">
        <f ca="1"/>
        <v>0.98128296570018447</v>
      </c>
      <c r="AH6470" s="2" t="str">
        <f ca="1"/>
        <v>Bad</v>
      </c>
    </row>
    <row r="6471" spans="2:34" x14ac:dyDescent="0.2">
      <c r="B6471" s="2">
        <f ca="1"/>
        <v>0.37835041256754209</v>
      </c>
      <c r="O6471" s="2">
        <f ca="1"/>
        <v>0.66280063402155953</v>
      </c>
      <c r="X6471" s="2">
        <f ca="1"/>
        <v>56.042456498025629</v>
      </c>
      <c r="AG6471" s="2">
        <f ca="1"/>
        <v>0.88498129219523225</v>
      </c>
      <c r="AH6471" s="2" t="str">
        <f ca="1"/>
        <v>Bad</v>
      </c>
    </row>
    <row r="6472" spans="2:34" x14ac:dyDescent="0.2">
      <c r="B6472" s="2">
        <f ca="1"/>
        <v>0.67356168287954254</v>
      </c>
      <c r="O6472" s="2">
        <f ca="1"/>
        <v>1.5543385606095537</v>
      </c>
      <c r="X6472" s="2">
        <f ca="1"/>
        <v>51.36664969654187</v>
      </c>
      <c r="AG6472" s="2">
        <f ca="1"/>
        <v>0.77176179927111388</v>
      </c>
      <c r="AH6472" s="2" t="str">
        <f ca="1"/>
        <v>Bad</v>
      </c>
    </row>
    <row r="6473" spans="2:34" x14ac:dyDescent="0.2">
      <c r="B6473" s="2">
        <f ca="1"/>
        <v>0.45681047007764763</v>
      </c>
      <c r="O6473" s="2">
        <f ca="1"/>
        <v>1.8366240717737683</v>
      </c>
      <c r="X6473" s="2">
        <f ca="1"/>
        <v>55.420208126680151</v>
      </c>
      <c r="AG6473" s="2">
        <f ca="1"/>
        <v>0.33728451449092933</v>
      </c>
      <c r="AH6473" s="2" t="str">
        <f ca="1"/>
        <v>OK</v>
      </c>
    </row>
    <row r="6474" spans="2:34" x14ac:dyDescent="0.2">
      <c r="B6474" s="2">
        <f ca="1"/>
        <v>0.96875181528847398</v>
      </c>
      <c r="O6474" s="2">
        <f ca="1"/>
        <v>-0.29771946858519721</v>
      </c>
      <c r="X6474" s="2">
        <f ca="1"/>
        <v>38.365028989262221</v>
      </c>
      <c r="AG6474" s="2">
        <f ca="1"/>
        <v>5.7332917433085884E-2</v>
      </c>
      <c r="AH6474" s="2" t="str">
        <f ca="1"/>
        <v>OK</v>
      </c>
    </row>
    <row r="6475" spans="2:34" x14ac:dyDescent="0.2">
      <c r="B6475" s="2">
        <f ca="1"/>
        <v>0.31363312021232947</v>
      </c>
      <c r="O6475" s="2">
        <f ca="1"/>
        <v>1.9611960409023412</v>
      </c>
      <c r="X6475" s="2">
        <f ca="1"/>
        <v>27.925196611828635</v>
      </c>
      <c r="AG6475" s="2">
        <f ca="1"/>
        <v>0.18594567369650017</v>
      </c>
      <c r="AH6475" s="2" t="str">
        <f ca="1"/>
        <v>OK</v>
      </c>
    </row>
    <row r="6476" spans="2:34" x14ac:dyDescent="0.2">
      <c r="B6476" s="2">
        <f ca="1"/>
        <v>0.28054283458983864</v>
      </c>
      <c r="O6476" s="2">
        <f ca="1"/>
        <v>0.95590042334270653</v>
      </c>
      <c r="X6476" s="2">
        <f ca="1"/>
        <v>44.482483790890647</v>
      </c>
      <c r="AG6476" s="2">
        <f ca="1"/>
        <v>0.19775641672758382</v>
      </c>
      <c r="AH6476" s="2" t="str">
        <f ca="1"/>
        <v>OK</v>
      </c>
    </row>
    <row r="6477" spans="2:34" x14ac:dyDescent="0.2">
      <c r="B6477" s="2">
        <f ca="1"/>
        <v>0.52259032193698407</v>
      </c>
      <c r="O6477" s="2">
        <f ca="1"/>
        <v>0.30511920786693386</v>
      </c>
      <c r="X6477" s="2">
        <f ca="1"/>
        <v>30.999910396505733</v>
      </c>
      <c r="AG6477" s="2">
        <f ca="1"/>
        <v>0.8459851132384717</v>
      </c>
      <c r="AH6477" s="2" t="str">
        <f ca="1"/>
        <v>Bad</v>
      </c>
    </row>
    <row r="6478" spans="2:34" x14ac:dyDescent="0.2">
      <c r="B6478" s="2">
        <f ca="1"/>
        <v>1.4402637382307404E-2</v>
      </c>
      <c r="O6478" s="2">
        <f ca="1"/>
        <v>0.1854965670176742</v>
      </c>
      <c r="X6478" s="2">
        <f ca="1"/>
        <v>43.543074035669989</v>
      </c>
      <c r="AG6478" s="2">
        <f ca="1"/>
        <v>0.69426966363248255</v>
      </c>
      <c r="AH6478" s="2" t="str">
        <f ca="1"/>
        <v>Bad</v>
      </c>
    </row>
    <row r="6479" spans="2:34" x14ac:dyDescent="0.2">
      <c r="B6479" s="2">
        <f ca="1"/>
        <v>0.42462742159502875</v>
      </c>
      <c r="O6479" s="2">
        <f ca="1"/>
        <v>-1.484787811601979</v>
      </c>
      <c r="X6479" s="2">
        <f ca="1"/>
        <v>77.231504222466057</v>
      </c>
      <c r="AG6479" s="2">
        <f ca="1"/>
        <v>0.28739261268028793</v>
      </c>
      <c r="AH6479" s="2" t="str">
        <f ca="1"/>
        <v>OK</v>
      </c>
    </row>
    <row r="6480" spans="2:34" x14ac:dyDescent="0.2">
      <c r="B6480" s="2">
        <f ca="1"/>
        <v>0.91533971377847667</v>
      </c>
      <c r="O6480" s="2">
        <f ca="1"/>
        <v>-0.36443086062096064</v>
      </c>
      <c r="X6480" s="2">
        <f ca="1"/>
        <v>59.68931361018673</v>
      </c>
      <c r="AG6480" s="2">
        <f ca="1"/>
        <v>0.92295740947720462</v>
      </c>
      <c r="AH6480" s="2" t="str">
        <f ca="1"/>
        <v>Bad</v>
      </c>
    </row>
    <row r="6481" spans="2:34" x14ac:dyDescent="0.2">
      <c r="B6481" s="2">
        <f ca="1"/>
        <v>0.31243471358500652</v>
      </c>
      <c r="O6481" s="2">
        <f ca="1"/>
        <v>-0.22119531233848796</v>
      </c>
      <c r="X6481" s="2">
        <f ca="1"/>
        <v>46.274672372160197</v>
      </c>
      <c r="AG6481" s="2">
        <f ca="1"/>
        <v>0.96505123185941888</v>
      </c>
      <c r="AH6481" s="2" t="str">
        <f ca="1"/>
        <v>Bad</v>
      </c>
    </row>
    <row r="6482" spans="2:34" x14ac:dyDescent="0.2">
      <c r="B6482" s="2">
        <f ca="1"/>
        <v>0.43619733399129856</v>
      </c>
      <c r="O6482" s="2">
        <f ca="1"/>
        <v>-1.0308070456021017</v>
      </c>
      <c r="X6482" s="2">
        <f ca="1"/>
        <v>82.400339974323799</v>
      </c>
      <c r="AG6482" s="2">
        <f ca="1"/>
        <v>0.8954676838365998</v>
      </c>
      <c r="AH6482" s="2" t="str">
        <f ca="1"/>
        <v>Bad</v>
      </c>
    </row>
    <row r="6483" spans="2:34" x14ac:dyDescent="0.2">
      <c r="B6483" s="2">
        <f ca="1"/>
        <v>9.9681979169437662E-2</v>
      </c>
      <c r="O6483" s="2">
        <f ca="1"/>
        <v>-0.61978418445748751</v>
      </c>
      <c r="X6483" s="2">
        <f ca="1"/>
        <v>70.778778265899064</v>
      </c>
      <c r="AG6483" s="2">
        <f ca="1"/>
        <v>0.71136107704236751</v>
      </c>
      <c r="AH6483" s="2" t="str">
        <f ca="1"/>
        <v>Bad</v>
      </c>
    </row>
    <row r="6484" spans="2:34" x14ac:dyDescent="0.2">
      <c r="B6484" s="2">
        <f ca="1"/>
        <v>0.44005855776575165</v>
      </c>
      <c r="O6484" s="2">
        <f ca="1"/>
        <v>0.15995432583917849</v>
      </c>
      <c r="X6484" s="2">
        <f ca="1"/>
        <v>32.597152434021986</v>
      </c>
      <c r="AG6484" s="2">
        <f ca="1"/>
        <v>0.84290905383163217</v>
      </c>
      <c r="AH6484" s="2" t="str">
        <f ca="1"/>
        <v>Bad</v>
      </c>
    </row>
    <row r="6485" spans="2:34" x14ac:dyDescent="0.2">
      <c r="B6485" s="2">
        <f ca="1"/>
        <v>0.59255826453466032</v>
      </c>
      <c r="O6485" s="2">
        <f ca="1"/>
        <v>-1.2295040907333985</v>
      </c>
      <c r="X6485" s="2">
        <f ca="1"/>
        <v>41.323536204325855</v>
      </c>
      <c r="AG6485" s="2">
        <f ca="1"/>
        <v>0.17233777522860705</v>
      </c>
      <c r="AH6485" s="2" t="str">
        <f ca="1"/>
        <v>OK</v>
      </c>
    </row>
    <row r="6486" spans="2:34" x14ac:dyDescent="0.2">
      <c r="B6486" s="2">
        <f ca="1"/>
        <v>0.54061757301580737</v>
      </c>
      <c r="O6486" s="2">
        <f ca="1"/>
        <v>0.2065505551510157</v>
      </c>
      <c r="X6486" s="2">
        <f ca="1"/>
        <v>57.37446169769602</v>
      </c>
      <c r="AG6486" s="2">
        <f ca="1"/>
        <v>0.83933016096025526</v>
      </c>
      <c r="AH6486" s="2" t="str">
        <f ca="1"/>
        <v>Bad</v>
      </c>
    </row>
    <row r="6487" spans="2:34" x14ac:dyDescent="0.2">
      <c r="B6487" s="2">
        <f ca="1"/>
        <v>0.24757365786311447</v>
      </c>
      <c r="O6487" s="2">
        <f ca="1"/>
        <v>1.8675334969370001</v>
      </c>
      <c r="X6487" s="2">
        <f ca="1"/>
        <v>59.908219515837857</v>
      </c>
      <c r="AG6487" s="2">
        <f ca="1"/>
        <v>0.67179969253435412</v>
      </c>
      <c r="AH6487" s="2" t="str">
        <f ca="1"/>
        <v>Bad</v>
      </c>
    </row>
    <row r="6488" spans="2:34" x14ac:dyDescent="0.2">
      <c r="B6488" s="2">
        <f ca="1"/>
        <v>2.0937337065910056E-2</v>
      </c>
      <c r="O6488" s="2">
        <f ca="1"/>
        <v>-0.42153895574875927</v>
      </c>
      <c r="X6488" s="2">
        <f ca="1"/>
        <v>45.365515161177122</v>
      </c>
      <c r="AG6488" s="2">
        <f ca="1"/>
        <v>0.38614320842537264</v>
      </c>
      <c r="AH6488" s="2" t="str">
        <f ca="1"/>
        <v>OK</v>
      </c>
    </row>
    <row r="6489" spans="2:34" x14ac:dyDescent="0.2">
      <c r="B6489" s="2">
        <f ca="1"/>
        <v>0.59854958013542325</v>
      </c>
      <c r="O6489" s="2">
        <f ca="1"/>
        <v>8.0421572841874595E-2</v>
      </c>
      <c r="X6489" s="2">
        <f ca="1"/>
        <v>71.169461530162863</v>
      </c>
      <c r="AG6489" s="2">
        <f ca="1"/>
        <v>0.22145985495393194</v>
      </c>
      <c r="AH6489" s="2" t="str">
        <f ca="1"/>
        <v>OK</v>
      </c>
    </row>
    <row r="6490" spans="2:34" x14ac:dyDescent="0.2">
      <c r="B6490" s="2">
        <f ca="1"/>
        <v>0.27182584071168003</v>
      </c>
      <c r="O6490" s="2">
        <f ca="1"/>
        <v>0.15190737915190686</v>
      </c>
      <c r="X6490" s="2">
        <f ca="1"/>
        <v>41.410993585552347</v>
      </c>
      <c r="AG6490" s="2">
        <f ca="1"/>
        <v>0.72509622868664536</v>
      </c>
      <c r="AH6490" s="2" t="str">
        <f ca="1"/>
        <v>Bad</v>
      </c>
    </row>
    <row r="6491" spans="2:34" x14ac:dyDescent="0.2">
      <c r="B6491" s="2">
        <f ca="1"/>
        <v>0.82933488080568241</v>
      </c>
      <c r="O6491" s="2">
        <f ca="1"/>
        <v>0.18408306054721207</v>
      </c>
      <c r="X6491" s="2">
        <f ca="1"/>
        <v>47.166036117771959</v>
      </c>
      <c r="AG6491" s="2">
        <f ca="1"/>
        <v>0.18042200391048002</v>
      </c>
      <c r="AH6491" s="2" t="str">
        <f ca="1"/>
        <v>OK</v>
      </c>
    </row>
    <row r="6492" spans="2:34" x14ac:dyDescent="0.2">
      <c r="B6492" s="2">
        <f ca="1"/>
        <v>0.49807147321289635</v>
      </c>
      <c r="O6492" s="2">
        <f ca="1"/>
        <v>0.73162143767655785</v>
      </c>
      <c r="X6492" s="2">
        <f ca="1"/>
        <v>63.30917903671228</v>
      </c>
      <c r="AG6492" s="2">
        <f ca="1"/>
        <v>0.84542469149436816</v>
      </c>
      <c r="AH6492" s="2" t="str">
        <f ca="1"/>
        <v>Bad</v>
      </c>
    </row>
    <row r="6493" spans="2:34" x14ac:dyDescent="0.2">
      <c r="B6493" s="2">
        <f ca="1"/>
        <v>0.53900570519397872</v>
      </c>
      <c r="O6493" s="2">
        <f ca="1"/>
        <v>1.5182283857561465</v>
      </c>
      <c r="X6493" s="2">
        <f ca="1"/>
        <v>26.151754978410469</v>
      </c>
      <c r="AG6493" s="2">
        <f ca="1"/>
        <v>8.7671044142056287E-2</v>
      </c>
      <c r="AH6493" s="2" t="str">
        <f ca="1"/>
        <v>OK</v>
      </c>
    </row>
    <row r="6494" spans="2:34" x14ac:dyDescent="0.2">
      <c r="B6494" s="2">
        <f ca="1"/>
        <v>0.39115248921898149</v>
      </c>
      <c r="O6494" s="2">
        <f ca="1"/>
        <v>-0.46060858836110952</v>
      </c>
      <c r="X6494" s="2">
        <f ca="1"/>
        <v>40.322723693864617</v>
      </c>
      <c r="AG6494" s="2">
        <f ca="1"/>
        <v>5.0842344124915062E-3</v>
      </c>
      <c r="AH6494" s="2" t="str">
        <f ca="1"/>
        <v>Good</v>
      </c>
    </row>
    <row r="6495" spans="2:34" x14ac:dyDescent="0.2">
      <c r="B6495" s="2">
        <f ca="1"/>
        <v>0.89113599531372745</v>
      </c>
      <c r="O6495" s="2">
        <f ca="1"/>
        <v>-0.3959076622851958</v>
      </c>
      <c r="X6495" s="2">
        <f ca="1"/>
        <v>53.689658322244391</v>
      </c>
      <c r="AG6495" s="2">
        <f ca="1"/>
        <v>0.6385200195303431</v>
      </c>
      <c r="AH6495" s="2" t="str">
        <f ca="1"/>
        <v>Bad</v>
      </c>
    </row>
    <row r="6496" spans="2:34" x14ac:dyDescent="0.2">
      <c r="B6496" s="2">
        <f ca="1"/>
        <v>0.6511494608623043</v>
      </c>
      <c r="O6496" s="2">
        <f ca="1"/>
        <v>0.32055304177577804</v>
      </c>
      <c r="X6496" s="2">
        <f ca="1"/>
        <v>19.774694028170011</v>
      </c>
      <c r="AG6496" s="2">
        <f ca="1"/>
        <v>0.51433601859885369</v>
      </c>
      <c r="AH6496" s="2" t="str">
        <f ca="1"/>
        <v>Bad</v>
      </c>
    </row>
    <row r="6497" spans="2:34" x14ac:dyDescent="0.2">
      <c r="B6497" s="2">
        <f ca="1"/>
        <v>0.3233904466631925</v>
      </c>
      <c r="O6497" s="2">
        <f ca="1"/>
        <v>-0.16507449923571865</v>
      </c>
      <c r="X6497" s="2">
        <f ca="1"/>
        <v>59.495127385266862</v>
      </c>
      <c r="AG6497" s="2">
        <f ca="1"/>
        <v>3.8962586795134202E-2</v>
      </c>
      <c r="AH6497" s="2" t="str">
        <f ca="1"/>
        <v>Good</v>
      </c>
    </row>
    <row r="6498" spans="2:34" x14ac:dyDescent="0.2">
      <c r="B6498" s="2">
        <f ca="1"/>
        <v>0.93408730921027039</v>
      </c>
      <c r="O6498" s="2">
        <f ca="1"/>
        <v>-1.6083723174472597</v>
      </c>
      <c r="X6498" s="2">
        <f ca="1"/>
        <v>65.623276210708653</v>
      </c>
      <c r="AG6498" s="2">
        <f ca="1"/>
        <v>0.66800057015886316</v>
      </c>
      <c r="AH6498" s="2" t="str">
        <f ca="1"/>
        <v>Bad</v>
      </c>
    </row>
    <row r="6499" spans="2:34" x14ac:dyDescent="0.2">
      <c r="B6499" s="2">
        <f ca="1"/>
        <v>1.7894323750358598E-2</v>
      </c>
      <c r="O6499" s="2">
        <f ca="1"/>
        <v>1.9646209728923492E-2</v>
      </c>
      <c r="X6499" s="2">
        <f ca="1"/>
        <v>45.965200169301504</v>
      </c>
      <c r="AG6499" s="2">
        <f ca="1"/>
        <v>8.6164025306656455E-4</v>
      </c>
      <c r="AH6499" s="2" t="str">
        <f ca="1"/>
        <v>Good</v>
      </c>
    </row>
    <row r="6500" spans="2:34" x14ac:dyDescent="0.2">
      <c r="B6500" s="2">
        <f ca="1"/>
        <v>0.97375838649016311</v>
      </c>
      <c r="O6500" s="2">
        <f ca="1"/>
        <v>0.47758251185739359</v>
      </c>
      <c r="X6500" s="2">
        <f ca="1"/>
        <v>35.318213810776349</v>
      </c>
      <c r="AG6500" s="2">
        <f ca="1"/>
        <v>0.26845764638048553</v>
      </c>
      <c r="AH6500" s="2" t="str">
        <f ca="1"/>
        <v>OK</v>
      </c>
    </row>
    <row r="6501" spans="2:34" x14ac:dyDescent="0.2">
      <c r="B6501" s="2">
        <f ca="1"/>
        <v>0.84421179094605048</v>
      </c>
      <c r="O6501" s="2">
        <f ca="1"/>
        <v>0.7139357469023947</v>
      </c>
      <c r="X6501" s="2">
        <f ca="1"/>
        <v>28.95663633141357</v>
      </c>
      <c r="AG6501" s="2">
        <f ca="1"/>
        <v>0.5855097238657907</v>
      </c>
      <c r="AH6501" s="2" t="str">
        <f ca="1"/>
        <v>Bad</v>
      </c>
    </row>
    <row r="6502" spans="2:34" x14ac:dyDescent="0.2">
      <c r="B6502" s="2">
        <f ca="1"/>
        <v>0.46289659965213015</v>
      </c>
      <c r="O6502" s="2">
        <f ca="1"/>
        <v>0.4282089846860212</v>
      </c>
      <c r="X6502" s="2">
        <f ca="1"/>
        <v>26.470055257280691</v>
      </c>
      <c r="AG6502" s="2">
        <f ca="1"/>
        <v>0.47999369415835469</v>
      </c>
      <c r="AH6502" s="2" t="str">
        <f ca="1"/>
        <v>Bad</v>
      </c>
    </row>
    <row r="6503" spans="2:34" x14ac:dyDescent="0.2">
      <c r="B6503" s="2">
        <f ca="1"/>
        <v>0.88979562392150191</v>
      </c>
      <c r="O6503" s="2">
        <f ca="1"/>
        <v>1.7925432263495225</v>
      </c>
      <c r="X6503" s="2">
        <f ca="1"/>
        <v>86.041535811259777</v>
      </c>
      <c r="AG6503" s="2">
        <f ca="1"/>
        <v>0.34413430876201545</v>
      </c>
      <c r="AH6503" s="2" t="str">
        <f ca="1"/>
        <v>OK</v>
      </c>
    </row>
    <row r="6504" spans="2:34" x14ac:dyDescent="0.2">
      <c r="B6504" s="2">
        <f ca="1"/>
        <v>0.67232171493923509</v>
      </c>
      <c r="O6504" s="2">
        <f ca="1"/>
        <v>-0.26234683803408004</v>
      </c>
      <c r="X6504" s="2">
        <f ca="1"/>
        <v>48.573999427443269</v>
      </c>
      <c r="AG6504" s="2">
        <f ca="1"/>
        <v>0.54451631186402794</v>
      </c>
      <c r="AH6504" s="2" t="str">
        <f ca="1"/>
        <v>Bad</v>
      </c>
    </row>
    <row r="6505" spans="2:34" x14ac:dyDescent="0.2">
      <c r="B6505" s="2">
        <f ca="1"/>
        <v>0.70301809683298488</v>
      </c>
      <c r="O6505" s="2">
        <f ca="1"/>
        <v>1.4662209114730165</v>
      </c>
      <c r="X6505" s="2">
        <f ca="1"/>
        <v>48.139436698585918</v>
      </c>
      <c r="AG6505" s="2">
        <f ca="1"/>
        <v>0.98594686347824845</v>
      </c>
      <c r="AH6505" s="2" t="str">
        <f ca="1"/>
        <v>Bad</v>
      </c>
    </row>
    <row r="6506" spans="2:34" x14ac:dyDescent="0.2">
      <c r="B6506" s="2">
        <f ca="1"/>
        <v>0.52742707936638356</v>
      </c>
      <c r="O6506" s="2">
        <f ca="1"/>
        <v>0.15141707013521377</v>
      </c>
      <c r="X6506" s="2">
        <f ca="1"/>
        <v>48.401395775376699</v>
      </c>
      <c r="AG6506" s="2">
        <f ca="1"/>
        <v>0.66708155637430733</v>
      </c>
      <c r="AH6506" s="2" t="str">
        <f ca="1"/>
        <v>Bad</v>
      </c>
    </row>
    <row r="6507" spans="2:34" x14ac:dyDescent="0.2">
      <c r="B6507" s="2">
        <f ca="1"/>
        <v>0.23649920098574695</v>
      </c>
      <c r="O6507" s="2">
        <f ca="1"/>
        <v>0.94696492638814678</v>
      </c>
      <c r="X6507" s="2">
        <f ca="1"/>
        <v>25.078960626149033</v>
      </c>
      <c r="AG6507" s="2">
        <f ca="1"/>
        <v>0.9591933473835268</v>
      </c>
      <c r="AH6507" s="2" t="str">
        <f ca="1"/>
        <v>Bad</v>
      </c>
    </row>
    <row r="6508" spans="2:34" x14ac:dyDescent="0.2">
      <c r="B6508" s="2">
        <f ca="1"/>
        <v>0.42929903453810514</v>
      </c>
      <c r="O6508" s="2">
        <f ca="1"/>
        <v>-1.1743110714148195</v>
      </c>
      <c r="X6508" s="2">
        <f ca="1"/>
        <v>41.857312585015407</v>
      </c>
      <c r="AG6508" s="2">
        <f ca="1"/>
        <v>0.58865617412432747</v>
      </c>
      <c r="AH6508" s="2" t="str">
        <f ca="1"/>
        <v>Bad</v>
      </c>
    </row>
    <row r="6509" spans="2:34" x14ac:dyDescent="0.2">
      <c r="B6509" s="2">
        <f ca="1"/>
        <v>0.35615536145716775</v>
      </c>
      <c r="O6509" s="2">
        <f ca="1"/>
        <v>0.57265096551039119</v>
      </c>
      <c r="X6509" s="2">
        <f ca="1"/>
        <v>41.943670648763309</v>
      </c>
      <c r="AG6509" s="2">
        <f ca="1"/>
        <v>0.17249001292169375</v>
      </c>
      <c r="AH6509" s="2" t="str">
        <f ca="1"/>
        <v>OK</v>
      </c>
    </row>
    <row r="6510" spans="2:34" x14ac:dyDescent="0.2">
      <c r="B6510" s="2">
        <f ca="1"/>
        <v>0.1288909916651122</v>
      </c>
      <c r="O6510" s="2">
        <f ca="1"/>
        <v>0.30358592264272388</v>
      </c>
      <c r="X6510" s="2">
        <f ca="1"/>
        <v>75.60883880796338</v>
      </c>
      <c r="AG6510" s="2">
        <f ca="1"/>
        <v>0.21345369243137902</v>
      </c>
      <c r="AH6510" s="2" t="str">
        <f ca="1"/>
        <v>OK</v>
      </c>
    </row>
    <row r="6511" spans="2:34" x14ac:dyDescent="0.2">
      <c r="B6511" s="2">
        <f ca="1"/>
        <v>0.63788850623957694</v>
      </c>
      <c r="O6511" s="2">
        <f ca="1"/>
        <v>1.8398073011440985</v>
      </c>
      <c r="X6511" s="2">
        <f ca="1"/>
        <v>63.07630286348023</v>
      </c>
      <c r="AG6511" s="2">
        <f ca="1"/>
        <v>0.80326000841894718</v>
      </c>
      <c r="AH6511" s="2" t="str">
        <f ca="1"/>
        <v>Bad</v>
      </c>
    </row>
    <row r="6512" spans="2:34" x14ac:dyDescent="0.2">
      <c r="B6512" s="2">
        <f ca="1"/>
        <v>0.76332488095605577</v>
      </c>
      <c r="O6512" s="2">
        <f ca="1"/>
        <v>-0.13783053079182261</v>
      </c>
      <c r="X6512" s="2">
        <f ca="1"/>
        <v>24.166110963241579</v>
      </c>
      <c r="AG6512" s="2">
        <f ca="1"/>
        <v>0.20540678927509481</v>
      </c>
      <c r="AH6512" s="2" t="str">
        <f ca="1"/>
        <v>OK</v>
      </c>
    </row>
    <row r="6513" spans="2:34" x14ac:dyDescent="0.2">
      <c r="B6513" s="2">
        <f ca="1"/>
        <v>0.12509905081099482</v>
      </c>
      <c r="O6513" s="2">
        <f ca="1"/>
        <v>0.57044509314402736</v>
      </c>
      <c r="X6513" s="2">
        <f ca="1"/>
        <v>22.353897746013097</v>
      </c>
      <c r="AG6513" s="2">
        <f ca="1"/>
        <v>0.35189280818048574</v>
      </c>
      <c r="AH6513" s="2" t="str">
        <f ca="1"/>
        <v>OK</v>
      </c>
    </row>
    <row r="6514" spans="2:34" x14ac:dyDescent="0.2">
      <c r="B6514" s="2">
        <f ca="1"/>
        <v>2.4167031477085654E-2</v>
      </c>
      <c r="O6514" s="2">
        <f ca="1"/>
        <v>-0.22354597066315193</v>
      </c>
      <c r="X6514" s="2">
        <f ca="1"/>
        <v>68.420964445782531</v>
      </c>
      <c r="AG6514" s="2">
        <f ca="1"/>
        <v>0.61458363139407179</v>
      </c>
      <c r="AH6514" s="2" t="str">
        <f ca="1"/>
        <v>Bad</v>
      </c>
    </row>
    <row r="6515" spans="2:34" x14ac:dyDescent="0.2">
      <c r="B6515" s="2">
        <f ca="1"/>
        <v>0.35270165481742244</v>
      </c>
      <c r="O6515" s="2">
        <f ca="1"/>
        <v>-0.9059530259769365</v>
      </c>
      <c r="X6515" s="2">
        <f ca="1"/>
        <v>40.021816026353811</v>
      </c>
      <c r="AG6515" s="2">
        <f ca="1"/>
        <v>0.32143087843049556</v>
      </c>
      <c r="AH6515" s="2" t="str">
        <f ca="1"/>
        <v>OK</v>
      </c>
    </row>
    <row r="6516" spans="2:34" x14ac:dyDescent="0.2">
      <c r="B6516" s="2">
        <f ca="1"/>
        <v>0.35418075678043692</v>
      </c>
      <c r="O6516" s="2">
        <f ca="1"/>
        <v>-1.3308658909292972</v>
      </c>
      <c r="X6516" s="2">
        <f ca="1"/>
        <v>44.034072151059306</v>
      </c>
      <c r="AG6516" s="2">
        <f ca="1"/>
        <v>0.12355793965350181</v>
      </c>
      <c r="AH6516" s="2" t="str">
        <f ca="1"/>
        <v>OK</v>
      </c>
    </row>
    <row r="6517" spans="2:34" x14ac:dyDescent="0.2">
      <c r="B6517" s="2">
        <f ca="1"/>
        <v>0.55425133278790017</v>
      </c>
      <c r="O6517" s="2">
        <f ca="1"/>
        <v>-1.037450084628345</v>
      </c>
      <c r="X6517" s="2">
        <f ca="1"/>
        <v>49.663444900218217</v>
      </c>
      <c r="AG6517" s="2">
        <f ca="1"/>
        <v>0.20615108058084419</v>
      </c>
      <c r="AH6517" s="2" t="str">
        <f ca="1"/>
        <v>OK</v>
      </c>
    </row>
    <row r="6518" spans="2:34" x14ac:dyDescent="0.2">
      <c r="B6518" s="2">
        <f ca="1"/>
        <v>0.9446531515557921</v>
      </c>
      <c r="O6518" s="2">
        <f ca="1"/>
        <v>-0.38048352832631871</v>
      </c>
      <c r="X6518" s="2">
        <f ca="1"/>
        <v>18.797516113915744</v>
      </c>
      <c r="AG6518" s="2">
        <f ca="1"/>
        <v>0.3239465386847995</v>
      </c>
      <c r="AH6518" s="2" t="str">
        <f ca="1"/>
        <v>OK</v>
      </c>
    </row>
    <row r="6519" spans="2:34" x14ac:dyDescent="0.2">
      <c r="B6519" s="2">
        <f ca="1"/>
        <v>0.47125638696982031</v>
      </c>
      <c r="O6519" s="2">
        <f ca="1"/>
        <v>0.32363477180059369</v>
      </c>
      <c r="X6519" s="2">
        <f ca="1"/>
        <v>42.990240129799481</v>
      </c>
      <c r="AG6519" s="2">
        <f ca="1"/>
        <v>0.62723351217585432</v>
      </c>
      <c r="AH6519" s="2" t="str">
        <f ca="1"/>
        <v>Bad</v>
      </c>
    </row>
    <row r="6520" spans="2:34" x14ac:dyDescent="0.2">
      <c r="B6520" s="2">
        <f ca="1"/>
        <v>0.69373182450715731</v>
      </c>
      <c r="O6520" s="2">
        <f ca="1"/>
        <v>-0.30047461072959641</v>
      </c>
      <c r="X6520" s="2">
        <f ca="1"/>
        <v>68.289600706614564</v>
      </c>
      <c r="AG6520" s="2">
        <f ca="1"/>
        <v>0.49195023617620337</v>
      </c>
      <c r="AH6520" s="2" t="str">
        <f ca="1"/>
        <v>Bad</v>
      </c>
    </row>
    <row r="6521" spans="2:34" x14ac:dyDescent="0.2">
      <c r="B6521" s="2">
        <f ca="1"/>
        <v>0.23759339024204795</v>
      </c>
      <c r="O6521" s="2">
        <f ca="1"/>
        <v>1.6279448607644127</v>
      </c>
      <c r="X6521" s="2">
        <f ca="1"/>
        <v>43.444762119540712</v>
      </c>
      <c r="AG6521" s="2">
        <f ca="1"/>
        <v>0.6687944712740268</v>
      </c>
      <c r="AH6521" s="2" t="str">
        <f ca="1"/>
        <v>Bad</v>
      </c>
    </row>
    <row r="6522" spans="2:34" x14ac:dyDescent="0.2">
      <c r="B6522" s="2">
        <f ca="1"/>
        <v>0.55679301545574345</v>
      </c>
      <c r="O6522" s="2">
        <f ca="1"/>
        <v>-5.2174556696313115E-2</v>
      </c>
      <c r="X6522" s="2">
        <f ca="1"/>
        <v>57.720539070749922</v>
      </c>
      <c r="AG6522" s="2">
        <f ca="1"/>
        <v>0.7225361809304407</v>
      </c>
      <c r="AH6522" s="2" t="str">
        <f ca="1"/>
        <v>Bad</v>
      </c>
    </row>
    <row r="6523" spans="2:34" x14ac:dyDescent="0.2">
      <c r="B6523" s="2">
        <f ca="1"/>
        <v>0.77926955120372088</v>
      </c>
      <c r="O6523" s="2">
        <f ca="1"/>
        <v>-0.54087222168101923</v>
      </c>
      <c r="X6523" s="2">
        <f ca="1"/>
        <v>72.693560579691166</v>
      </c>
      <c r="AG6523" s="2">
        <f ca="1"/>
        <v>0.62364418851981007</v>
      </c>
      <c r="AH6523" s="2" t="str">
        <f ca="1"/>
        <v>Bad</v>
      </c>
    </row>
    <row r="6524" spans="2:34" x14ac:dyDescent="0.2">
      <c r="B6524" s="2">
        <f ca="1"/>
        <v>0.62657202201372519</v>
      </c>
      <c r="O6524" s="2">
        <f ca="1"/>
        <v>0.95695786752359779</v>
      </c>
      <c r="X6524" s="2">
        <f ca="1"/>
        <v>41.944326095622458</v>
      </c>
      <c r="AG6524" s="2">
        <f ca="1"/>
        <v>0.88418333684357142</v>
      </c>
      <c r="AH6524" s="2" t="str">
        <f ca="1"/>
        <v>Bad</v>
      </c>
    </row>
    <row r="6525" spans="2:34" x14ac:dyDescent="0.2">
      <c r="B6525" s="2">
        <f ca="1"/>
        <v>0.32947184923252548</v>
      </c>
      <c r="O6525" s="2">
        <f ca="1"/>
        <v>1.0704725413867153</v>
      </c>
      <c r="X6525" s="2">
        <f ca="1"/>
        <v>55.241704235188863</v>
      </c>
      <c r="AG6525" s="2">
        <f ca="1"/>
        <v>0.70148783385813207</v>
      </c>
      <c r="AH6525" s="2" t="str">
        <f ca="1"/>
        <v>Bad</v>
      </c>
    </row>
    <row r="6526" spans="2:34" x14ac:dyDescent="0.2">
      <c r="B6526" s="2">
        <f ca="1"/>
        <v>0.11702469648313496</v>
      </c>
      <c r="O6526" s="2">
        <f ca="1"/>
        <v>0.46431702830592425</v>
      </c>
      <c r="X6526" s="2">
        <f ca="1"/>
        <v>41.423548175613085</v>
      </c>
      <c r="AG6526" s="2">
        <f ca="1"/>
        <v>0.62408108997818901</v>
      </c>
      <c r="AH6526" s="2" t="str">
        <f ca="1"/>
        <v>Bad</v>
      </c>
    </row>
    <row r="6527" spans="2:34" x14ac:dyDescent="0.2">
      <c r="B6527" s="2">
        <f ca="1"/>
        <v>0.54702497186160959</v>
      </c>
      <c r="O6527" s="2">
        <f ca="1"/>
        <v>0.64218699004054347</v>
      </c>
      <c r="X6527" s="2">
        <f ca="1"/>
        <v>46.985141433963342</v>
      </c>
      <c r="AG6527" s="2">
        <f ca="1"/>
        <v>0.39784041533386172</v>
      </c>
      <c r="AH6527" s="2" t="str">
        <f ca="1"/>
        <v>OK</v>
      </c>
    </row>
    <row r="6528" spans="2:34" x14ac:dyDescent="0.2">
      <c r="B6528" s="2">
        <f ca="1"/>
        <v>0.48613198490248455</v>
      </c>
      <c r="O6528" s="2">
        <f ca="1"/>
        <v>1.6621252560768429</v>
      </c>
      <c r="X6528" s="2">
        <f ca="1"/>
        <v>46.127109726421516</v>
      </c>
      <c r="AG6528" s="2">
        <f ca="1"/>
        <v>0.3203793530442347</v>
      </c>
      <c r="AH6528" s="2" t="str">
        <f ca="1"/>
        <v>OK</v>
      </c>
    </row>
    <row r="6529" spans="2:34" x14ac:dyDescent="0.2">
      <c r="B6529" s="2">
        <f ca="1"/>
        <v>0.64416868076193246</v>
      </c>
      <c r="O6529" s="2">
        <f ca="1"/>
        <v>0.54537062464461905</v>
      </c>
      <c r="X6529" s="2">
        <f ca="1"/>
        <v>24.683586878644711</v>
      </c>
      <c r="AG6529" s="2">
        <f ca="1"/>
        <v>0.58768134630845226</v>
      </c>
      <c r="AH6529" s="2" t="str">
        <f ca="1"/>
        <v>Bad</v>
      </c>
    </row>
    <row r="6530" spans="2:34" x14ac:dyDescent="0.2">
      <c r="B6530" s="2">
        <f ca="1"/>
        <v>0.3396346041898981</v>
      </c>
      <c r="O6530" s="2">
        <f ca="1"/>
        <v>1.0071379212264191</v>
      </c>
      <c r="X6530" s="2">
        <f ca="1"/>
        <v>43.929371255592578</v>
      </c>
      <c r="AG6530" s="2">
        <f ca="1"/>
        <v>0.65759789200176044</v>
      </c>
      <c r="AH6530" s="2" t="str">
        <f ca="1"/>
        <v>Bad</v>
      </c>
    </row>
    <row r="6531" spans="2:34" x14ac:dyDescent="0.2">
      <c r="B6531" s="2">
        <f ca="1"/>
        <v>0.91030720002592491</v>
      </c>
      <c r="O6531" s="2">
        <f ca="1"/>
        <v>0.33347982329444742</v>
      </c>
      <c r="X6531" s="2">
        <f ca="1"/>
        <v>64.240772301980826</v>
      </c>
      <c r="AG6531" s="2">
        <f ca="1"/>
        <v>0.20931862140366442</v>
      </c>
      <c r="AH6531" s="2" t="str">
        <f ca="1"/>
        <v>OK</v>
      </c>
    </row>
    <row r="6532" spans="2:34" x14ac:dyDescent="0.2">
      <c r="B6532" s="2">
        <f ca="1"/>
        <v>0.98582095571922079</v>
      </c>
      <c r="O6532" s="2">
        <f ca="1"/>
        <v>-1.6736889764607075</v>
      </c>
      <c r="X6532" s="2">
        <f ca="1"/>
        <v>59.836326391559695</v>
      </c>
      <c r="AG6532" s="2">
        <f ca="1"/>
        <v>0.11644885503493518</v>
      </c>
      <c r="AH6532" s="2" t="str">
        <f ca="1"/>
        <v>OK</v>
      </c>
    </row>
    <row r="6533" spans="2:34" x14ac:dyDescent="0.2">
      <c r="B6533" s="2">
        <f ca="1"/>
        <v>0.56401753314730385</v>
      </c>
      <c r="O6533" s="2">
        <f ca="1"/>
        <v>1.1153371197745332</v>
      </c>
      <c r="X6533" s="2">
        <f ca="1"/>
        <v>65.302713768938588</v>
      </c>
      <c r="AG6533" s="2">
        <f ca="1"/>
        <v>8.0471687903066247E-2</v>
      </c>
      <c r="AH6533" s="2" t="str">
        <f ca="1"/>
        <v>OK</v>
      </c>
    </row>
    <row r="6534" spans="2:34" x14ac:dyDescent="0.2">
      <c r="B6534" s="2">
        <f ca="1"/>
        <v>2.3478066047248003E-2</v>
      </c>
      <c r="O6534" s="2">
        <f ca="1"/>
        <v>1.439721571155381</v>
      </c>
      <c r="X6534" s="2">
        <f ca="1"/>
        <v>42.355093511210377</v>
      </c>
      <c r="AG6534" s="2">
        <f ca="1"/>
        <v>0.34111163102883024</v>
      </c>
      <c r="AH6534" s="2" t="str">
        <f ca="1"/>
        <v>OK</v>
      </c>
    </row>
    <row r="6535" spans="2:34" x14ac:dyDescent="0.2">
      <c r="B6535" s="2">
        <f ca="1"/>
        <v>0.36976225392309092</v>
      </c>
      <c r="O6535" s="2">
        <f ca="1"/>
        <v>-0.62207342886331862</v>
      </c>
      <c r="X6535" s="2">
        <f ca="1"/>
        <v>25.914321724470263</v>
      </c>
      <c r="AG6535" s="2">
        <f ca="1"/>
        <v>0.30614476505041766</v>
      </c>
      <c r="AH6535" s="2" t="str">
        <f ca="1"/>
        <v>OK</v>
      </c>
    </row>
    <row r="6536" spans="2:34" x14ac:dyDescent="0.2">
      <c r="B6536" s="2">
        <f ca="1"/>
        <v>0.99329452835002141</v>
      </c>
      <c r="O6536" s="2">
        <f ca="1"/>
        <v>-0.71878428078335432</v>
      </c>
      <c r="X6536" s="2">
        <f ca="1"/>
        <v>69.115248664240895</v>
      </c>
      <c r="AG6536" s="2">
        <f ca="1"/>
        <v>0.5325292633928842</v>
      </c>
      <c r="AH6536" s="2" t="str">
        <f ca="1"/>
        <v>Bad</v>
      </c>
    </row>
    <row r="6537" spans="2:34" x14ac:dyDescent="0.2">
      <c r="B6537" s="2">
        <f ca="1"/>
        <v>0.5640562843505259</v>
      </c>
      <c r="O6537" s="2">
        <f ca="1"/>
        <v>0.94592729402287867</v>
      </c>
      <c r="X6537" s="2">
        <f ca="1"/>
        <v>41.899592340207434</v>
      </c>
      <c r="AG6537" s="2">
        <f ca="1"/>
        <v>4.8303532116178216E-2</v>
      </c>
      <c r="AH6537" s="2" t="str">
        <f ca="1"/>
        <v>Good</v>
      </c>
    </row>
    <row r="6538" spans="2:34" x14ac:dyDescent="0.2">
      <c r="B6538" s="2">
        <f ca="1"/>
        <v>0.38369694954210987</v>
      </c>
      <c r="O6538" s="2">
        <f ca="1"/>
        <v>0.55040706059502764</v>
      </c>
      <c r="X6538" s="2">
        <f ca="1"/>
        <v>39.406049742517901</v>
      </c>
      <c r="AG6538" s="2">
        <f ca="1"/>
        <v>0.67397093098777017</v>
      </c>
      <c r="AH6538" s="2" t="str">
        <f ca="1"/>
        <v>Bad</v>
      </c>
    </row>
    <row r="6539" spans="2:34" x14ac:dyDescent="0.2">
      <c r="B6539" s="2">
        <f ca="1"/>
        <v>0.2270141450683596</v>
      </c>
      <c r="O6539" s="2">
        <f ca="1"/>
        <v>-2.0074838685010084E-2</v>
      </c>
      <c r="X6539" s="2">
        <f ca="1"/>
        <v>63.937413632902356</v>
      </c>
      <c r="AG6539" s="2">
        <f ca="1"/>
        <v>0.18337257088413428</v>
      </c>
      <c r="AH6539" s="2" t="str">
        <f ca="1"/>
        <v>OK</v>
      </c>
    </row>
    <row r="6540" spans="2:34" x14ac:dyDescent="0.2">
      <c r="B6540" s="2">
        <f ca="1"/>
        <v>0.69099685779261533</v>
      </c>
      <c r="O6540" s="2">
        <f ca="1"/>
        <v>1.3098558225879258</v>
      </c>
      <c r="X6540" s="2">
        <f ca="1"/>
        <v>60.845191044540258</v>
      </c>
      <c r="AG6540" s="2">
        <f ca="1"/>
        <v>2.9221744348196355E-2</v>
      </c>
      <c r="AH6540" s="2" t="str">
        <f ca="1"/>
        <v>Good</v>
      </c>
    </row>
    <row r="6541" spans="2:34" x14ac:dyDescent="0.2">
      <c r="B6541" s="2">
        <f ca="1"/>
        <v>0.38372206740513914</v>
      </c>
      <c r="O6541" s="2">
        <f ca="1"/>
        <v>-0.40230923926752438</v>
      </c>
      <c r="X6541" s="2">
        <f ca="1"/>
        <v>73.220209632370313</v>
      </c>
      <c r="AG6541" s="2">
        <f ca="1"/>
        <v>0.16419632490465963</v>
      </c>
      <c r="AH6541" s="2" t="str">
        <f ca="1"/>
        <v>OK</v>
      </c>
    </row>
    <row r="6542" spans="2:34" x14ac:dyDescent="0.2">
      <c r="B6542" s="2">
        <f ca="1"/>
        <v>0.59404653661940521</v>
      </c>
      <c r="O6542" s="2">
        <f ca="1"/>
        <v>-0.25510864701222463</v>
      </c>
      <c r="X6542" s="2">
        <f ca="1"/>
        <v>68.311926060408922</v>
      </c>
      <c r="AG6542" s="2">
        <f ca="1"/>
        <v>0.36856528586995485</v>
      </c>
      <c r="AH6542" s="2" t="str">
        <f ca="1"/>
        <v>OK</v>
      </c>
    </row>
    <row r="6543" spans="2:34" x14ac:dyDescent="0.2">
      <c r="B6543" s="2">
        <f ca="1"/>
        <v>0.55685622067826857</v>
      </c>
      <c r="O6543" s="2">
        <f ca="1"/>
        <v>7.7378572715769617E-2</v>
      </c>
      <c r="X6543" s="2">
        <f ca="1"/>
        <v>31.446127549528192</v>
      </c>
      <c r="AG6543" s="2">
        <f ca="1"/>
        <v>0.2394530304130893</v>
      </c>
      <c r="AH6543" s="2" t="str">
        <f ca="1"/>
        <v>OK</v>
      </c>
    </row>
    <row r="6544" spans="2:34" x14ac:dyDescent="0.2">
      <c r="B6544" s="2">
        <f ca="1"/>
        <v>0.54044547279733468</v>
      </c>
      <c r="O6544" s="2">
        <f ca="1"/>
        <v>0.34306775839523701</v>
      </c>
      <c r="X6544" s="2">
        <f ca="1"/>
        <v>53.802437779448539</v>
      </c>
      <c r="AG6544" s="2">
        <f ca="1"/>
        <v>0.8991884105570993</v>
      </c>
      <c r="AH6544" s="2" t="str">
        <f ca="1"/>
        <v>Bad</v>
      </c>
    </row>
    <row r="6545" spans="2:34" x14ac:dyDescent="0.2">
      <c r="B6545" s="2">
        <f ca="1"/>
        <v>0.54169497518286525</v>
      </c>
      <c r="O6545" s="2">
        <f ca="1"/>
        <v>0.52956217286109819</v>
      </c>
      <c r="X6545" s="2">
        <f ca="1"/>
        <v>32.242032101248597</v>
      </c>
      <c r="AG6545" s="2">
        <f ca="1"/>
        <v>0.27973623143735993</v>
      </c>
      <c r="AH6545" s="2" t="str">
        <f ca="1"/>
        <v>OK</v>
      </c>
    </row>
    <row r="6546" spans="2:34" x14ac:dyDescent="0.2">
      <c r="B6546" s="2">
        <f ca="1"/>
        <v>0.89962241126652542</v>
      </c>
      <c r="O6546" s="2">
        <f ca="1"/>
        <v>7.8174635719453184E-2</v>
      </c>
      <c r="X6546" s="2">
        <f ca="1"/>
        <v>26.065054258420567</v>
      </c>
      <c r="AG6546" s="2">
        <f ca="1"/>
        <v>0.48127078642504117</v>
      </c>
      <c r="AH6546" s="2" t="str">
        <f ca="1"/>
        <v>Bad</v>
      </c>
    </row>
    <row r="6547" spans="2:34" x14ac:dyDescent="0.2">
      <c r="B6547" s="2">
        <f ca="1"/>
        <v>0.73497625098433716</v>
      </c>
      <c r="O6547" s="2">
        <f ca="1"/>
        <v>-0.54208682744737069</v>
      </c>
      <c r="X6547" s="2">
        <f ca="1"/>
        <v>30.207658882922704</v>
      </c>
      <c r="AG6547" s="2">
        <f ca="1"/>
        <v>0.71250525158770373</v>
      </c>
      <c r="AH6547" s="2" t="str">
        <f ca="1"/>
        <v>Bad</v>
      </c>
    </row>
    <row r="6548" spans="2:34" x14ac:dyDescent="0.2">
      <c r="B6548" s="2">
        <f ca="1"/>
        <v>0.61086108549368912</v>
      </c>
      <c r="O6548" s="2">
        <f ca="1"/>
        <v>-0.78258309139862381</v>
      </c>
      <c r="X6548" s="2">
        <f ca="1"/>
        <v>47.240558094773434</v>
      </c>
      <c r="AG6548" s="2">
        <f ca="1"/>
        <v>0.50208886740696546</v>
      </c>
      <c r="AH6548" s="2" t="str">
        <f ca="1"/>
        <v>Bad</v>
      </c>
    </row>
    <row r="6549" spans="2:34" x14ac:dyDescent="0.2">
      <c r="B6549" s="2">
        <f ca="1"/>
        <v>0.58757307211854282</v>
      </c>
      <c r="O6549" s="2">
        <f ca="1"/>
        <v>-2.2950851351642996</v>
      </c>
      <c r="X6549" s="2">
        <f ca="1"/>
        <v>53.65938255524177</v>
      </c>
      <c r="AG6549" s="2">
        <f ca="1"/>
        <v>0.56707892893517542</v>
      </c>
      <c r="AH6549" s="2" t="str">
        <f ca="1"/>
        <v>Bad</v>
      </c>
    </row>
    <row r="6550" spans="2:34" x14ac:dyDescent="0.2">
      <c r="B6550" s="2">
        <f ca="1"/>
        <v>0.9346406380386183</v>
      </c>
      <c r="O6550" s="2">
        <f ca="1"/>
        <v>-0.13521755818117928</v>
      </c>
      <c r="X6550" s="2">
        <f ca="1"/>
        <v>47.739422864893427</v>
      </c>
      <c r="AG6550" s="2">
        <f ca="1"/>
        <v>0.50558630385167147</v>
      </c>
      <c r="AH6550" s="2" t="str">
        <f ca="1"/>
        <v>Bad</v>
      </c>
    </row>
    <row r="6551" spans="2:34" x14ac:dyDescent="0.2">
      <c r="B6551" s="2">
        <f ca="1"/>
        <v>0.98965289326293759</v>
      </c>
      <c r="O6551" s="2">
        <f ca="1"/>
        <v>-0.29687526673222814</v>
      </c>
      <c r="X6551" s="2">
        <f ca="1"/>
        <v>67.495224239080997</v>
      </c>
      <c r="AG6551" s="2">
        <f ca="1"/>
        <v>0.43511556200043811</v>
      </c>
      <c r="AH6551" s="2" t="str">
        <f ca="1"/>
        <v>Bad</v>
      </c>
    </row>
    <row r="6552" spans="2:34" x14ac:dyDescent="0.2">
      <c r="B6552" s="2">
        <f ca="1"/>
        <v>0.92143587938751681</v>
      </c>
      <c r="O6552" s="2">
        <f ca="1"/>
        <v>-1.2025170709549458</v>
      </c>
      <c r="X6552" s="2">
        <f ca="1"/>
        <v>24.882520358228362</v>
      </c>
      <c r="AG6552" s="2">
        <f ca="1"/>
        <v>0.20834662799804438</v>
      </c>
      <c r="AH6552" s="2" t="str">
        <f ca="1"/>
        <v>OK</v>
      </c>
    </row>
    <row r="6553" spans="2:34" x14ac:dyDescent="0.2">
      <c r="B6553" s="2">
        <f ca="1"/>
        <v>0.99415355561631102</v>
      </c>
      <c r="O6553" s="2">
        <f ca="1"/>
        <v>-0.11836063893707632</v>
      </c>
      <c r="X6553" s="2">
        <f ca="1"/>
        <v>40.449296020905749</v>
      </c>
      <c r="AG6553" s="2">
        <f ca="1"/>
        <v>0.40287520130000853</v>
      </c>
      <c r="AH6553" s="2" t="str">
        <f ca="1"/>
        <v>Bad</v>
      </c>
    </row>
    <row r="6554" spans="2:34" x14ac:dyDescent="0.2">
      <c r="B6554" s="2">
        <f ca="1"/>
        <v>0.2615847330646206</v>
      </c>
      <c r="O6554" s="2">
        <f ca="1"/>
        <v>0.35080695440576448</v>
      </c>
      <c r="X6554" s="2">
        <f ca="1"/>
        <v>43.166470966052643</v>
      </c>
      <c r="AG6554" s="2">
        <f ca="1"/>
        <v>4.9834229769415206E-2</v>
      </c>
      <c r="AH6554" s="2" t="str">
        <f ca="1"/>
        <v>Good</v>
      </c>
    </row>
    <row r="6555" spans="2:34" x14ac:dyDescent="0.2">
      <c r="B6555" s="2">
        <f ca="1"/>
        <v>0.38505302581889334</v>
      </c>
      <c r="O6555" s="2">
        <f ca="1"/>
        <v>-6.0092475347620487E-2</v>
      </c>
      <c r="X6555" s="2">
        <f ca="1"/>
        <v>59.228666826393173</v>
      </c>
      <c r="AG6555" s="2">
        <f ca="1"/>
        <v>0.8737128883777634</v>
      </c>
      <c r="AH6555" s="2" t="str">
        <f ca="1"/>
        <v>Bad</v>
      </c>
    </row>
    <row r="6556" spans="2:34" x14ac:dyDescent="0.2">
      <c r="B6556" s="2">
        <f ca="1"/>
        <v>0.30079547984503607</v>
      </c>
      <c r="O6556" s="2">
        <f ca="1"/>
        <v>0.84032461269167225</v>
      </c>
      <c r="X6556" s="2">
        <f ca="1"/>
        <v>52.06211411552011</v>
      </c>
      <c r="AG6556" s="2">
        <f ca="1"/>
        <v>0.1164880905566088</v>
      </c>
      <c r="AH6556" s="2" t="str">
        <f ca="1"/>
        <v>OK</v>
      </c>
    </row>
    <row r="6557" spans="2:34" x14ac:dyDescent="0.2">
      <c r="B6557" s="2">
        <f ca="1"/>
        <v>0.95144899617069689</v>
      </c>
      <c r="O6557" s="2">
        <f ca="1"/>
        <v>1.1570681720540739</v>
      </c>
      <c r="X6557" s="2">
        <f ca="1"/>
        <v>41.768535712111607</v>
      </c>
      <c r="AG6557" s="2">
        <f ca="1"/>
        <v>0.98048209695320843</v>
      </c>
      <c r="AH6557" s="2" t="str">
        <f ca="1"/>
        <v>Bad</v>
      </c>
    </row>
    <row r="6558" spans="2:34" x14ac:dyDescent="0.2">
      <c r="B6558" s="2">
        <f ca="1"/>
        <v>0.16339384298332149</v>
      </c>
      <c r="O6558" s="2">
        <f ca="1"/>
        <v>-1.6833844193086447</v>
      </c>
      <c r="X6558" s="2">
        <f ca="1"/>
        <v>56.117871301459353</v>
      </c>
      <c r="AG6558" s="2">
        <f ca="1"/>
        <v>0.31175530745348645</v>
      </c>
      <c r="AH6558" s="2" t="str">
        <f ca="1"/>
        <v>OK</v>
      </c>
    </row>
    <row r="6559" spans="2:34" x14ac:dyDescent="0.2">
      <c r="B6559" s="2">
        <f ca="1"/>
        <v>0.11466496932862325</v>
      </c>
      <c r="O6559" s="2">
        <f ca="1"/>
        <v>0.47149915640558621</v>
      </c>
      <c r="X6559" s="2">
        <f ca="1"/>
        <v>105.74482834941873</v>
      </c>
      <c r="AG6559" s="2">
        <f ca="1"/>
        <v>0.96188631827015847</v>
      </c>
      <c r="AH6559" s="2" t="str">
        <f ca="1"/>
        <v>Bad</v>
      </c>
    </row>
    <row r="6560" spans="2:34" x14ac:dyDescent="0.2">
      <c r="B6560" s="2">
        <f ca="1"/>
        <v>0.17052602734211852</v>
      </c>
      <c r="O6560" s="2">
        <f ca="1"/>
        <v>-0.55628124658913713</v>
      </c>
      <c r="X6560" s="2">
        <f ca="1"/>
        <v>39.460556854022883</v>
      </c>
      <c r="AG6560" s="2">
        <f ca="1"/>
        <v>0.53856510678517466</v>
      </c>
      <c r="AH6560" s="2" t="str">
        <f ca="1"/>
        <v>Bad</v>
      </c>
    </row>
    <row r="6561" spans="2:34" x14ac:dyDescent="0.2">
      <c r="B6561" s="2">
        <f ca="1"/>
        <v>0.51552984935385604</v>
      </c>
      <c r="O6561" s="2">
        <f ca="1"/>
        <v>0.7899422063655227</v>
      </c>
      <c r="X6561" s="2">
        <f ca="1"/>
        <v>36.018250987109923</v>
      </c>
      <c r="AG6561" s="2">
        <f ca="1"/>
        <v>0.46703392130564092</v>
      </c>
      <c r="AH6561" s="2" t="str">
        <f ca="1"/>
        <v>Bad</v>
      </c>
    </row>
    <row r="6562" spans="2:34" x14ac:dyDescent="0.2">
      <c r="B6562" s="2">
        <f ca="1"/>
        <v>0.41881719455130462</v>
      </c>
      <c r="O6562" s="2">
        <f ca="1"/>
        <v>0.45002591149917176</v>
      </c>
      <c r="X6562" s="2">
        <f ca="1"/>
        <v>28.86407989692011</v>
      </c>
      <c r="AG6562" s="2">
        <f ca="1"/>
        <v>0.72121418373495771</v>
      </c>
      <c r="AH6562" s="2" t="str">
        <f ca="1"/>
        <v>Bad</v>
      </c>
    </row>
    <row r="6563" spans="2:34" x14ac:dyDescent="0.2">
      <c r="B6563" s="2">
        <f ca="1"/>
        <v>0.29666825687009135</v>
      </c>
      <c r="O6563" s="2">
        <f ca="1"/>
        <v>-0.89191409066635652</v>
      </c>
      <c r="X6563" s="2">
        <f ca="1"/>
        <v>45.746996648695024</v>
      </c>
      <c r="AG6563" s="2">
        <f ca="1"/>
        <v>0.7923560543570134</v>
      </c>
      <c r="AH6563" s="2" t="str">
        <f ca="1"/>
        <v>Bad</v>
      </c>
    </row>
    <row r="6564" spans="2:34" x14ac:dyDescent="0.2">
      <c r="B6564" s="2">
        <f ca="1"/>
        <v>0.30937240983991798</v>
      </c>
      <c r="O6564" s="2">
        <f ca="1"/>
        <v>0.10586221964367223</v>
      </c>
      <c r="X6564" s="2">
        <f ca="1"/>
        <v>76.455185215109495</v>
      </c>
      <c r="AG6564" s="2">
        <f ca="1"/>
        <v>0.59554537431196408</v>
      </c>
      <c r="AH6564" s="2" t="str">
        <f ca="1"/>
        <v>Bad</v>
      </c>
    </row>
    <row r="6565" spans="2:34" x14ac:dyDescent="0.2">
      <c r="B6565" s="2">
        <f ca="1"/>
        <v>0.20722090693771511</v>
      </c>
      <c r="O6565" s="2">
        <f ca="1"/>
        <v>-0.28561462678803584</v>
      </c>
      <c r="X6565" s="2">
        <f ca="1"/>
        <v>53.447503119297089</v>
      </c>
      <c r="AG6565" s="2">
        <f ca="1"/>
        <v>0.28641004589383923</v>
      </c>
      <c r="AH6565" s="2" t="str">
        <f ca="1"/>
        <v>OK</v>
      </c>
    </row>
    <row r="6566" spans="2:34" x14ac:dyDescent="0.2">
      <c r="B6566" s="2">
        <f ca="1"/>
        <v>0.83229429254399534</v>
      </c>
      <c r="O6566" s="2">
        <f ca="1"/>
        <v>0.32015097525117892</v>
      </c>
      <c r="X6566" s="2">
        <f ca="1"/>
        <v>66.798196615285818</v>
      </c>
      <c r="AG6566" s="2">
        <f ca="1"/>
        <v>0.29955778103248498</v>
      </c>
      <c r="AH6566" s="2" t="str">
        <f ca="1"/>
        <v>OK</v>
      </c>
    </row>
    <row r="6567" spans="2:34" x14ac:dyDescent="0.2">
      <c r="B6567" s="2">
        <f ca="1"/>
        <v>5.0262622357651665E-2</v>
      </c>
      <c r="O6567" s="2">
        <f ca="1"/>
        <v>-0.36188140130578372</v>
      </c>
      <c r="X6567" s="2">
        <f ca="1"/>
        <v>59.910919089574676</v>
      </c>
      <c r="AG6567" s="2">
        <f ca="1"/>
        <v>0.51630155910942266</v>
      </c>
      <c r="AH6567" s="2" t="str">
        <f ca="1"/>
        <v>Bad</v>
      </c>
    </row>
    <row r="6568" spans="2:34" x14ac:dyDescent="0.2">
      <c r="B6568" s="2">
        <f ca="1"/>
        <v>0.48088645629782634</v>
      </c>
      <c r="O6568" s="2">
        <f ca="1"/>
        <v>-0.96866865122010926</v>
      </c>
      <c r="X6568" s="2">
        <f ca="1"/>
        <v>51.64469084560065</v>
      </c>
      <c r="AG6568" s="2">
        <f ca="1"/>
        <v>0.89111314405924191</v>
      </c>
      <c r="AH6568" s="2" t="str">
        <f ca="1"/>
        <v>Bad</v>
      </c>
    </row>
    <row r="6569" spans="2:34" x14ac:dyDescent="0.2">
      <c r="B6569" s="2">
        <f ca="1"/>
        <v>1.4126244420460621E-2</v>
      </c>
      <c r="O6569" s="2">
        <f ca="1"/>
        <v>-0.35633790863592391</v>
      </c>
      <c r="X6569" s="2">
        <f ca="1"/>
        <v>52.823825866182588</v>
      </c>
      <c r="AG6569" s="2">
        <f ca="1"/>
        <v>0.73101057421040472</v>
      </c>
      <c r="AH6569" s="2" t="str">
        <f ca="1"/>
        <v>Bad</v>
      </c>
    </row>
    <row r="6570" spans="2:34" x14ac:dyDescent="0.2">
      <c r="B6570" s="2">
        <f ca="1"/>
        <v>0.79147697557743113</v>
      </c>
      <c r="O6570" s="2">
        <f ca="1"/>
        <v>2.1284469729929683</v>
      </c>
      <c r="X6570" s="2">
        <f ca="1"/>
        <v>53.840964505904466</v>
      </c>
      <c r="AG6570" s="2">
        <f ca="1"/>
        <v>0.16045397070457978</v>
      </c>
      <c r="AH6570" s="2" t="str">
        <f ca="1"/>
        <v>OK</v>
      </c>
    </row>
    <row r="6571" spans="2:34" x14ac:dyDescent="0.2">
      <c r="B6571" s="2">
        <f ca="1"/>
        <v>0.94053071516950215</v>
      </c>
      <c r="O6571" s="2">
        <f ca="1"/>
        <v>2.192449641284814</v>
      </c>
      <c r="X6571" s="2">
        <f ca="1"/>
        <v>70.737735909356672</v>
      </c>
      <c r="AG6571" s="2">
        <f ca="1"/>
        <v>0.19474962071292734</v>
      </c>
      <c r="AH6571" s="2" t="str">
        <f ca="1"/>
        <v>OK</v>
      </c>
    </row>
    <row r="6572" spans="2:34" x14ac:dyDescent="0.2">
      <c r="B6572" s="2">
        <f ca="1"/>
        <v>0.46297786779986816</v>
      </c>
      <c r="O6572" s="2">
        <f ca="1"/>
        <v>1.1096535926161568</v>
      </c>
      <c r="X6572" s="2">
        <f ca="1"/>
        <v>19.250732787763635</v>
      </c>
      <c r="AG6572" s="2">
        <f ca="1"/>
        <v>0.86077276876586373</v>
      </c>
      <c r="AH6572" s="2" t="str">
        <f ca="1"/>
        <v>Bad</v>
      </c>
    </row>
    <row r="6573" spans="2:34" x14ac:dyDescent="0.2">
      <c r="B6573" s="2">
        <f ca="1"/>
        <v>0.22622062270892296</v>
      </c>
      <c r="O6573" s="2">
        <f ca="1"/>
        <v>1.0587598561964473</v>
      </c>
      <c r="X6573" s="2">
        <f ca="1"/>
        <v>29.845284788709002</v>
      </c>
      <c r="AG6573" s="2">
        <f ca="1"/>
        <v>5.0787897228274481E-2</v>
      </c>
      <c r="AH6573" s="2" t="str">
        <f ca="1"/>
        <v>OK</v>
      </c>
    </row>
    <row r="6574" spans="2:34" x14ac:dyDescent="0.2">
      <c r="B6574" s="2">
        <f ca="1"/>
        <v>0.39041702561947123</v>
      </c>
      <c r="O6574" s="2">
        <f ca="1"/>
        <v>-1.6838616311428265</v>
      </c>
      <c r="X6574" s="2">
        <f ca="1"/>
        <v>37.544125580575553</v>
      </c>
      <c r="AG6574" s="2">
        <f ca="1"/>
        <v>0.86653243233689192</v>
      </c>
      <c r="AH6574" s="2" t="str">
        <f ca="1"/>
        <v>Bad</v>
      </c>
    </row>
    <row r="6575" spans="2:34" x14ac:dyDescent="0.2">
      <c r="B6575" s="2">
        <f ca="1"/>
        <v>0.78548624091241437</v>
      </c>
      <c r="O6575" s="2">
        <f ca="1"/>
        <v>0.39525817265336244</v>
      </c>
      <c r="X6575" s="2">
        <f ca="1"/>
        <v>71.137755863290721</v>
      </c>
      <c r="AG6575" s="2">
        <f ca="1"/>
        <v>0.42910825389028773</v>
      </c>
      <c r="AH6575" s="2" t="str">
        <f ca="1"/>
        <v>Bad</v>
      </c>
    </row>
    <row r="6576" spans="2:34" x14ac:dyDescent="0.2">
      <c r="B6576" s="2">
        <f ca="1"/>
        <v>0.43937394008403818</v>
      </c>
      <c r="O6576" s="2">
        <f ca="1"/>
        <v>-0.52337902820359661</v>
      </c>
      <c r="X6576" s="2">
        <f ca="1"/>
        <v>33.995084765933051</v>
      </c>
      <c r="AG6576" s="2">
        <f ca="1"/>
        <v>0.46588174262792603</v>
      </c>
      <c r="AH6576" s="2" t="str">
        <f ca="1"/>
        <v>Bad</v>
      </c>
    </row>
    <row r="6577" spans="2:34" x14ac:dyDescent="0.2">
      <c r="B6577" s="2">
        <f ca="1"/>
        <v>0.37282583744780107</v>
      </c>
      <c r="O6577" s="2">
        <f ca="1"/>
        <v>1.1492505414251832</v>
      </c>
      <c r="X6577" s="2">
        <f ca="1"/>
        <v>41.409324405391317</v>
      </c>
      <c r="AG6577" s="2">
        <f ca="1"/>
        <v>3.2399308492791601E-2</v>
      </c>
      <c r="AH6577" s="2" t="str">
        <f ca="1"/>
        <v>Good</v>
      </c>
    </row>
    <row r="6578" spans="2:34" x14ac:dyDescent="0.2">
      <c r="B6578" s="2">
        <f ca="1"/>
        <v>0.90212034980883193</v>
      </c>
      <c r="O6578" s="2">
        <f ca="1"/>
        <v>-1.0027154802808815</v>
      </c>
      <c r="X6578" s="2">
        <f ca="1"/>
        <v>41.356020357165249</v>
      </c>
      <c r="AG6578" s="2">
        <f ca="1"/>
        <v>3.7331138813457621E-2</v>
      </c>
      <c r="AH6578" s="2" t="str">
        <f ca="1"/>
        <v>Good</v>
      </c>
    </row>
    <row r="6579" spans="2:34" x14ac:dyDescent="0.2">
      <c r="B6579" s="2">
        <f ca="1"/>
        <v>0.65501052471233301</v>
      </c>
      <c r="O6579" s="2">
        <f ca="1"/>
        <v>0.28978011936299247</v>
      </c>
      <c r="X6579" s="2">
        <f ca="1"/>
        <v>52.665348392899617</v>
      </c>
      <c r="AG6579" s="2">
        <f ca="1"/>
        <v>0.46816167297677103</v>
      </c>
      <c r="AH6579" s="2" t="str">
        <f ca="1"/>
        <v>Bad</v>
      </c>
    </row>
    <row r="6580" spans="2:34" x14ac:dyDescent="0.2">
      <c r="B6580" s="2">
        <f ca="1"/>
        <v>0.13599772574332336</v>
      </c>
      <c r="O6580" s="2">
        <f ca="1"/>
        <v>-1.0525330789786205</v>
      </c>
      <c r="X6580" s="2">
        <f ca="1"/>
        <v>48.868631459089677</v>
      </c>
      <c r="AG6580" s="2">
        <f ca="1"/>
        <v>0.98750296590931286</v>
      </c>
      <c r="AH6580" s="2" t="str">
        <f ca="1"/>
        <v>Bad</v>
      </c>
    </row>
    <row r="6581" spans="2:34" x14ac:dyDescent="0.2">
      <c r="B6581" s="2">
        <f ca="1"/>
        <v>0.7071048846241561</v>
      </c>
      <c r="O6581" s="2">
        <f ca="1"/>
        <v>-1.1246229123414559</v>
      </c>
      <c r="X6581" s="2">
        <f ca="1"/>
        <v>51.976137749063334</v>
      </c>
      <c r="AG6581" s="2">
        <f ca="1"/>
        <v>0.52244082904928035</v>
      </c>
      <c r="AH6581" s="2" t="str">
        <f ca="1"/>
        <v>Bad</v>
      </c>
    </row>
    <row r="6582" spans="2:34" x14ac:dyDescent="0.2">
      <c r="B6582" s="2">
        <f ca="1"/>
        <v>0.86830783519271959</v>
      </c>
      <c r="O6582" s="2">
        <f ca="1"/>
        <v>-1.8904707217356151</v>
      </c>
      <c r="X6582" s="2">
        <f ca="1"/>
        <v>69.973491468497755</v>
      </c>
      <c r="AG6582" s="2">
        <f ca="1"/>
        <v>0.91850060850480064</v>
      </c>
      <c r="AH6582" s="2" t="str">
        <f ca="1"/>
        <v>Bad</v>
      </c>
    </row>
    <row r="6583" spans="2:34" x14ac:dyDescent="0.2">
      <c r="B6583" s="2">
        <f ca="1"/>
        <v>0.57118186731584397</v>
      </c>
      <c r="O6583" s="2">
        <f ca="1"/>
        <v>-1.1751680413527752</v>
      </c>
      <c r="X6583" s="2">
        <f ca="1"/>
        <v>43.468142652285138</v>
      </c>
      <c r="AG6583" s="2">
        <f ca="1"/>
        <v>0.61987305735085552</v>
      </c>
      <c r="AH6583" s="2" t="str">
        <f ca="1"/>
        <v>Bad</v>
      </c>
    </row>
    <row r="6584" spans="2:34" x14ac:dyDescent="0.2">
      <c r="B6584" s="2">
        <f ca="1"/>
        <v>0.3380798410766086</v>
      </c>
      <c r="O6584" s="2">
        <f ca="1"/>
        <v>-0.22832021883209191</v>
      </c>
      <c r="X6584" s="2">
        <f ca="1"/>
        <v>39.287877010530082</v>
      </c>
      <c r="AG6584" s="2">
        <f ca="1"/>
        <v>5.2280826324857976E-2</v>
      </c>
      <c r="AH6584" s="2" t="str">
        <f ca="1"/>
        <v>OK</v>
      </c>
    </row>
    <row r="6585" spans="2:34" x14ac:dyDescent="0.2">
      <c r="B6585" s="2">
        <f ca="1"/>
        <v>0.35402960274872597</v>
      </c>
      <c r="O6585" s="2">
        <f ca="1"/>
        <v>-0.17442613055257203</v>
      </c>
      <c r="X6585" s="2">
        <f ca="1"/>
        <v>46.985671279374905</v>
      </c>
      <c r="AG6585" s="2">
        <f ca="1"/>
        <v>0.44762677823234043</v>
      </c>
      <c r="AH6585" s="2" t="str">
        <f ca="1"/>
        <v>Bad</v>
      </c>
    </row>
    <row r="6586" spans="2:34" x14ac:dyDescent="0.2">
      <c r="B6586" s="2">
        <f ca="1"/>
        <v>0.85581049138713716</v>
      </c>
      <c r="O6586" s="2">
        <f ca="1"/>
        <v>-0.89193083091745207</v>
      </c>
      <c r="X6586" s="2">
        <f ca="1"/>
        <v>44.329623306836069</v>
      </c>
      <c r="AG6586" s="2">
        <f ca="1"/>
        <v>0.15321745003051923</v>
      </c>
      <c r="AH6586" s="2" t="str">
        <f ca="1"/>
        <v>OK</v>
      </c>
    </row>
    <row r="6587" spans="2:34" x14ac:dyDescent="0.2">
      <c r="B6587" s="2">
        <f ca="1"/>
        <v>0.43121512223011149</v>
      </c>
      <c r="O6587" s="2">
        <f ca="1"/>
        <v>-0.85119543140426546</v>
      </c>
      <c r="X6587" s="2">
        <f ca="1"/>
        <v>35.397037633349115</v>
      </c>
      <c r="AG6587" s="2">
        <f ca="1"/>
        <v>0.22894605188930739</v>
      </c>
      <c r="AH6587" s="2" t="str">
        <f ca="1"/>
        <v>OK</v>
      </c>
    </row>
    <row r="6588" spans="2:34" x14ac:dyDescent="0.2">
      <c r="B6588" s="2">
        <f ca="1"/>
        <v>0.11168255220267542</v>
      </c>
      <c r="O6588" s="2">
        <f ca="1"/>
        <v>-2.3038085809442164</v>
      </c>
      <c r="X6588" s="2">
        <f ca="1"/>
        <v>64.325532831988625</v>
      </c>
      <c r="AG6588" s="2">
        <f ca="1"/>
        <v>0.64088530112530595</v>
      </c>
      <c r="AH6588" s="2" t="str">
        <f ca="1"/>
        <v>Bad</v>
      </c>
    </row>
    <row r="6589" spans="2:34" x14ac:dyDescent="0.2">
      <c r="B6589" s="2">
        <f ca="1"/>
        <v>0.18402078956139767</v>
      </c>
      <c r="O6589" s="2">
        <f ca="1"/>
        <v>-1.3671955240936098</v>
      </c>
      <c r="X6589" s="2">
        <f ca="1"/>
        <v>48.714998766751279</v>
      </c>
      <c r="AG6589" s="2">
        <f ca="1"/>
        <v>0.31448928119687913</v>
      </c>
      <c r="AH6589" s="2" t="str">
        <f ca="1"/>
        <v>OK</v>
      </c>
    </row>
    <row r="6590" spans="2:34" x14ac:dyDescent="0.2">
      <c r="B6590" s="2">
        <f ca="1"/>
        <v>0.63875945657015665</v>
      </c>
      <c r="O6590" s="2">
        <f ca="1"/>
        <v>-0.77185079944552715</v>
      </c>
      <c r="X6590" s="2">
        <f ca="1"/>
        <v>70.606391689848707</v>
      </c>
      <c r="AG6590" s="2">
        <f ca="1"/>
        <v>6.490628449550484E-2</v>
      </c>
      <c r="AH6590" s="2" t="str">
        <f ca="1"/>
        <v>OK</v>
      </c>
    </row>
    <row r="6591" spans="2:34" x14ac:dyDescent="0.2">
      <c r="B6591" s="2">
        <f ca="1"/>
        <v>0.57498962120433617</v>
      </c>
      <c r="O6591" s="2">
        <f ca="1"/>
        <v>-0.54852189010193975</v>
      </c>
      <c r="X6591" s="2">
        <f ca="1"/>
        <v>32.7564342118892</v>
      </c>
      <c r="AG6591" s="2">
        <f ca="1"/>
        <v>0.37509356554506912</v>
      </c>
      <c r="AH6591" s="2" t="str">
        <f ca="1"/>
        <v>OK</v>
      </c>
    </row>
    <row r="6592" spans="2:34" x14ac:dyDescent="0.2">
      <c r="B6592" s="2">
        <f ca="1"/>
        <v>0.50360807818705466</v>
      </c>
      <c r="O6592" s="2">
        <f ca="1"/>
        <v>-0.81912209406682479</v>
      </c>
      <c r="X6592" s="2">
        <f ca="1"/>
        <v>38.814766381624935</v>
      </c>
      <c r="AG6592" s="2">
        <f ca="1"/>
        <v>0.18441026384726977</v>
      </c>
      <c r="AH6592" s="2" t="str">
        <f ca="1"/>
        <v>OK</v>
      </c>
    </row>
    <row r="6593" spans="2:34" x14ac:dyDescent="0.2">
      <c r="B6593" s="2">
        <f ca="1"/>
        <v>0.93953919493896931</v>
      </c>
      <c r="O6593" s="2">
        <f ca="1"/>
        <v>4.7575189307456876E-3</v>
      </c>
      <c r="X6593" s="2">
        <f ca="1"/>
        <v>49.347697821558903</v>
      </c>
      <c r="AG6593" s="2">
        <f ca="1"/>
        <v>0.65760377563278372</v>
      </c>
      <c r="AH6593" s="2" t="str">
        <f ca="1"/>
        <v>Bad</v>
      </c>
    </row>
    <row r="6594" spans="2:34" x14ac:dyDescent="0.2">
      <c r="B6594" s="2">
        <f ca="1"/>
        <v>0.62872194200869069</v>
      </c>
      <c r="O6594" s="2">
        <f ca="1"/>
        <v>0.46797902849152856</v>
      </c>
      <c r="X6594" s="2">
        <f ca="1"/>
        <v>45.659684700503043</v>
      </c>
      <c r="AG6594" s="2">
        <f ca="1"/>
        <v>6.3077244050275816E-3</v>
      </c>
      <c r="AH6594" s="2" t="str">
        <f ca="1"/>
        <v>Good</v>
      </c>
    </row>
    <row r="6595" spans="2:34" x14ac:dyDescent="0.2">
      <c r="B6595" s="2">
        <f ca="1"/>
        <v>1.7897662010338378E-2</v>
      </c>
      <c r="O6595" s="2">
        <f ca="1"/>
        <v>1.4819956453097138</v>
      </c>
      <c r="X6595" s="2">
        <f ca="1"/>
        <v>60.964444042284015</v>
      </c>
      <c r="AG6595" s="2">
        <f ca="1"/>
        <v>0.32154740655835767</v>
      </c>
      <c r="AH6595" s="2" t="str">
        <f ca="1"/>
        <v>OK</v>
      </c>
    </row>
    <row r="6596" spans="2:34" x14ac:dyDescent="0.2">
      <c r="B6596" s="2">
        <f ca="1"/>
        <v>9.8617573359595534E-2</v>
      </c>
      <c r="O6596" s="2">
        <f ca="1"/>
        <v>-0.79317476778840335</v>
      </c>
      <c r="X6596" s="2">
        <f ca="1"/>
        <v>33.624915007213431</v>
      </c>
      <c r="AG6596" s="2">
        <f ca="1"/>
        <v>0.84687734230056999</v>
      </c>
      <c r="AH6596" s="2" t="str">
        <f ca="1"/>
        <v>Bad</v>
      </c>
    </row>
    <row r="6597" spans="2:34" x14ac:dyDescent="0.2">
      <c r="B6597" s="2">
        <f ca="1"/>
        <v>0.41330215572060691</v>
      </c>
      <c r="O6597" s="2">
        <f ca="1"/>
        <v>0.55292348137795377</v>
      </c>
      <c r="X6597" s="2">
        <f ca="1"/>
        <v>60.685920602478291</v>
      </c>
      <c r="AG6597" s="2">
        <f ca="1"/>
        <v>0.78540516403189176</v>
      </c>
      <c r="AH6597" s="2" t="str">
        <f ca="1"/>
        <v>Bad</v>
      </c>
    </row>
    <row r="6598" spans="2:34" x14ac:dyDescent="0.2">
      <c r="B6598" s="2">
        <f ca="1"/>
        <v>0.65947475139349754</v>
      </c>
      <c r="O6598" s="2">
        <f ca="1"/>
        <v>-0.28905113019209416</v>
      </c>
      <c r="X6598" s="2">
        <f ca="1"/>
        <v>83.888379547209297</v>
      </c>
      <c r="AG6598" s="2">
        <f ca="1"/>
        <v>0.98425160134493672</v>
      </c>
      <c r="AH6598" s="2" t="str">
        <f ca="1"/>
        <v>Bad</v>
      </c>
    </row>
    <row r="6599" spans="2:34" x14ac:dyDescent="0.2">
      <c r="B6599" s="2">
        <f ca="1"/>
        <v>0.20944057924626103</v>
      </c>
      <c r="O6599" s="2">
        <f ca="1"/>
        <v>1.1239269228288613</v>
      </c>
      <c r="X6599" s="2">
        <f ca="1"/>
        <v>37.262237752325191</v>
      </c>
      <c r="AG6599" s="2">
        <f ca="1"/>
        <v>0.46118442167305385</v>
      </c>
      <c r="AH6599" s="2" t="str">
        <f ca="1"/>
        <v>Bad</v>
      </c>
    </row>
    <row r="6600" spans="2:34" x14ac:dyDescent="0.2">
      <c r="B6600" s="2">
        <f ca="1"/>
        <v>0.97747015945462556</v>
      </c>
      <c r="O6600" s="2">
        <f ca="1"/>
        <v>-0.75982947563081504</v>
      </c>
      <c r="X6600" s="2">
        <f ca="1"/>
        <v>55.623046223175521</v>
      </c>
      <c r="AG6600" s="2">
        <f ca="1"/>
        <v>5.6866296820362372E-2</v>
      </c>
      <c r="AH6600" s="2" t="str">
        <f ca="1"/>
        <v>OK</v>
      </c>
    </row>
    <row r="6601" spans="2:34" x14ac:dyDescent="0.2">
      <c r="B6601" s="2">
        <f ca="1"/>
        <v>0.11810847669577251</v>
      </c>
      <c r="O6601" s="2">
        <f ca="1"/>
        <v>0.61137022722884393</v>
      </c>
      <c r="X6601" s="2">
        <f ca="1"/>
        <v>61.933152105107361</v>
      </c>
      <c r="AG6601" s="2">
        <f ca="1"/>
        <v>0.7453438466743374</v>
      </c>
      <c r="AH6601" s="2" t="str">
        <f ca="1"/>
        <v>Bad</v>
      </c>
    </row>
    <row r="6602" spans="2:34" x14ac:dyDescent="0.2">
      <c r="B6602" s="2">
        <f ca="1"/>
        <v>0.55588031706987562</v>
      </c>
      <c r="O6602" s="2">
        <f ca="1"/>
        <v>-1.0247063975407804</v>
      </c>
      <c r="X6602" s="2">
        <f ca="1"/>
        <v>62.221972102324827</v>
      </c>
      <c r="AG6602" s="2">
        <f ca="1"/>
        <v>0.26677055875315925</v>
      </c>
      <c r="AH6602" s="2" t="str">
        <f ca="1"/>
        <v>OK</v>
      </c>
    </row>
    <row r="6603" spans="2:34" x14ac:dyDescent="0.2">
      <c r="B6603" s="2">
        <f ca="1"/>
        <v>0.20232558514825905</v>
      </c>
      <c r="O6603" s="2">
        <f ca="1"/>
        <v>-0.78138407719350877</v>
      </c>
      <c r="X6603" s="2">
        <f ca="1"/>
        <v>35.212113520072677</v>
      </c>
      <c r="AG6603" s="2">
        <f ca="1"/>
        <v>5.0350419399765478E-2</v>
      </c>
      <c r="AH6603" s="2" t="str">
        <f ca="1"/>
        <v>OK</v>
      </c>
    </row>
    <row r="6604" spans="2:34" x14ac:dyDescent="0.2">
      <c r="B6604" s="2">
        <f ca="1"/>
        <v>0.39505001641089232</v>
      </c>
      <c r="O6604" s="2">
        <f ca="1"/>
        <v>-1.2549255193397102</v>
      </c>
      <c r="X6604" s="2">
        <f ca="1"/>
        <v>49.322651598363912</v>
      </c>
      <c r="AG6604" s="2">
        <f ca="1"/>
        <v>0.98306366116633392</v>
      </c>
      <c r="AH6604" s="2" t="str">
        <f ca="1"/>
        <v>Bad</v>
      </c>
    </row>
    <row r="6605" spans="2:34" x14ac:dyDescent="0.2">
      <c r="B6605" s="2">
        <f ca="1"/>
        <v>0.85760016355283342</v>
      </c>
      <c r="O6605" s="2">
        <f ca="1"/>
        <v>-0.73263388734322854</v>
      </c>
      <c r="X6605" s="2">
        <f ca="1"/>
        <v>46.95928896961793</v>
      </c>
      <c r="AG6605" s="2">
        <f ca="1"/>
        <v>0.27818055194641578</v>
      </c>
      <c r="AH6605" s="2" t="str">
        <f ca="1"/>
        <v>OK</v>
      </c>
    </row>
    <row r="6606" spans="2:34" x14ac:dyDescent="0.2">
      <c r="B6606" s="2">
        <f ca="1"/>
        <v>0.86220110654030635</v>
      </c>
      <c r="O6606" s="2">
        <f ca="1"/>
        <v>-1.0829168688675721</v>
      </c>
      <c r="X6606" s="2">
        <f ca="1"/>
        <v>29.768106626949805</v>
      </c>
      <c r="AG6606" s="2">
        <f ca="1"/>
        <v>0.60402442540826495</v>
      </c>
      <c r="AH6606" s="2" t="str">
        <f ca="1"/>
        <v>Bad</v>
      </c>
    </row>
    <row r="6607" spans="2:34" x14ac:dyDescent="0.2">
      <c r="B6607" s="2">
        <f ca="1"/>
        <v>6.5335310650938672E-2</v>
      </c>
      <c r="O6607" s="2">
        <f ca="1"/>
        <v>0.60245060572570774</v>
      </c>
      <c r="X6607" s="2">
        <f ca="1"/>
        <v>75.326720719009714</v>
      </c>
      <c r="AG6607" s="2">
        <f ca="1"/>
        <v>0.82280348255110525</v>
      </c>
      <c r="AH6607" s="2" t="str">
        <f ca="1"/>
        <v>Bad</v>
      </c>
    </row>
    <row r="6608" spans="2:34" x14ac:dyDescent="0.2">
      <c r="B6608" s="2">
        <f ca="1"/>
        <v>0.30239098590738012</v>
      </c>
      <c r="O6608" s="2">
        <f ca="1"/>
        <v>-0.37445554748400184</v>
      </c>
      <c r="X6608" s="2">
        <f ca="1"/>
        <v>76.070794783956501</v>
      </c>
      <c r="AG6608" s="2">
        <f ca="1"/>
        <v>0.40495617215501944</v>
      </c>
      <c r="AH6608" s="2" t="str">
        <f ca="1"/>
        <v>Bad</v>
      </c>
    </row>
    <row r="6609" spans="2:34" x14ac:dyDescent="0.2">
      <c r="B6609" s="2">
        <f ca="1"/>
        <v>0.51403405771248711</v>
      </c>
      <c r="O6609" s="2">
        <f ca="1"/>
        <v>0.84547776319813395</v>
      </c>
      <c r="X6609" s="2">
        <f ca="1"/>
        <v>47.911983219746034</v>
      </c>
      <c r="AG6609" s="2">
        <f ca="1"/>
        <v>0.75160613151343947</v>
      </c>
      <c r="AH6609" s="2" t="str">
        <f ca="1"/>
        <v>Bad</v>
      </c>
    </row>
    <row r="6610" spans="2:34" x14ac:dyDescent="0.2">
      <c r="B6610" s="2">
        <f ca="1"/>
        <v>0.64416374823777445</v>
      </c>
      <c r="O6610" s="2">
        <f ca="1"/>
        <v>0.12639603745725198</v>
      </c>
      <c r="X6610" s="2">
        <f ca="1"/>
        <v>57.590614095850235</v>
      </c>
      <c r="AG6610" s="2">
        <f ca="1"/>
        <v>0.19829840430663803</v>
      </c>
      <c r="AH6610" s="2" t="str">
        <f ca="1"/>
        <v>OK</v>
      </c>
    </row>
    <row r="6611" spans="2:34" x14ac:dyDescent="0.2">
      <c r="B6611" s="2">
        <f ca="1"/>
        <v>0.98928207767769027</v>
      </c>
      <c r="O6611" s="2">
        <f ca="1"/>
        <v>0.18521688942823161</v>
      </c>
      <c r="X6611" s="2">
        <f ca="1"/>
        <v>43.89306444095898</v>
      </c>
      <c r="AG6611" s="2">
        <f ca="1"/>
        <v>0.95487977673579194</v>
      </c>
      <c r="AH6611" s="2" t="str">
        <f ca="1"/>
        <v>Bad</v>
      </c>
    </row>
    <row r="6612" spans="2:34" x14ac:dyDescent="0.2">
      <c r="B6612" s="2">
        <f ca="1"/>
        <v>0.31885225428282071</v>
      </c>
      <c r="O6612" s="2">
        <f ca="1"/>
        <v>-0.22028491838949169</v>
      </c>
      <c r="X6612" s="2">
        <f ca="1"/>
        <v>47.708707555459227</v>
      </c>
      <c r="AG6612" s="2">
        <f ca="1"/>
        <v>0.53399944341964867</v>
      </c>
      <c r="AH6612" s="2" t="str">
        <f ca="1"/>
        <v>Bad</v>
      </c>
    </row>
    <row r="6613" spans="2:34" x14ac:dyDescent="0.2">
      <c r="B6613" s="2">
        <f ca="1"/>
        <v>0.17062207198384738</v>
      </c>
      <c r="O6613" s="2">
        <f ca="1"/>
        <v>0.1429819613162393</v>
      </c>
      <c r="X6613" s="2">
        <f ca="1"/>
        <v>47.083135639907063</v>
      </c>
      <c r="AG6613" s="2">
        <f ca="1"/>
        <v>0.92140710935631542</v>
      </c>
      <c r="AH6613" s="2" t="str">
        <f ca="1"/>
        <v>Bad</v>
      </c>
    </row>
    <row r="6614" spans="2:34" x14ac:dyDescent="0.2">
      <c r="B6614" s="2">
        <f ca="1"/>
        <v>0.79659794741460055</v>
      </c>
      <c r="O6614" s="2">
        <f ca="1"/>
        <v>-0.33546866151764798</v>
      </c>
      <c r="X6614" s="2">
        <f ca="1"/>
        <v>58.828628751435552</v>
      </c>
      <c r="AG6614" s="2">
        <f ca="1"/>
        <v>0.55449304124616905</v>
      </c>
      <c r="AH6614" s="2" t="str">
        <f ca="1"/>
        <v>Bad</v>
      </c>
    </row>
    <row r="6615" spans="2:34" x14ac:dyDescent="0.2">
      <c r="B6615" s="2">
        <f ca="1"/>
        <v>0.50699747011656848</v>
      </c>
      <c r="O6615" s="2">
        <f ca="1"/>
        <v>-0.46458436400691783</v>
      </c>
      <c r="X6615" s="2">
        <f ca="1"/>
        <v>26.108159219409679</v>
      </c>
      <c r="AG6615" s="2">
        <f ca="1"/>
        <v>0.41430251837668952</v>
      </c>
      <c r="AH6615" s="2" t="str">
        <f ca="1"/>
        <v>Bad</v>
      </c>
    </row>
    <row r="6616" spans="2:34" x14ac:dyDescent="0.2">
      <c r="B6616" s="2">
        <f ca="1"/>
        <v>0.46558240832798914</v>
      </c>
      <c r="O6616" s="2">
        <f ca="1"/>
        <v>-0.97119808944687758</v>
      </c>
      <c r="X6616" s="2">
        <f ca="1"/>
        <v>40.795459234489748</v>
      </c>
      <c r="AG6616" s="2">
        <f ca="1"/>
        <v>0.50478926771468635</v>
      </c>
      <c r="AH6616" s="2" t="str">
        <f ca="1"/>
        <v>Bad</v>
      </c>
    </row>
    <row r="6617" spans="2:34" x14ac:dyDescent="0.2">
      <c r="B6617" s="2">
        <f ca="1"/>
        <v>0.9274939702781293</v>
      </c>
      <c r="O6617" s="2">
        <f ca="1"/>
        <v>0.62339804137353694</v>
      </c>
      <c r="X6617" s="2">
        <f ca="1"/>
        <v>60.819062586020522</v>
      </c>
      <c r="AG6617" s="2">
        <f ca="1"/>
        <v>0.97451216741343583</v>
      </c>
      <c r="AH6617" s="2" t="str">
        <f ca="1"/>
        <v>Bad</v>
      </c>
    </row>
    <row r="6618" spans="2:34" x14ac:dyDescent="0.2">
      <c r="B6618" s="2">
        <f ca="1"/>
        <v>0.11456872163225218</v>
      </c>
      <c r="O6618" s="2">
        <f ca="1"/>
        <v>1.1300342663415044</v>
      </c>
      <c r="X6618" s="2">
        <f ca="1"/>
        <v>37.949276001993752</v>
      </c>
      <c r="AG6618" s="2">
        <f ca="1"/>
        <v>0.29052123623202242</v>
      </c>
      <c r="AH6618" s="2" t="str">
        <f ca="1"/>
        <v>OK</v>
      </c>
    </row>
    <row r="6619" spans="2:34" x14ac:dyDescent="0.2">
      <c r="B6619" s="2">
        <f ca="1"/>
        <v>0.27214280156296811</v>
      </c>
      <c r="O6619" s="2">
        <f ca="1"/>
        <v>0.2918652725456245</v>
      </c>
      <c r="X6619" s="2">
        <f ca="1"/>
        <v>92.049150575481434</v>
      </c>
      <c r="AG6619" s="2">
        <f ca="1"/>
        <v>0.39136698559362171</v>
      </c>
      <c r="AH6619" s="2" t="str">
        <f ca="1"/>
        <v>OK</v>
      </c>
    </row>
    <row r="6620" spans="2:34" x14ac:dyDescent="0.2">
      <c r="B6620" s="2">
        <f ca="1"/>
        <v>0.57664851886978163</v>
      </c>
      <c r="O6620" s="2">
        <f ca="1"/>
        <v>-0.82857242797609476</v>
      </c>
      <c r="X6620" s="2">
        <f ca="1"/>
        <v>41.771135812607334</v>
      </c>
      <c r="AG6620" s="2">
        <f ca="1"/>
        <v>0.54574778866169504</v>
      </c>
      <c r="AH6620" s="2" t="str">
        <f ca="1"/>
        <v>Bad</v>
      </c>
    </row>
    <row r="6621" spans="2:34" x14ac:dyDescent="0.2">
      <c r="B6621" s="2">
        <f ca="1"/>
        <v>0.29048086483329572</v>
      </c>
      <c r="O6621" s="2">
        <f ca="1"/>
        <v>-2.0404533969621994</v>
      </c>
      <c r="X6621" s="2">
        <f ca="1"/>
        <v>18.926252065627914</v>
      </c>
      <c r="AG6621" s="2">
        <f ca="1"/>
        <v>0.26525274232418838</v>
      </c>
      <c r="AH6621" s="2" t="str">
        <f ca="1"/>
        <v>OK</v>
      </c>
    </row>
    <row r="6622" spans="2:34" x14ac:dyDescent="0.2">
      <c r="B6622" s="2">
        <f ca="1"/>
        <v>0.97499056520883731</v>
      </c>
      <c r="O6622" s="2">
        <f ca="1"/>
        <v>-3.4867715534133453E-2</v>
      </c>
      <c r="X6622" s="2">
        <f ca="1"/>
        <v>86.013129412883288</v>
      </c>
      <c r="AG6622" s="2">
        <f ca="1"/>
        <v>5.1384247183204446E-2</v>
      </c>
      <c r="AH6622" s="2" t="str">
        <f ca="1"/>
        <v>OK</v>
      </c>
    </row>
    <row r="6623" spans="2:34" x14ac:dyDescent="0.2">
      <c r="B6623" s="2">
        <f ca="1"/>
        <v>0.53694419909836211</v>
      </c>
      <c r="O6623" s="2">
        <f ca="1"/>
        <v>-0.97314205227423078</v>
      </c>
      <c r="X6623" s="2">
        <f ca="1"/>
        <v>79.648452384744616</v>
      </c>
      <c r="AG6623" s="2">
        <f ca="1"/>
        <v>0.66869421748286739</v>
      </c>
      <c r="AH6623" s="2" t="str">
        <f ca="1"/>
        <v>Bad</v>
      </c>
    </row>
    <row r="6624" spans="2:34" x14ac:dyDescent="0.2">
      <c r="B6624" s="2">
        <f ca="1"/>
        <v>1.8097012629727072E-2</v>
      </c>
      <c r="O6624" s="2">
        <f ca="1"/>
        <v>-1.5502479954893347</v>
      </c>
      <c r="X6624" s="2">
        <f ca="1"/>
        <v>77.631008315495649</v>
      </c>
      <c r="AG6624" s="2">
        <f ca="1"/>
        <v>0.77570616431311379</v>
      </c>
      <c r="AH6624" s="2" t="str">
        <f ca="1"/>
        <v>Bad</v>
      </c>
    </row>
    <row r="6625" spans="2:34" x14ac:dyDescent="0.2">
      <c r="B6625" s="2">
        <f ca="1"/>
        <v>0.40782334069283843</v>
      </c>
      <c r="O6625" s="2">
        <f ca="1"/>
        <v>1.237453743698069</v>
      </c>
      <c r="X6625" s="2">
        <f ca="1"/>
        <v>53.948326716877006</v>
      </c>
      <c r="AG6625" s="2">
        <f ca="1"/>
        <v>0.3681736387672303</v>
      </c>
      <c r="AH6625" s="2" t="str">
        <f ca="1"/>
        <v>OK</v>
      </c>
    </row>
    <row r="6626" spans="2:34" x14ac:dyDescent="0.2">
      <c r="B6626" s="2">
        <f ca="1"/>
        <v>0.62558727229067568</v>
      </c>
      <c r="O6626" s="2">
        <f ca="1"/>
        <v>-4.7960874770106111E-2</v>
      </c>
      <c r="X6626" s="2">
        <f ca="1"/>
        <v>53.595222986763538</v>
      </c>
      <c r="AG6626" s="2">
        <f ca="1"/>
        <v>0.9306040459600331</v>
      </c>
      <c r="AH6626" s="2" t="str">
        <f ca="1"/>
        <v>Bad</v>
      </c>
    </row>
    <row r="6627" spans="2:34" x14ac:dyDescent="0.2">
      <c r="B6627" s="2">
        <f ca="1"/>
        <v>0.91143685036346067</v>
      </c>
      <c r="O6627" s="2">
        <f ca="1"/>
        <v>-1.6883948388239223</v>
      </c>
      <c r="X6627" s="2">
        <f ca="1"/>
        <v>49.822327060358532</v>
      </c>
      <c r="AG6627" s="2">
        <f ca="1"/>
        <v>0.85465138741621871</v>
      </c>
      <c r="AH6627" s="2" t="str">
        <f ca="1"/>
        <v>Bad</v>
      </c>
    </row>
    <row r="6628" spans="2:34" x14ac:dyDescent="0.2">
      <c r="B6628" s="2">
        <f ca="1"/>
        <v>0.2280512945023021</v>
      </c>
      <c r="O6628" s="2">
        <f ca="1"/>
        <v>1.7111947684891746</v>
      </c>
      <c r="X6628" s="2">
        <f ca="1"/>
        <v>54.955315022725209</v>
      </c>
      <c r="AG6628" s="2">
        <f ca="1"/>
        <v>0.87519062961811267</v>
      </c>
      <c r="AH6628" s="2" t="str">
        <f ca="1"/>
        <v>Bad</v>
      </c>
    </row>
    <row r="6629" spans="2:34" x14ac:dyDescent="0.2">
      <c r="B6629" s="2">
        <f ca="1"/>
        <v>0.47545913679808227</v>
      </c>
      <c r="O6629" s="2">
        <f ca="1"/>
        <v>0.89330114438255659</v>
      </c>
      <c r="X6629" s="2">
        <f ca="1"/>
        <v>78.046183315958089</v>
      </c>
      <c r="AG6629" s="2">
        <f ca="1"/>
        <v>0.25517534058000724</v>
      </c>
      <c r="AH6629" s="2" t="str">
        <f ca="1"/>
        <v>OK</v>
      </c>
    </row>
    <row r="6630" spans="2:34" x14ac:dyDescent="0.2">
      <c r="B6630" s="2">
        <f ca="1"/>
        <v>0.15834703919912063</v>
      </c>
      <c r="O6630" s="2">
        <f ca="1"/>
        <v>0.81676489619108683</v>
      </c>
      <c r="X6630" s="2">
        <f ca="1"/>
        <v>62.858880700633009</v>
      </c>
      <c r="AG6630" s="2">
        <f ca="1"/>
        <v>0.68981017174556314</v>
      </c>
      <c r="AH6630" s="2" t="str">
        <f ca="1"/>
        <v>Bad</v>
      </c>
    </row>
    <row r="6631" spans="2:34" x14ac:dyDescent="0.2">
      <c r="B6631" s="2">
        <f ca="1"/>
        <v>8.2385086843093314E-2</v>
      </c>
      <c r="O6631" s="2">
        <f ca="1"/>
        <v>-0.68629596790530323</v>
      </c>
      <c r="X6631" s="2">
        <f ca="1"/>
        <v>43.207528443515372</v>
      </c>
      <c r="AG6631" s="2">
        <f ca="1"/>
        <v>0.72792052980448974</v>
      </c>
      <c r="AH6631" s="2" t="str">
        <f ca="1"/>
        <v>Bad</v>
      </c>
    </row>
    <row r="6632" spans="2:34" x14ac:dyDescent="0.2">
      <c r="B6632" s="2">
        <f ca="1"/>
        <v>0.39431572260935854</v>
      </c>
      <c r="O6632" s="2">
        <f ca="1"/>
        <v>-0.24805745500000448</v>
      </c>
      <c r="X6632" s="2">
        <f ca="1"/>
        <v>70.169980610252139</v>
      </c>
      <c r="AG6632" s="2">
        <f ca="1"/>
        <v>0.67182785306700876</v>
      </c>
      <c r="AH6632" s="2" t="str">
        <f ca="1"/>
        <v>Bad</v>
      </c>
    </row>
    <row r="6633" spans="2:34" x14ac:dyDescent="0.2">
      <c r="B6633" s="2">
        <f ca="1"/>
        <v>0.4602387349518573</v>
      </c>
      <c r="O6633" s="2">
        <f ca="1"/>
        <v>0.21586642103402784</v>
      </c>
      <c r="X6633" s="2">
        <f ca="1"/>
        <v>56.330565412235529</v>
      </c>
      <c r="AG6633" s="2">
        <f ca="1"/>
        <v>0.55949759485628436</v>
      </c>
      <c r="AH6633" s="2" t="str">
        <f ca="1"/>
        <v>Bad</v>
      </c>
    </row>
    <row r="6634" spans="2:34" x14ac:dyDescent="0.2">
      <c r="B6634" s="2">
        <f ca="1"/>
        <v>0.9311920152910842</v>
      </c>
      <c r="O6634" s="2">
        <f ca="1"/>
        <v>-0.30585030750917264</v>
      </c>
      <c r="X6634" s="2">
        <f ca="1"/>
        <v>41.362795615550574</v>
      </c>
      <c r="AG6634" s="2">
        <f ca="1"/>
        <v>0.78238280658322323</v>
      </c>
      <c r="AH6634" s="2" t="str">
        <f ca="1"/>
        <v>Bad</v>
      </c>
    </row>
    <row r="6635" spans="2:34" x14ac:dyDescent="0.2">
      <c r="B6635" s="2">
        <f ca="1"/>
        <v>0.78495269458196448</v>
      </c>
      <c r="O6635" s="2">
        <f ca="1"/>
        <v>0.47057231380406489</v>
      </c>
      <c r="X6635" s="2">
        <f ca="1"/>
        <v>42.440561264776512</v>
      </c>
      <c r="AG6635" s="2">
        <f ca="1"/>
        <v>0.52331871075508518</v>
      </c>
      <c r="AH6635" s="2" t="str">
        <f ca="1"/>
        <v>Bad</v>
      </c>
    </row>
    <row r="6636" spans="2:34" x14ac:dyDescent="0.2">
      <c r="B6636" s="2">
        <f ca="1"/>
        <v>0.96440385314252319</v>
      </c>
      <c r="O6636" s="2">
        <f ca="1"/>
        <v>9.7300347309440816E-2</v>
      </c>
      <c r="X6636" s="2">
        <f ca="1"/>
        <v>39.918467273049977</v>
      </c>
      <c r="AG6636" s="2">
        <f ca="1"/>
        <v>0.22550830210821093</v>
      </c>
      <c r="AH6636" s="2" t="str">
        <f ca="1"/>
        <v>OK</v>
      </c>
    </row>
    <row r="6637" spans="2:34" x14ac:dyDescent="0.2">
      <c r="B6637" s="2">
        <f ca="1"/>
        <v>0.25718274631542593</v>
      </c>
      <c r="O6637" s="2">
        <f ca="1"/>
        <v>-0.46823892553809032</v>
      </c>
      <c r="X6637" s="2">
        <f ca="1"/>
        <v>49.253720082258468</v>
      </c>
      <c r="AG6637" s="2">
        <f ca="1"/>
        <v>0.80083325959274831</v>
      </c>
      <c r="AH6637" s="2" t="str">
        <f ca="1"/>
        <v>Bad</v>
      </c>
    </row>
    <row r="6638" spans="2:34" x14ac:dyDescent="0.2">
      <c r="B6638" s="2">
        <f ca="1"/>
        <v>0.60347813552802121</v>
      </c>
      <c r="O6638" s="2">
        <f ca="1"/>
        <v>-1.2636010906952444</v>
      </c>
      <c r="X6638" s="2">
        <f ca="1"/>
        <v>20.287195713169371</v>
      </c>
      <c r="AG6638" s="2">
        <f ca="1"/>
        <v>0.1511719109452665</v>
      </c>
      <c r="AH6638" s="2" t="str">
        <f ca="1"/>
        <v>OK</v>
      </c>
    </row>
    <row r="6639" spans="2:34" x14ac:dyDescent="0.2">
      <c r="B6639" s="2">
        <f ca="1"/>
        <v>0.92320056728791045</v>
      </c>
      <c r="O6639" s="2">
        <f ca="1"/>
        <v>0.99945182847871894</v>
      </c>
      <c r="X6639" s="2">
        <f ca="1"/>
        <v>46.91770720595202</v>
      </c>
      <c r="AG6639" s="2">
        <f ca="1"/>
        <v>0.83059848859964247</v>
      </c>
      <c r="AH6639" s="2" t="str">
        <f ca="1"/>
        <v>Bad</v>
      </c>
    </row>
    <row r="6640" spans="2:34" x14ac:dyDescent="0.2">
      <c r="B6640" s="2">
        <f ca="1"/>
        <v>0.13174844976834765</v>
      </c>
      <c r="O6640" s="2">
        <f ca="1"/>
        <v>0.23675025850463535</v>
      </c>
      <c r="X6640" s="2">
        <f ca="1"/>
        <v>45.001220181206861</v>
      </c>
      <c r="AG6640" s="2">
        <f ca="1"/>
        <v>0.44042332239250315</v>
      </c>
      <c r="AH6640" s="2" t="str">
        <f ca="1"/>
        <v>Bad</v>
      </c>
    </row>
    <row r="6641" spans="2:34" x14ac:dyDescent="0.2">
      <c r="B6641" s="2">
        <f ca="1"/>
        <v>0.5564732918010995</v>
      </c>
      <c r="O6641" s="2">
        <f ca="1"/>
        <v>-0.24762408518496906</v>
      </c>
      <c r="X6641" s="2">
        <f ca="1"/>
        <v>44.346166856834628</v>
      </c>
      <c r="AG6641" s="2">
        <f ca="1"/>
        <v>0.24256407915399092</v>
      </c>
      <c r="AH6641" s="2" t="str">
        <f ca="1"/>
        <v>OK</v>
      </c>
    </row>
    <row r="6642" spans="2:34" x14ac:dyDescent="0.2">
      <c r="B6642" s="2">
        <f ca="1"/>
        <v>0.61607041960469155</v>
      </c>
      <c r="O6642" s="2">
        <f ca="1"/>
        <v>0.61575507603362456</v>
      </c>
      <c r="X6642" s="2">
        <f ca="1"/>
        <v>60.825146749622412</v>
      </c>
      <c r="AG6642" s="2">
        <f ca="1"/>
        <v>0.53503228639619516</v>
      </c>
      <c r="AH6642" s="2" t="str">
        <f ca="1"/>
        <v>Bad</v>
      </c>
    </row>
    <row r="6643" spans="2:34" x14ac:dyDescent="0.2">
      <c r="B6643" s="2">
        <f ca="1"/>
        <v>0.41728064445312607</v>
      </c>
      <c r="O6643" s="2">
        <f ca="1"/>
        <v>1.2403316009144512</v>
      </c>
      <c r="X6643" s="2">
        <f ca="1"/>
        <v>32.442564353496131</v>
      </c>
      <c r="AG6643" s="2">
        <f ca="1"/>
        <v>0.2888643965645401</v>
      </c>
      <c r="AH6643" s="2" t="str">
        <f ca="1"/>
        <v>OK</v>
      </c>
    </row>
    <row r="6644" spans="2:34" x14ac:dyDescent="0.2">
      <c r="B6644" s="2">
        <f ca="1"/>
        <v>0.75256958130804752</v>
      </c>
      <c r="O6644" s="2">
        <f ca="1"/>
        <v>0.38973546981178542</v>
      </c>
      <c r="X6644" s="2">
        <f ca="1"/>
        <v>29.081402762506539</v>
      </c>
      <c r="AG6644" s="2">
        <f ca="1"/>
        <v>0.85829834617298117</v>
      </c>
      <c r="AH6644" s="2" t="str">
        <f ca="1"/>
        <v>Bad</v>
      </c>
    </row>
    <row r="6645" spans="2:34" x14ac:dyDescent="0.2">
      <c r="B6645" s="2">
        <f ca="1"/>
        <v>0.16873934505435062</v>
      </c>
      <c r="O6645" s="2">
        <f ca="1"/>
        <v>0.47765349913510619</v>
      </c>
      <c r="X6645" s="2">
        <f ca="1"/>
        <v>63.43700268996345</v>
      </c>
      <c r="AG6645" s="2">
        <f ca="1"/>
        <v>0.1989180850826755</v>
      </c>
      <c r="AH6645" s="2" t="str">
        <f ca="1"/>
        <v>OK</v>
      </c>
    </row>
    <row r="6646" spans="2:34" x14ac:dyDescent="0.2">
      <c r="B6646" s="2">
        <f ca="1"/>
        <v>0.76783637680437078</v>
      </c>
      <c r="O6646" s="2">
        <f ca="1"/>
        <v>-0.58498314402993445</v>
      </c>
      <c r="X6646" s="2">
        <f ca="1"/>
        <v>68.14885932239747</v>
      </c>
      <c r="AG6646" s="2">
        <f ca="1"/>
        <v>0.93124822713294231</v>
      </c>
      <c r="AH6646" s="2" t="str">
        <f ca="1"/>
        <v>Bad</v>
      </c>
    </row>
    <row r="6647" spans="2:34" x14ac:dyDescent="0.2">
      <c r="B6647" s="2">
        <f ca="1"/>
        <v>0.70674316813832716</v>
      </c>
      <c r="O6647" s="2">
        <f ca="1"/>
        <v>-2.1296652915125627</v>
      </c>
      <c r="X6647" s="2">
        <f ca="1"/>
        <v>48.208227430906668</v>
      </c>
      <c r="AG6647" s="2">
        <f ca="1"/>
        <v>0.87578367401522028</v>
      </c>
      <c r="AH6647" s="2" t="str">
        <f ca="1"/>
        <v>Bad</v>
      </c>
    </row>
    <row r="6648" spans="2:34" x14ac:dyDescent="0.2">
      <c r="B6648" s="2">
        <f ca="1"/>
        <v>0.48365081910950836</v>
      </c>
      <c r="O6648" s="2">
        <f ca="1"/>
        <v>-0.80893857719596918</v>
      </c>
      <c r="X6648" s="2">
        <f ca="1"/>
        <v>72.360578627308442</v>
      </c>
      <c r="AG6648" s="2">
        <f ca="1"/>
        <v>0.76662830589119313</v>
      </c>
      <c r="AH6648" s="2" t="str">
        <f ca="1"/>
        <v>Bad</v>
      </c>
    </row>
    <row r="6649" spans="2:34" x14ac:dyDescent="0.2">
      <c r="B6649" s="2">
        <f ca="1"/>
        <v>0.10377379436356482</v>
      </c>
      <c r="O6649" s="2">
        <f ca="1"/>
        <v>-0.30850482784099059</v>
      </c>
      <c r="X6649" s="2">
        <f ca="1"/>
        <v>54.781159860615183</v>
      </c>
      <c r="AG6649" s="2">
        <f ca="1"/>
        <v>0.98835422345480795</v>
      </c>
      <c r="AH6649" s="2" t="str">
        <f ca="1"/>
        <v>Bad</v>
      </c>
    </row>
    <row r="6650" spans="2:34" x14ac:dyDescent="0.2">
      <c r="B6650" s="2">
        <f ca="1"/>
        <v>0.38370180965037015</v>
      </c>
      <c r="O6650" s="2">
        <f ca="1"/>
        <v>0.10188149721060046</v>
      </c>
      <c r="X6650" s="2">
        <f ca="1"/>
        <v>52.865808079749563</v>
      </c>
      <c r="AG6650" s="2">
        <f ca="1"/>
        <v>0.42957483249324402</v>
      </c>
      <c r="AH6650" s="2" t="str">
        <f ca="1"/>
        <v>Bad</v>
      </c>
    </row>
    <row r="6651" spans="2:34" x14ac:dyDescent="0.2">
      <c r="B6651" s="2">
        <f ca="1"/>
        <v>0.55381166946172367</v>
      </c>
      <c r="O6651" s="2">
        <f ca="1"/>
        <v>-5.2408644449187594E-2</v>
      </c>
      <c r="X6651" s="2">
        <f ca="1"/>
        <v>69.527249563058149</v>
      </c>
      <c r="AG6651" s="2">
        <f ca="1"/>
        <v>0.84084712711962584</v>
      </c>
      <c r="AH6651" s="2" t="str">
        <f ca="1"/>
        <v>Bad</v>
      </c>
    </row>
    <row r="6652" spans="2:34" x14ac:dyDescent="0.2">
      <c r="B6652" s="2">
        <f ca="1"/>
        <v>6.0342248572311519E-2</v>
      </c>
      <c r="O6652" s="2">
        <f ca="1"/>
        <v>1.4151929141392385</v>
      </c>
      <c r="X6652" s="2">
        <f ca="1"/>
        <v>59.143247978528983</v>
      </c>
      <c r="AG6652" s="2">
        <f ca="1"/>
        <v>0.84754905978956829</v>
      </c>
      <c r="AH6652" s="2" t="str">
        <f ca="1"/>
        <v>Bad</v>
      </c>
    </row>
    <row r="6653" spans="2:34" x14ac:dyDescent="0.2">
      <c r="B6653" s="2">
        <f ca="1"/>
        <v>0.24600113400968726</v>
      </c>
      <c r="O6653" s="2">
        <f ca="1"/>
        <v>-0.16133369202809059</v>
      </c>
      <c r="X6653" s="2">
        <f ca="1"/>
        <v>60.452415947779954</v>
      </c>
      <c r="AG6653" s="2">
        <f ca="1"/>
        <v>0.89293503619539627</v>
      </c>
      <c r="AH6653" s="2" t="str">
        <f ca="1"/>
        <v>Bad</v>
      </c>
    </row>
    <row r="6654" spans="2:34" x14ac:dyDescent="0.2">
      <c r="B6654" s="2">
        <f ca="1"/>
        <v>0.66354562732526534</v>
      </c>
      <c r="O6654" s="2">
        <f ca="1"/>
        <v>0.77890850856455163</v>
      </c>
      <c r="X6654" s="2">
        <f ca="1"/>
        <v>65.958920194969551</v>
      </c>
      <c r="AG6654" s="2">
        <f ca="1"/>
        <v>0.90046511776635785</v>
      </c>
      <c r="AH6654" s="2" t="str">
        <f ca="1"/>
        <v>Bad</v>
      </c>
    </row>
    <row r="6655" spans="2:34" x14ac:dyDescent="0.2">
      <c r="B6655" s="2">
        <f ca="1"/>
        <v>0.2029384206901732</v>
      </c>
      <c r="O6655" s="2">
        <f ca="1"/>
        <v>0.27845978483837941</v>
      </c>
      <c r="X6655" s="2">
        <f ca="1"/>
        <v>47.007134613075237</v>
      </c>
      <c r="AG6655" s="2">
        <f ca="1"/>
        <v>0.31531868607388946</v>
      </c>
      <c r="AH6655" s="2" t="str">
        <f ca="1"/>
        <v>OK</v>
      </c>
    </row>
    <row r="6656" spans="2:34" x14ac:dyDescent="0.2">
      <c r="B6656" s="2">
        <f ca="1"/>
        <v>0.23186685661829198</v>
      </c>
      <c r="O6656" s="2">
        <f ca="1"/>
        <v>0.69637969610863515</v>
      </c>
      <c r="X6656" s="2">
        <f ca="1"/>
        <v>38.531453675623588</v>
      </c>
      <c r="AG6656" s="2">
        <f ca="1"/>
        <v>0.3761031578220877</v>
      </c>
      <c r="AH6656" s="2" t="str">
        <f ca="1"/>
        <v>OK</v>
      </c>
    </row>
    <row r="6657" spans="2:34" x14ac:dyDescent="0.2">
      <c r="B6657" s="2">
        <f ca="1"/>
        <v>0.893095414211307</v>
      </c>
      <c r="O6657" s="2">
        <f ca="1"/>
        <v>-7.9538963714795366E-2</v>
      </c>
      <c r="X6657" s="2">
        <f ca="1"/>
        <v>22.539056111950284</v>
      </c>
      <c r="AG6657" s="2">
        <f ca="1"/>
        <v>4.3730733419266032E-2</v>
      </c>
      <c r="AH6657" s="2" t="str">
        <f ca="1"/>
        <v>Good</v>
      </c>
    </row>
    <row r="6658" spans="2:34" x14ac:dyDescent="0.2">
      <c r="B6658" s="2">
        <f ca="1"/>
        <v>0.79422549237709861</v>
      </c>
      <c r="O6658" s="2">
        <f ca="1"/>
        <v>1.1736775054301218</v>
      </c>
      <c r="X6658" s="2">
        <f ca="1"/>
        <v>58.169596924255586</v>
      </c>
      <c r="AG6658" s="2">
        <f ca="1"/>
        <v>0.51309814108338991</v>
      </c>
      <c r="AH6658" s="2" t="str">
        <f ca="1"/>
        <v>Bad</v>
      </c>
    </row>
    <row r="6659" spans="2:34" x14ac:dyDescent="0.2">
      <c r="B6659" s="2">
        <f ca="1"/>
        <v>0.54809894415361882</v>
      </c>
      <c r="O6659" s="2">
        <f ca="1"/>
        <v>-2.8717078170933577</v>
      </c>
      <c r="X6659" s="2">
        <f ca="1"/>
        <v>85.384737944426547</v>
      </c>
      <c r="AG6659" s="2">
        <f ca="1"/>
        <v>0.93136225714234433</v>
      </c>
      <c r="AH6659" s="2" t="str">
        <f ca="1"/>
        <v>Bad</v>
      </c>
    </row>
    <row r="6660" spans="2:34" x14ac:dyDescent="0.2">
      <c r="B6660" s="2">
        <f ca="1"/>
        <v>0.50377151306099832</v>
      </c>
      <c r="O6660" s="2">
        <f ca="1"/>
        <v>0.12800033028435512</v>
      </c>
      <c r="X6660" s="2">
        <f ca="1"/>
        <v>65.245446505318782</v>
      </c>
      <c r="AG6660" s="2">
        <f ca="1"/>
        <v>0.70895332095701447</v>
      </c>
      <c r="AH6660" s="2" t="str">
        <f ca="1"/>
        <v>Bad</v>
      </c>
    </row>
    <row r="6661" spans="2:34" x14ac:dyDescent="0.2">
      <c r="B6661" s="2">
        <f ca="1"/>
        <v>0.24560826053327078</v>
      </c>
      <c r="O6661" s="2">
        <f ca="1"/>
        <v>0.78159147501435566</v>
      </c>
      <c r="X6661" s="2">
        <f ca="1"/>
        <v>41.291207914053558</v>
      </c>
      <c r="AG6661" s="2">
        <f ca="1"/>
        <v>0.4735379206001884</v>
      </c>
      <c r="AH6661" s="2" t="str">
        <f ca="1"/>
        <v>Bad</v>
      </c>
    </row>
    <row r="6662" spans="2:34" x14ac:dyDescent="0.2">
      <c r="B6662" s="2">
        <f ca="1"/>
        <v>0.2868574535929298</v>
      </c>
      <c r="O6662" s="2">
        <f ca="1"/>
        <v>-1.6720356763935849</v>
      </c>
      <c r="X6662" s="2">
        <f ca="1"/>
        <v>56.620859426119559</v>
      </c>
      <c r="AG6662" s="2">
        <f ca="1"/>
        <v>0.43467793215734596</v>
      </c>
      <c r="AH6662" s="2" t="str">
        <f ca="1"/>
        <v>Bad</v>
      </c>
    </row>
    <row r="6663" spans="2:34" x14ac:dyDescent="0.2">
      <c r="B6663" s="2">
        <f ca="1"/>
        <v>9.943837751963791E-2</v>
      </c>
      <c r="O6663" s="2">
        <f ca="1"/>
        <v>3.0368038699344866</v>
      </c>
      <c r="X6663" s="2">
        <f ca="1"/>
        <v>46.996981666257</v>
      </c>
      <c r="AG6663" s="2">
        <f ca="1"/>
        <v>0.69668941526524897</v>
      </c>
      <c r="AH6663" s="2" t="str">
        <f ca="1"/>
        <v>Bad</v>
      </c>
    </row>
    <row r="6664" spans="2:34" x14ac:dyDescent="0.2">
      <c r="B6664" s="2">
        <f ca="1"/>
        <v>0.20466748181812422</v>
      </c>
      <c r="O6664" s="2">
        <f ca="1"/>
        <v>0.26218455813820285</v>
      </c>
      <c r="X6664" s="2">
        <f ca="1"/>
        <v>103.36483373374409</v>
      </c>
      <c r="AG6664" s="2">
        <f ca="1"/>
        <v>0.53712776838131515</v>
      </c>
      <c r="AH6664" s="2" t="str">
        <f ca="1"/>
        <v>Bad</v>
      </c>
    </row>
    <row r="6665" spans="2:34" x14ac:dyDescent="0.2">
      <c r="B6665" s="2">
        <f ca="1"/>
        <v>0.99258997641430824</v>
      </c>
      <c r="O6665" s="2">
        <f ca="1"/>
        <v>0.36544916137151029</v>
      </c>
      <c r="X6665" s="2">
        <f ca="1"/>
        <v>77.727761474135576</v>
      </c>
      <c r="AG6665" s="2">
        <f ca="1"/>
        <v>0.18318415467294247</v>
      </c>
      <c r="AH6665" s="2" t="str">
        <f ca="1"/>
        <v>OK</v>
      </c>
    </row>
    <row r="6666" spans="2:34" x14ac:dyDescent="0.2">
      <c r="B6666" s="2">
        <f ca="1"/>
        <v>0.78866750646007455</v>
      </c>
      <c r="O6666" s="2">
        <f ca="1"/>
        <v>0.62674065776235155</v>
      </c>
      <c r="X6666" s="2">
        <f ca="1"/>
        <v>38.458340990348525</v>
      </c>
      <c r="AG6666" s="2">
        <f ca="1"/>
        <v>0.62089481901287136</v>
      </c>
      <c r="AH6666" s="2" t="str">
        <f ca="1"/>
        <v>Bad</v>
      </c>
    </row>
    <row r="6667" spans="2:34" x14ac:dyDescent="0.2">
      <c r="B6667" s="2">
        <f ca="1"/>
        <v>9.150431088886779E-2</v>
      </c>
      <c r="O6667" s="2">
        <f ca="1"/>
        <v>0.60304827149151496</v>
      </c>
      <c r="X6667" s="2">
        <f ca="1"/>
        <v>27.245381771107656</v>
      </c>
      <c r="AG6667" s="2">
        <f ca="1"/>
        <v>0.11871767370467801</v>
      </c>
      <c r="AH6667" s="2" t="str">
        <f ca="1"/>
        <v>OK</v>
      </c>
    </row>
    <row r="6668" spans="2:34" x14ac:dyDescent="0.2">
      <c r="B6668" s="2">
        <f ca="1"/>
        <v>0.77633243071695057</v>
      </c>
      <c r="O6668" s="2">
        <f ca="1"/>
        <v>0.38937017030997212</v>
      </c>
      <c r="X6668" s="2">
        <f ca="1"/>
        <v>27.163665167970422</v>
      </c>
      <c r="AG6668" s="2">
        <f ca="1"/>
        <v>4.1395033602921405E-2</v>
      </c>
      <c r="AH6668" s="2" t="str">
        <f ca="1"/>
        <v>Good</v>
      </c>
    </row>
    <row r="6669" spans="2:34" x14ac:dyDescent="0.2">
      <c r="B6669" s="2">
        <f ca="1"/>
        <v>0.31779480968563556</v>
      </c>
      <c r="O6669" s="2">
        <f ca="1"/>
        <v>-0.22628390786200808</v>
      </c>
      <c r="X6669" s="2">
        <f ca="1"/>
        <v>38.604376326853021</v>
      </c>
      <c r="AG6669" s="2">
        <f ca="1"/>
        <v>0.75877705157636544</v>
      </c>
      <c r="AH6669" s="2" t="str">
        <f ca="1"/>
        <v>Bad</v>
      </c>
    </row>
    <row r="6670" spans="2:34" x14ac:dyDescent="0.2">
      <c r="B6670" s="2">
        <f ca="1"/>
        <v>0.61849856648337109</v>
      </c>
      <c r="O6670" s="2">
        <f ca="1"/>
        <v>0.74864557213349647</v>
      </c>
      <c r="X6670" s="2">
        <f ca="1"/>
        <v>44.83150803807095</v>
      </c>
      <c r="AG6670" s="2">
        <f ca="1"/>
        <v>8.4865532250103737E-2</v>
      </c>
      <c r="AH6670" s="2" t="str">
        <f ca="1"/>
        <v>OK</v>
      </c>
    </row>
    <row r="6671" spans="2:34" x14ac:dyDescent="0.2">
      <c r="B6671" s="2">
        <f ca="1"/>
        <v>0.39033669355201539</v>
      </c>
      <c r="O6671" s="2">
        <f ca="1"/>
        <v>1.031616004672764</v>
      </c>
      <c r="X6671" s="2">
        <f ca="1"/>
        <v>37.886864513921822</v>
      </c>
      <c r="AG6671" s="2">
        <f ca="1"/>
        <v>0.39034733595826299</v>
      </c>
      <c r="AH6671" s="2" t="str">
        <f ca="1"/>
        <v>OK</v>
      </c>
    </row>
    <row r="6672" spans="2:34" x14ac:dyDescent="0.2">
      <c r="B6672" s="2">
        <f ca="1"/>
        <v>0.64640099415721153</v>
      </c>
      <c r="O6672" s="2">
        <f ca="1"/>
        <v>-0.80096446629293405</v>
      </c>
      <c r="X6672" s="2">
        <f ca="1"/>
        <v>42.086926054476294</v>
      </c>
      <c r="AG6672" s="2">
        <f ca="1"/>
        <v>0.5261054657495372</v>
      </c>
      <c r="AH6672" s="2" t="str">
        <f ca="1"/>
        <v>Bad</v>
      </c>
    </row>
    <row r="6673" spans="2:34" x14ac:dyDescent="0.2">
      <c r="B6673" s="2">
        <f ca="1"/>
        <v>0.77121694608985925</v>
      </c>
      <c r="O6673" s="2">
        <f ca="1"/>
        <v>-1.0619326300666174</v>
      </c>
      <c r="X6673" s="2">
        <f ca="1"/>
        <v>51.69067143451268</v>
      </c>
      <c r="AG6673" s="2">
        <f ca="1"/>
        <v>0.60748291256380438</v>
      </c>
      <c r="AH6673" s="2" t="str">
        <f ca="1"/>
        <v>Bad</v>
      </c>
    </row>
    <row r="6674" spans="2:34" x14ac:dyDescent="0.2">
      <c r="B6674" s="2">
        <f ca="1"/>
        <v>3.4797834132000771E-2</v>
      </c>
      <c r="O6674" s="2">
        <f ca="1"/>
        <v>0.21344521639386438</v>
      </c>
      <c r="X6674" s="2">
        <f ca="1"/>
        <v>39.100175071374792</v>
      </c>
      <c r="AG6674" s="2">
        <f ca="1"/>
        <v>0.47921348472155678</v>
      </c>
      <c r="AH6674" s="2" t="str">
        <f ca="1"/>
        <v>Bad</v>
      </c>
    </row>
    <row r="6675" spans="2:34" x14ac:dyDescent="0.2">
      <c r="B6675" s="2">
        <f ca="1"/>
        <v>3.0853801340287035E-2</v>
      </c>
      <c r="O6675" s="2">
        <f ca="1"/>
        <v>-2.0401586492340247</v>
      </c>
      <c r="X6675" s="2">
        <f ca="1"/>
        <v>32.253025424868312</v>
      </c>
      <c r="AG6675" s="2">
        <f ca="1"/>
        <v>0.60556253919013159</v>
      </c>
      <c r="AH6675" s="2" t="str">
        <f ca="1"/>
        <v>Bad</v>
      </c>
    </row>
    <row r="6676" spans="2:34" x14ac:dyDescent="0.2">
      <c r="B6676" s="2">
        <f ca="1"/>
        <v>0.64293730194183518</v>
      </c>
      <c r="O6676" s="2">
        <f ca="1"/>
        <v>-1.8590885940397819</v>
      </c>
      <c r="X6676" s="2">
        <f ca="1"/>
        <v>32.505369878955413</v>
      </c>
      <c r="AG6676" s="2">
        <f ca="1"/>
        <v>0.32999712848457774</v>
      </c>
      <c r="AH6676" s="2" t="str">
        <f ca="1"/>
        <v>OK</v>
      </c>
    </row>
    <row r="6677" spans="2:34" x14ac:dyDescent="0.2">
      <c r="B6677" s="2">
        <f ca="1"/>
        <v>0.63604933651000106</v>
      </c>
      <c r="O6677" s="2">
        <f ca="1"/>
        <v>-0.66400635095129967</v>
      </c>
      <c r="X6677" s="2">
        <f ca="1"/>
        <v>49.948582261946783</v>
      </c>
      <c r="AG6677" s="2">
        <f ca="1"/>
        <v>0.18990665258755723</v>
      </c>
      <c r="AH6677" s="2" t="str">
        <f ca="1"/>
        <v>OK</v>
      </c>
    </row>
    <row r="6678" spans="2:34" x14ac:dyDescent="0.2">
      <c r="B6678" s="2">
        <f ca="1"/>
        <v>0.90478942248361416</v>
      </c>
      <c r="O6678" s="2">
        <f ca="1"/>
        <v>1.7879865059437807</v>
      </c>
      <c r="X6678" s="2">
        <f ca="1"/>
        <v>30.896591101832598</v>
      </c>
      <c r="AG6678" s="2">
        <f ca="1"/>
        <v>0.65614036617980798</v>
      </c>
      <c r="AH6678" s="2" t="str">
        <f ca="1"/>
        <v>Bad</v>
      </c>
    </row>
    <row r="6679" spans="2:34" x14ac:dyDescent="0.2">
      <c r="B6679" s="2">
        <f ca="1"/>
        <v>0.4448137659051179</v>
      </c>
      <c r="O6679" s="2">
        <f ca="1"/>
        <v>1.4233240046879561</v>
      </c>
      <c r="X6679" s="2">
        <f ca="1"/>
        <v>61.694816653652403</v>
      </c>
      <c r="AG6679" s="2">
        <f ca="1"/>
        <v>0.29639157750193346</v>
      </c>
      <c r="AH6679" s="2" t="str">
        <f ca="1"/>
        <v>OK</v>
      </c>
    </row>
    <row r="6680" spans="2:34" x14ac:dyDescent="0.2">
      <c r="B6680" s="2">
        <f ca="1"/>
        <v>0.24681572081061698</v>
      </c>
      <c r="O6680" s="2">
        <f ca="1"/>
        <v>-0.14061868485214721</v>
      </c>
      <c r="X6680" s="2">
        <f ca="1"/>
        <v>51.902164034711824</v>
      </c>
      <c r="AG6680" s="2">
        <f ca="1"/>
        <v>0.77854007815979887</v>
      </c>
      <c r="AH6680" s="2" t="str">
        <f ca="1"/>
        <v>Bad</v>
      </c>
    </row>
    <row r="6681" spans="2:34" x14ac:dyDescent="0.2">
      <c r="B6681" s="2">
        <f ca="1"/>
        <v>4.1701196603776136E-3</v>
      </c>
      <c r="O6681" s="2">
        <f ca="1"/>
        <v>-1.6743126453780768</v>
      </c>
      <c r="X6681" s="2">
        <f ca="1"/>
        <v>34.638006061163303</v>
      </c>
      <c r="AG6681" s="2">
        <f ca="1"/>
        <v>0.96195167881594701</v>
      </c>
      <c r="AH6681" s="2" t="str">
        <f ca="1"/>
        <v>Bad</v>
      </c>
    </row>
    <row r="6682" spans="2:34" x14ac:dyDescent="0.2">
      <c r="B6682" s="2">
        <f ca="1"/>
        <v>0.62205912789033269</v>
      </c>
      <c r="O6682" s="2">
        <f ca="1"/>
        <v>0.9762250899189</v>
      </c>
      <c r="X6682" s="2">
        <f ca="1"/>
        <v>34.379068320971207</v>
      </c>
      <c r="AG6682" s="2">
        <f ca="1"/>
        <v>0.16110914586864178</v>
      </c>
      <c r="AH6682" s="2" t="str">
        <f ca="1"/>
        <v>OK</v>
      </c>
    </row>
    <row r="6683" spans="2:34" x14ac:dyDescent="0.2">
      <c r="B6683" s="2">
        <f ca="1"/>
        <v>0.76877794022558499</v>
      </c>
      <c r="O6683" s="2">
        <f ca="1"/>
        <v>-0.33032707440095815</v>
      </c>
      <c r="X6683" s="2">
        <f ca="1"/>
        <v>41.627197405993456</v>
      </c>
      <c r="AG6683" s="2">
        <f ca="1"/>
        <v>0.33725001038629876</v>
      </c>
      <c r="AH6683" s="2" t="str">
        <f ca="1"/>
        <v>OK</v>
      </c>
    </row>
    <row r="6684" spans="2:34" x14ac:dyDescent="0.2">
      <c r="B6684" s="2">
        <f ca="1"/>
        <v>0.93020608577448916</v>
      </c>
      <c r="O6684" s="2">
        <f ca="1"/>
        <v>-0.26394566374586814</v>
      </c>
      <c r="X6684" s="2">
        <f ca="1"/>
        <v>46.930516015700228</v>
      </c>
      <c r="AG6684" s="2">
        <f ca="1"/>
        <v>0.99500605774332462</v>
      </c>
      <c r="AH6684" s="2" t="str">
        <f ca="1"/>
        <v>Bad</v>
      </c>
    </row>
    <row r="6685" spans="2:34" x14ac:dyDescent="0.2">
      <c r="B6685" s="2">
        <f ca="1"/>
        <v>0.22376689995690602</v>
      </c>
      <c r="O6685" s="2">
        <f ca="1"/>
        <v>1.1299452866408222</v>
      </c>
      <c r="X6685" s="2">
        <f ca="1"/>
        <v>49.537896292671647</v>
      </c>
      <c r="AG6685" s="2">
        <f ca="1"/>
        <v>0.82014158202036458</v>
      </c>
      <c r="AH6685" s="2" t="str">
        <f ca="1"/>
        <v>Bad</v>
      </c>
    </row>
    <row r="6686" spans="2:34" x14ac:dyDescent="0.2">
      <c r="B6686" s="2">
        <f ca="1"/>
        <v>0.41321314103091678</v>
      </c>
      <c r="O6686" s="2">
        <f ca="1"/>
        <v>0.18651717821642946</v>
      </c>
      <c r="X6686" s="2">
        <f ca="1"/>
        <v>51.061781035681875</v>
      </c>
      <c r="AG6686" s="2">
        <f ca="1"/>
        <v>0.94727292574806388</v>
      </c>
      <c r="AH6686" s="2" t="str">
        <f ca="1"/>
        <v>Bad</v>
      </c>
    </row>
    <row r="6687" spans="2:34" x14ac:dyDescent="0.2">
      <c r="B6687" s="2">
        <f ca="1"/>
        <v>0.19935893122781878</v>
      </c>
      <c r="O6687" s="2">
        <f ca="1"/>
        <v>1.3005258049668327</v>
      </c>
      <c r="X6687" s="2">
        <f ca="1"/>
        <v>39.530821541608681</v>
      </c>
      <c r="AG6687" s="2">
        <f ca="1"/>
        <v>0.69678331562598927</v>
      </c>
      <c r="AH6687" s="2" t="str">
        <f ca="1"/>
        <v>Bad</v>
      </c>
    </row>
    <row r="6688" spans="2:34" x14ac:dyDescent="0.2">
      <c r="B6688" s="2">
        <f ca="1"/>
        <v>0.79369783744656885</v>
      </c>
      <c r="O6688" s="2">
        <f ca="1"/>
        <v>-0.50131673445612468</v>
      </c>
      <c r="X6688" s="2">
        <f ca="1"/>
        <v>72.21988046660293</v>
      </c>
      <c r="AG6688" s="2">
        <f ca="1"/>
        <v>0.9178441370302528</v>
      </c>
      <c r="AH6688" s="2" t="str">
        <f ca="1"/>
        <v>Bad</v>
      </c>
    </row>
    <row r="6689" spans="2:34" x14ac:dyDescent="0.2">
      <c r="B6689" s="2">
        <f ca="1"/>
        <v>0.59450829793601545</v>
      </c>
      <c r="O6689" s="2">
        <f ca="1"/>
        <v>0.78561149072634406</v>
      </c>
      <c r="X6689" s="2">
        <f ca="1"/>
        <v>40.634482655017841</v>
      </c>
      <c r="AG6689" s="2">
        <f ca="1"/>
        <v>3.5713083937247703E-3</v>
      </c>
      <c r="AH6689" s="2" t="str">
        <f ca="1"/>
        <v>Good</v>
      </c>
    </row>
    <row r="6690" spans="2:34" x14ac:dyDescent="0.2">
      <c r="B6690" s="2">
        <f ca="1"/>
        <v>0.16661319632100513</v>
      </c>
      <c r="O6690" s="2">
        <f ca="1"/>
        <v>0.15756968376647695</v>
      </c>
      <c r="X6690" s="2">
        <f ca="1"/>
        <v>35.228445809603976</v>
      </c>
      <c r="AG6690" s="2">
        <f ca="1"/>
        <v>0.64539589793900354</v>
      </c>
      <c r="AH6690" s="2" t="str">
        <f ca="1"/>
        <v>Bad</v>
      </c>
    </row>
    <row r="6691" spans="2:34" x14ac:dyDescent="0.2">
      <c r="B6691" s="2">
        <f ca="1"/>
        <v>0.86382557523696923</v>
      </c>
      <c r="O6691" s="2">
        <f ca="1"/>
        <v>-0.6974129705554325</v>
      </c>
      <c r="X6691" s="2">
        <f ca="1"/>
        <v>38.273275386070509</v>
      </c>
      <c r="AG6691" s="2">
        <f ca="1"/>
        <v>0.64211125093375343</v>
      </c>
      <c r="AH6691" s="2" t="str">
        <f ca="1"/>
        <v>Bad</v>
      </c>
    </row>
    <row r="6692" spans="2:34" x14ac:dyDescent="0.2">
      <c r="B6692" s="2">
        <f ca="1"/>
        <v>7.3048192476927509E-2</v>
      </c>
      <c r="O6692" s="2">
        <f ca="1"/>
        <v>-1.8529248366362059</v>
      </c>
      <c r="X6692" s="2">
        <f ca="1"/>
        <v>62.858987040152449</v>
      </c>
      <c r="AG6692" s="2">
        <f ca="1"/>
        <v>0.52248550151086537</v>
      </c>
      <c r="AH6692" s="2" t="str">
        <f ca="1"/>
        <v>Bad</v>
      </c>
    </row>
    <row r="6693" spans="2:34" x14ac:dyDescent="0.2">
      <c r="B6693" s="2">
        <f ca="1"/>
        <v>0.74795435861773196</v>
      </c>
      <c r="O6693" s="2">
        <f ca="1"/>
        <v>-1.3304056010809302</v>
      </c>
      <c r="X6693" s="2">
        <f ca="1"/>
        <v>63.083167510853414</v>
      </c>
      <c r="AG6693" s="2">
        <f ca="1"/>
        <v>0.96706310244113536</v>
      </c>
      <c r="AH6693" s="2" t="str">
        <f ca="1"/>
        <v>Bad</v>
      </c>
    </row>
    <row r="6694" spans="2:34" x14ac:dyDescent="0.2">
      <c r="B6694" s="2">
        <f ca="1"/>
        <v>2.9195523167629744E-2</v>
      </c>
      <c r="O6694" s="2">
        <f ca="1"/>
        <v>-1.4041970191687159</v>
      </c>
      <c r="X6694" s="2">
        <f ca="1"/>
        <v>54.902145560617242</v>
      </c>
      <c r="AG6694" s="2">
        <f ca="1"/>
        <v>0.32744360718530419</v>
      </c>
      <c r="AH6694" s="2" t="str">
        <f ca="1"/>
        <v>OK</v>
      </c>
    </row>
    <row r="6695" spans="2:34" x14ac:dyDescent="0.2">
      <c r="B6695" s="2">
        <f ca="1"/>
        <v>0.2399719788874497</v>
      </c>
      <c r="O6695" s="2">
        <f ca="1"/>
        <v>-0.80053685797856111</v>
      </c>
      <c r="X6695" s="2">
        <f ca="1"/>
        <v>43.848866438669354</v>
      </c>
      <c r="AG6695" s="2">
        <f ca="1"/>
        <v>0.28533448452213173</v>
      </c>
      <c r="AH6695" s="2" t="str">
        <f ca="1"/>
        <v>OK</v>
      </c>
    </row>
    <row r="6696" spans="2:34" x14ac:dyDescent="0.2">
      <c r="B6696" s="2">
        <f ca="1"/>
        <v>0.5747446055568346</v>
      </c>
      <c r="O6696" s="2">
        <f ca="1"/>
        <v>-0.68809428992004862</v>
      </c>
      <c r="X6696" s="2">
        <f ca="1"/>
        <v>63.44076003954018</v>
      </c>
      <c r="AG6696" s="2">
        <f ca="1"/>
        <v>0.75946057668513589</v>
      </c>
      <c r="AH6696" s="2" t="str">
        <f ca="1"/>
        <v>Bad</v>
      </c>
    </row>
    <row r="6697" spans="2:34" x14ac:dyDescent="0.2">
      <c r="B6697" s="2">
        <f ca="1"/>
        <v>0.13654449548774106</v>
      </c>
      <c r="O6697" s="2">
        <f ca="1"/>
        <v>-1.1992480995438428</v>
      </c>
      <c r="X6697" s="2">
        <f ca="1"/>
        <v>24.217241784831177</v>
      </c>
      <c r="AG6697" s="2">
        <f ca="1"/>
        <v>0.25660087975206136</v>
      </c>
      <c r="AH6697" s="2" t="str">
        <f ca="1"/>
        <v>OK</v>
      </c>
    </row>
    <row r="6698" spans="2:34" x14ac:dyDescent="0.2">
      <c r="B6698" s="2">
        <f ca="1"/>
        <v>0.76955076449910909</v>
      </c>
      <c r="O6698" s="2">
        <f ca="1"/>
        <v>-1.0065855491280398</v>
      </c>
      <c r="X6698" s="2">
        <f ca="1"/>
        <v>19.973963201691724</v>
      </c>
      <c r="AG6698" s="2">
        <f ca="1"/>
        <v>0.75489568929933704</v>
      </c>
      <c r="AH6698" s="2" t="str">
        <f ca="1"/>
        <v>Bad</v>
      </c>
    </row>
    <row r="6699" spans="2:34" x14ac:dyDescent="0.2">
      <c r="B6699" s="2">
        <f ca="1"/>
        <v>0.65453390398769651</v>
      </c>
      <c r="O6699" s="2">
        <f ca="1"/>
        <v>-1.5418560115049158</v>
      </c>
      <c r="X6699" s="2">
        <f ca="1"/>
        <v>15.300395857632109</v>
      </c>
      <c r="AG6699" s="2">
        <f ca="1"/>
        <v>0.28415331708197922</v>
      </c>
      <c r="AH6699" s="2" t="str">
        <f ca="1"/>
        <v>OK</v>
      </c>
    </row>
    <row r="6700" spans="2:34" x14ac:dyDescent="0.2">
      <c r="B6700" s="2">
        <f ca="1"/>
        <v>0.42890325397489382</v>
      </c>
      <c r="O6700" s="2">
        <f ca="1"/>
        <v>0.65419592039184815</v>
      </c>
      <c r="X6700" s="2">
        <f ca="1"/>
        <v>28.782851846299998</v>
      </c>
      <c r="AG6700" s="2">
        <f ca="1"/>
        <v>0.9890996498189526</v>
      </c>
      <c r="AH6700" s="2" t="str">
        <f ca="1"/>
        <v>Bad</v>
      </c>
    </row>
    <row r="6701" spans="2:34" x14ac:dyDescent="0.2">
      <c r="B6701" s="2">
        <f ca="1"/>
        <v>0.39963643722846887</v>
      </c>
      <c r="O6701" s="2">
        <f ca="1"/>
        <v>-2.5380226909027273</v>
      </c>
      <c r="X6701" s="2">
        <f ca="1"/>
        <v>42.441533929134721</v>
      </c>
      <c r="AG6701" s="2">
        <f ca="1"/>
        <v>0.14712424438745564</v>
      </c>
      <c r="AH6701" s="2" t="str">
        <f ca="1"/>
        <v>OK</v>
      </c>
    </row>
    <row r="6702" spans="2:34" x14ac:dyDescent="0.2">
      <c r="B6702" s="2">
        <f ca="1"/>
        <v>0.21425172091048661</v>
      </c>
      <c r="O6702" s="2">
        <f ca="1"/>
        <v>-0.14137723415531531</v>
      </c>
      <c r="X6702" s="2">
        <f ca="1"/>
        <v>71.380829662135596</v>
      </c>
      <c r="AG6702" s="2">
        <f ca="1"/>
        <v>0.3326127316876939</v>
      </c>
      <c r="AH6702" s="2" t="str">
        <f ca="1"/>
        <v>OK</v>
      </c>
    </row>
    <row r="6703" spans="2:34" x14ac:dyDescent="0.2">
      <c r="B6703" s="2">
        <f ca="1"/>
        <v>0.22871275527605017</v>
      </c>
      <c r="O6703" s="2">
        <f ca="1"/>
        <v>0.36814929714907052</v>
      </c>
      <c r="X6703" s="2">
        <f ca="1"/>
        <v>63.367551727178146</v>
      </c>
      <c r="AG6703" s="2">
        <f ca="1"/>
        <v>1.5738144343182547E-2</v>
      </c>
      <c r="AH6703" s="2" t="str">
        <f ca="1"/>
        <v>Good</v>
      </c>
    </row>
    <row r="6704" spans="2:34" x14ac:dyDescent="0.2">
      <c r="B6704" s="2">
        <f ca="1"/>
        <v>0.89126546820613095</v>
      </c>
      <c r="O6704" s="2">
        <f ca="1"/>
        <v>0.67004716976510803</v>
      </c>
      <c r="X6704" s="2">
        <f ca="1"/>
        <v>46.317927048907286</v>
      </c>
      <c r="AG6704" s="2">
        <f ca="1"/>
        <v>0.20334950749011971</v>
      </c>
      <c r="AH6704" s="2" t="str">
        <f ca="1"/>
        <v>OK</v>
      </c>
    </row>
    <row r="6705" spans="2:34" x14ac:dyDescent="0.2">
      <c r="B6705" s="2">
        <f ca="1"/>
        <v>0.1987157454073416</v>
      </c>
      <c r="O6705" s="2">
        <f ca="1"/>
        <v>1.1253021283999736</v>
      </c>
      <c r="X6705" s="2">
        <f ca="1"/>
        <v>45.552810389992366</v>
      </c>
      <c r="AG6705" s="2">
        <f ca="1"/>
        <v>0.29940868637175311</v>
      </c>
      <c r="AH6705" s="2" t="str">
        <f ca="1"/>
        <v>OK</v>
      </c>
    </row>
    <row r="6706" spans="2:34" x14ac:dyDescent="0.2">
      <c r="B6706" s="2">
        <f ca="1"/>
        <v>0.14987602660066646</v>
      </c>
      <c r="O6706" s="2">
        <f ca="1"/>
        <v>-8.5559806770398428E-2</v>
      </c>
      <c r="X6706" s="2">
        <f ca="1"/>
        <v>52.054643547017683</v>
      </c>
      <c r="AG6706" s="2">
        <f ca="1"/>
        <v>0.92848227158913854</v>
      </c>
      <c r="AH6706" s="2" t="str">
        <f ca="1"/>
        <v>Bad</v>
      </c>
    </row>
    <row r="6707" spans="2:34" x14ac:dyDescent="0.2">
      <c r="B6707" s="2">
        <f ca="1"/>
        <v>0.47221263788545564</v>
      </c>
      <c r="O6707" s="2">
        <f ca="1"/>
        <v>-1.5135333639673691</v>
      </c>
      <c r="X6707" s="2">
        <f ca="1"/>
        <v>52.403035467583848</v>
      </c>
      <c r="AG6707" s="2">
        <f ca="1"/>
        <v>0.90557488653052598</v>
      </c>
      <c r="AH6707" s="2" t="str">
        <f ca="1"/>
        <v>Bad</v>
      </c>
    </row>
    <row r="6708" spans="2:34" x14ac:dyDescent="0.2">
      <c r="B6708" s="2">
        <f ca="1"/>
        <v>0.96228184690829544</v>
      </c>
      <c r="O6708" s="2">
        <f ca="1"/>
        <v>-0.63891841711199782</v>
      </c>
      <c r="X6708" s="2">
        <f ca="1"/>
        <v>62.223496826976373</v>
      </c>
      <c r="AG6708" s="2">
        <f ca="1"/>
        <v>0.237912652484225</v>
      </c>
      <c r="AH6708" s="2" t="str">
        <f ca="1"/>
        <v>OK</v>
      </c>
    </row>
    <row r="6709" spans="2:34" x14ac:dyDescent="0.2">
      <c r="B6709" s="2">
        <f ca="1"/>
        <v>0.73006659854382394</v>
      </c>
      <c r="O6709" s="2">
        <f ca="1"/>
        <v>0.31290780319973976</v>
      </c>
      <c r="X6709" s="2">
        <f ca="1"/>
        <v>81.286923875989203</v>
      </c>
      <c r="AG6709" s="2">
        <f ca="1"/>
        <v>0.66276418327169928</v>
      </c>
      <c r="AH6709" s="2" t="str">
        <f ca="1"/>
        <v>Bad</v>
      </c>
    </row>
    <row r="6710" spans="2:34" x14ac:dyDescent="0.2">
      <c r="B6710" s="2">
        <f ca="1"/>
        <v>0.84525324175412142</v>
      </c>
      <c r="O6710" s="2">
        <f ca="1"/>
        <v>-1.4108009904949255</v>
      </c>
      <c r="X6710" s="2">
        <f ca="1"/>
        <v>43.826937240873406</v>
      </c>
      <c r="AG6710" s="2">
        <f ca="1"/>
        <v>0.55105205471850849</v>
      </c>
      <c r="AH6710" s="2" t="str">
        <f ca="1"/>
        <v>Bad</v>
      </c>
    </row>
    <row r="6711" spans="2:34" x14ac:dyDescent="0.2">
      <c r="B6711" s="2">
        <f ca="1"/>
        <v>0.29500269244964739</v>
      </c>
      <c r="O6711" s="2">
        <f ca="1"/>
        <v>0.43719305122576096</v>
      </c>
      <c r="X6711" s="2">
        <f ca="1"/>
        <v>41.071099589761189</v>
      </c>
      <c r="AG6711" s="2">
        <f ca="1"/>
        <v>0.32149281046883793</v>
      </c>
      <c r="AH6711" s="2" t="str">
        <f ca="1"/>
        <v>OK</v>
      </c>
    </row>
    <row r="6712" spans="2:34" x14ac:dyDescent="0.2">
      <c r="B6712" s="2">
        <f ca="1"/>
        <v>0.43381950940143987</v>
      </c>
      <c r="O6712" s="2">
        <f ca="1"/>
        <v>0.58984621261943548</v>
      </c>
      <c r="X6712" s="2">
        <f ca="1"/>
        <v>50.085118028322071</v>
      </c>
      <c r="AG6712" s="2">
        <f ca="1"/>
        <v>0.3861457705350877</v>
      </c>
      <c r="AH6712" s="2" t="str">
        <f ca="1"/>
        <v>OK</v>
      </c>
    </row>
    <row r="6713" spans="2:34" x14ac:dyDescent="0.2">
      <c r="B6713" s="2">
        <f ca="1"/>
        <v>0.59568946147081014</v>
      </c>
      <c r="O6713" s="2">
        <f ca="1"/>
        <v>1.4725584334858215</v>
      </c>
      <c r="X6713" s="2">
        <f ca="1"/>
        <v>45.685120709673853</v>
      </c>
      <c r="AG6713" s="2">
        <f ca="1"/>
        <v>0.25701794837196856</v>
      </c>
      <c r="AH6713" s="2" t="str">
        <f ca="1"/>
        <v>OK</v>
      </c>
    </row>
    <row r="6714" spans="2:34" x14ac:dyDescent="0.2">
      <c r="B6714" s="2">
        <f ca="1"/>
        <v>0.60810433783492246</v>
      </c>
      <c r="O6714" s="2">
        <f ca="1"/>
        <v>-1.4957253998603406</v>
      </c>
      <c r="X6714" s="2">
        <f ca="1"/>
        <v>52.939282493552675</v>
      </c>
      <c r="AG6714" s="2">
        <f ca="1"/>
        <v>1.3080245807852497E-2</v>
      </c>
      <c r="AH6714" s="2" t="str">
        <f ca="1"/>
        <v>Good</v>
      </c>
    </row>
    <row r="6715" spans="2:34" x14ac:dyDescent="0.2">
      <c r="B6715" s="2">
        <f ca="1"/>
        <v>0.47770902109384794</v>
      </c>
      <c r="O6715" s="2">
        <f ca="1"/>
        <v>-0.59335108444339058</v>
      </c>
      <c r="X6715" s="2">
        <f ca="1"/>
        <v>83.204587897602977</v>
      </c>
      <c r="AG6715" s="2">
        <f ca="1"/>
        <v>0.80446189195741602</v>
      </c>
      <c r="AH6715" s="2" t="str">
        <f ca="1"/>
        <v>Bad</v>
      </c>
    </row>
    <row r="6716" spans="2:34" x14ac:dyDescent="0.2">
      <c r="B6716" s="2">
        <f ca="1"/>
        <v>0.65111047366269958</v>
      </c>
      <c r="O6716" s="2">
        <f ca="1"/>
        <v>0.31431614552224407</v>
      </c>
      <c r="X6716" s="2">
        <f ca="1"/>
        <v>51.2548767419634</v>
      </c>
      <c r="AG6716" s="2">
        <f ca="1"/>
        <v>0.44929025109507603</v>
      </c>
      <c r="AH6716" s="2" t="str">
        <f ca="1"/>
        <v>Bad</v>
      </c>
    </row>
    <row r="6717" spans="2:34" x14ac:dyDescent="0.2">
      <c r="B6717" s="2">
        <f ca="1"/>
        <v>0.97714704206913838</v>
      </c>
      <c r="O6717" s="2">
        <f ca="1"/>
        <v>0.59697908825850976</v>
      </c>
      <c r="X6717" s="2">
        <f ca="1"/>
        <v>31.99844865320167</v>
      </c>
      <c r="AG6717" s="2">
        <f ca="1"/>
        <v>8.2150818708962792E-2</v>
      </c>
      <c r="AH6717" s="2" t="str">
        <f ca="1"/>
        <v>OK</v>
      </c>
    </row>
    <row r="6718" spans="2:34" x14ac:dyDescent="0.2">
      <c r="B6718" s="2">
        <f ca="1"/>
        <v>0.1143075793120949</v>
      </c>
      <c r="O6718" s="2">
        <f ca="1"/>
        <v>1.1076414797856844</v>
      </c>
      <c r="X6718" s="2">
        <f ca="1"/>
        <v>25.981621750518137</v>
      </c>
      <c r="AG6718" s="2">
        <f ca="1"/>
        <v>8.4177222406235597E-2</v>
      </c>
      <c r="AH6718" s="2" t="str">
        <f ca="1"/>
        <v>OK</v>
      </c>
    </row>
    <row r="6719" spans="2:34" x14ac:dyDescent="0.2">
      <c r="B6719" s="2">
        <f ca="1"/>
        <v>0.56815852962234326</v>
      </c>
      <c r="O6719" s="2">
        <f ca="1"/>
        <v>-0.21647322297926191</v>
      </c>
      <c r="X6719" s="2">
        <f ca="1"/>
        <v>49.2145688597804</v>
      </c>
      <c r="AG6719" s="2">
        <f ca="1"/>
        <v>0.21530076794423958</v>
      </c>
      <c r="AH6719" s="2" t="str">
        <f ca="1"/>
        <v>OK</v>
      </c>
    </row>
    <row r="6720" spans="2:34" x14ac:dyDescent="0.2">
      <c r="B6720" s="2">
        <f ca="1"/>
        <v>0.52821066967674035</v>
      </c>
      <c r="O6720" s="2">
        <f ca="1"/>
        <v>0.36761358826313784</v>
      </c>
      <c r="X6720" s="2">
        <f ca="1"/>
        <v>70.666363641921194</v>
      </c>
      <c r="AG6720" s="2">
        <f ca="1"/>
        <v>0.51890564067766509</v>
      </c>
      <c r="AH6720" s="2" t="str">
        <f ca="1"/>
        <v>Bad</v>
      </c>
    </row>
    <row r="6721" spans="2:34" x14ac:dyDescent="0.2">
      <c r="B6721" s="2">
        <f ca="1"/>
        <v>0.75238652196051792</v>
      </c>
      <c r="O6721" s="2">
        <f ca="1"/>
        <v>-3.0651379991307602E-3</v>
      </c>
      <c r="X6721" s="2">
        <f ca="1"/>
        <v>48.689336239919896</v>
      </c>
      <c r="AG6721" s="2">
        <f ca="1"/>
        <v>0.82757838143408757</v>
      </c>
      <c r="AH6721" s="2" t="str">
        <f ca="1"/>
        <v>Bad</v>
      </c>
    </row>
    <row r="6722" spans="2:34" x14ac:dyDescent="0.2">
      <c r="B6722" s="2">
        <f ca="1"/>
        <v>5.8238576162468636E-2</v>
      </c>
      <c r="O6722" s="2">
        <f ca="1"/>
        <v>1.2200986804232026</v>
      </c>
      <c r="X6722" s="2">
        <f ca="1"/>
        <v>80.172811663423786</v>
      </c>
      <c r="AG6722" s="2">
        <f ca="1"/>
        <v>0.29210545538207033</v>
      </c>
      <c r="AH6722" s="2" t="str">
        <f ca="1"/>
        <v>OK</v>
      </c>
    </row>
    <row r="6723" spans="2:34" x14ac:dyDescent="0.2">
      <c r="B6723" s="2">
        <f ca="1"/>
        <v>0.30626814782685319</v>
      </c>
      <c r="O6723" s="2">
        <f ca="1"/>
        <v>0.19247262470972173</v>
      </c>
      <c r="X6723" s="2">
        <f ca="1"/>
        <v>38.748317091691462</v>
      </c>
      <c r="AG6723" s="2">
        <f ca="1"/>
        <v>0.43530352267153516</v>
      </c>
      <c r="AH6723" s="2" t="str">
        <f ca="1"/>
        <v>Bad</v>
      </c>
    </row>
    <row r="6724" spans="2:34" x14ac:dyDescent="0.2">
      <c r="B6724" s="2">
        <f ca="1"/>
        <v>6.269695397041497E-2</v>
      </c>
      <c r="O6724" s="2">
        <f ca="1"/>
        <v>-1.8439224455590928</v>
      </c>
      <c r="X6724" s="2">
        <f ca="1"/>
        <v>39.92629155843165</v>
      </c>
      <c r="AG6724" s="2">
        <f ca="1"/>
        <v>0.17768995007109356</v>
      </c>
      <c r="AH6724" s="2" t="str">
        <f ca="1"/>
        <v>OK</v>
      </c>
    </row>
    <row r="6725" spans="2:34" x14ac:dyDescent="0.2">
      <c r="B6725" s="2">
        <f ca="1"/>
        <v>0.83331389897854713</v>
      </c>
      <c r="O6725" s="2">
        <f ca="1"/>
        <v>0.46477840893987432</v>
      </c>
      <c r="X6725" s="2">
        <f ca="1"/>
        <v>61.365897154266179</v>
      </c>
      <c r="AG6725" s="2">
        <f ca="1"/>
        <v>0.56083875354809165</v>
      </c>
      <c r="AH6725" s="2" t="str">
        <f ca="1"/>
        <v>Bad</v>
      </c>
    </row>
    <row r="6726" spans="2:34" x14ac:dyDescent="0.2">
      <c r="B6726" s="2">
        <f ca="1"/>
        <v>0.19522924667419272</v>
      </c>
      <c r="O6726" s="2">
        <f ca="1"/>
        <v>0.55945843674789975</v>
      </c>
      <c r="X6726" s="2">
        <f ca="1"/>
        <v>79.846780542211121</v>
      </c>
      <c r="AG6726" s="2">
        <f ca="1"/>
        <v>0.42882286045162377</v>
      </c>
      <c r="AH6726" s="2" t="str">
        <f ca="1"/>
        <v>Bad</v>
      </c>
    </row>
    <row r="6727" spans="2:34" x14ac:dyDescent="0.2">
      <c r="B6727" s="2">
        <f ca="1"/>
        <v>0.85951555861271567</v>
      </c>
      <c r="O6727" s="2">
        <f ca="1"/>
        <v>-1.0389727219752505</v>
      </c>
      <c r="X6727" s="2">
        <f ca="1"/>
        <v>34.31861844509659</v>
      </c>
      <c r="AG6727" s="2">
        <f ca="1"/>
        <v>0.32014674100566709</v>
      </c>
      <c r="AH6727" s="2" t="str">
        <f ca="1"/>
        <v>OK</v>
      </c>
    </row>
    <row r="6728" spans="2:34" x14ac:dyDescent="0.2">
      <c r="B6728" s="2">
        <f ca="1"/>
        <v>0.45496529747597236</v>
      </c>
      <c r="O6728" s="2">
        <f ca="1"/>
        <v>-0.83090716654572205</v>
      </c>
      <c r="X6728" s="2">
        <f ca="1"/>
        <v>67.936900897298344</v>
      </c>
      <c r="AG6728" s="2">
        <f ca="1"/>
        <v>0.73722216314850408</v>
      </c>
      <c r="AH6728" s="2" t="str">
        <f ca="1"/>
        <v>Bad</v>
      </c>
    </row>
    <row r="6729" spans="2:34" x14ac:dyDescent="0.2">
      <c r="B6729" s="2">
        <f ca="1"/>
        <v>0.90370941530156257</v>
      </c>
      <c r="O6729" s="2">
        <f ca="1"/>
        <v>0.90049697303192944</v>
      </c>
      <c r="X6729" s="2">
        <f ca="1"/>
        <v>39.496177423348165</v>
      </c>
      <c r="AG6729" s="2">
        <f ca="1"/>
        <v>0.82976648295919953</v>
      </c>
      <c r="AH6729" s="2" t="str">
        <f ca="1"/>
        <v>Bad</v>
      </c>
    </row>
    <row r="6730" spans="2:34" x14ac:dyDescent="0.2">
      <c r="B6730" s="2">
        <f ca="1"/>
        <v>8.9601487720055273E-2</v>
      </c>
      <c r="O6730" s="2">
        <f ca="1"/>
        <v>-0.11452098938611173</v>
      </c>
      <c r="X6730" s="2">
        <f ca="1"/>
        <v>74.878502539911565</v>
      </c>
      <c r="AG6730" s="2">
        <f ca="1"/>
        <v>0.82479280173812897</v>
      </c>
      <c r="AH6730" s="2" t="str">
        <f ca="1"/>
        <v>Bad</v>
      </c>
    </row>
    <row r="6731" spans="2:34" x14ac:dyDescent="0.2">
      <c r="B6731" s="2">
        <f ca="1"/>
        <v>0.43613834788256489</v>
      </c>
      <c r="O6731" s="2">
        <f ca="1"/>
        <v>0.78288504068320197</v>
      </c>
      <c r="X6731" s="2">
        <f ca="1"/>
        <v>47.275105679856097</v>
      </c>
      <c r="AG6731" s="2">
        <f ca="1"/>
        <v>8.5152527963548108E-2</v>
      </c>
      <c r="AH6731" s="2" t="str">
        <f ca="1"/>
        <v>OK</v>
      </c>
    </row>
    <row r="6732" spans="2:34" x14ac:dyDescent="0.2">
      <c r="B6732" s="2">
        <f ca="1"/>
        <v>0.76234457506097475</v>
      </c>
      <c r="O6732" s="2">
        <f ca="1"/>
        <v>0.35068824414276573</v>
      </c>
      <c r="X6732" s="2">
        <f ca="1"/>
        <v>68.712347862738099</v>
      </c>
      <c r="AG6732" s="2">
        <f ca="1"/>
        <v>0.96676561996986954</v>
      </c>
      <c r="AH6732" s="2" t="str">
        <f ca="1"/>
        <v>Bad</v>
      </c>
    </row>
    <row r="6733" spans="2:34" x14ac:dyDescent="0.2">
      <c r="B6733" s="2">
        <f ca="1"/>
        <v>0.36078504010829127</v>
      </c>
      <c r="O6733" s="2">
        <f ca="1"/>
        <v>-9.9916726718163387E-2</v>
      </c>
      <c r="X6733" s="2">
        <f ca="1"/>
        <v>37.658195129632965</v>
      </c>
      <c r="AG6733" s="2">
        <f ca="1"/>
        <v>2.4382721964223641E-2</v>
      </c>
      <c r="AH6733" s="2" t="str">
        <f ca="1"/>
        <v>Good</v>
      </c>
    </row>
    <row r="6734" spans="2:34" x14ac:dyDescent="0.2">
      <c r="B6734" s="2">
        <f ca="1"/>
        <v>0.36793042541126475</v>
      </c>
      <c r="O6734" s="2">
        <f ca="1"/>
        <v>-0.22658134112832612</v>
      </c>
      <c r="X6734" s="2">
        <f ca="1"/>
        <v>66.294546669517075</v>
      </c>
      <c r="AG6734" s="2">
        <f ca="1"/>
        <v>0.4606829173516569</v>
      </c>
      <c r="AH6734" s="2" t="str">
        <f ca="1"/>
        <v>Bad</v>
      </c>
    </row>
    <row r="6735" spans="2:34" x14ac:dyDescent="0.2">
      <c r="B6735" s="2">
        <f ca="1"/>
        <v>0.33596889326003176</v>
      </c>
      <c r="O6735" s="2">
        <f ca="1"/>
        <v>0.64111589835815164</v>
      </c>
      <c r="X6735" s="2">
        <f ca="1"/>
        <v>75.137559455273816</v>
      </c>
      <c r="AG6735" s="2">
        <f ca="1"/>
        <v>0.79930485460245904</v>
      </c>
      <c r="AH6735" s="2" t="str">
        <f ca="1"/>
        <v>Bad</v>
      </c>
    </row>
    <row r="6736" spans="2:34" x14ac:dyDescent="0.2">
      <c r="B6736" s="2">
        <f ca="1"/>
        <v>0.8597533524709271</v>
      </c>
      <c r="O6736" s="2">
        <f ca="1"/>
        <v>-0.8181592676214301</v>
      </c>
      <c r="X6736" s="2">
        <f ca="1"/>
        <v>24.223240808120678</v>
      </c>
      <c r="AG6736" s="2">
        <f ca="1"/>
        <v>0.6170982983567086</v>
      </c>
      <c r="AH6736" s="2" t="str">
        <f ca="1"/>
        <v>Bad</v>
      </c>
    </row>
    <row r="6737" spans="2:34" x14ac:dyDescent="0.2">
      <c r="B6737" s="2">
        <f ca="1"/>
        <v>0.9016311674855555</v>
      </c>
      <c r="O6737" s="2">
        <f ca="1"/>
        <v>-0.91239722852482297</v>
      </c>
      <c r="X6737" s="2">
        <f ca="1"/>
        <v>55.635253188267399</v>
      </c>
      <c r="AG6737" s="2">
        <f ca="1"/>
        <v>0.61825349408171437</v>
      </c>
      <c r="AH6737" s="2" t="str">
        <f ca="1"/>
        <v>Bad</v>
      </c>
    </row>
    <row r="6738" spans="2:34" x14ac:dyDescent="0.2">
      <c r="B6738" s="2">
        <f ca="1"/>
        <v>0.79468548905160596</v>
      </c>
      <c r="O6738" s="2">
        <f ca="1"/>
        <v>-0.68731068845415011</v>
      </c>
      <c r="X6738" s="2">
        <f ca="1"/>
        <v>45.385799103415934</v>
      </c>
      <c r="AG6738" s="2">
        <f ca="1"/>
        <v>2.0933584307238906E-2</v>
      </c>
      <c r="AH6738" s="2" t="str">
        <f ca="1"/>
        <v>Good</v>
      </c>
    </row>
    <row r="6739" spans="2:34" x14ac:dyDescent="0.2">
      <c r="B6739" s="2">
        <f ca="1"/>
        <v>6.9563365782684627E-2</v>
      </c>
      <c r="O6739" s="2">
        <f ca="1"/>
        <v>0.23815813328491481</v>
      </c>
      <c r="X6739" s="2">
        <f ca="1"/>
        <v>55.132091325881035</v>
      </c>
      <c r="AG6739" s="2">
        <f ca="1"/>
        <v>0.31969894157203704</v>
      </c>
      <c r="AH6739" s="2" t="str">
        <f ca="1"/>
        <v>OK</v>
      </c>
    </row>
    <row r="6740" spans="2:34" x14ac:dyDescent="0.2">
      <c r="B6740" s="2">
        <f ca="1"/>
        <v>0.62517003127671011</v>
      </c>
      <c r="O6740" s="2">
        <f ca="1"/>
        <v>-0.82773433475665381</v>
      </c>
      <c r="X6740" s="2">
        <f ca="1"/>
        <v>29.233803941534696</v>
      </c>
      <c r="AG6740" s="2">
        <f ca="1"/>
        <v>0.32399182450577957</v>
      </c>
      <c r="AH6740" s="2" t="str">
        <f ca="1"/>
        <v>OK</v>
      </c>
    </row>
    <row r="6741" spans="2:34" x14ac:dyDescent="0.2">
      <c r="B6741" s="2">
        <f ca="1"/>
        <v>0.85007434166190476</v>
      </c>
      <c r="O6741" s="2">
        <f ca="1"/>
        <v>2.7232335414989255E-2</v>
      </c>
      <c r="X6741" s="2">
        <f ca="1"/>
        <v>67.738480822179383</v>
      </c>
      <c r="AG6741" s="2">
        <f ca="1"/>
        <v>0.95633202496529846</v>
      </c>
      <c r="AH6741" s="2" t="str">
        <f ca="1"/>
        <v>Bad</v>
      </c>
    </row>
    <row r="6742" spans="2:34" x14ac:dyDescent="0.2">
      <c r="B6742" s="2">
        <f ca="1"/>
        <v>0.23391764056214215</v>
      </c>
      <c r="O6742" s="2">
        <f ca="1"/>
        <v>1.212466019092951</v>
      </c>
      <c r="X6742" s="2">
        <f ca="1"/>
        <v>48.37959954101207</v>
      </c>
      <c r="AG6742" s="2">
        <f ca="1"/>
        <v>0.90726714590582325</v>
      </c>
      <c r="AH6742" s="2" t="str">
        <f ca="1"/>
        <v>Bad</v>
      </c>
    </row>
    <row r="6743" spans="2:34" x14ac:dyDescent="0.2">
      <c r="B6743" s="2">
        <f ca="1"/>
        <v>0.38518089692413637</v>
      </c>
      <c r="O6743" s="2">
        <f ca="1"/>
        <v>1.2183859190803783</v>
      </c>
      <c r="X6743" s="2">
        <f ca="1"/>
        <v>81.359275807488075</v>
      </c>
      <c r="AG6743" s="2">
        <f ca="1"/>
        <v>0.92475368934377911</v>
      </c>
      <c r="AH6743" s="2" t="str">
        <f ca="1"/>
        <v>Bad</v>
      </c>
    </row>
    <row r="6744" spans="2:34" x14ac:dyDescent="0.2">
      <c r="B6744" s="2">
        <f ca="1"/>
        <v>0.97115310784547537</v>
      </c>
      <c r="O6744" s="2">
        <f ca="1"/>
        <v>-0.13677251575292296</v>
      </c>
      <c r="X6744" s="2">
        <f ca="1"/>
        <v>68.394360466451076</v>
      </c>
      <c r="AG6744" s="2">
        <f ca="1"/>
        <v>0.63797817652196076</v>
      </c>
      <c r="AH6744" s="2" t="str">
        <f ca="1"/>
        <v>Bad</v>
      </c>
    </row>
    <row r="6745" spans="2:34" x14ac:dyDescent="0.2">
      <c r="B6745" s="2">
        <f ca="1"/>
        <v>0.60994007535225658</v>
      </c>
      <c r="O6745" s="2">
        <f ca="1"/>
        <v>-0.88496750454156226</v>
      </c>
      <c r="X6745" s="2">
        <f ca="1"/>
        <v>32.470597006021521</v>
      </c>
      <c r="AG6745" s="2">
        <f ca="1"/>
        <v>0.21677411255758861</v>
      </c>
      <c r="AH6745" s="2" t="str">
        <f ca="1"/>
        <v>OK</v>
      </c>
    </row>
    <row r="6746" spans="2:34" x14ac:dyDescent="0.2">
      <c r="B6746" s="2">
        <f ca="1"/>
        <v>2.7480140587807123E-2</v>
      </c>
      <c r="O6746" s="2">
        <f ca="1"/>
        <v>-1.1318963498617385</v>
      </c>
      <c r="X6746" s="2">
        <f ca="1"/>
        <v>106.87915709607725</v>
      </c>
      <c r="AG6746" s="2">
        <f ca="1"/>
        <v>5.9314366656953332E-2</v>
      </c>
      <c r="AH6746" s="2" t="str">
        <f ca="1"/>
        <v>OK</v>
      </c>
    </row>
    <row r="6747" spans="2:34" x14ac:dyDescent="0.2">
      <c r="B6747" s="2">
        <f ca="1"/>
        <v>0.85327016910443221</v>
      </c>
      <c r="O6747" s="2">
        <f ca="1"/>
        <v>0.70287638667290486</v>
      </c>
      <c r="X6747" s="2">
        <f ca="1"/>
        <v>42.244823539986065</v>
      </c>
      <c r="AG6747" s="2">
        <f ca="1"/>
        <v>0.55982698072026826</v>
      </c>
      <c r="AH6747" s="2" t="str">
        <f ca="1"/>
        <v>Bad</v>
      </c>
    </row>
    <row r="6748" spans="2:34" x14ac:dyDescent="0.2">
      <c r="B6748" s="2">
        <f ca="1"/>
        <v>0.78421439750360089</v>
      </c>
      <c r="O6748" s="2">
        <f ca="1"/>
        <v>0.30329749963037611</v>
      </c>
      <c r="X6748" s="2">
        <f ca="1"/>
        <v>67.796216993150267</v>
      </c>
      <c r="AG6748" s="2">
        <f ca="1"/>
        <v>0.66668127228884289</v>
      </c>
      <c r="AH6748" s="2" t="str">
        <f ca="1"/>
        <v>Bad</v>
      </c>
    </row>
    <row r="6749" spans="2:34" x14ac:dyDescent="0.2">
      <c r="B6749" s="2">
        <f ca="1"/>
        <v>2.8108583979564505E-2</v>
      </c>
      <c r="O6749" s="2">
        <f ca="1"/>
        <v>-0.87271349006945909</v>
      </c>
      <c r="X6749" s="2">
        <f ca="1"/>
        <v>54.925193517949367</v>
      </c>
      <c r="AG6749" s="2">
        <f ca="1"/>
        <v>0.49555799547337642</v>
      </c>
      <c r="AH6749" s="2" t="str">
        <f ca="1"/>
        <v>Bad</v>
      </c>
    </row>
    <row r="6750" spans="2:34" x14ac:dyDescent="0.2">
      <c r="B6750" s="2">
        <f ca="1"/>
        <v>0.95706283184775254</v>
      </c>
      <c r="O6750" s="2">
        <f ca="1"/>
        <v>-0.87810442344742357</v>
      </c>
      <c r="X6750" s="2">
        <f ca="1"/>
        <v>42.327214801045336</v>
      </c>
      <c r="AG6750" s="2">
        <f ca="1"/>
        <v>0.4232484211660219</v>
      </c>
      <c r="AH6750" s="2" t="str">
        <f ca="1"/>
        <v>Bad</v>
      </c>
    </row>
    <row r="6751" spans="2:34" x14ac:dyDescent="0.2">
      <c r="B6751" s="2">
        <f ca="1"/>
        <v>0.66921568990742775</v>
      </c>
      <c r="O6751" s="2">
        <f ca="1"/>
        <v>0.59467839534215894</v>
      </c>
      <c r="X6751" s="2">
        <f ca="1"/>
        <v>46.006699238101774</v>
      </c>
      <c r="AG6751" s="2">
        <f ca="1"/>
        <v>0.5035149786870381</v>
      </c>
      <c r="AH6751" s="2" t="str">
        <f ca="1"/>
        <v>Bad</v>
      </c>
    </row>
    <row r="6752" spans="2:34" x14ac:dyDescent="0.2">
      <c r="B6752" s="2">
        <f ca="1"/>
        <v>0.2598141857015368</v>
      </c>
      <c r="O6752" s="2">
        <f ca="1"/>
        <v>-1.1984490366787028</v>
      </c>
      <c r="X6752" s="2">
        <f ca="1"/>
        <v>43.555482552327334</v>
      </c>
      <c r="AG6752" s="2">
        <f ca="1"/>
        <v>0.12340235827694124</v>
      </c>
      <c r="AH6752" s="2" t="str">
        <f ca="1"/>
        <v>OK</v>
      </c>
    </row>
    <row r="6753" spans="2:34" x14ac:dyDescent="0.2">
      <c r="B6753" s="2">
        <f ca="1"/>
        <v>0.59776911314616732</v>
      </c>
      <c r="O6753" s="2">
        <f ca="1"/>
        <v>1.1865010176067678</v>
      </c>
      <c r="X6753" s="2">
        <f ca="1"/>
        <v>37.901659888611718</v>
      </c>
      <c r="AG6753" s="2">
        <f ca="1"/>
        <v>0.88235866654398198</v>
      </c>
      <c r="AH6753" s="2" t="str">
        <f ca="1"/>
        <v>Bad</v>
      </c>
    </row>
    <row r="6754" spans="2:34" x14ac:dyDescent="0.2">
      <c r="B6754" s="2">
        <f ca="1"/>
        <v>0.70127563403611703</v>
      </c>
      <c r="O6754" s="2">
        <f ca="1"/>
        <v>0.99078296813318412</v>
      </c>
      <c r="X6754" s="2">
        <f ca="1"/>
        <v>65.841880672400293</v>
      </c>
      <c r="AG6754" s="2">
        <f ca="1"/>
        <v>0.36245927445503123</v>
      </c>
      <c r="AH6754" s="2" t="str">
        <f ca="1"/>
        <v>OK</v>
      </c>
    </row>
    <row r="6755" spans="2:34" x14ac:dyDescent="0.2">
      <c r="B6755" s="2">
        <f ca="1"/>
        <v>0.67217115008842598</v>
      </c>
      <c r="O6755" s="2">
        <f ca="1"/>
        <v>-0.63820464057724036</v>
      </c>
      <c r="X6755" s="2">
        <f ca="1"/>
        <v>39.27624313884106</v>
      </c>
      <c r="AG6755" s="2">
        <f ca="1"/>
        <v>0.27612382807438762</v>
      </c>
      <c r="AH6755" s="2" t="str">
        <f ca="1"/>
        <v>OK</v>
      </c>
    </row>
    <row r="6756" spans="2:34" x14ac:dyDescent="0.2">
      <c r="B6756" s="2">
        <f ca="1"/>
        <v>0.39435561264921692</v>
      </c>
      <c r="O6756" s="2">
        <f ca="1"/>
        <v>-0.12795671861336946</v>
      </c>
      <c r="X6756" s="2">
        <f ca="1"/>
        <v>41.657040006538217</v>
      </c>
      <c r="AG6756" s="2">
        <f ca="1"/>
        <v>0.4167696432005521</v>
      </c>
      <c r="AH6756" s="2" t="str">
        <f ca="1"/>
        <v>Bad</v>
      </c>
    </row>
    <row r="6757" spans="2:34" x14ac:dyDescent="0.2">
      <c r="B6757" s="2">
        <f ca="1"/>
        <v>0.58801602959254695</v>
      </c>
      <c r="O6757" s="2">
        <f ca="1"/>
        <v>0.33342743088542159</v>
      </c>
      <c r="X6757" s="2">
        <f ca="1"/>
        <v>104.62117105231975</v>
      </c>
      <c r="AG6757" s="2">
        <f ca="1"/>
        <v>0.91311232497646566</v>
      </c>
      <c r="AH6757" s="2" t="str">
        <f ca="1"/>
        <v>Bad</v>
      </c>
    </row>
    <row r="6758" spans="2:34" x14ac:dyDescent="0.2">
      <c r="B6758" s="2">
        <f ca="1"/>
        <v>0.85660373696793979</v>
      </c>
      <c r="O6758" s="2">
        <f ca="1"/>
        <v>-0.64644218679206755</v>
      </c>
      <c r="X6758" s="2">
        <f ca="1"/>
        <v>45.236660099263766</v>
      </c>
      <c r="AG6758" s="2">
        <f ca="1"/>
        <v>0.19280040296946988</v>
      </c>
      <c r="AH6758" s="2" t="str">
        <f ca="1"/>
        <v>OK</v>
      </c>
    </row>
    <row r="6759" spans="2:34" x14ac:dyDescent="0.2">
      <c r="B6759" s="2">
        <f ca="1"/>
        <v>0.8356252712554233</v>
      </c>
      <c r="O6759" s="2">
        <f ca="1"/>
        <v>-2.6991994744780885</v>
      </c>
      <c r="X6759" s="2">
        <f ca="1"/>
        <v>33.693196085357648</v>
      </c>
      <c r="AG6759" s="2">
        <f ca="1"/>
        <v>0.69877864262189959</v>
      </c>
      <c r="AH6759" s="2" t="str">
        <f ca="1"/>
        <v>Bad</v>
      </c>
    </row>
    <row r="6760" spans="2:34" x14ac:dyDescent="0.2">
      <c r="B6760" s="2">
        <f ca="1"/>
        <v>0.26290656245984945</v>
      </c>
      <c r="O6760" s="2">
        <f ca="1"/>
        <v>1.8125049669426483</v>
      </c>
      <c r="X6760" s="2">
        <f ca="1"/>
        <v>32.380015402452898</v>
      </c>
      <c r="AG6760" s="2">
        <f ca="1"/>
        <v>0.31381095237854595</v>
      </c>
      <c r="AH6760" s="2" t="str">
        <f ca="1"/>
        <v>OK</v>
      </c>
    </row>
    <row r="6761" spans="2:34" x14ac:dyDescent="0.2">
      <c r="B6761" s="2">
        <f ca="1"/>
        <v>0.83935490107751032</v>
      </c>
      <c r="O6761" s="2">
        <f ca="1"/>
        <v>-0.32305818861555602</v>
      </c>
      <c r="X6761" s="2">
        <f ca="1"/>
        <v>54.790937215480689</v>
      </c>
      <c r="AG6761" s="2">
        <f ca="1"/>
        <v>0.28830471596784646</v>
      </c>
      <c r="AH6761" s="2" t="str">
        <f ca="1"/>
        <v>OK</v>
      </c>
    </row>
    <row r="6762" spans="2:34" x14ac:dyDescent="0.2">
      <c r="B6762" s="2">
        <f ca="1"/>
        <v>7.5143390935552112E-2</v>
      </c>
      <c r="O6762" s="2">
        <f ca="1"/>
        <v>-1.5372720790524634</v>
      </c>
      <c r="X6762" s="2">
        <f ca="1"/>
        <v>45.641787887285886</v>
      </c>
      <c r="AG6762" s="2">
        <f ca="1"/>
        <v>0.77462851811362032</v>
      </c>
      <c r="AH6762" s="2" t="str">
        <f ca="1"/>
        <v>Bad</v>
      </c>
    </row>
    <row r="6763" spans="2:34" x14ac:dyDescent="0.2">
      <c r="B6763" s="2">
        <f ca="1"/>
        <v>0.51641829690327135</v>
      </c>
      <c r="O6763" s="2">
        <f ca="1"/>
        <v>1.6194740919136676</v>
      </c>
      <c r="X6763" s="2">
        <f ca="1"/>
        <v>42.5097224158906</v>
      </c>
      <c r="AG6763" s="2">
        <f ca="1"/>
        <v>0.47288586468505622</v>
      </c>
      <c r="AH6763" s="2" t="str">
        <f ca="1"/>
        <v>Bad</v>
      </c>
    </row>
    <row r="6764" spans="2:34" x14ac:dyDescent="0.2">
      <c r="B6764" s="2">
        <f ca="1"/>
        <v>0.15185046313588324</v>
      </c>
      <c r="O6764" s="2">
        <f ca="1"/>
        <v>0.20766949403966176</v>
      </c>
      <c r="X6764" s="2">
        <f ca="1"/>
        <v>26.705535807191009</v>
      </c>
      <c r="AG6764" s="2">
        <f ca="1"/>
        <v>0.20364864898640733</v>
      </c>
      <c r="AH6764" s="2" t="str">
        <f ca="1"/>
        <v>OK</v>
      </c>
    </row>
    <row r="6765" spans="2:34" x14ac:dyDescent="0.2">
      <c r="B6765" s="2">
        <f ca="1"/>
        <v>0.89408283983914938</v>
      </c>
      <c r="O6765" s="2">
        <f ca="1"/>
        <v>1.3463838872934095</v>
      </c>
      <c r="X6765" s="2">
        <f ca="1"/>
        <v>38.59174936609184</v>
      </c>
      <c r="AG6765" s="2">
        <f ca="1"/>
        <v>0.77914319037097468</v>
      </c>
      <c r="AH6765" s="2" t="str">
        <f ca="1"/>
        <v>Bad</v>
      </c>
    </row>
    <row r="6766" spans="2:34" x14ac:dyDescent="0.2">
      <c r="B6766" s="2">
        <f ca="1"/>
        <v>1.3241409947863492E-2</v>
      </c>
      <c r="O6766" s="2">
        <f ca="1"/>
        <v>-0.56817019728436469</v>
      </c>
      <c r="X6766" s="2">
        <f ca="1"/>
        <v>67.570989826654454</v>
      </c>
      <c r="AG6766" s="2">
        <f ca="1"/>
        <v>0.72827859086873525</v>
      </c>
      <c r="AH6766" s="2" t="str">
        <f ca="1"/>
        <v>Bad</v>
      </c>
    </row>
    <row r="6767" spans="2:34" x14ac:dyDescent="0.2">
      <c r="B6767" s="2">
        <f ca="1"/>
        <v>0.42846402030319886</v>
      </c>
      <c r="O6767" s="2">
        <f ca="1"/>
        <v>-0.34660986595516524</v>
      </c>
      <c r="X6767" s="2">
        <f ca="1"/>
        <v>42.935885498577065</v>
      </c>
      <c r="AG6767" s="2">
        <f ca="1"/>
        <v>0.73001602517624153</v>
      </c>
      <c r="AH6767" s="2" t="str">
        <f ca="1"/>
        <v>Bad</v>
      </c>
    </row>
    <row r="6768" spans="2:34" x14ac:dyDescent="0.2">
      <c r="B6768" s="2">
        <f ca="1"/>
        <v>0.96414029385030142</v>
      </c>
      <c r="O6768" s="2">
        <f ca="1"/>
        <v>-1.1262986051716897</v>
      </c>
      <c r="X6768" s="2">
        <f ca="1"/>
        <v>49.336631800440927</v>
      </c>
      <c r="AG6768" s="2">
        <f ca="1"/>
        <v>0.67100520376433392</v>
      </c>
      <c r="AH6768" s="2" t="str">
        <f ca="1"/>
        <v>Bad</v>
      </c>
    </row>
    <row r="6769" spans="2:34" x14ac:dyDescent="0.2">
      <c r="B6769" s="2">
        <f ca="1"/>
        <v>0.73214191271923279</v>
      </c>
      <c r="O6769" s="2">
        <f ca="1"/>
        <v>0.18558643673101458</v>
      </c>
      <c r="X6769" s="2">
        <f ca="1"/>
        <v>50.54612265247475</v>
      </c>
      <c r="AG6769" s="2">
        <f ca="1"/>
        <v>0.52597174392126811</v>
      </c>
      <c r="AH6769" s="2" t="str">
        <f ca="1"/>
        <v>Bad</v>
      </c>
    </row>
    <row r="6770" spans="2:34" x14ac:dyDescent="0.2">
      <c r="B6770" s="2">
        <f ca="1"/>
        <v>0.96560239985907836</v>
      </c>
      <c r="O6770" s="2">
        <f ca="1"/>
        <v>0.78971337128055874</v>
      </c>
      <c r="X6770" s="2">
        <f ca="1"/>
        <v>72.112027032145392</v>
      </c>
      <c r="AG6770" s="2">
        <f ca="1"/>
        <v>0.19752263028612105</v>
      </c>
      <c r="AH6770" s="2" t="str">
        <f ca="1"/>
        <v>OK</v>
      </c>
    </row>
    <row r="6771" spans="2:34" x14ac:dyDescent="0.2">
      <c r="B6771" s="2">
        <f ca="1"/>
        <v>0.93959988456747023</v>
      </c>
      <c r="O6771" s="2">
        <f ca="1"/>
        <v>-0.67884111475549669</v>
      </c>
      <c r="X6771" s="2">
        <f ca="1"/>
        <v>39.573386441059625</v>
      </c>
      <c r="AG6771" s="2">
        <f ca="1"/>
        <v>0.55167088567256406</v>
      </c>
      <c r="AH6771" s="2" t="str">
        <f ca="1"/>
        <v>Bad</v>
      </c>
    </row>
    <row r="6772" spans="2:34" x14ac:dyDescent="0.2">
      <c r="B6772" s="2">
        <f ca="1"/>
        <v>0.91552176927446993</v>
      </c>
      <c r="O6772" s="2">
        <f ca="1"/>
        <v>-1.0101784456527785</v>
      </c>
      <c r="X6772" s="2">
        <f ca="1"/>
        <v>49.092992353000646</v>
      </c>
      <c r="AG6772" s="2">
        <f ca="1"/>
        <v>0.42528914587713018</v>
      </c>
      <c r="AH6772" s="2" t="str">
        <f ca="1"/>
        <v>Bad</v>
      </c>
    </row>
    <row r="6773" spans="2:34" x14ac:dyDescent="0.2">
      <c r="B6773" s="2">
        <f ca="1"/>
        <v>0.63299696362385127</v>
      </c>
      <c r="O6773" s="2">
        <f ca="1"/>
        <v>7.7715125832428979E-3</v>
      </c>
      <c r="X6773" s="2">
        <f ca="1"/>
        <v>58.368120460526299</v>
      </c>
      <c r="AG6773" s="2">
        <f ca="1"/>
        <v>0.75954915774256282</v>
      </c>
      <c r="AH6773" s="2" t="str">
        <f ca="1"/>
        <v>Bad</v>
      </c>
    </row>
    <row r="6774" spans="2:34" x14ac:dyDescent="0.2">
      <c r="B6774" s="2">
        <f ca="1"/>
        <v>0.19360834728410081</v>
      </c>
      <c r="O6774" s="2">
        <f ca="1"/>
        <v>1.5720940108794454</v>
      </c>
      <c r="X6774" s="2">
        <f ca="1"/>
        <v>38.457648732274386</v>
      </c>
      <c r="AG6774" s="2">
        <f ca="1"/>
        <v>0.17362249390580975</v>
      </c>
      <c r="AH6774" s="2" t="str">
        <f ca="1"/>
        <v>OK</v>
      </c>
    </row>
    <row r="6775" spans="2:34" x14ac:dyDescent="0.2">
      <c r="B6775" s="2">
        <f ca="1"/>
        <v>0.48018749182351161</v>
      </c>
      <c r="O6775" s="2">
        <f ca="1"/>
        <v>1.5117112159057129</v>
      </c>
      <c r="X6775" s="2">
        <f ca="1"/>
        <v>41.960689753962434</v>
      </c>
      <c r="AG6775" s="2">
        <f ca="1"/>
        <v>0.73122618242117787</v>
      </c>
      <c r="AH6775" s="2" t="str">
        <f ca="1"/>
        <v>Bad</v>
      </c>
    </row>
    <row r="6776" spans="2:34" x14ac:dyDescent="0.2">
      <c r="B6776" s="2">
        <f ca="1"/>
        <v>0.52539281263846616</v>
      </c>
      <c r="O6776" s="2">
        <f ca="1"/>
        <v>-1.3915521214696678</v>
      </c>
      <c r="X6776" s="2">
        <f ca="1"/>
        <v>35.647460508801174</v>
      </c>
      <c r="AG6776" s="2">
        <f ca="1"/>
        <v>0.19433942759655931</v>
      </c>
      <c r="AH6776" s="2" t="str">
        <f ca="1"/>
        <v>OK</v>
      </c>
    </row>
    <row r="6777" spans="2:34" x14ac:dyDescent="0.2">
      <c r="B6777" s="2">
        <f ca="1"/>
        <v>0.26956599268293679</v>
      </c>
      <c r="O6777" s="2">
        <f ca="1"/>
        <v>0.29100173935773072</v>
      </c>
      <c r="X6777" s="2">
        <f ca="1"/>
        <v>76.632113605970318</v>
      </c>
      <c r="AG6777" s="2">
        <f ca="1"/>
        <v>0.25723309788901982</v>
      </c>
      <c r="AH6777" s="2" t="str">
        <f ca="1"/>
        <v>OK</v>
      </c>
    </row>
    <row r="6778" spans="2:34" x14ac:dyDescent="0.2">
      <c r="B6778" s="2">
        <f ca="1"/>
        <v>0.85243894855037872</v>
      </c>
      <c r="O6778" s="2">
        <f ca="1"/>
        <v>1.5042942314353891</v>
      </c>
      <c r="X6778" s="2">
        <f ca="1"/>
        <v>44.849868771139469</v>
      </c>
      <c r="AG6778" s="2">
        <f ca="1"/>
        <v>0.14370156620824059</v>
      </c>
      <c r="AH6778" s="2" t="str">
        <f ca="1"/>
        <v>OK</v>
      </c>
    </row>
    <row r="6779" spans="2:34" x14ac:dyDescent="0.2">
      <c r="B6779" s="2">
        <f ca="1"/>
        <v>0.73822069941547674</v>
      </c>
      <c r="O6779" s="2">
        <f ca="1"/>
        <v>0.3738476549541323</v>
      </c>
      <c r="X6779" s="2">
        <f ca="1"/>
        <v>56.538567874054394</v>
      </c>
      <c r="AG6779" s="2">
        <f ca="1"/>
        <v>0.72172224827485931</v>
      </c>
      <c r="AH6779" s="2" t="str">
        <f ca="1"/>
        <v>Bad</v>
      </c>
    </row>
    <row r="6780" spans="2:34" x14ac:dyDescent="0.2">
      <c r="B6780" s="2">
        <f ca="1"/>
        <v>0.87727710577354912</v>
      </c>
      <c r="O6780" s="2">
        <f ca="1"/>
        <v>0.79306743686188974</v>
      </c>
      <c r="X6780" s="2">
        <f ca="1"/>
        <v>66.582754274178257</v>
      </c>
      <c r="AG6780" s="2">
        <f ca="1"/>
        <v>0.75785584889734969</v>
      </c>
      <c r="AH6780" s="2" t="str">
        <f ca="1"/>
        <v>Bad</v>
      </c>
    </row>
    <row r="6781" spans="2:34" x14ac:dyDescent="0.2">
      <c r="B6781" s="2">
        <f ca="1"/>
        <v>0.84613180560593793</v>
      </c>
      <c r="O6781" s="2">
        <f ca="1"/>
        <v>-0.59755868966945314</v>
      </c>
      <c r="X6781" s="2">
        <f ca="1"/>
        <v>58.437589214342353</v>
      </c>
      <c r="AG6781" s="2">
        <f ca="1"/>
        <v>5.8350383120923999E-2</v>
      </c>
      <c r="AH6781" s="2" t="str">
        <f ca="1"/>
        <v>OK</v>
      </c>
    </row>
    <row r="6782" spans="2:34" x14ac:dyDescent="0.2">
      <c r="B6782" s="2">
        <f ca="1"/>
        <v>0.77702804426979122</v>
      </c>
      <c r="O6782" s="2">
        <f ca="1"/>
        <v>1.3581688400264877</v>
      </c>
      <c r="X6782" s="2">
        <f ca="1"/>
        <v>59.141266341835426</v>
      </c>
      <c r="AG6782" s="2">
        <f ca="1"/>
        <v>0.47317390076326826</v>
      </c>
      <c r="AH6782" s="2" t="str">
        <f ca="1"/>
        <v>Bad</v>
      </c>
    </row>
    <row r="6783" spans="2:34" x14ac:dyDescent="0.2">
      <c r="B6783" s="2">
        <f ca="1"/>
        <v>0.64490389551293581</v>
      </c>
      <c r="O6783" s="2">
        <f ca="1"/>
        <v>-0.66373447357832382</v>
      </c>
      <c r="X6783" s="2">
        <f ca="1"/>
        <v>56.084461448116024</v>
      </c>
      <c r="AG6783" s="2">
        <f ca="1"/>
        <v>7.4472857881290766E-2</v>
      </c>
      <c r="AH6783" s="2" t="str">
        <f ca="1"/>
        <v>OK</v>
      </c>
    </row>
    <row r="6784" spans="2:34" x14ac:dyDescent="0.2">
      <c r="B6784" s="2">
        <f ca="1"/>
        <v>0.2948872538585452</v>
      </c>
      <c r="O6784" s="2">
        <f ca="1"/>
        <v>-0.66477700762679071</v>
      </c>
      <c r="X6784" s="2">
        <f ca="1"/>
        <v>46.271491607897055</v>
      </c>
      <c r="AG6784" s="2">
        <f ca="1"/>
        <v>0.43178172722841301</v>
      </c>
      <c r="AH6784" s="2" t="str">
        <f ca="1"/>
        <v>Bad</v>
      </c>
    </row>
    <row r="6785" spans="2:34" x14ac:dyDescent="0.2">
      <c r="B6785" s="2">
        <f ca="1"/>
        <v>9.7880329551713219E-2</v>
      </c>
      <c r="O6785" s="2">
        <f ca="1"/>
        <v>-1.3676957016551921</v>
      </c>
      <c r="X6785" s="2">
        <f ca="1"/>
        <v>26.024257922643041</v>
      </c>
      <c r="AG6785" s="2">
        <f ca="1"/>
        <v>0.4474860383958339</v>
      </c>
      <c r="AH6785" s="2" t="str">
        <f ca="1"/>
        <v>Bad</v>
      </c>
    </row>
    <row r="6786" spans="2:34" x14ac:dyDescent="0.2">
      <c r="B6786" s="2">
        <f ca="1"/>
        <v>0.77608296087990403</v>
      </c>
      <c r="O6786" s="2">
        <f ca="1"/>
        <v>-3.9611253142615944E-3</v>
      </c>
      <c r="X6786" s="2">
        <f ca="1"/>
        <v>22.900643895049985</v>
      </c>
      <c r="AG6786" s="2">
        <f ca="1"/>
        <v>0.17913342716069325</v>
      </c>
      <c r="AH6786" s="2" t="str">
        <f ca="1"/>
        <v>OK</v>
      </c>
    </row>
    <row r="6787" spans="2:34" x14ac:dyDescent="0.2">
      <c r="B6787" s="2">
        <f ca="1"/>
        <v>0.20540001953620579</v>
      </c>
      <c r="O6787" s="2">
        <f ca="1"/>
        <v>-0.91651048114461775</v>
      </c>
      <c r="X6787" s="2">
        <f ca="1"/>
        <v>46.126373296263488</v>
      </c>
      <c r="AG6787" s="2">
        <f ca="1"/>
        <v>0.32917159051437372</v>
      </c>
      <c r="AH6787" s="2" t="str">
        <f ca="1"/>
        <v>OK</v>
      </c>
    </row>
    <row r="6788" spans="2:34" x14ac:dyDescent="0.2">
      <c r="B6788" s="2">
        <f ca="1"/>
        <v>0.99104112522303267</v>
      </c>
      <c r="O6788" s="2">
        <f ca="1"/>
        <v>0.96619650377388422</v>
      </c>
      <c r="X6788" s="2">
        <f ca="1"/>
        <v>50.031537714160763</v>
      </c>
      <c r="AG6788" s="2">
        <f ca="1"/>
        <v>7.9623118674265747E-4</v>
      </c>
      <c r="AH6788" s="2" t="str">
        <f ca="1"/>
        <v>Good</v>
      </c>
    </row>
    <row r="6789" spans="2:34" x14ac:dyDescent="0.2">
      <c r="B6789" s="2">
        <f ca="1"/>
        <v>0.71357998723768934</v>
      </c>
      <c r="O6789" s="2">
        <f ca="1"/>
        <v>0.63932816343930698</v>
      </c>
      <c r="X6789" s="2">
        <f ca="1"/>
        <v>45.136895550898771</v>
      </c>
      <c r="AG6789" s="2">
        <f ca="1"/>
        <v>0.47465374554060569</v>
      </c>
      <c r="AH6789" s="2" t="str">
        <f ca="1"/>
        <v>Bad</v>
      </c>
    </row>
    <row r="6790" spans="2:34" x14ac:dyDescent="0.2">
      <c r="B6790" s="2">
        <f ca="1"/>
        <v>0.83189889346061574</v>
      </c>
      <c r="O6790" s="2">
        <f ca="1"/>
        <v>0.42110237269463091</v>
      </c>
      <c r="X6790" s="2">
        <f ca="1"/>
        <v>62.951481155329567</v>
      </c>
      <c r="AG6790" s="2">
        <f ca="1"/>
        <v>0.10363840075608777</v>
      </c>
      <c r="AH6790" s="2" t="str">
        <f ca="1"/>
        <v>OK</v>
      </c>
    </row>
    <row r="6791" spans="2:34" x14ac:dyDescent="0.2">
      <c r="B6791" s="2">
        <f ca="1"/>
        <v>0.22974693116897349</v>
      </c>
      <c r="O6791" s="2">
        <f ca="1"/>
        <v>0.18948776851907015</v>
      </c>
      <c r="X6791" s="2">
        <f ca="1"/>
        <v>68.473211812762258</v>
      </c>
      <c r="AG6791" s="2">
        <f ca="1"/>
        <v>0.48018223312374442</v>
      </c>
      <c r="AH6791" s="2" t="str">
        <f ca="1"/>
        <v>Bad</v>
      </c>
    </row>
    <row r="6792" spans="2:34" x14ac:dyDescent="0.2">
      <c r="B6792" s="2">
        <f ca="1"/>
        <v>0.23273906280488532</v>
      </c>
      <c r="O6792" s="2">
        <f ca="1"/>
        <v>0.22514801286773345</v>
      </c>
      <c r="X6792" s="2">
        <f ca="1"/>
        <v>63.670207368325563</v>
      </c>
      <c r="AG6792" s="2">
        <f ca="1"/>
        <v>0.40959692478749754</v>
      </c>
      <c r="AH6792" s="2" t="str">
        <f ca="1"/>
        <v>Bad</v>
      </c>
    </row>
    <row r="6793" spans="2:34" x14ac:dyDescent="0.2">
      <c r="B6793" s="2">
        <f ca="1"/>
        <v>0.54519453038635168</v>
      </c>
      <c r="O6793" s="2">
        <f ca="1"/>
        <v>-1.518599666504107</v>
      </c>
      <c r="X6793" s="2">
        <f ca="1"/>
        <v>56.784041967704304</v>
      </c>
      <c r="AG6793" s="2">
        <f ca="1"/>
        <v>0.46641138765053025</v>
      </c>
      <c r="AH6793" s="2" t="str">
        <f ca="1"/>
        <v>Bad</v>
      </c>
    </row>
    <row r="6794" spans="2:34" x14ac:dyDescent="0.2">
      <c r="B6794" s="2">
        <f ca="1"/>
        <v>0.46826946983781292</v>
      </c>
      <c r="O6794" s="2">
        <f ca="1"/>
        <v>-0.82416303953362546</v>
      </c>
      <c r="X6794" s="2">
        <f ca="1"/>
        <v>62.703450686860656</v>
      </c>
      <c r="AG6794" s="2">
        <f ca="1"/>
        <v>6.4441309411170877E-2</v>
      </c>
      <c r="AH6794" s="2" t="str">
        <f ca="1"/>
        <v>OK</v>
      </c>
    </row>
    <row r="6795" spans="2:34" x14ac:dyDescent="0.2">
      <c r="B6795" s="2">
        <f ca="1"/>
        <v>0.40458235170167578</v>
      </c>
      <c r="O6795" s="2">
        <f ca="1"/>
        <v>-0.25400126332456197</v>
      </c>
      <c r="X6795" s="2">
        <f ca="1"/>
        <v>50.657186922835251</v>
      </c>
      <c r="AG6795" s="2">
        <f ca="1"/>
        <v>0.95900259142272737</v>
      </c>
      <c r="AH6795" s="2" t="str">
        <f ca="1"/>
        <v>Bad</v>
      </c>
    </row>
    <row r="6796" spans="2:34" x14ac:dyDescent="0.2">
      <c r="B6796" s="2">
        <f ca="1"/>
        <v>0.68070761957149206</v>
      </c>
      <c r="O6796" s="2">
        <f ca="1"/>
        <v>1.1563753122412661E-2</v>
      </c>
      <c r="X6796" s="2">
        <f ca="1"/>
        <v>37.577605990264225</v>
      </c>
      <c r="AG6796" s="2">
        <f ca="1"/>
        <v>0.87767720653392467</v>
      </c>
      <c r="AH6796" s="2" t="str">
        <f ca="1"/>
        <v>Bad</v>
      </c>
    </row>
    <row r="6797" spans="2:34" x14ac:dyDescent="0.2">
      <c r="B6797" s="2">
        <f ca="1"/>
        <v>0.79159589518500018</v>
      </c>
      <c r="O6797" s="2">
        <f ca="1"/>
        <v>-0.29278780184839598</v>
      </c>
      <c r="X6797" s="2">
        <f ca="1"/>
        <v>39.355276306616538</v>
      </c>
      <c r="AG6797" s="2">
        <f ca="1"/>
        <v>0.81982335046671784</v>
      </c>
      <c r="AH6797" s="2" t="str">
        <f ca="1"/>
        <v>Bad</v>
      </c>
    </row>
    <row r="6798" spans="2:34" x14ac:dyDescent="0.2">
      <c r="B6798" s="2">
        <f ca="1"/>
        <v>0.11949078324392315</v>
      </c>
      <c r="O6798" s="2">
        <f ca="1"/>
        <v>0.92722473010411777</v>
      </c>
      <c r="X6798" s="2">
        <f ca="1"/>
        <v>54.145610963186968</v>
      </c>
      <c r="AG6798" s="2">
        <f ca="1"/>
        <v>0.46808296761867041</v>
      </c>
      <c r="AH6798" s="2" t="str">
        <f ca="1"/>
        <v>Bad</v>
      </c>
    </row>
    <row r="6799" spans="2:34" x14ac:dyDescent="0.2">
      <c r="B6799" s="2">
        <f ca="1"/>
        <v>8.4948072221710635E-2</v>
      </c>
      <c r="O6799" s="2">
        <f ca="1"/>
        <v>2.1295915513607744</v>
      </c>
      <c r="X6799" s="2">
        <f ca="1"/>
        <v>32.253447182881118</v>
      </c>
      <c r="AG6799" s="2">
        <f ca="1"/>
        <v>0.85345819528587596</v>
      </c>
      <c r="AH6799" s="2" t="str">
        <f ca="1"/>
        <v>Bad</v>
      </c>
    </row>
    <row r="6800" spans="2:34" x14ac:dyDescent="0.2">
      <c r="B6800" s="2">
        <f ca="1"/>
        <v>0.35523697804123744</v>
      </c>
      <c r="O6800" s="2">
        <f ca="1"/>
        <v>-0.29105401988901103</v>
      </c>
      <c r="X6800" s="2">
        <f ca="1"/>
        <v>56.583238355098118</v>
      </c>
      <c r="AG6800" s="2">
        <f ca="1"/>
        <v>0.73212564059361185</v>
      </c>
      <c r="AH6800" s="2" t="str">
        <f ca="1"/>
        <v>Bad</v>
      </c>
    </row>
    <row r="6801" spans="2:34" x14ac:dyDescent="0.2">
      <c r="B6801" s="2">
        <f ca="1"/>
        <v>0.79622389594976517</v>
      </c>
      <c r="O6801" s="2">
        <f ca="1"/>
        <v>-0.48467624577953566</v>
      </c>
      <c r="X6801" s="2">
        <f ca="1"/>
        <v>42.65604332556245</v>
      </c>
      <c r="AG6801" s="2">
        <f ca="1"/>
        <v>0.29941968061237634</v>
      </c>
      <c r="AH6801" s="2" t="str">
        <f ca="1"/>
        <v>OK</v>
      </c>
    </row>
    <row r="6802" spans="2:34" x14ac:dyDescent="0.2">
      <c r="B6802" s="2">
        <f ca="1"/>
        <v>4.269155558539639E-2</v>
      </c>
      <c r="O6802" s="2">
        <f ca="1"/>
        <v>1.6987199937026919E-2</v>
      </c>
      <c r="X6802" s="2">
        <f ca="1"/>
        <v>42.375922922614144</v>
      </c>
      <c r="AG6802" s="2">
        <f ca="1"/>
        <v>0.92975962515871791</v>
      </c>
      <c r="AH6802" s="2" t="str">
        <f ca="1"/>
        <v>Bad</v>
      </c>
    </row>
    <row r="6803" spans="2:34" x14ac:dyDescent="0.2">
      <c r="B6803" s="2">
        <f ca="1"/>
        <v>1.2019849025517226E-2</v>
      </c>
      <c r="O6803" s="2">
        <f ca="1"/>
        <v>1.1524503493324207</v>
      </c>
      <c r="X6803" s="2">
        <f ca="1"/>
        <v>78.730502624269349</v>
      </c>
      <c r="AG6803" s="2">
        <f ca="1"/>
        <v>0.63728270773176354</v>
      </c>
      <c r="AH6803" s="2" t="str">
        <f ca="1"/>
        <v>Bad</v>
      </c>
    </row>
    <row r="6804" spans="2:34" x14ac:dyDescent="0.2">
      <c r="B6804" s="2">
        <f ca="1"/>
        <v>0.80462110060479541</v>
      </c>
      <c r="O6804" s="2">
        <f ca="1"/>
        <v>-0.26350365743134813</v>
      </c>
      <c r="X6804" s="2">
        <f ca="1"/>
        <v>58.926582016142568</v>
      </c>
      <c r="AG6804" s="2">
        <f ca="1"/>
        <v>0.51021045839822432</v>
      </c>
      <c r="AH6804" s="2" t="str">
        <f ca="1"/>
        <v>Bad</v>
      </c>
    </row>
    <row r="6805" spans="2:34" x14ac:dyDescent="0.2">
      <c r="B6805" s="2">
        <f ca="1"/>
        <v>3.3865457049913283E-2</v>
      </c>
      <c r="O6805" s="2">
        <f ca="1"/>
        <v>0.18613250200898809</v>
      </c>
      <c r="X6805" s="2">
        <f ca="1"/>
        <v>63.431174906383454</v>
      </c>
      <c r="AG6805" s="2">
        <f ca="1"/>
        <v>0.13700321611921717</v>
      </c>
      <c r="AH6805" s="2" t="str">
        <f ca="1"/>
        <v>OK</v>
      </c>
    </row>
    <row r="6806" spans="2:34" x14ac:dyDescent="0.2">
      <c r="B6806" s="2">
        <f ca="1"/>
        <v>1.2654104537845434E-2</v>
      </c>
      <c r="O6806" s="2">
        <f ca="1"/>
        <v>0.84884369291507089</v>
      </c>
      <c r="X6806" s="2">
        <f ca="1"/>
        <v>42.992534914203475</v>
      </c>
      <c r="AG6806" s="2">
        <f ca="1"/>
        <v>0.97992216504794616</v>
      </c>
      <c r="AH6806" s="2" t="str">
        <f ca="1"/>
        <v>Bad</v>
      </c>
    </row>
    <row r="6807" spans="2:34" x14ac:dyDescent="0.2">
      <c r="B6807" s="2">
        <f ca="1"/>
        <v>0.45456356346837978</v>
      </c>
      <c r="O6807" s="2">
        <f ca="1"/>
        <v>1.331156374345327</v>
      </c>
      <c r="X6807" s="2">
        <f ca="1"/>
        <v>67.258527068566295</v>
      </c>
      <c r="AG6807" s="2">
        <f ca="1"/>
        <v>0.76056075869292328</v>
      </c>
      <c r="AH6807" s="2" t="str">
        <f ca="1"/>
        <v>Bad</v>
      </c>
    </row>
    <row r="6808" spans="2:34" x14ac:dyDescent="0.2">
      <c r="B6808" s="2">
        <f ca="1"/>
        <v>4.2557902754436272E-2</v>
      </c>
      <c r="O6808" s="2">
        <f ca="1"/>
        <v>1.3116357613222764</v>
      </c>
      <c r="X6808" s="2">
        <f ca="1"/>
        <v>54.19977333613695</v>
      </c>
      <c r="AG6808" s="2">
        <f ca="1"/>
        <v>0.24276686898200106</v>
      </c>
      <c r="AH6808" s="2" t="str">
        <f ca="1"/>
        <v>OK</v>
      </c>
    </row>
    <row r="6809" spans="2:34" x14ac:dyDescent="0.2">
      <c r="B6809" s="2">
        <f ca="1"/>
        <v>0.64344919951586332</v>
      </c>
      <c r="O6809" s="2">
        <f ca="1"/>
        <v>1.3649065317493296</v>
      </c>
      <c r="X6809" s="2">
        <f ca="1"/>
        <v>30.487800854832251</v>
      </c>
      <c r="AG6809" s="2">
        <f ca="1"/>
        <v>0.47652804608325283</v>
      </c>
      <c r="AH6809" s="2" t="str">
        <f ca="1"/>
        <v>Bad</v>
      </c>
    </row>
    <row r="6810" spans="2:34" x14ac:dyDescent="0.2">
      <c r="B6810" s="2">
        <f ca="1"/>
        <v>1.7328677452886021E-2</v>
      </c>
      <c r="O6810" s="2">
        <f ca="1"/>
        <v>-2.5561751503899104</v>
      </c>
      <c r="X6810" s="2">
        <f ca="1"/>
        <v>56.558061376144259</v>
      </c>
      <c r="AG6810" s="2">
        <f ca="1"/>
        <v>0.99779475430348752</v>
      </c>
      <c r="AH6810" s="2" t="str">
        <f ca="1"/>
        <v>Bad</v>
      </c>
    </row>
    <row r="6811" spans="2:34" x14ac:dyDescent="0.2">
      <c r="B6811" s="2">
        <f ca="1"/>
        <v>0.92103907167146271</v>
      </c>
      <c r="O6811" s="2">
        <f ca="1"/>
        <v>0.14853357162201372</v>
      </c>
      <c r="X6811" s="2">
        <f ca="1"/>
        <v>26.724282046905032</v>
      </c>
      <c r="AG6811" s="2">
        <f ca="1"/>
        <v>0.28514823329269468</v>
      </c>
      <c r="AH6811" s="2" t="str">
        <f ca="1"/>
        <v>OK</v>
      </c>
    </row>
    <row r="6812" spans="2:34" x14ac:dyDescent="0.2">
      <c r="B6812" s="2">
        <f ca="1"/>
        <v>0.73672351939084635</v>
      </c>
      <c r="O6812" s="2">
        <f ca="1"/>
        <v>1.3763644026788737</v>
      </c>
      <c r="X6812" s="2">
        <f ca="1"/>
        <v>56.834022472537086</v>
      </c>
      <c r="AG6812" s="2">
        <f ca="1"/>
        <v>0.38431976290948811</v>
      </c>
      <c r="AH6812" s="2" t="str">
        <f ca="1"/>
        <v>OK</v>
      </c>
    </row>
    <row r="6813" spans="2:34" x14ac:dyDescent="0.2">
      <c r="B6813" s="2">
        <f ca="1"/>
        <v>0.46285058080372199</v>
      </c>
      <c r="O6813" s="2">
        <f ca="1"/>
        <v>3.0773204756706526E-2</v>
      </c>
      <c r="X6813" s="2">
        <f ca="1"/>
        <v>52.366023297129487</v>
      </c>
      <c r="AG6813" s="2">
        <f ca="1"/>
        <v>0.33383015749813238</v>
      </c>
      <c r="AH6813" s="2" t="str">
        <f ca="1"/>
        <v>OK</v>
      </c>
    </row>
    <row r="6814" spans="2:34" x14ac:dyDescent="0.2">
      <c r="B6814" s="2">
        <f ca="1"/>
        <v>0.54437674245178025</v>
      </c>
      <c r="O6814" s="2">
        <f ca="1"/>
        <v>-0.39354731914849844</v>
      </c>
      <c r="X6814" s="2">
        <f ca="1"/>
        <v>65.552910371566142</v>
      </c>
      <c r="AG6814" s="2">
        <f ca="1"/>
        <v>0.57921145172617883</v>
      </c>
      <c r="AH6814" s="2" t="str">
        <f ca="1"/>
        <v>Bad</v>
      </c>
    </row>
    <row r="6815" spans="2:34" x14ac:dyDescent="0.2">
      <c r="B6815" s="2">
        <f ca="1"/>
        <v>0.68113734141800153</v>
      </c>
      <c r="O6815" s="2">
        <f ca="1"/>
        <v>0.38242173863705187</v>
      </c>
      <c r="X6815" s="2">
        <f ca="1"/>
        <v>54.739550140830389</v>
      </c>
      <c r="AG6815" s="2">
        <f ca="1"/>
        <v>0.33098719527906639</v>
      </c>
      <c r="AH6815" s="2" t="str">
        <f ca="1"/>
        <v>OK</v>
      </c>
    </row>
    <row r="6816" spans="2:34" x14ac:dyDescent="0.2">
      <c r="B6816" s="2">
        <f ca="1"/>
        <v>0.6011368139159865</v>
      </c>
      <c r="O6816" s="2">
        <f ca="1"/>
        <v>1.2973677356256668</v>
      </c>
      <c r="X6816" s="2">
        <f ca="1"/>
        <v>74.44043412806478</v>
      </c>
      <c r="AG6816" s="2">
        <f ca="1"/>
        <v>0.55698528057771579</v>
      </c>
      <c r="AH6816" s="2" t="str">
        <f ca="1"/>
        <v>Bad</v>
      </c>
    </row>
    <row r="6817" spans="2:34" x14ac:dyDescent="0.2">
      <c r="B6817" s="2">
        <f ca="1"/>
        <v>0.68410861673558854</v>
      </c>
      <c r="O6817" s="2">
        <f ca="1"/>
        <v>0.45640092640783453</v>
      </c>
      <c r="X6817" s="2">
        <f ca="1"/>
        <v>53.745379273282943</v>
      </c>
      <c r="AG6817" s="2">
        <f ca="1"/>
        <v>0.56899335755469438</v>
      </c>
      <c r="AH6817" s="2" t="str">
        <f ca="1"/>
        <v>Bad</v>
      </c>
    </row>
    <row r="6818" spans="2:34" x14ac:dyDescent="0.2">
      <c r="B6818" s="2">
        <f ca="1"/>
        <v>0.84777427003839767</v>
      </c>
      <c r="O6818" s="2">
        <f ca="1"/>
        <v>3.8682714382753093E-2</v>
      </c>
      <c r="X6818" s="2">
        <f ca="1"/>
        <v>40.746368741269563</v>
      </c>
      <c r="AG6818" s="2">
        <f ca="1"/>
        <v>0.99628265399961258</v>
      </c>
      <c r="AH6818" s="2" t="str">
        <f ca="1"/>
        <v>Bad</v>
      </c>
    </row>
    <row r="6819" spans="2:34" x14ac:dyDescent="0.2">
      <c r="B6819" s="2">
        <f ca="1"/>
        <v>0.45144513694301458</v>
      </c>
      <c r="O6819" s="2">
        <f ca="1"/>
        <v>-1.8845172275977644</v>
      </c>
      <c r="X6819" s="2">
        <f ca="1"/>
        <v>61.045439303248813</v>
      </c>
      <c r="AG6819" s="2">
        <f ca="1"/>
        <v>0.79859318950667646</v>
      </c>
      <c r="AH6819" s="2" t="str">
        <f ca="1"/>
        <v>Bad</v>
      </c>
    </row>
    <row r="6820" spans="2:34" x14ac:dyDescent="0.2">
      <c r="B6820" s="2">
        <f ca="1"/>
        <v>0.94879266757314928</v>
      </c>
      <c r="O6820" s="2">
        <f ca="1"/>
        <v>-0.95981538558256885</v>
      </c>
      <c r="X6820" s="2">
        <f ca="1"/>
        <v>15.936819513393798</v>
      </c>
      <c r="AG6820" s="2">
        <f ca="1"/>
        <v>0.70800538657430767</v>
      </c>
      <c r="AH6820" s="2" t="str">
        <f ca="1"/>
        <v>Bad</v>
      </c>
    </row>
    <row r="6821" spans="2:34" x14ac:dyDescent="0.2">
      <c r="B6821" s="2">
        <f ca="1"/>
        <v>0.50460643651286996</v>
      </c>
      <c r="O6821" s="2">
        <f ca="1"/>
        <v>-0.69654254814461236</v>
      </c>
      <c r="X6821" s="2">
        <f ca="1"/>
        <v>50.152348162699134</v>
      </c>
      <c r="AG6821" s="2">
        <f ca="1"/>
        <v>6.3151528711007598E-2</v>
      </c>
      <c r="AH6821" s="2" t="str">
        <f ca="1"/>
        <v>OK</v>
      </c>
    </row>
    <row r="6822" spans="2:34" x14ac:dyDescent="0.2">
      <c r="B6822" s="2">
        <f ca="1"/>
        <v>0.763323901235194</v>
      </c>
      <c r="O6822" s="2">
        <f ca="1"/>
        <v>-2.9569964062180478E-3</v>
      </c>
      <c r="X6822" s="2">
        <f ca="1"/>
        <v>30.852311997600907</v>
      </c>
      <c r="AG6822" s="2">
        <f ca="1"/>
        <v>0.40786829565718108</v>
      </c>
      <c r="AH6822" s="2" t="str">
        <f ca="1"/>
        <v>Bad</v>
      </c>
    </row>
    <row r="6823" spans="2:34" x14ac:dyDescent="0.2">
      <c r="B6823" s="2">
        <f ca="1"/>
        <v>0.43755989351737123</v>
      </c>
      <c r="O6823" s="2">
        <f ca="1"/>
        <v>-0.45746107309242628</v>
      </c>
      <c r="X6823" s="2">
        <f ca="1"/>
        <v>61.857747554084455</v>
      </c>
      <c r="AG6823" s="2">
        <f ca="1"/>
        <v>0.20444416997589254</v>
      </c>
      <c r="AH6823" s="2" t="str">
        <f ca="1"/>
        <v>OK</v>
      </c>
    </row>
    <row r="6824" spans="2:34" x14ac:dyDescent="0.2">
      <c r="B6824" s="2">
        <f ca="1"/>
        <v>3.6672283307210618E-2</v>
      </c>
      <c r="O6824" s="2">
        <f ca="1"/>
        <v>-0.95081946189441258</v>
      </c>
      <c r="X6824" s="2">
        <f ca="1"/>
        <v>57.183964583413562</v>
      </c>
      <c r="AG6824" s="2">
        <f ca="1"/>
        <v>0.1936475541409941</v>
      </c>
      <c r="AH6824" s="2" t="str">
        <f ca="1"/>
        <v>OK</v>
      </c>
    </row>
    <row r="6825" spans="2:34" x14ac:dyDescent="0.2">
      <c r="B6825" s="2">
        <f ca="1"/>
        <v>0.66127709190076422</v>
      </c>
      <c r="O6825" s="2">
        <f ca="1"/>
        <v>-0.94570290240075816</v>
      </c>
      <c r="X6825" s="2">
        <f ca="1"/>
        <v>57.558554306874726</v>
      </c>
      <c r="AG6825" s="2">
        <f ca="1"/>
        <v>0.20557604845359223</v>
      </c>
      <c r="AH6825" s="2" t="str">
        <f ca="1"/>
        <v>OK</v>
      </c>
    </row>
    <row r="6826" spans="2:34" x14ac:dyDescent="0.2">
      <c r="B6826" s="2">
        <f ca="1"/>
        <v>0.43592970672357478</v>
      </c>
      <c r="O6826" s="2">
        <f ca="1"/>
        <v>0.74611180323576309</v>
      </c>
      <c r="X6826" s="2">
        <f ca="1"/>
        <v>37.288770533656447</v>
      </c>
      <c r="AG6826" s="2">
        <f ca="1"/>
        <v>0.50430737974604423</v>
      </c>
      <c r="AH6826" s="2" t="str">
        <f ca="1"/>
        <v>Bad</v>
      </c>
    </row>
    <row r="6827" spans="2:34" x14ac:dyDescent="0.2">
      <c r="B6827" s="2">
        <f ca="1"/>
        <v>0.26940360328551649</v>
      </c>
      <c r="O6827" s="2">
        <f ca="1"/>
        <v>0.99348647354130104</v>
      </c>
      <c r="X6827" s="2">
        <f ca="1"/>
        <v>21.266850021117971</v>
      </c>
      <c r="AG6827" s="2">
        <f ca="1"/>
        <v>0.32306553534698024</v>
      </c>
      <c r="AH6827" s="2" t="str">
        <f ca="1"/>
        <v>OK</v>
      </c>
    </row>
    <row r="6828" spans="2:34" x14ac:dyDescent="0.2">
      <c r="B6828" s="2">
        <f ca="1"/>
        <v>0.71889655848573053</v>
      </c>
      <c r="O6828" s="2">
        <f ca="1"/>
        <v>-1.7047101937186029</v>
      </c>
      <c r="X6828" s="2">
        <f ca="1"/>
        <v>33.81709990508439</v>
      </c>
      <c r="AG6828" s="2">
        <f ca="1"/>
        <v>0.70107212949783393</v>
      </c>
      <c r="AH6828" s="2" t="str">
        <f ca="1"/>
        <v>Bad</v>
      </c>
    </row>
    <row r="6829" spans="2:34" x14ac:dyDescent="0.2">
      <c r="B6829" s="2">
        <f ca="1"/>
        <v>0.41018404491249316</v>
      </c>
      <c r="O6829" s="2">
        <f ca="1"/>
        <v>-4.8954805789835866E-3</v>
      </c>
      <c r="X6829" s="2">
        <f ca="1"/>
        <v>54.296986870493676</v>
      </c>
      <c r="AG6829" s="2">
        <f ca="1"/>
        <v>0.7366568832952971</v>
      </c>
      <c r="AH6829" s="2" t="str">
        <f ca="1"/>
        <v>Bad</v>
      </c>
    </row>
    <row r="6830" spans="2:34" x14ac:dyDescent="0.2">
      <c r="B6830" s="2">
        <f ca="1"/>
        <v>0.26575279584190548</v>
      </c>
      <c r="O6830" s="2">
        <f ca="1"/>
        <v>-0.78211957753263106</v>
      </c>
      <c r="X6830" s="2">
        <f ca="1"/>
        <v>37.979108037744609</v>
      </c>
      <c r="AG6830" s="2">
        <f ca="1"/>
        <v>0.79084750891267719</v>
      </c>
      <c r="AH6830" s="2" t="str">
        <f ca="1"/>
        <v>Bad</v>
      </c>
    </row>
    <row r="6831" spans="2:34" x14ac:dyDescent="0.2">
      <c r="B6831" s="2">
        <f ca="1"/>
        <v>0.44249900910569018</v>
      </c>
      <c r="O6831" s="2">
        <f ca="1"/>
        <v>1.326401805279944</v>
      </c>
      <c r="X6831" s="2">
        <f ca="1"/>
        <v>31.799825935719419</v>
      </c>
      <c r="AG6831" s="2">
        <f ca="1"/>
        <v>0.63774451798609832</v>
      </c>
      <c r="AH6831" s="2" t="str">
        <f ca="1"/>
        <v>Bad</v>
      </c>
    </row>
    <row r="6832" spans="2:34" x14ac:dyDescent="0.2">
      <c r="B6832" s="2">
        <f ca="1"/>
        <v>0.16313797093000093</v>
      </c>
      <c r="O6832" s="2">
        <f ca="1"/>
        <v>0.69389141134474219</v>
      </c>
      <c r="X6832" s="2">
        <f ca="1"/>
        <v>73.879875143682312</v>
      </c>
      <c r="AG6832" s="2">
        <f ca="1"/>
        <v>0.47530992016091012</v>
      </c>
      <c r="AH6832" s="2" t="str">
        <f ca="1"/>
        <v>Bad</v>
      </c>
    </row>
    <row r="6833" spans="2:34" x14ac:dyDescent="0.2">
      <c r="B6833" s="2">
        <f ca="1"/>
        <v>2.8332791478279384E-2</v>
      </c>
      <c r="O6833" s="2">
        <f ca="1"/>
        <v>-1.2080655976879704</v>
      </c>
      <c r="X6833" s="2">
        <f ca="1"/>
        <v>49.729033725916487</v>
      </c>
      <c r="AG6833" s="2">
        <f ca="1"/>
        <v>0.40051870728939898</v>
      </c>
      <c r="AH6833" s="2" t="str">
        <f ca="1"/>
        <v>Bad</v>
      </c>
    </row>
    <row r="6834" spans="2:34" x14ac:dyDescent="0.2">
      <c r="B6834" s="2">
        <f ca="1"/>
        <v>0.55554816906242777</v>
      </c>
      <c r="O6834" s="2">
        <f ca="1"/>
        <v>-0.68293042182697095</v>
      </c>
      <c r="X6834" s="2">
        <f ca="1"/>
        <v>36.897782960743555</v>
      </c>
      <c r="AG6834" s="2">
        <f ca="1"/>
        <v>0.71110573636505348</v>
      </c>
      <c r="AH6834" s="2" t="str">
        <f ca="1"/>
        <v>Bad</v>
      </c>
    </row>
    <row r="6835" spans="2:34" x14ac:dyDescent="0.2">
      <c r="B6835" s="2">
        <f ca="1"/>
        <v>0.81179802007459445</v>
      </c>
      <c r="O6835" s="2">
        <f ca="1"/>
        <v>0.71095970572671063</v>
      </c>
      <c r="X6835" s="2">
        <f ca="1"/>
        <v>52.534439915436408</v>
      </c>
      <c r="AG6835" s="2">
        <f ca="1"/>
        <v>0.65338173287625012</v>
      </c>
      <c r="AH6835" s="2" t="str">
        <f ca="1"/>
        <v>Bad</v>
      </c>
    </row>
    <row r="6836" spans="2:34" x14ac:dyDescent="0.2">
      <c r="B6836" s="2">
        <f ca="1"/>
        <v>0.78403477839131641</v>
      </c>
      <c r="O6836" s="2">
        <f ca="1"/>
        <v>1.2007812465285581</v>
      </c>
      <c r="X6836" s="2">
        <f ca="1"/>
        <v>45.812520231557023</v>
      </c>
      <c r="AG6836" s="2">
        <f ca="1"/>
        <v>0.56254505109286179</v>
      </c>
      <c r="AH6836" s="2" t="str">
        <f ca="1"/>
        <v>Bad</v>
      </c>
    </row>
    <row r="6837" spans="2:34" x14ac:dyDescent="0.2">
      <c r="B6837" s="2">
        <f ca="1"/>
        <v>0.50752215971024595</v>
      </c>
      <c r="O6837" s="2">
        <f ca="1"/>
        <v>-1.0150644180739357</v>
      </c>
      <c r="X6837" s="2">
        <f ca="1"/>
        <v>73.51181950859791</v>
      </c>
      <c r="AG6837" s="2">
        <f ca="1"/>
        <v>3.4892149382385718E-2</v>
      </c>
      <c r="AH6837" s="2" t="str">
        <f ca="1"/>
        <v>Good</v>
      </c>
    </row>
    <row r="6838" spans="2:34" x14ac:dyDescent="0.2">
      <c r="B6838" s="2">
        <f ca="1"/>
        <v>0.26703086126783404</v>
      </c>
      <c r="O6838" s="2">
        <f ca="1"/>
        <v>-1.4747150733921186</v>
      </c>
      <c r="X6838" s="2">
        <f ca="1"/>
        <v>55.951203990436355</v>
      </c>
      <c r="AG6838" s="2">
        <f ca="1"/>
        <v>0.57650966584548935</v>
      </c>
      <c r="AH6838" s="2" t="str">
        <f ca="1"/>
        <v>Bad</v>
      </c>
    </row>
    <row r="6839" spans="2:34" x14ac:dyDescent="0.2">
      <c r="B6839" s="2">
        <f ca="1"/>
        <v>0.23338341603252255</v>
      </c>
      <c r="O6839" s="2">
        <f ca="1"/>
        <v>0.89717768674602083</v>
      </c>
      <c r="X6839" s="2">
        <f ca="1"/>
        <v>71.390113061892194</v>
      </c>
      <c r="AG6839" s="2">
        <f ca="1"/>
        <v>0.60840007973638</v>
      </c>
      <c r="AH6839" s="2" t="str">
        <f ca="1"/>
        <v>Bad</v>
      </c>
    </row>
    <row r="6840" spans="2:34" x14ac:dyDescent="0.2">
      <c r="B6840" s="2">
        <f ca="1"/>
        <v>0.43252154425057787</v>
      </c>
      <c r="O6840" s="2">
        <f ca="1"/>
        <v>0.56427845496025819</v>
      </c>
      <c r="X6840" s="2">
        <f ca="1"/>
        <v>62.074902923385231</v>
      </c>
      <c r="AG6840" s="2">
        <f ca="1"/>
        <v>0.29517072802453459</v>
      </c>
      <c r="AH6840" s="2" t="str">
        <f ca="1"/>
        <v>OK</v>
      </c>
    </row>
    <row r="6841" spans="2:34" x14ac:dyDescent="0.2">
      <c r="B6841" s="2">
        <f ca="1"/>
        <v>0.93921093640438524</v>
      </c>
      <c r="O6841" s="2">
        <f ca="1"/>
        <v>0.51339327569753701</v>
      </c>
      <c r="X6841" s="2">
        <f ca="1"/>
        <v>24.252289629859206</v>
      </c>
      <c r="AG6841" s="2">
        <f ca="1"/>
        <v>0.51889205795828164</v>
      </c>
      <c r="AH6841" s="2" t="str">
        <f ca="1"/>
        <v>Bad</v>
      </c>
    </row>
    <row r="6842" spans="2:34" x14ac:dyDescent="0.2">
      <c r="B6842" s="2">
        <f ca="1"/>
        <v>0.30377178316150588</v>
      </c>
      <c r="O6842" s="2">
        <f ca="1"/>
        <v>-1.4135911897848572</v>
      </c>
      <c r="X6842" s="2">
        <f ca="1"/>
        <v>38.746600440821176</v>
      </c>
      <c r="AG6842" s="2">
        <f ca="1"/>
        <v>0.24574507745517171</v>
      </c>
      <c r="AH6842" s="2" t="str">
        <f ca="1"/>
        <v>OK</v>
      </c>
    </row>
    <row r="6843" spans="2:34" x14ac:dyDescent="0.2">
      <c r="B6843" s="2">
        <f ca="1"/>
        <v>0.50911912053083919</v>
      </c>
      <c r="O6843" s="2">
        <f ca="1"/>
        <v>-0.24392673054735256</v>
      </c>
      <c r="X6843" s="2">
        <f ca="1"/>
        <v>32.032362648789679</v>
      </c>
      <c r="AG6843" s="2">
        <f ca="1"/>
        <v>1.6294235099731269E-2</v>
      </c>
      <c r="AH6843" s="2" t="str">
        <f ca="1"/>
        <v>Good</v>
      </c>
    </row>
    <row r="6844" spans="2:34" x14ac:dyDescent="0.2">
      <c r="B6844" s="2">
        <f ca="1"/>
        <v>0.38485206515999293</v>
      </c>
      <c r="O6844" s="2">
        <f ca="1"/>
        <v>0.60617978071921397</v>
      </c>
      <c r="X6844" s="2">
        <f ca="1"/>
        <v>47.936965949558996</v>
      </c>
      <c r="AG6844" s="2">
        <f ca="1"/>
        <v>0.66278056333619428</v>
      </c>
      <c r="AH6844" s="2" t="str">
        <f ca="1"/>
        <v>Bad</v>
      </c>
    </row>
    <row r="6845" spans="2:34" x14ac:dyDescent="0.2">
      <c r="B6845" s="2">
        <f ca="1"/>
        <v>0.3541080910544534</v>
      </c>
      <c r="O6845" s="2">
        <f ca="1"/>
        <v>0.19462453778393476</v>
      </c>
      <c r="X6845" s="2">
        <f ca="1"/>
        <v>80.103943942049369</v>
      </c>
      <c r="AG6845" s="2">
        <f ca="1"/>
        <v>0.22925491902801109</v>
      </c>
      <c r="AH6845" s="2" t="str">
        <f ca="1"/>
        <v>OK</v>
      </c>
    </row>
    <row r="6846" spans="2:34" x14ac:dyDescent="0.2">
      <c r="B6846" s="2">
        <f ca="1"/>
        <v>2.5754957378649745E-3</v>
      </c>
      <c r="O6846" s="2">
        <f ca="1"/>
        <v>-0.10490695777504377</v>
      </c>
      <c r="X6846" s="2">
        <f ca="1"/>
        <v>40.318309775778275</v>
      </c>
      <c r="AG6846" s="2">
        <f ca="1"/>
        <v>0.12793610110728304</v>
      </c>
      <c r="AH6846" s="2" t="str">
        <f ca="1"/>
        <v>OK</v>
      </c>
    </row>
    <row r="6847" spans="2:34" x14ac:dyDescent="0.2">
      <c r="B6847" s="2">
        <f ca="1"/>
        <v>0.9571350323537795</v>
      </c>
      <c r="O6847" s="2">
        <f ca="1"/>
        <v>-0.66894938002543658</v>
      </c>
      <c r="X6847" s="2">
        <f ca="1"/>
        <v>31.620916895347584</v>
      </c>
      <c r="AG6847" s="2">
        <f ca="1"/>
        <v>0.21872695122293129</v>
      </c>
      <c r="AH6847" s="2" t="str">
        <f ca="1"/>
        <v>OK</v>
      </c>
    </row>
    <row r="6848" spans="2:34" x14ac:dyDescent="0.2">
      <c r="B6848" s="2">
        <f ca="1"/>
        <v>0.34482054233386172</v>
      </c>
      <c r="O6848" s="2">
        <f ca="1"/>
        <v>1.7966348446099041</v>
      </c>
      <c r="X6848" s="2">
        <f ca="1"/>
        <v>38.552735594146284</v>
      </c>
      <c r="AG6848" s="2">
        <f ca="1"/>
        <v>0.74451984315694975</v>
      </c>
      <c r="AH6848" s="2" t="str">
        <f ca="1"/>
        <v>Bad</v>
      </c>
    </row>
    <row r="6849" spans="2:34" x14ac:dyDescent="0.2">
      <c r="B6849" s="2">
        <f ca="1"/>
        <v>0.77519456749617399</v>
      </c>
      <c r="O6849" s="2">
        <f ca="1"/>
        <v>-0.1000920348409354</v>
      </c>
      <c r="X6849" s="2">
        <f ca="1"/>
        <v>37.368411974708749</v>
      </c>
      <c r="AG6849" s="2">
        <f ca="1"/>
        <v>0.82433907710251386</v>
      </c>
      <c r="AH6849" s="2" t="str">
        <f ca="1"/>
        <v>Bad</v>
      </c>
    </row>
    <row r="6850" spans="2:34" x14ac:dyDescent="0.2">
      <c r="B6850" s="2">
        <f ca="1"/>
        <v>0.52041923902944021</v>
      </c>
      <c r="O6850" s="2">
        <f ca="1"/>
        <v>-0.59217795432376652</v>
      </c>
      <c r="X6850" s="2">
        <f ca="1"/>
        <v>82.203780118598146</v>
      </c>
      <c r="AG6850" s="2">
        <f ca="1"/>
        <v>0.30218725971760541</v>
      </c>
      <c r="AH6850" s="2" t="str">
        <f ca="1"/>
        <v>OK</v>
      </c>
    </row>
    <row r="6851" spans="2:34" x14ac:dyDescent="0.2">
      <c r="B6851" s="2">
        <f ca="1"/>
        <v>0.97682833033932082</v>
      </c>
      <c r="O6851" s="2">
        <f ca="1"/>
        <v>-0.38765009124729283</v>
      </c>
      <c r="X6851" s="2">
        <f ca="1"/>
        <v>53.522701711236365</v>
      </c>
      <c r="AG6851" s="2">
        <f ca="1"/>
        <v>0.29067806355053105</v>
      </c>
      <c r="AH6851" s="2" t="str">
        <f ca="1"/>
        <v>OK</v>
      </c>
    </row>
    <row r="6852" spans="2:34" x14ac:dyDescent="0.2">
      <c r="B6852" s="2">
        <f ca="1"/>
        <v>0.74714663598081965</v>
      </c>
      <c r="O6852" s="2">
        <f ca="1"/>
        <v>-2.2823873223686131</v>
      </c>
      <c r="X6852" s="2">
        <f ca="1"/>
        <v>31.356720455679987</v>
      </c>
      <c r="AG6852" s="2">
        <f ca="1"/>
        <v>0.55413348716091071</v>
      </c>
      <c r="AH6852" s="2" t="str">
        <f ca="1"/>
        <v>Bad</v>
      </c>
    </row>
    <row r="6853" spans="2:34" x14ac:dyDescent="0.2">
      <c r="B6853" s="2">
        <f ca="1"/>
        <v>0.66164547084979031</v>
      </c>
      <c r="O6853" s="2">
        <f ca="1"/>
        <v>-0.278175444695408</v>
      </c>
      <c r="X6853" s="2">
        <f ca="1"/>
        <v>46.400741443706423</v>
      </c>
      <c r="AG6853" s="2">
        <f ca="1"/>
        <v>0.38083758977009063</v>
      </c>
      <c r="AH6853" s="2" t="str">
        <f ca="1"/>
        <v>OK</v>
      </c>
    </row>
    <row r="6854" spans="2:34" x14ac:dyDescent="0.2">
      <c r="B6854" s="2">
        <f ca="1"/>
        <v>0.91667485910390289</v>
      </c>
      <c r="O6854" s="2">
        <f ca="1"/>
        <v>-2.0429673175595728</v>
      </c>
      <c r="X6854" s="2">
        <f ca="1"/>
        <v>32.539848165812899</v>
      </c>
      <c r="AG6854" s="2">
        <f ca="1"/>
        <v>0.40777266875296414</v>
      </c>
      <c r="AH6854" s="2" t="str">
        <f ca="1"/>
        <v>Bad</v>
      </c>
    </row>
    <row r="6855" spans="2:34" x14ac:dyDescent="0.2">
      <c r="B6855" s="2">
        <f ca="1"/>
        <v>0.21316100059884957</v>
      </c>
      <c r="O6855" s="2">
        <f ca="1"/>
        <v>0.69478979768639459</v>
      </c>
      <c r="X6855" s="2">
        <f ca="1"/>
        <v>46.790174361055598</v>
      </c>
      <c r="AG6855" s="2">
        <f ca="1"/>
        <v>0.25712112337374471</v>
      </c>
      <c r="AH6855" s="2" t="str">
        <f ca="1"/>
        <v>OK</v>
      </c>
    </row>
    <row r="6856" spans="2:34" x14ac:dyDescent="0.2">
      <c r="B6856" s="2">
        <f ca="1"/>
        <v>0.32761152137922434</v>
      </c>
      <c r="O6856" s="2">
        <f ca="1"/>
        <v>0.96547662843580717</v>
      </c>
      <c r="X6856" s="2">
        <f ca="1"/>
        <v>52.602310512166916</v>
      </c>
      <c r="AG6856" s="2">
        <f ca="1"/>
        <v>0.25784753077043687</v>
      </c>
      <c r="AH6856" s="2" t="str">
        <f ca="1"/>
        <v>OK</v>
      </c>
    </row>
    <row r="6857" spans="2:34" x14ac:dyDescent="0.2">
      <c r="B6857" s="2">
        <f ca="1"/>
        <v>8.9501308037462701E-2</v>
      </c>
      <c r="O6857" s="2">
        <f ca="1"/>
        <v>-1.249333037472572</v>
      </c>
      <c r="X6857" s="2">
        <f ca="1"/>
        <v>51.813026285932665</v>
      </c>
      <c r="AG6857" s="2">
        <f ca="1"/>
        <v>0.10893741369747612</v>
      </c>
      <c r="AH6857" s="2" t="str">
        <f ca="1"/>
        <v>OK</v>
      </c>
    </row>
    <row r="6858" spans="2:34" x14ac:dyDescent="0.2">
      <c r="B6858" s="2">
        <f ca="1"/>
        <v>0.4388734064428208</v>
      </c>
      <c r="O6858" s="2">
        <f ca="1"/>
        <v>-0.47190163639203137</v>
      </c>
      <c r="X6858" s="2">
        <f ca="1"/>
        <v>48.948800692661941</v>
      </c>
      <c r="AG6858" s="2">
        <f ca="1"/>
        <v>0.50988957265594315</v>
      </c>
      <c r="AH6858" s="2" t="str">
        <f ca="1"/>
        <v>Bad</v>
      </c>
    </row>
    <row r="6859" spans="2:34" x14ac:dyDescent="0.2">
      <c r="B6859" s="2">
        <f ca="1"/>
        <v>0.66655978528411564</v>
      </c>
      <c r="O6859" s="2">
        <f ca="1"/>
        <v>-0.26678119404474698</v>
      </c>
      <c r="X6859" s="2">
        <f ca="1"/>
        <v>34.879613465706385</v>
      </c>
      <c r="AG6859" s="2">
        <f ca="1"/>
        <v>0.42035253201383416</v>
      </c>
      <c r="AH6859" s="2" t="str">
        <f ca="1"/>
        <v>Bad</v>
      </c>
    </row>
    <row r="6860" spans="2:34" x14ac:dyDescent="0.2">
      <c r="B6860" s="2">
        <f ca="1"/>
        <v>0.75537448576753508</v>
      </c>
      <c r="O6860" s="2">
        <f ca="1"/>
        <v>1.6203213661896401</v>
      </c>
      <c r="X6860" s="2">
        <f ca="1"/>
        <v>62.019070691435154</v>
      </c>
      <c r="AG6860" s="2">
        <f ca="1"/>
        <v>0.94144583604392307</v>
      </c>
      <c r="AH6860" s="2" t="str">
        <f ca="1"/>
        <v>Bad</v>
      </c>
    </row>
    <row r="6861" spans="2:34" x14ac:dyDescent="0.2">
      <c r="B6861" s="2">
        <f ca="1"/>
        <v>0.23124588236238108</v>
      </c>
      <c r="O6861" s="2">
        <f ca="1"/>
        <v>0.975516183878123</v>
      </c>
      <c r="X6861" s="2">
        <f ca="1"/>
        <v>95.526085023227978</v>
      </c>
      <c r="AG6861" s="2">
        <f ca="1"/>
        <v>0.37318421522418488</v>
      </c>
      <c r="AH6861" s="2" t="str">
        <f ca="1"/>
        <v>OK</v>
      </c>
    </row>
    <row r="6862" spans="2:34" x14ac:dyDescent="0.2">
      <c r="B6862" s="2">
        <f ca="1"/>
        <v>0.30426874878736454</v>
      </c>
      <c r="O6862" s="2">
        <f ca="1"/>
        <v>-0.6061393975565349</v>
      </c>
      <c r="X6862" s="2">
        <f ca="1"/>
        <v>71.383879182758534</v>
      </c>
      <c r="AG6862" s="2">
        <f ca="1"/>
        <v>0.84420245092216395</v>
      </c>
      <c r="AH6862" s="2" t="str">
        <f ca="1"/>
        <v>Bad</v>
      </c>
    </row>
    <row r="6863" spans="2:34" x14ac:dyDescent="0.2">
      <c r="B6863" s="2">
        <f ca="1"/>
        <v>0.64235562444660244</v>
      </c>
      <c r="O6863" s="2">
        <f ca="1"/>
        <v>1.3709218566593568</v>
      </c>
      <c r="X6863" s="2">
        <f ca="1"/>
        <v>51.281233834310115</v>
      </c>
      <c r="AG6863" s="2">
        <f ca="1"/>
        <v>0.89684044169927613</v>
      </c>
      <c r="AH6863" s="2" t="str">
        <f ca="1"/>
        <v>Bad</v>
      </c>
    </row>
    <row r="6864" spans="2:34" x14ac:dyDescent="0.2">
      <c r="B6864" s="2">
        <f ca="1"/>
        <v>0.28820127666058637</v>
      </c>
      <c r="O6864" s="2">
        <f ca="1"/>
        <v>0.27852860914947053</v>
      </c>
      <c r="X6864" s="2">
        <f ca="1"/>
        <v>56.77384568411172</v>
      </c>
      <c r="AG6864" s="2">
        <f ca="1"/>
        <v>0.31650830347862535</v>
      </c>
      <c r="AH6864" s="2" t="str">
        <f ca="1"/>
        <v>OK</v>
      </c>
    </row>
    <row r="6865" spans="2:34" x14ac:dyDescent="0.2">
      <c r="B6865" s="2">
        <f ca="1"/>
        <v>0.16436933792217512</v>
      </c>
      <c r="O6865" s="2">
        <f ca="1"/>
        <v>-0.30145504301713638</v>
      </c>
      <c r="X6865" s="2">
        <f ca="1"/>
        <v>18.092729067757816</v>
      </c>
      <c r="AG6865" s="2">
        <f ca="1"/>
        <v>0.4443329091598136</v>
      </c>
      <c r="AH6865" s="2" t="str">
        <f ca="1"/>
        <v>Bad</v>
      </c>
    </row>
    <row r="6866" spans="2:34" x14ac:dyDescent="0.2">
      <c r="B6866" s="2">
        <f ca="1"/>
        <v>0.10658904616134501</v>
      </c>
      <c r="O6866" s="2">
        <f ca="1"/>
        <v>-1.165120554293485</v>
      </c>
      <c r="X6866" s="2">
        <f ca="1"/>
        <v>62.659101280686258</v>
      </c>
      <c r="AG6866" s="2">
        <f ca="1"/>
        <v>0.77537145629477489</v>
      </c>
      <c r="AH6866" s="2" t="str">
        <f ca="1"/>
        <v>Bad</v>
      </c>
    </row>
    <row r="6867" spans="2:34" x14ac:dyDescent="0.2">
      <c r="B6867" s="2">
        <f ca="1"/>
        <v>0.43506212449458137</v>
      </c>
      <c r="O6867" s="2">
        <f ca="1"/>
        <v>-2.0069489832937157</v>
      </c>
      <c r="X6867" s="2">
        <f ca="1"/>
        <v>58.325286609485303</v>
      </c>
      <c r="AG6867" s="2">
        <f ca="1"/>
        <v>0.27629410888329509</v>
      </c>
      <c r="AH6867" s="2" t="str">
        <f ca="1"/>
        <v>OK</v>
      </c>
    </row>
    <row r="6868" spans="2:34" x14ac:dyDescent="0.2">
      <c r="B6868" s="2">
        <f ca="1"/>
        <v>0.44184211044468591</v>
      </c>
      <c r="O6868" s="2">
        <f ca="1"/>
        <v>0.21896178705987668</v>
      </c>
      <c r="X6868" s="2">
        <f ca="1"/>
        <v>41.134861045760935</v>
      </c>
      <c r="AG6868" s="2">
        <f ca="1"/>
        <v>0.27701253024102712</v>
      </c>
      <c r="AH6868" s="2" t="str">
        <f ca="1"/>
        <v>OK</v>
      </c>
    </row>
    <row r="6869" spans="2:34" x14ac:dyDescent="0.2">
      <c r="B6869" s="2">
        <f ca="1"/>
        <v>0.47095327518205021</v>
      </c>
      <c r="O6869" s="2">
        <f ca="1"/>
        <v>-0.18510900557815357</v>
      </c>
      <c r="X6869" s="2">
        <f ca="1"/>
        <v>45.371080979465333</v>
      </c>
      <c r="AG6869" s="2">
        <f ca="1"/>
        <v>0.55993924723619393</v>
      </c>
      <c r="AH6869" s="2" t="str">
        <f ca="1"/>
        <v>Bad</v>
      </c>
    </row>
    <row r="6870" spans="2:34" x14ac:dyDescent="0.2">
      <c r="B6870" s="2">
        <f ca="1"/>
        <v>0.15581783094586354</v>
      </c>
      <c r="O6870" s="2">
        <f ca="1"/>
        <v>1.5832979827669416</v>
      </c>
      <c r="X6870" s="2">
        <f ca="1"/>
        <v>54.955731258976982</v>
      </c>
      <c r="AG6870" s="2">
        <f ca="1"/>
        <v>0.90606856556863957</v>
      </c>
      <c r="AH6870" s="2" t="str">
        <f ca="1"/>
        <v>Bad</v>
      </c>
    </row>
    <row r="6871" spans="2:34" x14ac:dyDescent="0.2">
      <c r="B6871" s="2">
        <f ca="1"/>
        <v>0.55944451787142802</v>
      </c>
      <c r="O6871" s="2">
        <f ca="1"/>
        <v>0.39452280405341317</v>
      </c>
      <c r="X6871" s="2">
        <f ca="1"/>
        <v>61.214797915572674</v>
      </c>
      <c r="AG6871" s="2">
        <f ca="1"/>
        <v>0.40081499912888563</v>
      </c>
      <c r="AH6871" s="2" t="str">
        <f ca="1"/>
        <v>Bad</v>
      </c>
    </row>
    <row r="6872" spans="2:34" x14ac:dyDescent="0.2">
      <c r="B6872" s="2">
        <f ca="1"/>
        <v>0.52798622481337265</v>
      </c>
      <c r="O6872" s="2">
        <f ca="1"/>
        <v>-0.27631568547829966</v>
      </c>
      <c r="X6872" s="2">
        <f ca="1"/>
        <v>81.605060845426749</v>
      </c>
      <c r="AG6872" s="2">
        <f ca="1"/>
        <v>8.5162687102044554E-2</v>
      </c>
      <c r="AH6872" s="2" t="str">
        <f ca="1"/>
        <v>OK</v>
      </c>
    </row>
    <row r="6873" spans="2:34" x14ac:dyDescent="0.2">
      <c r="B6873" s="2">
        <f ca="1"/>
        <v>0.60174583371379375</v>
      </c>
      <c r="O6873" s="2">
        <f ca="1"/>
        <v>-0.58356652562110423</v>
      </c>
      <c r="X6873" s="2">
        <f ca="1"/>
        <v>85.043345174830847</v>
      </c>
      <c r="AG6873" s="2">
        <f ca="1"/>
        <v>0.47484534438448822</v>
      </c>
      <c r="AH6873" s="2" t="str">
        <f ca="1"/>
        <v>Bad</v>
      </c>
    </row>
    <row r="6874" spans="2:34" x14ac:dyDescent="0.2">
      <c r="B6874" s="2">
        <f ca="1"/>
        <v>0.86516458835169097</v>
      </c>
      <c r="O6874" s="2">
        <f ca="1"/>
        <v>1.4917305557234144</v>
      </c>
      <c r="X6874" s="2">
        <f ca="1"/>
        <v>21.14312554351087</v>
      </c>
      <c r="AG6874" s="2">
        <f ca="1"/>
        <v>0.44960163871950698</v>
      </c>
      <c r="AH6874" s="2" t="str">
        <f ca="1"/>
        <v>Bad</v>
      </c>
    </row>
    <row r="6875" spans="2:34" x14ac:dyDescent="0.2">
      <c r="B6875" s="2">
        <f ca="1"/>
        <v>0.14668338115311541</v>
      </c>
      <c r="O6875" s="2">
        <f ca="1"/>
        <v>-2.6475045590423352</v>
      </c>
      <c r="X6875" s="2">
        <f ca="1"/>
        <v>77.422487883108943</v>
      </c>
      <c r="AG6875" s="2">
        <f ca="1"/>
        <v>0.69164002853504924</v>
      </c>
      <c r="AH6875" s="2" t="str">
        <f ca="1"/>
        <v>Bad</v>
      </c>
    </row>
    <row r="6876" spans="2:34" x14ac:dyDescent="0.2">
      <c r="B6876" s="2">
        <f ca="1"/>
        <v>0.5173476497129581</v>
      </c>
      <c r="O6876" s="2">
        <f ca="1"/>
        <v>0.11131089002249753</v>
      </c>
      <c r="X6876" s="2">
        <f ca="1"/>
        <v>42.214296696946192</v>
      </c>
      <c r="AG6876" s="2">
        <f ca="1"/>
        <v>0.98372202276552323</v>
      </c>
      <c r="AH6876" s="2" t="str">
        <f ca="1"/>
        <v>Bad</v>
      </c>
    </row>
    <row r="6877" spans="2:34" x14ac:dyDescent="0.2">
      <c r="B6877" s="2">
        <f ca="1"/>
        <v>0.78920545268322861</v>
      </c>
      <c r="O6877" s="2">
        <f ca="1"/>
        <v>0.3752764642417224</v>
      </c>
      <c r="X6877" s="2">
        <f ca="1"/>
        <v>27.198056660352297</v>
      </c>
      <c r="AG6877" s="2">
        <f ca="1"/>
        <v>0.72804956111995089</v>
      </c>
      <c r="AH6877" s="2" t="str">
        <f ca="1"/>
        <v>Bad</v>
      </c>
    </row>
    <row r="6878" spans="2:34" x14ac:dyDescent="0.2">
      <c r="B6878" s="2">
        <f ca="1"/>
        <v>0.69356718496264391</v>
      </c>
      <c r="O6878" s="2">
        <f ca="1"/>
        <v>-0.15970443934339629</v>
      </c>
      <c r="X6878" s="2">
        <f ca="1"/>
        <v>42.988518584836804</v>
      </c>
      <c r="AG6878" s="2">
        <f ca="1"/>
        <v>0.29355840315457016</v>
      </c>
      <c r="AH6878" s="2" t="str">
        <f ca="1"/>
        <v>OK</v>
      </c>
    </row>
    <row r="6879" spans="2:34" x14ac:dyDescent="0.2">
      <c r="B6879" s="2">
        <f ca="1"/>
        <v>0.49698705618322125</v>
      </c>
      <c r="O6879" s="2">
        <f ca="1"/>
        <v>0.61980615135336181</v>
      </c>
      <c r="X6879" s="2">
        <f ca="1"/>
        <v>47.258879322319103</v>
      </c>
      <c r="AG6879" s="2">
        <f ca="1"/>
        <v>0.34228359852318779</v>
      </c>
      <c r="AH6879" s="2" t="str">
        <f ca="1"/>
        <v>OK</v>
      </c>
    </row>
    <row r="6880" spans="2:34" x14ac:dyDescent="0.2">
      <c r="B6880" s="2">
        <f ca="1"/>
        <v>0.85020587127999225</v>
      </c>
      <c r="O6880" s="2">
        <f ca="1"/>
        <v>-1.1266002072916923</v>
      </c>
      <c r="X6880" s="2">
        <f ca="1"/>
        <v>47.437336130617098</v>
      </c>
      <c r="AG6880" s="2">
        <f ca="1"/>
        <v>0.31973188282111664</v>
      </c>
      <c r="AH6880" s="2" t="str">
        <f ca="1"/>
        <v>OK</v>
      </c>
    </row>
    <row r="6881" spans="2:34" x14ac:dyDescent="0.2">
      <c r="B6881" s="2">
        <f ca="1"/>
        <v>0.48548668597251687</v>
      </c>
      <c r="O6881" s="2">
        <f ca="1"/>
        <v>0.83516559969503057</v>
      </c>
      <c r="X6881" s="2">
        <f ca="1"/>
        <v>22.966306238154345</v>
      </c>
      <c r="AG6881" s="2">
        <f ca="1"/>
        <v>0.55653544185559878</v>
      </c>
      <c r="AH6881" s="2" t="str">
        <f ca="1"/>
        <v>Bad</v>
      </c>
    </row>
    <row r="6882" spans="2:34" x14ac:dyDescent="0.2">
      <c r="B6882" s="2">
        <f ca="1"/>
        <v>0.61817375280045295</v>
      </c>
      <c r="O6882" s="2">
        <f ca="1"/>
        <v>-1.9418085908235405</v>
      </c>
      <c r="X6882" s="2">
        <f ca="1"/>
        <v>51.0823905471009</v>
      </c>
      <c r="AG6882" s="2">
        <f ca="1"/>
        <v>0.99901607334784259</v>
      </c>
      <c r="AH6882" s="2" t="str">
        <f ca="1"/>
        <v>Bad</v>
      </c>
    </row>
    <row r="6883" spans="2:34" x14ac:dyDescent="0.2">
      <c r="B6883" s="2">
        <f ca="1"/>
        <v>8.4666341490197805E-2</v>
      </c>
      <c r="O6883" s="2">
        <f ca="1"/>
        <v>-1.2658982013334528</v>
      </c>
      <c r="X6883" s="2">
        <f ca="1"/>
        <v>55.439635974840087</v>
      </c>
      <c r="AG6883" s="2">
        <f ca="1"/>
        <v>0.69723226395862858</v>
      </c>
      <c r="AH6883" s="2" t="str">
        <f ca="1"/>
        <v>Bad</v>
      </c>
    </row>
    <row r="6884" spans="2:34" x14ac:dyDescent="0.2">
      <c r="B6884" s="2">
        <f ca="1"/>
        <v>0.93594512453275347</v>
      </c>
      <c r="O6884" s="2">
        <f ca="1"/>
        <v>-0.22470055092066973</v>
      </c>
      <c r="X6884" s="2">
        <f ca="1"/>
        <v>62.399849503766617</v>
      </c>
      <c r="AG6884" s="2">
        <f ca="1"/>
        <v>7.7847175169312166E-3</v>
      </c>
      <c r="AH6884" s="2" t="str">
        <f ca="1"/>
        <v>Good</v>
      </c>
    </row>
    <row r="6885" spans="2:34" x14ac:dyDescent="0.2">
      <c r="B6885" s="2">
        <f ca="1"/>
        <v>0.66271923393645471</v>
      </c>
      <c r="O6885" s="2">
        <f ca="1"/>
        <v>-0.30945195341135406</v>
      </c>
      <c r="X6885" s="2">
        <f ca="1"/>
        <v>32.801634104809942</v>
      </c>
      <c r="AG6885" s="2">
        <f ca="1"/>
        <v>0.25541359770860383</v>
      </c>
      <c r="AH6885" s="2" t="str">
        <f ca="1"/>
        <v>OK</v>
      </c>
    </row>
    <row r="6886" spans="2:34" x14ac:dyDescent="0.2">
      <c r="B6886" s="2">
        <f ca="1"/>
        <v>0.41614261755568061</v>
      </c>
      <c r="O6886" s="2">
        <f ca="1"/>
        <v>0.95014999193256489</v>
      </c>
      <c r="X6886" s="2">
        <f ca="1"/>
        <v>61.859027601611849</v>
      </c>
      <c r="AG6886" s="2">
        <f ca="1"/>
        <v>0.70932462552400599</v>
      </c>
      <c r="AH6886" s="2" t="str">
        <f ca="1"/>
        <v>Bad</v>
      </c>
    </row>
    <row r="6887" spans="2:34" x14ac:dyDescent="0.2">
      <c r="B6887" s="2">
        <f ca="1"/>
        <v>0.23185818826251658</v>
      </c>
      <c r="O6887" s="2">
        <f ca="1"/>
        <v>1.9339109490315713</v>
      </c>
      <c r="X6887" s="2">
        <f ca="1"/>
        <v>50.532044943723101</v>
      </c>
      <c r="AG6887" s="2">
        <f ca="1"/>
        <v>0.87890177325227459</v>
      </c>
      <c r="AH6887" s="2" t="str">
        <f ca="1"/>
        <v>Bad</v>
      </c>
    </row>
    <row r="6888" spans="2:34" x14ac:dyDescent="0.2">
      <c r="B6888" s="2">
        <f ca="1"/>
        <v>0.95270468027757604</v>
      </c>
      <c r="O6888" s="2">
        <f ca="1"/>
        <v>-1.0532226907214171</v>
      </c>
      <c r="X6888" s="2">
        <f ca="1"/>
        <v>26.910355393630525</v>
      </c>
      <c r="AG6888" s="2">
        <f ca="1"/>
        <v>0.49547329706139487</v>
      </c>
      <c r="AH6888" s="2" t="str">
        <f ca="1"/>
        <v>Bad</v>
      </c>
    </row>
    <row r="6889" spans="2:34" x14ac:dyDescent="0.2">
      <c r="B6889" s="2">
        <f ca="1"/>
        <v>0.30237491343925127</v>
      </c>
      <c r="O6889" s="2">
        <f ca="1"/>
        <v>-0.28078468501690534</v>
      </c>
      <c r="X6889" s="2">
        <f ca="1"/>
        <v>55.9980371934017</v>
      </c>
      <c r="AG6889" s="2">
        <f ca="1"/>
        <v>0.14325054543009186</v>
      </c>
      <c r="AH6889" s="2" t="str">
        <f ca="1"/>
        <v>OK</v>
      </c>
    </row>
    <row r="6890" spans="2:34" x14ac:dyDescent="0.2">
      <c r="B6890" s="2">
        <f ca="1"/>
        <v>0.13539489312743735</v>
      </c>
      <c r="O6890" s="2">
        <f ca="1"/>
        <v>0.92474414227241397</v>
      </c>
      <c r="X6890" s="2">
        <f ca="1"/>
        <v>66.208859428515055</v>
      </c>
      <c r="AG6890" s="2">
        <f ca="1"/>
        <v>0.45140068489818597</v>
      </c>
      <c r="AH6890" s="2" t="str">
        <f ca="1"/>
        <v>Bad</v>
      </c>
    </row>
    <row r="6891" spans="2:34" x14ac:dyDescent="0.2">
      <c r="B6891" s="2">
        <f ca="1"/>
        <v>0.93448152137173102</v>
      </c>
      <c r="O6891" s="2">
        <f ca="1"/>
        <v>-1.4272703678374612</v>
      </c>
      <c r="X6891" s="2">
        <f ca="1"/>
        <v>51.837260675454608</v>
      </c>
      <c r="AG6891" s="2">
        <f ca="1"/>
        <v>0.71258894037126153</v>
      </c>
      <c r="AH6891" s="2" t="str">
        <f ca="1"/>
        <v>Bad</v>
      </c>
    </row>
    <row r="6892" spans="2:34" x14ac:dyDescent="0.2">
      <c r="B6892" s="2">
        <f ca="1"/>
        <v>0.92359926224257705</v>
      </c>
      <c r="O6892" s="2">
        <f ca="1"/>
        <v>-0.88654239361888409</v>
      </c>
      <c r="X6892" s="2">
        <f ca="1"/>
        <v>72.200291558366601</v>
      </c>
      <c r="AG6892" s="2">
        <f ca="1"/>
        <v>0.19332362310909867</v>
      </c>
      <c r="AH6892" s="2" t="str">
        <f ca="1"/>
        <v>OK</v>
      </c>
    </row>
    <row r="6893" spans="2:34" x14ac:dyDescent="0.2">
      <c r="B6893" s="2">
        <f ca="1"/>
        <v>0.31266847335751757</v>
      </c>
      <c r="O6893" s="2">
        <f ca="1"/>
        <v>-0.73336362526237453</v>
      </c>
      <c r="X6893" s="2">
        <f ca="1"/>
        <v>51.997512266828181</v>
      </c>
      <c r="AG6893" s="2">
        <f ca="1"/>
        <v>0.79840544525924928</v>
      </c>
      <c r="AH6893" s="2" t="str">
        <f ca="1"/>
        <v>Bad</v>
      </c>
    </row>
    <row r="6894" spans="2:34" x14ac:dyDescent="0.2">
      <c r="B6894" s="2">
        <f ca="1"/>
        <v>6.3078322729466452E-2</v>
      </c>
      <c r="O6894" s="2">
        <f ca="1"/>
        <v>-0.14907532935046569</v>
      </c>
      <c r="X6894" s="2">
        <f ca="1"/>
        <v>53.051746768560662</v>
      </c>
      <c r="AG6894" s="2">
        <f ca="1"/>
        <v>0.21897462256825784</v>
      </c>
      <c r="AH6894" s="2" t="str">
        <f ca="1"/>
        <v>OK</v>
      </c>
    </row>
    <row r="6895" spans="2:34" x14ac:dyDescent="0.2">
      <c r="B6895" s="2">
        <f ca="1"/>
        <v>0.72999184273890716</v>
      </c>
      <c r="O6895" s="2">
        <f ca="1"/>
        <v>0.41490787137899138</v>
      </c>
      <c r="X6895" s="2">
        <f ca="1"/>
        <v>20.405489386442966</v>
      </c>
      <c r="AG6895" s="2">
        <f ca="1"/>
        <v>0.16610559985884521</v>
      </c>
      <c r="AH6895" s="2" t="str">
        <f ca="1"/>
        <v>OK</v>
      </c>
    </row>
    <row r="6896" spans="2:34" x14ac:dyDescent="0.2">
      <c r="B6896" s="2">
        <f ca="1"/>
        <v>0.10337366150890626</v>
      </c>
      <c r="O6896" s="2">
        <f ca="1"/>
        <v>1.7551661856119225</v>
      </c>
      <c r="X6896" s="2">
        <f ca="1"/>
        <v>70.174089944370621</v>
      </c>
      <c r="AG6896" s="2">
        <f ca="1"/>
        <v>0.61605692249846178</v>
      </c>
      <c r="AH6896" s="2" t="str">
        <f ca="1"/>
        <v>Bad</v>
      </c>
    </row>
    <row r="6897" spans="2:34" x14ac:dyDescent="0.2">
      <c r="B6897" s="2">
        <f ca="1"/>
        <v>0.76191954821682217</v>
      </c>
      <c r="O6897" s="2">
        <f ca="1"/>
        <v>0.74452113095274985</v>
      </c>
      <c r="X6897" s="2">
        <f ca="1"/>
        <v>71.281993255606196</v>
      </c>
      <c r="AG6897" s="2">
        <f ca="1"/>
        <v>0.77760546997862345</v>
      </c>
      <c r="AH6897" s="2" t="str">
        <f ca="1"/>
        <v>Bad</v>
      </c>
    </row>
    <row r="6898" spans="2:34" x14ac:dyDescent="0.2">
      <c r="B6898" s="2">
        <f ca="1"/>
        <v>0.75771640828444009</v>
      </c>
      <c r="O6898" s="2">
        <f ca="1"/>
        <v>-0.6320329831148298</v>
      </c>
      <c r="X6898" s="2">
        <f ca="1"/>
        <v>64.634470701932557</v>
      </c>
      <c r="AG6898" s="2">
        <f ca="1"/>
        <v>2.5575401865422398E-2</v>
      </c>
      <c r="AH6898" s="2" t="str">
        <f ca="1"/>
        <v>Good</v>
      </c>
    </row>
    <row r="6899" spans="2:34" x14ac:dyDescent="0.2">
      <c r="B6899" s="2">
        <f ca="1"/>
        <v>0.75853102726409283</v>
      </c>
      <c r="O6899" s="2">
        <f ca="1"/>
        <v>-0.17658060426272298</v>
      </c>
      <c r="X6899" s="2">
        <f ca="1"/>
        <v>55.719931098058815</v>
      </c>
      <c r="AG6899" s="2">
        <f ca="1"/>
        <v>0.29706342755460557</v>
      </c>
      <c r="AH6899" s="2" t="str">
        <f ca="1"/>
        <v>OK</v>
      </c>
    </row>
    <row r="6900" spans="2:34" x14ac:dyDescent="0.2">
      <c r="B6900" s="2">
        <f ca="1"/>
        <v>0.42163900581125557</v>
      </c>
      <c r="O6900" s="2">
        <f ca="1"/>
        <v>0.11995518157857682</v>
      </c>
      <c r="X6900" s="2">
        <f ca="1"/>
        <v>50.764876121562033</v>
      </c>
      <c r="AG6900" s="2">
        <f ca="1"/>
        <v>0.70707614571275323</v>
      </c>
      <c r="AH6900" s="2" t="str">
        <f ca="1"/>
        <v>Bad</v>
      </c>
    </row>
    <row r="6901" spans="2:34" x14ac:dyDescent="0.2">
      <c r="B6901" s="2">
        <f ca="1"/>
        <v>0.65309638606587361</v>
      </c>
      <c r="O6901" s="2">
        <f ca="1"/>
        <v>0.40102541870950398</v>
      </c>
      <c r="X6901" s="2">
        <f ca="1"/>
        <v>29.88674744240604</v>
      </c>
      <c r="AG6901" s="2">
        <f ca="1"/>
        <v>0.71685641959645197</v>
      </c>
      <c r="AH6901" s="2" t="str">
        <f ca="1"/>
        <v>Bad</v>
      </c>
    </row>
    <row r="6902" spans="2:34" x14ac:dyDescent="0.2">
      <c r="B6902" s="2">
        <f ca="1"/>
        <v>0.51653779468684879</v>
      </c>
      <c r="O6902" s="2">
        <f ca="1"/>
        <v>-3.4080183542803573</v>
      </c>
      <c r="X6902" s="2">
        <f ca="1"/>
        <v>36.844146227782495</v>
      </c>
      <c r="AG6902" s="2">
        <f ca="1"/>
        <v>0.10833914193572469</v>
      </c>
      <c r="AH6902" s="2" t="str">
        <f ca="1"/>
        <v>OK</v>
      </c>
    </row>
    <row r="6903" spans="2:34" x14ac:dyDescent="0.2">
      <c r="B6903" s="2">
        <f ca="1"/>
        <v>0.54849360037786532</v>
      </c>
      <c r="O6903" s="2">
        <f ca="1"/>
        <v>-0.50847413303525391</v>
      </c>
      <c r="X6903" s="2">
        <f ca="1"/>
        <v>45.201920293445326</v>
      </c>
      <c r="AG6903" s="2">
        <f ca="1"/>
        <v>0.34659435825899076</v>
      </c>
      <c r="AH6903" s="2" t="str">
        <f ca="1"/>
        <v>OK</v>
      </c>
    </row>
    <row r="6904" spans="2:34" x14ac:dyDescent="0.2">
      <c r="B6904" s="2">
        <f ca="1"/>
        <v>0.16394390239223711</v>
      </c>
      <c r="O6904" s="2">
        <f ca="1"/>
        <v>0.46249516221204617</v>
      </c>
      <c r="X6904" s="2">
        <f ca="1"/>
        <v>49.936365561817986</v>
      </c>
      <c r="AG6904" s="2">
        <f ca="1"/>
        <v>0.46175699032762685</v>
      </c>
      <c r="AH6904" s="2" t="str">
        <f ca="1"/>
        <v>Bad</v>
      </c>
    </row>
    <row r="6905" spans="2:34" x14ac:dyDescent="0.2">
      <c r="B6905" s="2">
        <f ca="1"/>
        <v>0.92107891940641462</v>
      </c>
      <c r="O6905" s="2">
        <f ca="1"/>
        <v>0.61013325361254878</v>
      </c>
      <c r="X6905" s="2">
        <f ca="1"/>
        <v>58.353473489733091</v>
      </c>
      <c r="AG6905" s="2">
        <f ca="1"/>
        <v>0.3601607457100573</v>
      </c>
      <c r="AH6905" s="2" t="str">
        <f ca="1"/>
        <v>OK</v>
      </c>
    </row>
    <row r="6906" spans="2:34" x14ac:dyDescent="0.2">
      <c r="B6906" s="2">
        <f ca="1"/>
        <v>0.34703725458287216</v>
      </c>
      <c r="O6906" s="2">
        <f ca="1"/>
        <v>0.73596329799529514</v>
      </c>
      <c r="X6906" s="2">
        <f ca="1"/>
        <v>46.062453712707921</v>
      </c>
      <c r="AG6906" s="2">
        <f ca="1"/>
        <v>0.5033672597557679</v>
      </c>
      <c r="AH6906" s="2" t="str">
        <f ca="1"/>
        <v>Bad</v>
      </c>
    </row>
    <row r="6907" spans="2:34" x14ac:dyDescent="0.2">
      <c r="B6907" s="2">
        <f ca="1"/>
        <v>0.76091598503014013</v>
      </c>
      <c r="O6907" s="2">
        <f ca="1"/>
        <v>0.44975792410073501</v>
      </c>
      <c r="X6907" s="2">
        <f ca="1"/>
        <v>27.421922919962938</v>
      </c>
      <c r="AG6907" s="2">
        <f ca="1"/>
        <v>0.6904341643074654</v>
      </c>
      <c r="AH6907" s="2" t="str">
        <f ca="1"/>
        <v>Bad</v>
      </c>
    </row>
    <row r="6908" spans="2:34" x14ac:dyDescent="0.2">
      <c r="B6908" s="2">
        <f ca="1"/>
        <v>0.84450842433815754</v>
      </c>
      <c r="O6908" s="2">
        <f ca="1"/>
        <v>0.48112137027159263</v>
      </c>
      <c r="X6908" s="2">
        <f ca="1"/>
        <v>60.098083016710916</v>
      </c>
      <c r="AG6908" s="2">
        <f ca="1"/>
        <v>0.15831005751872729</v>
      </c>
      <c r="AH6908" s="2" t="str">
        <f ca="1"/>
        <v>OK</v>
      </c>
    </row>
    <row r="6909" spans="2:34" x14ac:dyDescent="0.2">
      <c r="B6909" s="2">
        <f ca="1"/>
        <v>0.18185500716475023</v>
      </c>
      <c r="O6909" s="2">
        <f ca="1"/>
        <v>-0.13919166498885174</v>
      </c>
      <c r="X6909" s="2">
        <f ca="1"/>
        <v>31.368193179916428</v>
      </c>
      <c r="AG6909" s="2">
        <f ca="1"/>
        <v>0.99285824962514568</v>
      </c>
      <c r="AH6909" s="2" t="str">
        <f ca="1"/>
        <v>Bad</v>
      </c>
    </row>
    <row r="6910" spans="2:34" x14ac:dyDescent="0.2">
      <c r="B6910" s="2">
        <f ca="1"/>
        <v>0.84903547926624401</v>
      </c>
      <c r="O6910" s="2">
        <f ca="1"/>
        <v>-0.43019873651798152</v>
      </c>
      <c r="X6910" s="2">
        <f ca="1"/>
        <v>36.979286819434556</v>
      </c>
      <c r="AG6910" s="2">
        <f ca="1"/>
        <v>3.962617126121426E-2</v>
      </c>
      <c r="AH6910" s="2" t="str">
        <f ca="1"/>
        <v>Good</v>
      </c>
    </row>
    <row r="6911" spans="2:34" x14ac:dyDescent="0.2">
      <c r="B6911" s="2">
        <f ca="1"/>
        <v>0.72950630703623021</v>
      </c>
      <c r="O6911" s="2">
        <f ca="1"/>
        <v>0.33469773731112196</v>
      </c>
      <c r="X6911" s="2">
        <f ca="1"/>
        <v>34.786221351794261</v>
      </c>
      <c r="AG6911" s="2">
        <f ca="1"/>
        <v>0.39255718326467792</v>
      </c>
      <c r="AH6911" s="2" t="str">
        <f ca="1"/>
        <v>OK</v>
      </c>
    </row>
    <row r="6912" spans="2:34" x14ac:dyDescent="0.2">
      <c r="B6912" s="2">
        <f ca="1"/>
        <v>0.92732381326702273</v>
      </c>
      <c r="O6912" s="2">
        <f ca="1"/>
        <v>-0.61591546874543901</v>
      </c>
      <c r="X6912" s="2">
        <f ca="1"/>
        <v>51.358462726757814</v>
      </c>
      <c r="AG6912" s="2">
        <f ca="1"/>
        <v>0.570799880713035</v>
      </c>
      <c r="AH6912" s="2" t="str">
        <f ca="1"/>
        <v>Bad</v>
      </c>
    </row>
    <row r="6913" spans="2:34" x14ac:dyDescent="0.2">
      <c r="B6913" s="2">
        <f ca="1"/>
        <v>0.68982916525977078</v>
      </c>
      <c r="O6913" s="2">
        <f ca="1"/>
        <v>0.37090864129967371</v>
      </c>
      <c r="X6913" s="2">
        <f ca="1"/>
        <v>88.55142207015696</v>
      </c>
      <c r="AG6913" s="2">
        <f ca="1"/>
        <v>0.65349467268126005</v>
      </c>
      <c r="AH6913" s="2" t="str">
        <f ca="1"/>
        <v>Bad</v>
      </c>
    </row>
    <row r="6914" spans="2:34" x14ac:dyDescent="0.2">
      <c r="B6914" s="2">
        <f ca="1"/>
        <v>0.13533514583374906</v>
      </c>
      <c r="O6914" s="2">
        <f ca="1"/>
        <v>-1.5121998619295993</v>
      </c>
      <c r="X6914" s="2">
        <f ca="1"/>
        <v>36.288416002666068</v>
      </c>
      <c r="AG6914" s="2">
        <f ca="1"/>
        <v>0.85364591699794445</v>
      </c>
      <c r="AH6914" s="2" t="str">
        <f ca="1"/>
        <v>Bad</v>
      </c>
    </row>
    <row r="6915" spans="2:34" x14ac:dyDescent="0.2">
      <c r="B6915" s="2">
        <f ca="1"/>
        <v>0.66408541299470158</v>
      </c>
      <c r="O6915" s="2">
        <f ca="1"/>
        <v>-0.4147824610662077</v>
      </c>
      <c r="X6915" s="2">
        <f ca="1"/>
        <v>43.938833215322717</v>
      </c>
      <c r="AG6915" s="2">
        <f ca="1"/>
        <v>3.4779111319858336E-2</v>
      </c>
      <c r="AH6915" s="2" t="str">
        <f ca="1"/>
        <v>Good</v>
      </c>
    </row>
    <row r="6916" spans="2:34" x14ac:dyDescent="0.2">
      <c r="B6916" s="2">
        <f ca="1"/>
        <v>0.11352797119973812</v>
      </c>
      <c r="O6916" s="2">
        <f ca="1"/>
        <v>0.4677064780240241</v>
      </c>
      <c r="X6916" s="2">
        <f ca="1"/>
        <v>53.711801556148899</v>
      </c>
      <c r="AG6916" s="2">
        <f ca="1"/>
        <v>8.6959347359971906E-2</v>
      </c>
      <c r="AH6916" s="2" t="str">
        <f ca="1"/>
        <v>OK</v>
      </c>
    </row>
    <row r="6917" spans="2:34" x14ac:dyDescent="0.2">
      <c r="B6917" s="2">
        <f ca="1"/>
        <v>0.11930458772028141</v>
      </c>
      <c r="O6917" s="2">
        <f ca="1"/>
        <v>0.29623904514334948</v>
      </c>
      <c r="X6917" s="2">
        <f ca="1"/>
        <v>45.905029033589926</v>
      </c>
      <c r="AG6917" s="2">
        <f ca="1"/>
        <v>0.62590734584473862</v>
      </c>
      <c r="AH6917" s="2" t="str">
        <f ca="1"/>
        <v>Bad</v>
      </c>
    </row>
    <row r="6918" spans="2:34" x14ac:dyDescent="0.2">
      <c r="B6918" s="2">
        <f ca="1"/>
        <v>0.91278258243794785</v>
      </c>
      <c r="O6918" s="2">
        <f ca="1"/>
        <v>-0.8194016690366539</v>
      </c>
      <c r="X6918" s="2">
        <f ca="1"/>
        <v>34.822149619037276</v>
      </c>
      <c r="AG6918" s="2">
        <f ca="1"/>
        <v>0.28589657565128279</v>
      </c>
      <c r="AH6918" s="2" t="str">
        <f ca="1"/>
        <v>OK</v>
      </c>
    </row>
    <row r="6919" spans="2:34" x14ac:dyDescent="0.2">
      <c r="B6919" s="2">
        <f ca="1"/>
        <v>0.75560515234806713</v>
      </c>
      <c r="O6919" s="2">
        <f ca="1"/>
        <v>-0.38493695256279048</v>
      </c>
      <c r="X6919" s="2">
        <f ca="1"/>
        <v>38.256995526413263</v>
      </c>
      <c r="AG6919" s="2">
        <f ca="1"/>
        <v>0.84669683013764829</v>
      </c>
      <c r="AH6919" s="2" t="str">
        <f ca="1"/>
        <v>Bad</v>
      </c>
    </row>
    <row r="6920" spans="2:34" x14ac:dyDescent="0.2">
      <c r="B6920" s="2">
        <f ca="1"/>
        <v>0.78371495496814059</v>
      </c>
      <c r="O6920" s="2">
        <f ca="1"/>
        <v>-1.4859878013395709</v>
      </c>
      <c r="X6920" s="2">
        <f ca="1"/>
        <v>52.15782127160508</v>
      </c>
      <c r="AG6920" s="2">
        <f ca="1"/>
        <v>0.82473011574727106</v>
      </c>
      <c r="AH6920" s="2" t="str">
        <f ca="1"/>
        <v>Bad</v>
      </c>
    </row>
    <row r="6921" spans="2:34" x14ac:dyDescent="0.2">
      <c r="B6921" s="2">
        <f ca="1"/>
        <v>0.62413571248238897</v>
      </c>
      <c r="O6921" s="2">
        <f ca="1"/>
        <v>-0.68740499303250713</v>
      </c>
      <c r="X6921" s="2">
        <f ca="1"/>
        <v>48.299919406505076</v>
      </c>
      <c r="AG6921" s="2">
        <f ca="1"/>
        <v>0.25793204959456184</v>
      </c>
      <c r="AH6921" s="2" t="str">
        <f ca="1"/>
        <v>OK</v>
      </c>
    </row>
    <row r="6922" spans="2:34" x14ac:dyDescent="0.2">
      <c r="B6922" s="2">
        <f ca="1"/>
        <v>0.56823524329254327</v>
      </c>
      <c r="O6922" s="2">
        <f ca="1"/>
        <v>0.66690119116991053</v>
      </c>
      <c r="X6922" s="2">
        <f ca="1"/>
        <v>67.110836443705793</v>
      </c>
      <c r="AG6922" s="2">
        <f ca="1"/>
        <v>0.79398256007478496</v>
      </c>
      <c r="AH6922" s="2" t="str">
        <f ca="1"/>
        <v>Bad</v>
      </c>
    </row>
    <row r="6923" spans="2:34" x14ac:dyDescent="0.2">
      <c r="B6923" s="2">
        <f ca="1"/>
        <v>0.11601088012925564</v>
      </c>
      <c r="O6923" s="2">
        <f ca="1"/>
        <v>0.11414940604574811</v>
      </c>
      <c r="X6923" s="2">
        <f ca="1"/>
        <v>40.671050585227718</v>
      </c>
      <c r="AG6923" s="2">
        <f ca="1"/>
        <v>0.66809496053724371</v>
      </c>
      <c r="AH6923" s="2" t="str">
        <f ca="1"/>
        <v>Bad</v>
      </c>
    </row>
    <row r="6924" spans="2:34" x14ac:dyDescent="0.2">
      <c r="B6924" s="2">
        <f ca="1"/>
        <v>0.64119772502300165</v>
      </c>
      <c r="O6924" s="2">
        <f ca="1"/>
        <v>-0.11219548976077173</v>
      </c>
      <c r="X6924" s="2">
        <f ca="1"/>
        <v>29.411717391986869</v>
      </c>
      <c r="AG6924" s="2">
        <f ca="1"/>
        <v>0.70851105588254093</v>
      </c>
      <c r="AH6924" s="2" t="str">
        <f ca="1"/>
        <v>Bad</v>
      </c>
    </row>
    <row r="6925" spans="2:34" x14ac:dyDescent="0.2">
      <c r="B6925" s="2">
        <f ca="1"/>
        <v>0.11706048411007153</v>
      </c>
      <c r="O6925" s="2">
        <f ca="1"/>
        <v>1.9193990257935669</v>
      </c>
      <c r="X6925" s="2">
        <f ca="1"/>
        <v>63.465582982579093</v>
      </c>
      <c r="AG6925" s="2">
        <f ca="1"/>
        <v>0.69463925695099449</v>
      </c>
      <c r="AH6925" s="2" t="str">
        <f ca="1"/>
        <v>Bad</v>
      </c>
    </row>
    <row r="6926" spans="2:34" x14ac:dyDescent="0.2">
      <c r="B6926" s="2">
        <f ca="1"/>
        <v>8.7916998531712975E-2</v>
      </c>
      <c r="O6926" s="2">
        <f ca="1"/>
        <v>0.21879160226534103</v>
      </c>
      <c r="X6926" s="2">
        <f ca="1"/>
        <v>44.33458416758188</v>
      </c>
      <c r="AG6926" s="2">
        <f ca="1"/>
        <v>0.93149281369112802</v>
      </c>
      <c r="AH6926" s="2" t="str">
        <f ca="1"/>
        <v>Bad</v>
      </c>
    </row>
    <row r="6927" spans="2:34" x14ac:dyDescent="0.2">
      <c r="B6927" s="2">
        <f ca="1"/>
        <v>0.74639782818028366</v>
      </c>
      <c r="O6927" s="2">
        <f ca="1"/>
        <v>0.13202918881557874</v>
      </c>
      <c r="X6927" s="2">
        <f ca="1"/>
        <v>26.445751140815791</v>
      </c>
      <c r="AG6927" s="2">
        <f ca="1"/>
        <v>0.49717596214036974</v>
      </c>
      <c r="AH6927" s="2" t="str">
        <f ca="1"/>
        <v>Bad</v>
      </c>
    </row>
    <row r="6928" spans="2:34" x14ac:dyDescent="0.2">
      <c r="B6928" s="2">
        <f ca="1"/>
        <v>0.44024953934845468</v>
      </c>
      <c r="O6928" s="2">
        <f ca="1"/>
        <v>-1.9812419485995831</v>
      </c>
      <c r="X6928" s="2">
        <f ca="1"/>
        <v>68.490440752585528</v>
      </c>
      <c r="AG6928" s="2">
        <f ca="1"/>
        <v>0.74987756992709231</v>
      </c>
      <c r="AH6928" s="2" t="str">
        <f ca="1"/>
        <v>Bad</v>
      </c>
    </row>
    <row r="6929" spans="2:34" x14ac:dyDescent="0.2">
      <c r="B6929" s="2">
        <f ca="1"/>
        <v>0.63944794191860765</v>
      </c>
      <c r="O6929" s="2">
        <f ca="1"/>
        <v>-1.0687860648951948</v>
      </c>
      <c r="X6929" s="2">
        <f ca="1"/>
        <v>36.484487225119942</v>
      </c>
      <c r="AG6929" s="2">
        <f ca="1"/>
        <v>0.59825062978736265</v>
      </c>
      <c r="AH6929" s="2" t="str">
        <f ca="1"/>
        <v>Bad</v>
      </c>
    </row>
    <row r="6930" spans="2:34" x14ac:dyDescent="0.2">
      <c r="B6930" s="2">
        <f ca="1"/>
        <v>0.57068522148489276</v>
      </c>
      <c r="O6930" s="2">
        <f ca="1"/>
        <v>-1.1140568718159447</v>
      </c>
      <c r="X6930" s="2">
        <f ca="1"/>
        <v>44.830760310268865</v>
      </c>
      <c r="AG6930" s="2">
        <f ca="1"/>
        <v>0.30211972636642814</v>
      </c>
      <c r="AH6930" s="2" t="str">
        <f ca="1"/>
        <v>OK</v>
      </c>
    </row>
    <row r="6931" spans="2:34" x14ac:dyDescent="0.2">
      <c r="B6931" s="2">
        <f ca="1"/>
        <v>0.28703383210068956</v>
      </c>
      <c r="O6931" s="2">
        <f ca="1"/>
        <v>0.60960888892112475</v>
      </c>
      <c r="X6931" s="2">
        <f ca="1"/>
        <v>69.170329412679706</v>
      </c>
      <c r="AG6931" s="2">
        <f ca="1"/>
        <v>0.84032769464341728</v>
      </c>
      <c r="AH6931" s="2" t="str">
        <f ca="1"/>
        <v>Bad</v>
      </c>
    </row>
    <row r="6932" spans="2:34" x14ac:dyDescent="0.2">
      <c r="B6932" s="2">
        <f ca="1"/>
        <v>4.9597079322291959E-2</v>
      </c>
      <c r="O6932" s="2">
        <f ca="1"/>
        <v>-1.7159205450799604</v>
      </c>
      <c r="X6932" s="2">
        <f ca="1"/>
        <v>53.746085908635862</v>
      </c>
      <c r="AG6932" s="2">
        <f ca="1"/>
        <v>0.72597380317751536</v>
      </c>
      <c r="AH6932" s="2" t="str">
        <f ca="1"/>
        <v>Bad</v>
      </c>
    </row>
    <row r="6933" spans="2:34" x14ac:dyDescent="0.2">
      <c r="B6933" s="2">
        <f ca="1"/>
        <v>0.19254478064653902</v>
      </c>
      <c r="O6933" s="2">
        <f ca="1"/>
        <v>-0.15338724872979956</v>
      </c>
      <c r="X6933" s="2">
        <f ca="1"/>
        <v>35.445795864625921</v>
      </c>
      <c r="AG6933" s="2">
        <f ca="1"/>
        <v>0.56156040562176979</v>
      </c>
      <c r="AH6933" s="2" t="str">
        <f ca="1"/>
        <v>Bad</v>
      </c>
    </row>
    <row r="6934" spans="2:34" x14ac:dyDescent="0.2">
      <c r="B6934" s="2">
        <f ca="1"/>
        <v>0.41966027917218729</v>
      </c>
      <c r="O6934" s="2">
        <f ca="1"/>
        <v>2.6824537271108189</v>
      </c>
      <c r="X6934" s="2">
        <f ca="1"/>
        <v>45.246829183731691</v>
      </c>
      <c r="AG6934" s="2">
        <f ca="1"/>
        <v>0.89311968419686427</v>
      </c>
      <c r="AH6934" s="2" t="str">
        <f ca="1"/>
        <v>Bad</v>
      </c>
    </row>
    <row r="6935" spans="2:34" x14ac:dyDescent="0.2">
      <c r="B6935" s="2">
        <f ca="1"/>
        <v>3.0457628012289684E-2</v>
      </c>
      <c r="O6935" s="2">
        <f ca="1"/>
        <v>-0.30941988927640973</v>
      </c>
      <c r="X6935" s="2">
        <f ca="1"/>
        <v>51.03738959056998</v>
      </c>
      <c r="AG6935" s="2">
        <f ca="1"/>
        <v>0.6717322886710182</v>
      </c>
      <c r="AH6935" s="2" t="str">
        <f ca="1"/>
        <v>Bad</v>
      </c>
    </row>
    <row r="6936" spans="2:34" x14ac:dyDescent="0.2">
      <c r="B6936" s="2">
        <f ca="1"/>
        <v>0.39727945952607047</v>
      </c>
      <c r="O6936" s="2">
        <f ca="1"/>
        <v>0.78102503596625505</v>
      </c>
      <c r="X6936" s="2">
        <f ca="1"/>
        <v>23.665358043982391</v>
      </c>
      <c r="AG6936" s="2">
        <f ca="1"/>
        <v>0.69738015169217737</v>
      </c>
      <c r="AH6936" s="2" t="str">
        <f ca="1"/>
        <v>Bad</v>
      </c>
    </row>
    <row r="6937" spans="2:34" x14ac:dyDescent="0.2">
      <c r="B6937" s="2">
        <f ca="1"/>
        <v>0.65167027401049205</v>
      </c>
      <c r="O6937" s="2">
        <f ca="1"/>
        <v>-1.0420610468671163</v>
      </c>
      <c r="X6937" s="2">
        <f ca="1"/>
        <v>60.108089795702703</v>
      </c>
      <c r="AG6937" s="2">
        <f ca="1"/>
        <v>0.81581417298704628</v>
      </c>
      <c r="AH6937" s="2" t="str">
        <f ca="1"/>
        <v>Bad</v>
      </c>
    </row>
    <row r="6938" spans="2:34" x14ac:dyDescent="0.2">
      <c r="B6938" s="2">
        <f ca="1"/>
        <v>6.0948479978104375E-2</v>
      </c>
      <c r="O6938" s="2">
        <f ca="1"/>
        <v>0.36623710596687209</v>
      </c>
      <c r="X6938" s="2">
        <f ca="1"/>
        <v>44.298392835433766</v>
      </c>
      <c r="AG6938" s="2">
        <f ca="1"/>
        <v>0.10068988551129765</v>
      </c>
      <c r="AH6938" s="2" t="str">
        <f ca="1"/>
        <v>OK</v>
      </c>
    </row>
    <row r="6939" spans="2:34" x14ac:dyDescent="0.2">
      <c r="B6939" s="2">
        <f ca="1"/>
        <v>0.76916524048398061</v>
      </c>
      <c r="O6939" s="2">
        <f ca="1"/>
        <v>1.3274457108367879</v>
      </c>
      <c r="X6939" s="2">
        <f ca="1"/>
        <v>33.519603211163037</v>
      </c>
      <c r="AG6939" s="2">
        <f ca="1"/>
        <v>0.67052880597321507</v>
      </c>
      <c r="AH6939" s="2" t="str">
        <f ca="1"/>
        <v>Bad</v>
      </c>
    </row>
    <row r="6940" spans="2:34" x14ac:dyDescent="0.2">
      <c r="B6940" s="2">
        <f ca="1"/>
        <v>0.7561582827536566</v>
      </c>
      <c r="O6940" s="2">
        <f ca="1"/>
        <v>0.72554023931930378</v>
      </c>
      <c r="X6940" s="2">
        <f ca="1"/>
        <v>44.345411333295246</v>
      </c>
      <c r="AG6940" s="2">
        <f ca="1"/>
        <v>0.43466995275775333</v>
      </c>
      <c r="AH6940" s="2" t="str">
        <f ca="1"/>
        <v>Bad</v>
      </c>
    </row>
    <row r="6941" spans="2:34" x14ac:dyDescent="0.2">
      <c r="B6941" s="2">
        <f ca="1"/>
        <v>0.9545704299219433</v>
      </c>
      <c r="O6941" s="2">
        <f ca="1"/>
        <v>0.30618332110311924</v>
      </c>
      <c r="X6941" s="2">
        <f ca="1"/>
        <v>42.253238710700188</v>
      </c>
      <c r="AG6941" s="2">
        <f ca="1"/>
        <v>5.7970442039077419E-2</v>
      </c>
      <c r="AH6941" s="2" t="str">
        <f ca="1"/>
        <v>OK</v>
      </c>
    </row>
    <row r="6942" spans="2:34" x14ac:dyDescent="0.2">
      <c r="B6942" s="2">
        <f ca="1"/>
        <v>2.4472385218595516E-2</v>
      </c>
      <c r="O6942" s="2">
        <f ca="1"/>
        <v>0.60964113999419567</v>
      </c>
      <c r="X6942" s="2">
        <f ca="1"/>
        <v>48.379999716108024</v>
      </c>
      <c r="AG6942" s="2">
        <f ca="1"/>
        <v>0.26501077099824855</v>
      </c>
      <c r="AH6942" s="2" t="str">
        <f ca="1"/>
        <v>OK</v>
      </c>
    </row>
    <row r="6943" spans="2:34" x14ac:dyDescent="0.2">
      <c r="B6943" s="2">
        <f ca="1"/>
        <v>0.89317418364063017</v>
      </c>
      <c r="O6943" s="2">
        <f ca="1"/>
        <v>-1.3340373662120939</v>
      </c>
      <c r="X6943" s="2">
        <f ca="1"/>
        <v>31.145717003552647</v>
      </c>
      <c r="AG6943" s="2">
        <f ca="1"/>
        <v>7.3048811549005332E-2</v>
      </c>
      <c r="AH6943" s="2" t="str">
        <f ca="1"/>
        <v>OK</v>
      </c>
    </row>
    <row r="6944" spans="2:34" x14ac:dyDescent="0.2">
      <c r="B6944" s="2">
        <f ca="1"/>
        <v>0.71867299710338139</v>
      </c>
      <c r="O6944" s="2">
        <f ca="1"/>
        <v>0.84313184886006931</v>
      </c>
      <c r="X6944" s="2">
        <f ca="1"/>
        <v>47.570218419469825</v>
      </c>
      <c r="AG6944" s="2">
        <f ca="1"/>
        <v>0.17647466574164361</v>
      </c>
      <c r="AH6944" s="2" t="str">
        <f ca="1"/>
        <v>OK</v>
      </c>
    </row>
    <row r="6945" spans="2:34" x14ac:dyDescent="0.2">
      <c r="B6945" s="2">
        <f ca="1"/>
        <v>0.22712805043304152</v>
      </c>
      <c r="O6945" s="2">
        <f ca="1"/>
        <v>-2.2772221599222293</v>
      </c>
      <c r="X6945" s="2">
        <f ca="1"/>
        <v>39.30680588046765</v>
      </c>
      <c r="AG6945" s="2">
        <f ca="1"/>
        <v>0.24180725427358274</v>
      </c>
      <c r="AH6945" s="2" t="str">
        <f ca="1"/>
        <v>OK</v>
      </c>
    </row>
    <row r="6946" spans="2:34" x14ac:dyDescent="0.2">
      <c r="B6946" s="2">
        <f ca="1"/>
        <v>0.25253285410532977</v>
      </c>
      <c r="O6946" s="2">
        <f ca="1"/>
        <v>-0.17516073233241036</v>
      </c>
      <c r="X6946" s="2">
        <f ca="1"/>
        <v>49.064110143431392</v>
      </c>
      <c r="AG6946" s="2">
        <f ca="1"/>
        <v>0.18293505586230618</v>
      </c>
      <c r="AH6946" s="2" t="str">
        <f ca="1"/>
        <v>OK</v>
      </c>
    </row>
    <row r="6947" spans="2:34" x14ac:dyDescent="0.2">
      <c r="B6947" s="2">
        <f ca="1"/>
        <v>6.4881451284692915E-5</v>
      </c>
      <c r="O6947" s="2">
        <f ca="1"/>
        <v>-1.0811430444072412</v>
      </c>
      <c r="X6947" s="2">
        <f ca="1"/>
        <v>38.183761629735777</v>
      </c>
      <c r="AG6947" s="2">
        <f ca="1"/>
        <v>0.39063303326919763</v>
      </c>
      <c r="AH6947" s="2" t="str">
        <f ca="1"/>
        <v>OK</v>
      </c>
    </row>
    <row r="6948" spans="2:34" x14ac:dyDescent="0.2">
      <c r="B6948" s="2">
        <f ca="1"/>
        <v>0.70904979770857302</v>
      </c>
      <c r="O6948" s="2">
        <f ca="1"/>
        <v>-0.22908386259004199</v>
      </c>
      <c r="X6948" s="2">
        <f ca="1"/>
        <v>23.685005805207467</v>
      </c>
      <c r="AG6948" s="2">
        <f ca="1"/>
        <v>0.17083627427137604</v>
      </c>
      <c r="AH6948" s="2" t="str">
        <f ca="1"/>
        <v>OK</v>
      </c>
    </row>
    <row r="6949" spans="2:34" x14ac:dyDescent="0.2">
      <c r="B6949" s="2">
        <f ca="1"/>
        <v>0.39116998906953682</v>
      </c>
      <c r="O6949" s="2">
        <f ca="1"/>
        <v>5.9912513336184865E-3</v>
      </c>
      <c r="X6949" s="2">
        <f ca="1"/>
        <v>23.789019743096414</v>
      </c>
      <c r="AG6949" s="2">
        <f ca="1"/>
        <v>0.40336693661460421</v>
      </c>
      <c r="AH6949" s="2" t="str">
        <f ca="1"/>
        <v>Bad</v>
      </c>
    </row>
    <row r="6950" spans="2:34" x14ac:dyDescent="0.2">
      <c r="B6950" s="2">
        <f ca="1"/>
        <v>0.25884555775017026</v>
      </c>
      <c r="O6950" s="2">
        <f ca="1"/>
        <v>0.91899688080468822</v>
      </c>
      <c r="X6950" s="2">
        <f ca="1"/>
        <v>53.068493509063671</v>
      </c>
      <c r="AG6950" s="2">
        <f ca="1"/>
        <v>0.45663924641982812</v>
      </c>
      <c r="AH6950" s="2" t="str">
        <f ca="1"/>
        <v>Bad</v>
      </c>
    </row>
    <row r="6951" spans="2:34" x14ac:dyDescent="0.2">
      <c r="B6951" s="2">
        <f ca="1"/>
        <v>0.87855275341933692</v>
      </c>
      <c r="O6951" s="2">
        <f ca="1"/>
        <v>-1.792039913557097</v>
      </c>
      <c r="X6951" s="2">
        <f ca="1"/>
        <v>47.097436241091643</v>
      </c>
      <c r="AG6951" s="2">
        <f ca="1"/>
        <v>0.17340926489628306</v>
      </c>
      <c r="AH6951" s="2" t="str">
        <f ca="1"/>
        <v>OK</v>
      </c>
    </row>
    <row r="6952" spans="2:34" x14ac:dyDescent="0.2">
      <c r="B6952" s="2">
        <f ca="1"/>
        <v>0.18226785423411895</v>
      </c>
      <c r="O6952" s="2">
        <f ca="1"/>
        <v>0.63717560392797579</v>
      </c>
      <c r="X6952" s="2">
        <f ca="1"/>
        <v>52.854310735232879</v>
      </c>
      <c r="AG6952" s="2">
        <f ca="1"/>
        <v>0.68007159515207749</v>
      </c>
      <c r="AH6952" s="2" t="str">
        <f ca="1"/>
        <v>Bad</v>
      </c>
    </row>
    <row r="6953" spans="2:34" x14ac:dyDescent="0.2">
      <c r="B6953" s="2">
        <f ca="1"/>
        <v>0.10132129108700627</v>
      </c>
      <c r="O6953" s="2">
        <f ca="1"/>
        <v>-0.17378254269394139</v>
      </c>
      <c r="X6953" s="2">
        <f ca="1"/>
        <v>28.336095128314938</v>
      </c>
      <c r="AG6953" s="2">
        <f ca="1"/>
        <v>0.73056125019527074</v>
      </c>
      <c r="AH6953" s="2" t="str">
        <f ca="1"/>
        <v>Bad</v>
      </c>
    </row>
    <row r="6954" spans="2:34" x14ac:dyDescent="0.2">
      <c r="B6954" s="2">
        <f ca="1"/>
        <v>0.52020129116301828</v>
      </c>
      <c r="O6954" s="2">
        <f ca="1"/>
        <v>-1.9589370278573324</v>
      </c>
      <c r="X6954" s="2">
        <f ca="1"/>
        <v>37.743144502623245</v>
      </c>
      <c r="AG6954" s="2">
        <f ca="1"/>
        <v>0.32598413724290198</v>
      </c>
      <c r="AH6954" s="2" t="str">
        <f ca="1"/>
        <v>OK</v>
      </c>
    </row>
    <row r="6955" spans="2:34" x14ac:dyDescent="0.2">
      <c r="B6955" s="2">
        <f ca="1"/>
        <v>0.46104982099817882</v>
      </c>
      <c r="O6955" s="2">
        <f ca="1"/>
        <v>8.2073335938949582E-2</v>
      </c>
      <c r="X6955" s="2">
        <f ca="1"/>
        <v>38.372757064146199</v>
      </c>
      <c r="AG6955" s="2">
        <f ca="1"/>
        <v>0.85279773478707721</v>
      </c>
      <c r="AH6955" s="2" t="str">
        <f ca="1"/>
        <v>Bad</v>
      </c>
    </row>
    <row r="6956" spans="2:34" x14ac:dyDescent="0.2">
      <c r="B6956" s="2">
        <f ca="1"/>
        <v>0.91145838067185081</v>
      </c>
      <c r="O6956" s="2">
        <f ca="1"/>
        <v>-0.6850596211972263</v>
      </c>
      <c r="X6956" s="2">
        <f ca="1"/>
        <v>51.020182123960325</v>
      </c>
      <c r="AG6956" s="2">
        <f ca="1"/>
        <v>0.53479337796407789</v>
      </c>
      <c r="AH6956" s="2" t="str">
        <f ca="1"/>
        <v>Bad</v>
      </c>
    </row>
    <row r="6957" spans="2:34" x14ac:dyDescent="0.2">
      <c r="B6957" s="2">
        <f ca="1"/>
        <v>0.3047842062378785</v>
      </c>
      <c r="O6957" s="2">
        <f ca="1"/>
        <v>-1.0209012829581506E-2</v>
      </c>
      <c r="X6957" s="2">
        <f ca="1"/>
        <v>35.178799356246252</v>
      </c>
      <c r="AG6957" s="2">
        <f ca="1"/>
        <v>0.15295816075300017</v>
      </c>
      <c r="AH6957" s="2" t="str">
        <f ca="1"/>
        <v>OK</v>
      </c>
    </row>
    <row r="6958" spans="2:34" x14ac:dyDescent="0.2">
      <c r="B6958" s="2">
        <f ca="1"/>
        <v>0.60321181038517491</v>
      </c>
      <c r="O6958" s="2">
        <f ca="1"/>
        <v>-1.2511616083356756</v>
      </c>
      <c r="X6958" s="2">
        <f ca="1"/>
        <v>53.072706261281638</v>
      </c>
      <c r="AG6958" s="2">
        <f ca="1"/>
        <v>0.9630288614928435</v>
      </c>
      <c r="AH6958" s="2" t="str">
        <f ca="1"/>
        <v>Bad</v>
      </c>
    </row>
    <row r="6959" spans="2:34" x14ac:dyDescent="0.2">
      <c r="B6959" s="2">
        <f ca="1"/>
        <v>0.69698277304087042</v>
      </c>
      <c r="O6959" s="2">
        <f ca="1"/>
        <v>0.44578194564881946</v>
      </c>
      <c r="X6959" s="2">
        <f ca="1"/>
        <v>29.870976620343246</v>
      </c>
      <c r="AG6959" s="2">
        <f ca="1"/>
        <v>0.54201964565394278</v>
      </c>
      <c r="AH6959" s="2" t="str">
        <f ca="1"/>
        <v>Bad</v>
      </c>
    </row>
    <row r="6960" spans="2:34" x14ac:dyDescent="0.2">
      <c r="B6960" s="2">
        <f ca="1"/>
        <v>0.65617203450136197</v>
      </c>
      <c r="O6960" s="2">
        <f ca="1"/>
        <v>-0.93244405633725369</v>
      </c>
      <c r="X6960" s="2">
        <f ca="1"/>
        <v>31.179523725336139</v>
      </c>
      <c r="AG6960" s="2">
        <f ca="1"/>
        <v>0.79882742213085312</v>
      </c>
      <c r="AH6960" s="2" t="str">
        <f ca="1"/>
        <v>Bad</v>
      </c>
    </row>
    <row r="6961" spans="2:34" x14ac:dyDescent="0.2">
      <c r="B6961" s="2">
        <f ca="1"/>
        <v>0.17275507471943974</v>
      </c>
      <c r="O6961" s="2">
        <f ca="1"/>
        <v>0.48451481346352621</v>
      </c>
      <c r="X6961" s="2">
        <f ca="1"/>
        <v>58.900039373353358</v>
      </c>
      <c r="AG6961" s="2">
        <f ca="1"/>
        <v>0.2994192445883288</v>
      </c>
      <c r="AH6961" s="2" t="str">
        <f ca="1"/>
        <v>OK</v>
      </c>
    </row>
    <row r="6962" spans="2:34" x14ac:dyDescent="0.2">
      <c r="B6962" s="2">
        <f ca="1"/>
        <v>4.0099176103764345E-2</v>
      </c>
      <c r="O6962" s="2">
        <f ca="1"/>
        <v>1.0467724815866393</v>
      </c>
      <c r="X6962" s="2">
        <f ca="1"/>
        <v>63.825432706227183</v>
      </c>
      <c r="AG6962" s="2">
        <f ca="1"/>
        <v>0.83740990892634382</v>
      </c>
      <c r="AH6962" s="2" t="str">
        <f ca="1"/>
        <v>Bad</v>
      </c>
    </row>
    <row r="6963" spans="2:34" x14ac:dyDescent="0.2">
      <c r="B6963" s="2">
        <f ca="1"/>
        <v>0.59755003933885509</v>
      </c>
      <c r="O6963" s="2">
        <f ca="1"/>
        <v>1.0245066985807059</v>
      </c>
      <c r="X6963" s="2">
        <f ca="1"/>
        <v>30.214546548193567</v>
      </c>
      <c r="AG6963" s="2">
        <f ca="1"/>
        <v>0.18237809496607515</v>
      </c>
      <c r="AH6963" s="2" t="str">
        <f ca="1"/>
        <v>OK</v>
      </c>
    </row>
    <row r="6964" spans="2:34" x14ac:dyDescent="0.2">
      <c r="B6964" s="2">
        <f ca="1"/>
        <v>0.89534370202694591</v>
      </c>
      <c r="O6964" s="2">
        <f ca="1"/>
        <v>0.33576064034029401</v>
      </c>
      <c r="X6964" s="2">
        <f ca="1"/>
        <v>58.147051842236522</v>
      </c>
      <c r="AG6964" s="2">
        <f ca="1"/>
        <v>0.67018724660843332</v>
      </c>
      <c r="AH6964" s="2" t="str">
        <f ca="1"/>
        <v>Bad</v>
      </c>
    </row>
    <row r="6965" spans="2:34" x14ac:dyDescent="0.2">
      <c r="B6965" s="2">
        <f ca="1"/>
        <v>0.25222805417171035</v>
      </c>
      <c r="O6965" s="2">
        <f ca="1"/>
        <v>7.0606316884002429E-2</v>
      </c>
      <c r="X6965" s="2">
        <f ca="1"/>
        <v>45.759147946933716</v>
      </c>
      <c r="AG6965" s="2">
        <f ca="1"/>
        <v>0.97410583150915397</v>
      </c>
      <c r="AH6965" s="2" t="str">
        <f ca="1"/>
        <v>Bad</v>
      </c>
    </row>
    <row r="6966" spans="2:34" x14ac:dyDescent="0.2">
      <c r="B6966" s="2">
        <f ca="1"/>
        <v>0.642570506170004</v>
      </c>
      <c r="O6966" s="2">
        <f ca="1"/>
        <v>-0.43198251688604494</v>
      </c>
      <c r="X6966" s="2">
        <f ca="1"/>
        <v>56.19855538076591</v>
      </c>
      <c r="AG6966" s="2">
        <f ca="1"/>
        <v>0.32146887681107472</v>
      </c>
      <c r="AH6966" s="2" t="str">
        <f ca="1"/>
        <v>OK</v>
      </c>
    </row>
    <row r="6967" spans="2:34" x14ac:dyDescent="0.2">
      <c r="B6967" s="2">
        <f ca="1"/>
        <v>0.48336286308598764</v>
      </c>
      <c r="O6967" s="2">
        <f ca="1"/>
        <v>-0.54626463098481626</v>
      </c>
      <c r="X6967" s="2">
        <f ca="1"/>
        <v>32.242269361398492</v>
      </c>
      <c r="AG6967" s="2">
        <f ca="1"/>
        <v>0.59216780013228032</v>
      </c>
      <c r="AH6967" s="2" t="str">
        <f ca="1"/>
        <v>Bad</v>
      </c>
    </row>
    <row r="6968" spans="2:34" x14ac:dyDescent="0.2">
      <c r="B6968" s="2">
        <f ca="1"/>
        <v>0.66756201703389206</v>
      </c>
      <c r="O6968" s="2">
        <f ca="1"/>
        <v>0.2783763652643173</v>
      </c>
      <c r="X6968" s="2">
        <f ca="1"/>
        <v>58.578880377901768</v>
      </c>
      <c r="AG6968" s="2">
        <f ca="1"/>
        <v>0.27748793858457299</v>
      </c>
      <c r="AH6968" s="2" t="str">
        <f ca="1"/>
        <v>OK</v>
      </c>
    </row>
    <row r="6969" spans="2:34" x14ac:dyDescent="0.2">
      <c r="B6969" s="2">
        <f ca="1"/>
        <v>0.86429634373565856</v>
      </c>
      <c r="O6969" s="2">
        <f ca="1"/>
        <v>-0.3085321558049185</v>
      </c>
      <c r="X6969" s="2">
        <f ca="1"/>
        <v>47.943529789635889</v>
      </c>
      <c r="AG6969" s="2">
        <f ca="1"/>
        <v>5.4990964973141043E-2</v>
      </c>
      <c r="AH6969" s="2" t="str">
        <f ca="1"/>
        <v>OK</v>
      </c>
    </row>
    <row r="6970" spans="2:34" x14ac:dyDescent="0.2">
      <c r="B6970" s="2">
        <f ca="1"/>
        <v>0.30394582229261169</v>
      </c>
      <c r="O6970" s="2">
        <f ca="1"/>
        <v>-0.86099167912089358</v>
      </c>
      <c r="X6970" s="2">
        <f ca="1"/>
        <v>44.659115846625667</v>
      </c>
      <c r="AG6970" s="2">
        <f ca="1"/>
        <v>0.17869396525972947</v>
      </c>
      <c r="AH6970" s="2" t="str">
        <f ca="1"/>
        <v>OK</v>
      </c>
    </row>
    <row r="6971" spans="2:34" x14ac:dyDescent="0.2">
      <c r="B6971" s="2">
        <f ca="1"/>
        <v>0.64316562294074608</v>
      </c>
      <c r="O6971" s="2">
        <f ca="1"/>
        <v>-1.0342290210177441</v>
      </c>
      <c r="X6971" s="2">
        <f ca="1"/>
        <v>62.491569190392212</v>
      </c>
      <c r="AG6971" s="2">
        <f ca="1"/>
        <v>0.58606434758894999</v>
      </c>
      <c r="AH6971" s="2" t="str">
        <f ca="1"/>
        <v>Bad</v>
      </c>
    </row>
    <row r="6972" spans="2:34" x14ac:dyDescent="0.2">
      <c r="B6972" s="2">
        <f ca="1"/>
        <v>0.53126534855942831</v>
      </c>
      <c r="O6972" s="2">
        <f ca="1"/>
        <v>-0.36051121826185639</v>
      </c>
      <c r="X6972" s="2">
        <f ca="1"/>
        <v>37.463686817871555</v>
      </c>
      <c r="AG6972" s="2">
        <f ca="1"/>
        <v>0.62103708727707674</v>
      </c>
      <c r="AH6972" s="2" t="str">
        <f ca="1"/>
        <v>Bad</v>
      </c>
    </row>
    <row r="6973" spans="2:34" x14ac:dyDescent="0.2">
      <c r="B6973" s="2">
        <f ca="1"/>
        <v>0.53771233038690402</v>
      </c>
      <c r="O6973" s="2">
        <f ca="1"/>
        <v>1.7241390567316957</v>
      </c>
      <c r="X6973" s="2">
        <f ca="1"/>
        <v>26.875269916029232</v>
      </c>
      <c r="AG6973" s="2">
        <f ca="1"/>
        <v>0.35181657724830706</v>
      </c>
      <c r="AH6973" s="2" t="str">
        <f ca="1"/>
        <v>OK</v>
      </c>
    </row>
    <row r="6974" spans="2:34" x14ac:dyDescent="0.2">
      <c r="B6974" s="2">
        <f ca="1"/>
        <v>0.18457673715695244</v>
      </c>
      <c r="O6974" s="2">
        <f ca="1"/>
        <v>0.2835405958653654</v>
      </c>
      <c r="X6974" s="2">
        <f ca="1"/>
        <v>45.387871705148648</v>
      </c>
      <c r="AG6974" s="2">
        <f ca="1"/>
        <v>0.53657241124466637</v>
      </c>
      <c r="AH6974" s="2" t="str">
        <f ca="1"/>
        <v>Bad</v>
      </c>
    </row>
    <row r="6975" spans="2:34" x14ac:dyDescent="0.2">
      <c r="B6975" s="2">
        <f ca="1"/>
        <v>0.72874957508795601</v>
      </c>
      <c r="O6975" s="2">
        <f ca="1"/>
        <v>-1.0509249286494775</v>
      </c>
      <c r="X6975" s="2">
        <f ca="1"/>
        <v>67.553791420502364</v>
      </c>
      <c r="AG6975" s="2">
        <f ca="1"/>
        <v>0.47162372648435125</v>
      </c>
      <c r="AH6975" s="2" t="str">
        <f ca="1"/>
        <v>Bad</v>
      </c>
    </row>
    <row r="6976" spans="2:34" x14ac:dyDescent="0.2">
      <c r="B6976" s="2">
        <f ca="1"/>
        <v>0.69601506421422243</v>
      </c>
      <c r="O6976" s="2">
        <f ca="1"/>
        <v>5.3673320475409195E-2</v>
      </c>
      <c r="X6976" s="2">
        <f ca="1"/>
        <v>62.620838424280464</v>
      </c>
      <c r="AG6976" s="2">
        <f ca="1"/>
        <v>0.40098753042777013</v>
      </c>
      <c r="AH6976" s="2" t="str">
        <f ca="1"/>
        <v>Bad</v>
      </c>
    </row>
    <row r="6977" spans="2:34" x14ac:dyDescent="0.2">
      <c r="B6977" s="2">
        <f ca="1"/>
        <v>0.94631697262945003</v>
      </c>
      <c r="O6977" s="2">
        <f ca="1"/>
        <v>0.24792001005793779</v>
      </c>
      <c r="X6977" s="2">
        <f ca="1"/>
        <v>22.779200061828945</v>
      </c>
      <c r="AG6977" s="2">
        <f ca="1"/>
        <v>2.7264870255666152E-2</v>
      </c>
      <c r="AH6977" s="2" t="str">
        <f ca="1"/>
        <v>Good</v>
      </c>
    </row>
    <row r="6978" spans="2:34" x14ac:dyDescent="0.2">
      <c r="B6978" s="2">
        <f ca="1"/>
        <v>0.78247786577653211</v>
      </c>
      <c r="O6978" s="2">
        <f ca="1"/>
        <v>-1.1869886380716803</v>
      </c>
      <c r="X6978" s="2">
        <f ca="1"/>
        <v>38.074117159819856</v>
      </c>
      <c r="AG6978" s="2">
        <f ca="1"/>
        <v>0.8347676873641936</v>
      </c>
      <c r="AH6978" s="2" t="str">
        <f ca="1"/>
        <v>Bad</v>
      </c>
    </row>
    <row r="6979" spans="2:34" x14ac:dyDescent="0.2">
      <c r="B6979" s="2">
        <f ca="1"/>
        <v>0.89415842860529682</v>
      </c>
      <c r="O6979" s="2">
        <f ca="1"/>
        <v>1.0688931654909879</v>
      </c>
      <c r="X6979" s="2">
        <f ca="1"/>
        <v>39.448710297856181</v>
      </c>
      <c r="AG6979" s="2">
        <f ca="1"/>
        <v>0.87006613366231123</v>
      </c>
      <c r="AH6979" s="2" t="str">
        <f ca="1"/>
        <v>Bad</v>
      </c>
    </row>
    <row r="6980" spans="2:34" x14ac:dyDescent="0.2">
      <c r="B6980" s="2">
        <f ca="1"/>
        <v>0.57056716748041647</v>
      </c>
      <c r="O6980" s="2">
        <f ca="1"/>
        <v>-1.2641929718010525</v>
      </c>
      <c r="X6980" s="2">
        <f ca="1"/>
        <v>42.382373753528533</v>
      </c>
      <c r="AG6980" s="2">
        <f ca="1"/>
        <v>0.83968224284862858</v>
      </c>
      <c r="AH6980" s="2" t="str">
        <f ca="1"/>
        <v>Bad</v>
      </c>
    </row>
    <row r="6981" spans="2:34" x14ac:dyDescent="0.2">
      <c r="B6981" s="2">
        <f ca="1"/>
        <v>0.86087048001500155</v>
      </c>
      <c r="O6981" s="2">
        <f ca="1"/>
        <v>-4.2134012966886118E-2</v>
      </c>
      <c r="X6981" s="2">
        <f ca="1"/>
        <v>41.364044553311452</v>
      </c>
      <c r="AG6981" s="2">
        <f ca="1"/>
        <v>0.94219391297069688</v>
      </c>
      <c r="AH6981" s="2" t="str">
        <f ca="1"/>
        <v>Bad</v>
      </c>
    </row>
    <row r="6982" spans="2:34" x14ac:dyDescent="0.2">
      <c r="B6982" s="2">
        <f ca="1"/>
        <v>0.68771649435947935</v>
      </c>
      <c r="O6982" s="2">
        <f ca="1"/>
        <v>-1.0031244484925494</v>
      </c>
      <c r="X6982" s="2">
        <f ca="1"/>
        <v>40.944225059091167</v>
      </c>
      <c r="AG6982" s="2">
        <f ca="1"/>
        <v>0.71316349208045438</v>
      </c>
      <c r="AH6982" s="2" t="str">
        <f ca="1"/>
        <v>Bad</v>
      </c>
    </row>
    <row r="6983" spans="2:34" x14ac:dyDescent="0.2">
      <c r="B6983" s="2">
        <f ca="1"/>
        <v>0.8164071709264249</v>
      </c>
      <c r="O6983" s="2">
        <f ca="1"/>
        <v>0.27591076745602988</v>
      </c>
      <c r="X6983" s="2">
        <f ca="1"/>
        <v>44.465122920620388</v>
      </c>
      <c r="AG6983" s="2">
        <f ca="1"/>
        <v>0.21074266007342257</v>
      </c>
      <c r="AH6983" s="2" t="str">
        <f ca="1"/>
        <v>OK</v>
      </c>
    </row>
    <row r="6984" spans="2:34" x14ac:dyDescent="0.2">
      <c r="B6984" s="2">
        <f ca="1"/>
        <v>0.73192779704960498</v>
      </c>
      <c r="O6984" s="2">
        <f ca="1"/>
        <v>-1.1752319940477163</v>
      </c>
      <c r="X6984" s="2">
        <f ca="1"/>
        <v>38.189111949377747</v>
      </c>
      <c r="AG6984" s="2">
        <f ca="1"/>
        <v>0.92165764144963269</v>
      </c>
      <c r="AH6984" s="2" t="str">
        <f ca="1"/>
        <v>Bad</v>
      </c>
    </row>
    <row r="6985" spans="2:34" x14ac:dyDescent="0.2">
      <c r="B6985" s="2">
        <f ca="1"/>
        <v>0.68289265899501794</v>
      </c>
      <c r="O6985" s="2">
        <f ca="1"/>
        <v>0.11223476299842965</v>
      </c>
      <c r="X6985" s="2">
        <f ca="1"/>
        <v>38.561349837155134</v>
      </c>
      <c r="AG6985" s="2">
        <f ca="1"/>
        <v>0.9033061093546042</v>
      </c>
      <c r="AH6985" s="2" t="str">
        <f ca="1"/>
        <v>Bad</v>
      </c>
    </row>
    <row r="6986" spans="2:34" x14ac:dyDescent="0.2">
      <c r="B6986" s="2">
        <f ca="1"/>
        <v>0.84600328109223977</v>
      </c>
      <c r="O6986" s="2">
        <f ca="1"/>
        <v>-0.28073519751641751</v>
      </c>
      <c r="X6986" s="2">
        <f ca="1"/>
        <v>30.754753697008745</v>
      </c>
      <c r="AG6986" s="2">
        <f ca="1"/>
        <v>0.18725992851892914</v>
      </c>
      <c r="AH6986" s="2" t="str">
        <f ca="1"/>
        <v>OK</v>
      </c>
    </row>
    <row r="6987" spans="2:34" x14ac:dyDescent="0.2">
      <c r="B6987" s="2">
        <f ca="1"/>
        <v>0.70522224098087105</v>
      </c>
      <c r="O6987" s="2">
        <f ca="1"/>
        <v>0.48290890913962597</v>
      </c>
      <c r="X6987" s="2">
        <f ca="1"/>
        <v>52.203545713947832</v>
      </c>
      <c r="AG6987" s="2">
        <f ca="1"/>
        <v>0.5283266363717134</v>
      </c>
      <c r="AH6987" s="2" t="str">
        <f ca="1"/>
        <v>Bad</v>
      </c>
    </row>
    <row r="6988" spans="2:34" x14ac:dyDescent="0.2">
      <c r="B6988" s="2">
        <f ca="1"/>
        <v>0.14264608013271052</v>
      </c>
      <c r="O6988" s="2">
        <f ca="1"/>
        <v>1.2003624562188024</v>
      </c>
      <c r="X6988" s="2">
        <f ca="1"/>
        <v>67.224089809348158</v>
      </c>
      <c r="AG6988" s="2">
        <f ca="1"/>
        <v>0.94780928349467275</v>
      </c>
      <c r="AH6988" s="2" t="str">
        <f ca="1"/>
        <v>Bad</v>
      </c>
    </row>
    <row r="6989" spans="2:34" x14ac:dyDescent="0.2">
      <c r="B6989" s="2">
        <f ca="1"/>
        <v>5.8405137473428237E-2</v>
      </c>
      <c r="O6989" s="2">
        <f ca="1"/>
        <v>0.85553328567680642</v>
      </c>
      <c r="X6989" s="2">
        <f ca="1"/>
        <v>47.933641035565337</v>
      </c>
      <c r="AG6989" s="2">
        <f ca="1"/>
        <v>0.36685471421112537</v>
      </c>
      <c r="AH6989" s="2" t="str">
        <f ca="1"/>
        <v>OK</v>
      </c>
    </row>
    <row r="6990" spans="2:34" x14ac:dyDescent="0.2">
      <c r="B6990" s="2">
        <f ca="1"/>
        <v>0.91658292672645536</v>
      </c>
      <c r="O6990" s="2">
        <f ca="1"/>
        <v>-0.50907515792966129</v>
      </c>
      <c r="X6990" s="2">
        <f ca="1"/>
        <v>42.009570653756789</v>
      </c>
      <c r="AG6990" s="2">
        <f ca="1"/>
        <v>0.42545297896626155</v>
      </c>
      <c r="AH6990" s="2" t="str">
        <f ca="1"/>
        <v>Bad</v>
      </c>
    </row>
    <row r="6991" spans="2:34" x14ac:dyDescent="0.2">
      <c r="B6991" s="2">
        <f ca="1"/>
        <v>0.90940151964104654</v>
      </c>
      <c r="O6991" s="2">
        <f ca="1"/>
        <v>0.52709242270732504</v>
      </c>
      <c r="X6991" s="2">
        <f ca="1"/>
        <v>36.279066468037541</v>
      </c>
      <c r="AG6991" s="2">
        <f ca="1"/>
        <v>0.82561703252506113</v>
      </c>
      <c r="AH6991" s="2" t="str">
        <f ca="1"/>
        <v>Bad</v>
      </c>
    </row>
    <row r="6992" spans="2:34" x14ac:dyDescent="0.2">
      <c r="B6992" s="2">
        <f ca="1"/>
        <v>0.59160809688741511</v>
      </c>
      <c r="O6992" s="2">
        <f ca="1"/>
        <v>-0.53745470624892566</v>
      </c>
      <c r="X6992" s="2">
        <f ca="1"/>
        <v>52.577315197521543</v>
      </c>
      <c r="AG6992" s="2">
        <f ca="1"/>
        <v>0.42559014948694696</v>
      </c>
      <c r="AH6992" s="2" t="str">
        <f ca="1"/>
        <v>Bad</v>
      </c>
    </row>
    <row r="6993" spans="2:34" x14ac:dyDescent="0.2">
      <c r="B6993" s="2">
        <f ca="1"/>
        <v>0.96723565871671724</v>
      </c>
      <c r="O6993" s="2">
        <f ca="1"/>
        <v>1.0559483201332208E-2</v>
      </c>
      <c r="X6993" s="2">
        <f ca="1"/>
        <v>47.708090555753088</v>
      </c>
      <c r="AG6993" s="2">
        <f ca="1"/>
        <v>0.35086561107532699</v>
      </c>
      <c r="AH6993" s="2" t="str">
        <f ca="1"/>
        <v>OK</v>
      </c>
    </row>
    <row r="6994" spans="2:34" x14ac:dyDescent="0.2">
      <c r="B6994" s="2">
        <f ca="1"/>
        <v>5.4643592561265386E-4</v>
      </c>
      <c r="O6994" s="2">
        <f ca="1"/>
        <v>0.27338673776144917</v>
      </c>
      <c r="X6994" s="2">
        <f ca="1"/>
        <v>55.491299564078659</v>
      </c>
      <c r="AG6994" s="2">
        <f ca="1"/>
        <v>0.35598564813432243</v>
      </c>
      <c r="AH6994" s="2" t="str">
        <f ca="1"/>
        <v>OK</v>
      </c>
    </row>
    <row r="6995" spans="2:34" x14ac:dyDescent="0.2">
      <c r="B6995" s="2">
        <f ca="1"/>
        <v>0.836881825351943</v>
      </c>
      <c r="O6995" s="2">
        <f ca="1"/>
        <v>-0.42997681328150034</v>
      </c>
      <c r="X6995" s="2">
        <f ca="1"/>
        <v>40.817835254443025</v>
      </c>
      <c r="AG6995" s="2">
        <f ca="1"/>
        <v>0.52024078173266575</v>
      </c>
      <c r="AH6995" s="2" t="str">
        <f ca="1"/>
        <v>Bad</v>
      </c>
    </row>
    <row r="6996" spans="2:34" x14ac:dyDescent="0.2">
      <c r="B6996" s="2">
        <f ca="1"/>
        <v>0.3438040058017886</v>
      </c>
      <c r="O6996" s="2">
        <f ca="1"/>
        <v>0.4764689420924868</v>
      </c>
      <c r="X6996" s="2">
        <f ca="1"/>
        <v>52.214818360383987</v>
      </c>
      <c r="AG6996" s="2">
        <f ca="1"/>
        <v>0.88365887390705411</v>
      </c>
      <c r="AH6996" s="2" t="str">
        <f ca="1"/>
        <v>Bad</v>
      </c>
    </row>
    <row r="6997" spans="2:34" x14ac:dyDescent="0.2">
      <c r="B6997" s="2">
        <f ca="1"/>
        <v>0.13887654714175035</v>
      </c>
      <c r="O6997" s="2">
        <f ca="1"/>
        <v>-0.52122304591703605</v>
      </c>
      <c r="X6997" s="2">
        <f ca="1"/>
        <v>53.083326643753651</v>
      </c>
      <c r="AG6997" s="2">
        <f ca="1"/>
        <v>0.54987822538750852</v>
      </c>
      <c r="AH6997" s="2" t="str">
        <f ca="1"/>
        <v>Bad</v>
      </c>
    </row>
    <row r="6998" spans="2:34" x14ac:dyDescent="0.2">
      <c r="B6998" s="2">
        <f ca="1"/>
        <v>0.89729651641377717</v>
      </c>
      <c r="O6998" s="2">
        <f ca="1"/>
        <v>-1.720019620357085</v>
      </c>
      <c r="X6998" s="2">
        <f ca="1"/>
        <v>51.050427765052518</v>
      </c>
      <c r="AG6998" s="2">
        <f ca="1"/>
        <v>0.72420797866916597</v>
      </c>
      <c r="AH6998" s="2" t="str">
        <f ca="1"/>
        <v>Bad</v>
      </c>
    </row>
    <row r="6999" spans="2:34" x14ac:dyDescent="0.2">
      <c r="B6999" s="2">
        <f ca="1"/>
        <v>5.4634095972774244E-3</v>
      </c>
      <c r="O6999" s="2">
        <f ca="1"/>
        <v>0.32429094639425099</v>
      </c>
      <c r="X6999" s="2">
        <f ca="1"/>
        <v>41.229015857459586</v>
      </c>
      <c r="AG6999" s="2">
        <f ca="1"/>
        <v>0.42227482369065839</v>
      </c>
      <c r="AH6999" s="2" t="str">
        <f ca="1"/>
        <v>Bad</v>
      </c>
    </row>
    <row r="7000" spans="2:34" x14ac:dyDescent="0.2">
      <c r="B7000" s="2">
        <f ca="1"/>
        <v>0.21294293216117821</v>
      </c>
      <c r="O7000" s="2">
        <f ca="1"/>
        <v>0.68201502652609924</v>
      </c>
      <c r="X7000" s="2">
        <f ca="1"/>
        <v>41.047933093749194</v>
      </c>
      <c r="AG7000" s="2">
        <f ca="1"/>
        <v>0.88340573279549406</v>
      </c>
      <c r="AH7000" s="2" t="str">
        <f ca="1"/>
        <v>Bad</v>
      </c>
    </row>
    <row r="7001" spans="2:34" x14ac:dyDescent="0.2">
      <c r="B7001" s="2">
        <f ca="1"/>
        <v>0.80910030286620227</v>
      </c>
      <c r="O7001" s="2">
        <f ca="1"/>
        <v>1.9431506698016507</v>
      </c>
      <c r="X7001" s="2">
        <f ca="1"/>
        <v>37.649504368222196</v>
      </c>
      <c r="AG7001" s="2">
        <f ca="1"/>
        <v>0.61611676371147328</v>
      </c>
      <c r="AH7001" s="2" t="str">
        <f ca="1"/>
        <v>Bad</v>
      </c>
    </row>
    <row r="7002" spans="2:34" x14ac:dyDescent="0.2">
      <c r="B7002" s="2">
        <f ca="1"/>
        <v>0.18688184089013848</v>
      </c>
      <c r="O7002" s="2">
        <f ca="1"/>
        <v>-0.56897009513816998</v>
      </c>
      <c r="X7002" s="2">
        <f ca="1"/>
        <v>56.225653348964507</v>
      </c>
      <c r="AG7002" s="2">
        <f ca="1"/>
        <v>0.92027626008989727</v>
      </c>
      <c r="AH7002" s="2" t="str">
        <f ca="1"/>
        <v>Bad</v>
      </c>
    </row>
    <row r="7003" spans="2:34" x14ac:dyDescent="0.2">
      <c r="B7003" s="2">
        <f ca="1"/>
        <v>0.5494797894596386</v>
      </c>
      <c r="O7003" s="2">
        <f ca="1"/>
        <v>0.40485269540130797</v>
      </c>
      <c r="X7003" s="2">
        <f ca="1"/>
        <v>56.302432578108245</v>
      </c>
      <c r="AG7003" s="2">
        <f ca="1"/>
        <v>0.64418565445972553</v>
      </c>
      <c r="AH7003" s="2" t="str">
        <f ca="1"/>
        <v>Bad</v>
      </c>
    </row>
    <row r="7004" spans="2:34" x14ac:dyDescent="0.2">
      <c r="B7004" s="2">
        <f ca="1"/>
        <v>0.57763348448199459</v>
      </c>
      <c r="O7004" s="2">
        <f ca="1"/>
        <v>0.49579733460207559</v>
      </c>
      <c r="X7004" s="2">
        <f ca="1"/>
        <v>32.020787993871302</v>
      </c>
      <c r="AG7004" s="2">
        <f ca="1"/>
        <v>0.54929073424666375</v>
      </c>
      <c r="AH7004" s="2" t="str">
        <f ca="1"/>
        <v>Bad</v>
      </c>
    </row>
    <row r="7005" spans="2:34" x14ac:dyDescent="0.2">
      <c r="B7005" s="2">
        <f ca="1"/>
        <v>0.98788980993603115</v>
      </c>
      <c r="O7005" s="2">
        <f ca="1"/>
        <v>-1.0133227179912581</v>
      </c>
      <c r="X7005" s="2">
        <f ca="1"/>
        <v>61.329614806286514</v>
      </c>
      <c r="AG7005" s="2">
        <f ca="1"/>
        <v>0.63953834445281399</v>
      </c>
      <c r="AH7005" s="2" t="str">
        <f ca="1"/>
        <v>Bad</v>
      </c>
    </row>
    <row r="7006" spans="2:34" x14ac:dyDescent="0.2">
      <c r="B7006" s="2">
        <f ca="1"/>
        <v>0.67730303375316114</v>
      </c>
      <c r="O7006" s="2">
        <f ca="1"/>
        <v>-1.3888012760906323</v>
      </c>
      <c r="X7006" s="2">
        <f ca="1"/>
        <v>48.241674194654891</v>
      </c>
      <c r="AG7006" s="2">
        <f ca="1"/>
        <v>0.48763689789301656</v>
      </c>
      <c r="AH7006" s="2" t="str">
        <f ca="1"/>
        <v>Bad</v>
      </c>
    </row>
    <row r="7007" spans="2:34" x14ac:dyDescent="0.2">
      <c r="B7007" s="2">
        <f ca="1"/>
        <v>0.85206414076565795</v>
      </c>
      <c r="O7007" s="2">
        <f ca="1"/>
        <v>1.4296618860527879</v>
      </c>
      <c r="X7007" s="2">
        <f ca="1"/>
        <v>44.945380346532922</v>
      </c>
      <c r="AG7007" s="2">
        <f ca="1"/>
        <v>0.30566871346140045</v>
      </c>
      <c r="AH7007" s="2" t="str">
        <f ca="1"/>
        <v>OK</v>
      </c>
    </row>
    <row r="7008" spans="2:34" x14ac:dyDescent="0.2">
      <c r="B7008" s="2">
        <f ca="1"/>
        <v>0.26184711794823001</v>
      </c>
      <c r="O7008" s="2">
        <f ca="1"/>
        <v>0.24311353787130088</v>
      </c>
      <c r="X7008" s="2">
        <f ca="1"/>
        <v>54.413831830208508</v>
      </c>
      <c r="AG7008" s="2">
        <f ca="1"/>
        <v>0.68021148328254388</v>
      </c>
      <c r="AH7008" s="2" t="str">
        <f ca="1"/>
        <v>Bad</v>
      </c>
    </row>
    <row r="7009" spans="2:34" x14ac:dyDescent="0.2">
      <c r="B7009" s="2">
        <f ca="1"/>
        <v>0.28206372298900195</v>
      </c>
      <c r="O7009" s="2">
        <f ca="1"/>
        <v>0.54109713088750921</v>
      </c>
      <c r="X7009" s="2">
        <f ca="1"/>
        <v>48.289408133557131</v>
      </c>
      <c r="AG7009" s="2">
        <f ca="1"/>
        <v>5.767477801921328E-2</v>
      </c>
      <c r="AH7009" s="2" t="str">
        <f ca="1"/>
        <v>OK</v>
      </c>
    </row>
    <row r="7010" spans="2:34" x14ac:dyDescent="0.2">
      <c r="B7010" s="2">
        <f ca="1"/>
        <v>0.2972115907911963</v>
      </c>
      <c r="O7010" s="2">
        <f ca="1"/>
        <v>0.60968259893210397</v>
      </c>
      <c r="X7010" s="2">
        <f ca="1"/>
        <v>86.348406195858516</v>
      </c>
      <c r="AG7010" s="2">
        <f ca="1"/>
        <v>0.60442398855258572</v>
      </c>
      <c r="AH7010" s="2" t="str">
        <f ca="1"/>
        <v>Bad</v>
      </c>
    </row>
    <row r="7011" spans="2:34" x14ac:dyDescent="0.2">
      <c r="B7011" s="2">
        <f ca="1"/>
        <v>0.19497774317164707</v>
      </c>
      <c r="O7011" s="2">
        <f ca="1"/>
        <v>1.9901200226636651</v>
      </c>
      <c r="X7011" s="2">
        <f ca="1"/>
        <v>39.216503182719975</v>
      </c>
      <c r="AG7011" s="2">
        <f ca="1"/>
        <v>0.75987761330707415</v>
      </c>
      <c r="AH7011" s="2" t="str">
        <f ca="1"/>
        <v>Bad</v>
      </c>
    </row>
    <row r="7012" spans="2:34" x14ac:dyDescent="0.2">
      <c r="B7012" s="2">
        <f ca="1"/>
        <v>0.64630628670982682</v>
      </c>
      <c r="O7012" s="2">
        <f ca="1"/>
        <v>-8.7197057467244585E-2</v>
      </c>
      <c r="X7012" s="2">
        <f ca="1"/>
        <v>37.715032414373475</v>
      </c>
      <c r="AG7012" s="2">
        <f ca="1"/>
        <v>0.82774770670800812</v>
      </c>
      <c r="AH7012" s="2" t="str">
        <f ca="1"/>
        <v>Bad</v>
      </c>
    </row>
    <row r="7013" spans="2:34" x14ac:dyDescent="0.2">
      <c r="B7013" s="2">
        <f ca="1"/>
        <v>0.22436761597541799</v>
      </c>
      <c r="O7013" s="2">
        <f ca="1"/>
        <v>1.2488492811792278</v>
      </c>
      <c r="X7013" s="2">
        <f ca="1"/>
        <v>28.952191671884975</v>
      </c>
      <c r="AG7013" s="2">
        <f ca="1"/>
        <v>1.6583982857692803E-2</v>
      </c>
      <c r="AH7013" s="2" t="str">
        <f ca="1"/>
        <v>Good</v>
      </c>
    </row>
    <row r="7014" spans="2:34" x14ac:dyDescent="0.2">
      <c r="B7014" s="2">
        <f ca="1"/>
        <v>0.51315780279747925</v>
      </c>
      <c r="O7014" s="2">
        <f ca="1"/>
        <v>-0.22598498160970484</v>
      </c>
      <c r="X7014" s="2">
        <f ca="1"/>
        <v>27.152003628783437</v>
      </c>
      <c r="AG7014" s="2">
        <f ca="1"/>
        <v>0.88328568313566791</v>
      </c>
      <c r="AH7014" s="2" t="str">
        <f ca="1"/>
        <v>Bad</v>
      </c>
    </row>
    <row r="7015" spans="2:34" x14ac:dyDescent="0.2">
      <c r="B7015" s="2">
        <f ca="1"/>
        <v>0.86380605579533842</v>
      </c>
      <c r="O7015" s="2">
        <f ca="1"/>
        <v>1.9340271802820179</v>
      </c>
      <c r="X7015" s="2">
        <f ca="1"/>
        <v>44.356900098476331</v>
      </c>
      <c r="AG7015" s="2">
        <f ca="1"/>
        <v>0.7646804636182245</v>
      </c>
      <c r="AH7015" s="2" t="str">
        <f ca="1"/>
        <v>Bad</v>
      </c>
    </row>
    <row r="7016" spans="2:34" x14ac:dyDescent="0.2">
      <c r="B7016" s="2">
        <f ca="1"/>
        <v>0.64230317139395243</v>
      </c>
      <c r="O7016" s="2">
        <f ca="1"/>
        <v>1.1176371322552205</v>
      </c>
      <c r="X7016" s="2">
        <f ca="1"/>
        <v>93.770319622395292</v>
      </c>
      <c r="AG7016" s="2">
        <f ca="1"/>
        <v>0.36062788856825856</v>
      </c>
      <c r="AH7016" s="2" t="str">
        <f ca="1"/>
        <v>OK</v>
      </c>
    </row>
    <row r="7017" spans="2:34" x14ac:dyDescent="0.2">
      <c r="B7017" s="2">
        <f ca="1"/>
        <v>0.21464025313888047</v>
      </c>
      <c r="O7017" s="2">
        <f ca="1"/>
        <v>1.1849605984994387</v>
      </c>
      <c r="X7017" s="2">
        <f ca="1"/>
        <v>58.168151605497592</v>
      </c>
      <c r="AG7017" s="2">
        <f ca="1"/>
        <v>0.9657521931041575</v>
      </c>
      <c r="AH7017" s="2" t="str">
        <f ca="1"/>
        <v>Bad</v>
      </c>
    </row>
    <row r="7018" spans="2:34" x14ac:dyDescent="0.2">
      <c r="B7018" s="2">
        <f ca="1"/>
        <v>0.26067323703651235</v>
      </c>
      <c r="O7018" s="2">
        <f ca="1"/>
        <v>1.7507261787029744</v>
      </c>
      <c r="X7018" s="2">
        <f ca="1"/>
        <v>32.268025743096032</v>
      </c>
      <c r="AG7018" s="2">
        <f ca="1"/>
        <v>0.7943683620085753</v>
      </c>
      <c r="AH7018" s="2" t="str">
        <f ca="1"/>
        <v>Bad</v>
      </c>
    </row>
    <row r="7019" spans="2:34" x14ac:dyDescent="0.2">
      <c r="B7019" s="2">
        <f ca="1"/>
        <v>0.28784302552085506</v>
      </c>
      <c r="O7019" s="2">
        <f ca="1"/>
        <v>0.89228670899950036</v>
      </c>
      <c r="X7019" s="2">
        <f ca="1"/>
        <v>90.993337123350358</v>
      </c>
      <c r="AG7019" s="2">
        <f ca="1"/>
        <v>0.91485760092067925</v>
      </c>
      <c r="AH7019" s="2" t="str">
        <f ca="1"/>
        <v>Bad</v>
      </c>
    </row>
    <row r="7020" spans="2:34" x14ac:dyDescent="0.2">
      <c r="B7020" s="2">
        <f ca="1"/>
        <v>0.51997555521839778</v>
      </c>
      <c r="O7020" s="2">
        <f ca="1"/>
        <v>0.92999726545764216</v>
      </c>
      <c r="X7020" s="2">
        <f ca="1"/>
        <v>66.548266177543042</v>
      </c>
      <c r="AG7020" s="2">
        <f ca="1"/>
        <v>0.21496857631173905</v>
      </c>
      <c r="AH7020" s="2" t="str">
        <f ca="1"/>
        <v>OK</v>
      </c>
    </row>
    <row r="7021" spans="2:34" x14ac:dyDescent="0.2">
      <c r="B7021" s="2">
        <f ca="1"/>
        <v>0.25706399996416374</v>
      </c>
      <c r="O7021" s="2">
        <f ca="1"/>
        <v>-1.2548789899623967</v>
      </c>
      <c r="X7021" s="2">
        <f ca="1"/>
        <v>49.08987891083769</v>
      </c>
      <c r="AG7021" s="2">
        <f ca="1"/>
        <v>0.5281516441187819</v>
      </c>
      <c r="AH7021" s="2" t="str">
        <f ca="1"/>
        <v>Bad</v>
      </c>
    </row>
    <row r="7022" spans="2:34" x14ac:dyDescent="0.2">
      <c r="B7022" s="2">
        <f ca="1"/>
        <v>0.15824735467474649</v>
      </c>
      <c r="O7022" s="2">
        <f ca="1"/>
        <v>1.0577581732365133</v>
      </c>
      <c r="X7022" s="2">
        <f ca="1"/>
        <v>55.323057505790992</v>
      </c>
      <c r="AG7022" s="2">
        <f ca="1"/>
        <v>0.5649293025854536</v>
      </c>
      <c r="AH7022" s="2" t="str">
        <f ca="1"/>
        <v>Bad</v>
      </c>
    </row>
    <row r="7023" spans="2:34" x14ac:dyDescent="0.2">
      <c r="B7023" s="2">
        <f ca="1"/>
        <v>0.63479291081538003</v>
      </c>
      <c r="O7023" s="2">
        <f ca="1"/>
        <v>-1.4560729822032474</v>
      </c>
      <c r="X7023" s="2">
        <f ca="1"/>
        <v>37.404270809948976</v>
      </c>
      <c r="AG7023" s="2">
        <f ca="1"/>
        <v>0.58838977855404462</v>
      </c>
      <c r="AH7023" s="2" t="str">
        <f ca="1"/>
        <v>Bad</v>
      </c>
    </row>
    <row r="7024" spans="2:34" x14ac:dyDescent="0.2">
      <c r="B7024" s="2">
        <f ca="1"/>
        <v>0.42189101185679134</v>
      </c>
      <c r="O7024" s="2">
        <f ca="1"/>
        <v>-1.5517098247923968E-2</v>
      </c>
      <c r="X7024" s="2">
        <f ca="1"/>
        <v>31.638503579888187</v>
      </c>
      <c r="AG7024" s="2">
        <f ca="1"/>
        <v>7.8930702218358739E-2</v>
      </c>
      <c r="AH7024" s="2" t="str">
        <f ca="1"/>
        <v>OK</v>
      </c>
    </row>
    <row r="7025" spans="2:34" x14ac:dyDescent="0.2">
      <c r="B7025" s="2">
        <f ca="1"/>
        <v>0.47060760671809243</v>
      </c>
      <c r="O7025" s="2">
        <f ca="1"/>
        <v>-0.77513335161990238</v>
      </c>
      <c r="X7025" s="2">
        <f ca="1"/>
        <v>66.925781134592171</v>
      </c>
      <c r="AG7025" s="2">
        <f ca="1"/>
        <v>0.74379869699696588</v>
      </c>
      <c r="AH7025" s="2" t="str">
        <f ca="1"/>
        <v>Bad</v>
      </c>
    </row>
    <row r="7026" spans="2:34" x14ac:dyDescent="0.2">
      <c r="B7026" s="2">
        <f ca="1"/>
        <v>0.96275868481470694</v>
      </c>
      <c r="O7026" s="2">
        <f ca="1"/>
        <v>-0.18674314616986445</v>
      </c>
      <c r="X7026" s="2">
        <f ca="1"/>
        <v>41.960783135212417</v>
      </c>
      <c r="AG7026" s="2">
        <f ca="1"/>
        <v>0.40361204243502624</v>
      </c>
      <c r="AH7026" s="2" t="str">
        <f ca="1"/>
        <v>Bad</v>
      </c>
    </row>
    <row r="7027" spans="2:34" x14ac:dyDescent="0.2">
      <c r="B7027" s="2">
        <f ca="1"/>
        <v>1.3150911033499302E-2</v>
      </c>
      <c r="O7027" s="2">
        <f ca="1"/>
        <v>-0.77877119696892216</v>
      </c>
      <c r="X7027" s="2">
        <f ca="1"/>
        <v>37.58509865833723</v>
      </c>
      <c r="AG7027" s="2">
        <f ca="1"/>
        <v>0.18338829995836026</v>
      </c>
      <c r="AH7027" s="2" t="str">
        <f ca="1"/>
        <v>OK</v>
      </c>
    </row>
    <row r="7028" spans="2:34" x14ac:dyDescent="0.2">
      <c r="B7028" s="2">
        <f ca="1"/>
        <v>0.5366743010388022</v>
      </c>
      <c r="O7028" s="2">
        <f ca="1"/>
        <v>0.42017528941048393</v>
      </c>
      <c r="X7028" s="2">
        <f ca="1"/>
        <v>53.005683531228051</v>
      </c>
      <c r="AG7028" s="2">
        <f ca="1"/>
        <v>0.92529927560830805</v>
      </c>
      <c r="AH7028" s="2" t="str">
        <f ca="1"/>
        <v>Bad</v>
      </c>
    </row>
    <row r="7029" spans="2:34" x14ac:dyDescent="0.2">
      <c r="B7029" s="2">
        <f ca="1"/>
        <v>0.25505404729592729</v>
      </c>
      <c r="O7029" s="2">
        <f ca="1"/>
        <v>0.72487238817723698</v>
      </c>
      <c r="X7029" s="2">
        <f ca="1"/>
        <v>35.971626501058623</v>
      </c>
      <c r="AG7029" s="2">
        <f ca="1"/>
        <v>0.40420357764230763</v>
      </c>
      <c r="AH7029" s="2" t="str">
        <f ca="1"/>
        <v>Bad</v>
      </c>
    </row>
    <row r="7030" spans="2:34" x14ac:dyDescent="0.2">
      <c r="B7030" s="2">
        <f ca="1"/>
        <v>0.22052363789471996</v>
      </c>
      <c r="O7030" s="2">
        <f ca="1"/>
        <v>2.8300252113427531</v>
      </c>
      <c r="X7030" s="2">
        <f ca="1"/>
        <v>39.110566974024763</v>
      </c>
      <c r="AG7030" s="2">
        <f ca="1"/>
        <v>0.24694969165862513</v>
      </c>
      <c r="AH7030" s="2" t="str">
        <f ca="1"/>
        <v>OK</v>
      </c>
    </row>
    <row r="7031" spans="2:34" x14ac:dyDescent="0.2">
      <c r="B7031" s="2">
        <f ca="1"/>
        <v>0.30316215589591367</v>
      </c>
      <c r="O7031" s="2">
        <f ca="1"/>
        <v>0.51890075905705435</v>
      </c>
      <c r="X7031" s="2">
        <f ca="1"/>
        <v>51.663241186410389</v>
      </c>
      <c r="AG7031" s="2">
        <f ca="1"/>
        <v>0.83611279408179762</v>
      </c>
      <c r="AH7031" s="2" t="str">
        <f ca="1"/>
        <v>Bad</v>
      </c>
    </row>
    <row r="7032" spans="2:34" x14ac:dyDescent="0.2">
      <c r="B7032" s="2">
        <f ca="1"/>
        <v>9.8573830279326646E-2</v>
      </c>
      <c r="O7032" s="2">
        <f ca="1"/>
        <v>-1.5395592859426517</v>
      </c>
      <c r="X7032" s="2">
        <f ca="1"/>
        <v>22.596366599442575</v>
      </c>
      <c r="AG7032" s="2">
        <f ca="1"/>
        <v>0.22870690382691872</v>
      </c>
      <c r="AH7032" s="2" t="str">
        <f ca="1"/>
        <v>OK</v>
      </c>
    </row>
    <row r="7033" spans="2:34" x14ac:dyDescent="0.2">
      <c r="B7033" s="2">
        <f ca="1"/>
        <v>0.28483015693705194</v>
      </c>
      <c r="O7033" s="2">
        <f ca="1"/>
        <v>1.5138533328493524</v>
      </c>
      <c r="X7033" s="2">
        <f ca="1"/>
        <v>23.809789778464008</v>
      </c>
      <c r="AG7033" s="2">
        <f ca="1"/>
        <v>0.53604036204884253</v>
      </c>
      <c r="AH7033" s="2" t="str">
        <f ca="1"/>
        <v>Bad</v>
      </c>
    </row>
    <row r="7034" spans="2:34" x14ac:dyDescent="0.2">
      <c r="B7034" s="2">
        <f ca="1"/>
        <v>0.45796229757982698</v>
      </c>
      <c r="O7034" s="2">
        <f ca="1"/>
        <v>0.45807539516910456</v>
      </c>
      <c r="X7034" s="2">
        <f ca="1"/>
        <v>46.634933502613116</v>
      </c>
      <c r="AG7034" s="2">
        <f ca="1"/>
        <v>0.30059012577686128</v>
      </c>
      <c r="AH7034" s="2" t="str">
        <f ca="1"/>
        <v>OK</v>
      </c>
    </row>
    <row r="7035" spans="2:34" x14ac:dyDescent="0.2">
      <c r="B7035" s="2">
        <f ca="1"/>
        <v>0.683092391284712</v>
      </c>
      <c r="O7035" s="2">
        <f ca="1"/>
        <v>-1.2317243988199722</v>
      </c>
      <c r="X7035" s="2">
        <f ca="1"/>
        <v>44.152337824168015</v>
      </c>
      <c r="AG7035" s="2">
        <f ca="1"/>
        <v>0.76451040365421319</v>
      </c>
      <c r="AH7035" s="2" t="str">
        <f ca="1"/>
        <v>Bad</v>
      </c>
    </row>
    <row r="7036" spans="2:34" x14ac:dyDescent="0.2">
      <c r="B7036" s="2">
        <f ca="1"/>
        <v>0.12326879002217428</v>
      </c>
      <c r="O7036" s="2">
        <f ca="1"/>
        <v>0.81924939814787134</v>
      </c>
      <c r="X7036" s="2">
        <f ca="1"/>
        <v>71.245903669908898</v>
      </c>
      <c r="AG7036" s="2">
        <f ca="1"/>
        <v>0.89570413663173198</v>
      </c>
      <c r="AH7036" s="2" t="str">
        <f ca="1"/>
        <v>Bad</v>
      </c>
    </row>
    <row r="7037" spans="2:34" x14ac:dyDescent="0.2">
      <c r="B7037" s="2">
        <f ca="1"/>
        <v>0.74106080229989768</v>
      </c>
      <c r="O7037" s="2">
        <f ca="1"/>
        <v>-0.36175605686292284</v>
      </c>
      <c r="X7037" s="2">
        <f ca="1"/>
        <v>83.753171542482093</v>
      </c>
      <c r="AG7037" s="2">
        <f ca="1"/>
        <v>0.50809982439653734</v>
      </c>
      <c r="AH7037" s="2" t="str">
        <f ca="1"/>
        <v>Bad</v>
      </c>
    </row>
    <row r="7038" spans="2:34" x14ac:dyDescent="0.2">
      <c r="B7038" s="2">
        <f ca="1"/>
        <v>0.13361588261536639</v>
      </c>
      <c r="O7038" s="2">
        <f ca="1"/>
        <v>1.7411875993480235</v>
      </c>
      <c r="X7038" s="2">
        <f ca="1"/>
        <v>68.191737027156336</v>
      </c>
      <c r="AG7038" s="2">
        <f ca="1"/>
        <v>0.17963063329130979</v>
      </c>
      <c r="AH7038" s="2" t="str">
        <f ca="1"/>
        <v>OK</v>
      </c>
    </row>
    <row r="7039" spans="2:34" x14ac:dyDescent="0.2">
      <c r="B7039" s="2">
        <f ca="1"/>
        <v>0.47993992217152459</v>
      </c>
      <c r="O7039" s="2">
        <f ca="1"/>
        <v>0.75039589569309617</v>
      </c>
      <c r="X7039" s="2">
        <f ca="1"/>
        <v>54.512247215124447</v>
      </c>
      <c r="AG7039" s="2">
        <f ca="1"/>
        <v>0.38141760792370549</v>
      </c>
      <c r="AH7039" s="2" t="str">
        <f ca="1"/>
        <v>OK</v>
      </c>
    </row>
    <row r="7040" spans="2:34" x14ac:dyDescent="0.2">
      <c r="B7040" s="2">
        <f ca="1"/>
        <v>0.40844972500395227</v>
      </c>
      <c r="O7040" s="2">
        <f ca="1"/>
        <v>-1.1067362890789525</v>
      </c>
      <c r="X7040" s="2">
        <f ca="1"/>
        <v>28.417861104738034</v>
      </c>
      <c r="AG7040" s="2">
        <f ca="1"/>
        <v>0.45051228930628251</v>
      </c>
      <c r="AH7040" s="2" t="str">
        <f ca="1"/>
        <v>Bad</v>
      </c>
    </row>
    <row r="7041" spans="2:34" x14ac:dyDescent="0.2">
      <c r="B7041" s="2">
        <f ca="1"/>
        <v>0.58839662454669917</v>
      </c>
      <c r="O7041" s="2">
        <f ca="1"/>
        <v>2.2152998074022614</v>
      </c>
      <c r="X7041" s="2">
        <f ca="1"/>
        <v>62.012783394278657</v>
      </c>
      <c r="AG7041" s="2">
        <f ca="1"/>
        <v>0.15645670218059071</v>
      </c>
      <c r="AH7041" s="2" t="str">
        <f ca="1"/>
        <v>OK</v>
      </c>
    </row>
    <row r="7042" spans="2:34" x14ac:dyDescent="0.2">
      <c r="B7042" s="2">
        <f ca="1"/>
        <v>0.53847912905642215</v>
      </c>
      <c r="O7042" s="2">
        <f ca="1"/>
        <v>-0.90767480298133663</v>
      </c>
      <c r="X7042" s="2">
        <f ca="1"/>
        <v>41.38332391383522</v>
      </c>
      <c r="AG7042" s="2">
        <f ca="1"/>
        <v>0.73974347586679512</v>
      </c>
      <c r="AH7042" s="2" t="str">
        <f ca="1"/>
        <v>Bad</v>
      </c>
    </row>
    <row r="7043" spans="2:34" x14ac:dyDescent="0.2">
      <c r="B7043" s="2">
        <f ca="1"/>
        <v>0.28278063038709389</v>
      </c>
      <c r="O7043" s="2">
        <f ca="1"/>
        <v>-1.6742901389444023</v>
      </c>
      <c r="X7043" s="2">
        <f ca="1"/>
        <v>58.948625751641814</v>
      </c>
      <c r="AG7043" s="2">
        <f ca="1"/>
        <v>0.16439251860772086</v>
      </c>
      <c r="AH7043" s="2" t="str">
        <f ca="1"/>
        <v>OK</v>
      </c>
    </row>
    <row r="7044" spans="2:34" x14ac:dyDescent="0.2">
      <c r="B7044" s="2">
        <f ca="1"/>
        <v>0.31765335021620911</v>
      </c>
      <c r="O7044" s="2">
        <f ca="1"/>
        <v>-0.25355070226124449</v>
      </c>
      <c r="X7044" s="2">
        <f ca="1"/>
        <v>44.258267126442341</v>
      </c>
      <c r="AG7044" s="2">
        <f ca="1"/>
        <v>0.5590955034544447</v>
      </c>
      <c r="AH7044" s="2" t="str">
        <f ca="1"/>
        <v>Bad</v>
      </c>
    </row>
    <row r="7045" spans="2:34" x14ac:dyDescent="0.2">
      <c r="B7045" s="2">
        <f ca="1"/>
        <v>0.77347440548357804</v>
      </c>
      <c r="O7045" s="2">
        <f ca="1"/>
        <v>-1.1352582782073928</v>
      </c>
      <c r="X7045" s="2">
        <f ca="1"/>
        <v>54.608486432758809</v>
      </c>
      <c r="AG7045" s="2">
        <f ca="1"/>
        <v>0.92066242459967751</v>
      </c>
      <c r="AH7045" s="2" t="str">
        <f ca="1"/>
        <v>Bad</v>
      </c>
    </row>
    <row r="7046" spans="2:34" x14ac:dyDescent="0.2">
      <c r="B7046" s="2">
        <f ca="1"/>
        <v>0.23945360197336329</v>
      </c>
      <c r="O7046" s="2">
        <f ca="1"/>
        <v>-1.7599670108311851</v>
      </c>
      <c r="X7046" s="2">
        <f ca="1"/>
        <v>46.360569858968191</v>
      </c>
      <c r="AG7046" s="2">
        <f ca="1"/>
        <v>0.37034972604375627</v>
      </c>
      <c r="AH7046" s="2" t="str">
        <f ca="1"/>
        <v>OK</v>
      </c>
    </row>
    <row r="7047" spans="2:34" x14ac:dyDescent="0.2">
      <c r="B7047" s="2">
        <f ca="1"/>
        <v>0.96048044253740805</v>
      </c>
      <c r="O7047" s="2">
        <f ca="1"/>
        <v>2.5388342666519712</v>
      </c>
      <c r="X7047" s="2">
        <f ca="1"/>
        <v>34.473619791543328</v>
      </c>
      <c r="AG7047" s="2">
        <f ca="1"/>
        <v>0.54973537128299665</v>
      </c>
      <c r="AH7047" s="2" t="str">
        <f ca="1"/>
        <v>Bad</v>
      </c>
    </row>
    <row r="7048" spans="2:34" x14ac:dyDescent="0.2">
      <c r="B7048" s="2">
        <f ca="1"/>
        <v>0.6687117311971198</v>
      </c>
      <c r="O7048" s="2">
        <f ca="1"/>
        <v>-0.88031121488367048</v>
      </c>
      <c r="X7048" s="2">
        <f ca="1"/>
        <v>32.747716429196814</v>
      </c>
      <c r="AG7048" s="2">
        <f ca="1"/>
        <v>0.56399060766686682</v>
      </c>
      <c r="AH7048" s="2" t="str">
        <f ca="1"/>
        <v>Bad</v>
      </c>
    </row>
    <row r="7049" spans="2:34" x14ac:dyDescent="0.2">
      <c r="B7049" s="2">
        <f ca="1"/>
        <v>9.820821823850312E-2</v>
      </c>
      <c r="O7049" s="2">
        <f ca="1"/>
        <v>-6.0909649642521858E-2</v>
      </c>
      <c r="X7049" s="2">
        <f ca="1"/>
        <v>23.021382222867746</v>
      </c>
      <c r="AG7049" s="2">
        <f ca="1"/>
        <v>0.53907843594617644</v>
      </c>
      <c r="AH7049" s="2" t="str">
        <f ca="1"/>
        <v>Bad</v>
      </c>
    </row>
    <row r="7050" spans="2:34" x14ac:dyDescent="0.2">
      <c r="B7050" s="2">
        <f ca="1"/>
        <v>0.67331923035656005</v>
      </c>
      <c r="O7050" s="2">
        <f ca="1"/>
        <v>1.1681226286664417</v>
      </c>
      <c r="X7050" s="2">
        <f ca="1"/>
        <v>41.840737978718067</v>
      </c>
      <c r="AG7050" s="2">
        <f ca="1"/>
        <v>6.1342923035322183E-2</v>
      </c>
      <c r="AH7050" s="2" t="str">
        <f ca="1"/>
        <v>OK</v>
      </c>
    </row>
    <row r="7051" spans="2:34" x14ac:dyDescent="0.2">
      <c r="B7051" s="2">
        <f ca="1"/>
        <v>0.27288093747109898</v>
      </c>
      <c r="O7051" s="2">
        <f ca="1"/>
        <v>1.078736722490776</v>
      </c>
      <c r="X7051" s="2">
        <f ca="1"/>
        <v>48.477713607898075</v>
      </c>
      <c r="AG7051" s="2">
        <f ca="1"/>
        <v>0.50895332485749711</v>
      </c>
      <c r="AH7051" s="2" t="str">
        <f ca="1"/>
        <v>Bad</v>
      </c>
    </row>
    <row r="7052" spans="2:34" x14ac:dyDescent="0.2">
      <c r="B7052" s="2">
        <f ca="1"/>
        <v>0.74092549931306162</v>
      </c>
      <c r="O7052" s="2">
        <f ca="1"/>
        <v>-2.1805546545258268</v>
      </c>
      <c r="X7052" s="2">
        <f ca="1"/>
        <v>46.0923301063266</v>
      </c>
      <c r="AG7052" s="2">
        <f ca="1"/>
        <v>0.81621230971389669</v>
      </c>
      <c r="AH7052" s="2" t="str">
        <f ca="1"/>
        <v>Bad</v>
      </c>
    </row>
    <row r="7053" spans="2:34" x14ac:dyDescent="0.2">
      <c r="B7053" s="2">
        <f ca="1"/>
        <v>0.70901174731336036</v>
      </c>
      <c r="O7053" s="2">
        <f ca="1"/>
        <v>-0.21960105466112853</v>
      </c>
      <c r="X7053" s="2">
        <f ca="1"/>
        <v>56.517592810330946</v>
      </c>
      <c r="AG7053" s="2">
        <f ca="1"/>
        <v>0.99164021450561779</v>
      </c>
      <c r="AH7053" s="2" t="str">
        <f ca="1"/>
        <v>Bad</v>
      </c>
    </row>
    <row r="7054" spans="2:34" x14ac:dyDescent="0.2">
      <c r="B7054" s="2">
        <f ca="1"/>
        <v>0.21364887428431256</v>
      </c>
      <c r="O7054" s="2">
        <f ca="1"/>
        <v>-1.9396255074216167</v>
      </c>
      <c r="X7054" s="2">
        <f ca="1"/>
        <v>61.738810330733031</v>
      </c>
      <c r="AG7054" s="2">
        <f ca="1"/>
        <v>0.76982376107614181</v>
      </c>
      <c r="AH7054" s="2" t="str">
        <f ca="1"/>
        <v>Bad</v>
      </c>
    </row>
    <row r="7055" spans="2:34" x14ac:dyDescent="0.2">
      <c r="B7055" s="2">
        <f ca="1"/>
        <v>0.49163665903721276</v>
      </c>
      <c r="O7055" s="2">
        <f ca="1"/>
        <v>0.71969946456479716</v>
      </c>
      <c r="X7055" s="2">
        <f ca="1"/>
        <v>54.385222039435106</v>
      </c>
      <c r="AG7055" s="2">
        <f ca="1"/>
        <v>0.68713601946680392</v>
      </c>
      <c r="AH7055" s="2" t="str">
        <f ca="1"/>
        <v>Bad</v>
      </c>
    </row>
    <row r="7056" spans="2:34" x14ac:dyDescent="0.2">
      <c r="B7056" s="2">
        <f ca="1"/>
        <v>0.45062770220756176</v>
      </c>
      <c r="O7056" s="2">
        <f ca="1"/>
        <v>-1.9072883739088469</v>
      </c>
      <c r="X7056" s="2">
        <f ca="1"/>
        <v>69.966426814881359</v>
      </c>
      <c r="AG7056" s="2">
        <f ca="1"/>
        <v>0.30558722477682365</v>
      </c>
      <c r="AH7056" s="2" t="str">
        <f ca="1"/>
        <v>OK</v>
      </c>
    </row>
    <row r="7057" spans="2:34" x14ac:dyDescent="0.2">
      <c r="B7057" s="2">
        <f ca="1"/>
        <v>0.94578058780084184</v>
      </c>
      <c r="O7057" s="2">
        <f ca="1"/>
        <v>-0.7558188611422656</v>
      </c>
      <c r="X7057" s="2">
        <f ca="1"/>
        <v>55.736486471095915</v>
      </c>
      <c r="AG7057" s="2">
        <f ca="1"/>
        <v>0.11491113707992051</v>
      </c>
      <c r="AH7057" s="2" t="str">
        <f ca="1"/>
        <v>OK</v>
      </c>
    </row>
    <row r="7058" spans="2:34" x14ac:dyDescent="0.2">
      <c r="B7058" s="2">
        <f ca="1"/>
        <v>0.72118518901436812</v>
      </c>
      <c r="O7058" s="2">
        <f ca="1"/>
        <v>-1.5243821178736774</v>
      </c>
      <c r="X7058" s="2">
        <f ca="1"/>
        <v>20.282343642878438</v>
      </c>
      <c r="AG7058" s="2">
        <f ca="1"/>
        <v>0.16901184467882135</v>
      </c>
      <c r="AH7058" s="2" t="str">
        <f ca="1"/>
        <v>OK</v>
      </c>
    </row>
    <row r="7059" spans="2:34" x14ac:dyDescent="0.2">
      <c r="B7059" s="2">
        <f ca="1"/>
        <v>0.63029677131742878</v>
      </c>
      <c r="O7059" s="2">
        <f ca="1"/>
        <v>0.40309462981414296</v>
      </c>
      <c r="X7059" s="2">
        <f ca="1"/>
        <v>43.468141005416584</v>
      </c>
      <c r="AG7059" s="2">
        <f ca="1"/>
        <v>0.14771688708720321</v>
      </c>
      <c r="AH7059" s="2" t="str">
        <f ca="1"/>
        <v>OK</v>
      </c>
    </row>
    <row r="7060" spans="2:34" x14ac:dyDescent="0.2">
      <c r="B7060" s="2">
        <f ca="1"/>
        <v>0.42848374990832294</v>
      </c>
      <c r="O7060" s="2">
        <f ca="1"/>
        <v>6.3017468121441987E-3</v>
      </c>
      <c r="X7060" s="2">
        <f ca="1"/>
        <v>80.737522839914789</v>
      </c>
      <c r="AG7060" s="2">
        <f ca="1"/>
        <v>0.20317875434233601</v>
      </c>
      <c r="AH7060" s="2" t="str">
        <f ca="1"/>
        <v>OK</v>
      </c>
    </row>
    <row r="7061" spans="2:34" x14ac:dyDescent="0.2">
      <c r="B7061" s="2">
        <f ca="1"/>
        <v>0.66226805459721771</v>
      </c>
      <c r="O7061" s="2">
        <f ca="1"/>
        <v>1.5549748029134887</v>
      </c>
      <c r="X7061" s="2">
        <f ca="1"/>
        <v>51.146600553738978</v>
      </c>
      <c r="AG7061" s="2">
        <f ca="1"/>
        <v>0.45439794525179122</v>
      </c>
      <c r="AH7061" s="2" t="str">
        <f ca="1"/>
        <v>Bad</v>
      </c>
    </row>
    <row r="7062" spans="2:34" x14ac:dyDescent="0.2">
      <c r="B7062" s="2">
        <f ca="1"/>
        <v>0.37717480658866331</v>
      </c>
      <c r="O7062" s="2">
        <f ca="1"/>
        <v>-0.59640336792452386</v>
      </c>
      <c r="X7062" s="2">
        <f ca="1"/>
        <v>37.577403675088441</v>
      </c>
      <c r="AG7062" s="2">
        <f ca="1"/>
        <v>0.63104230302211883</v>
      </c>
      <c r="AH7062" s="2" t="str">
        <f ca="1"/>
        <v>Bad</v>
      </c>
    </row>
    <row r="7063" spans="2:34" x14ac:dyDescent="0.2">
      <c r="B7063" s="2">
        <f ca="1"/>
        <v>0.20490978726591624</v>
      </c>
      <c r="O7063" s="2">
        <f ca="1"/>
        <v>0.59922134099968805</v>
      </c>
      <c r="X7063" s="2">
        <f ca="1"/>
        <v>40.895031150922293</v>
      </c>
      <c r="AG7063" s="2">
        <f ca="1"/>
        <v>3.9306871858522552E-2</v>
      </c>
      <c r="AH7063" s="2" t="str">
        <f ca="1"/>
        <v>Good</v>
      </c>
    </row>
    <row r="7064" spans="2:34" x14ac:dyDescent="0.2">
      <c r="B7064" s="2">
        <f ca="1"/>
        <v>0.61818093293491705</v>
      </c>
      <c r="O7064" s="2">
        <f ca="1"/>
        <v>-0.8149373338837278</v>
      </c>
      <c r="X7064" s="2">
        <f ca="1"/>
        <v>88.209033449831864</v>
      </c>
      <c r="AG7064" s="2">
        <f ca="1"/>
        <v>0.53455606899270025</v>
      </c>
      <c r="AH7064" s="2" t="str">
        <f ca="1"/>
        <v>Bad</v>
      </c>
    </row>
    <row r="7065" spans="2:34" x14ac:dyDescent="0.2">
      <c r="B7065" s="2">
        <f ca="1"/>
        <v>0.91979061727334632</v>
      </c>
      <c r="O7065" s="2">
        <f ca="1"/>
        <v>1.9628921793354832</v>
      </c>
      <c r="X7065" s="2">
        <f ca="1"/>
        <v>29.475199282246191</v>
      </c>
      <c r="AG7065" s="2">
        <f ca="1"/>
        <v>0.11547851342817528</v>
      </c>
      <c r="AH7065" s="2" t="str">
        <f ca="1"/>
        <v>OK</v>
      </c>
    </row>
    <row r="7066" spans="2:34" x14ac:dyDescent="0.2">
      <c r="B7066" s="2">
        <f ca="1"/>
        <v>0.25497546389002546</v>
      </c>
      <c r="O7066" s="2">
        <f ca="1"/>
        <v>0.29687852917200652</v>
      </c>
      <c r="X7066" s="2">
        <f ca="1"/>
        <v>59.010289341420176</v>
      </c>
      <c r="AG7066" s="2">
        <f ca="1"/>
        <v>0.54085044119265957</v>
      </c>
      <c r="AH7066" s="2" t="str">
        <f ca="1"/>
        <v>Bad</v>
      </c>
    </row>
    <row r="7067" spans="2:34" x14ac:dyDescent="0.2">
      <c r="B7067" s="2">
        <f ca="1"/>
        <v>0.92697582414313273</v>
      </c>
      <c r="O7067" s="2">
        <f ca="1"/>
        <v>2.4202614144682131</v>
      </c>
      <c r="X7067" s="2">
        <f ca="1"/>
        <v>59.518057758531953</v>
      </c>
      <c r="AG7067" s="2">
        <f ca="1"/>
        <v>0.37710340591610758</v>
      </c>
      <c r="AH7067" s="2" t="str">
        <f ca="1"/>
        <v>OK</v>
      </c>
    </row>
    <row r="7068" spans="2:34" x14ac:dyDescent="0.2">
      <c r="B7068" s="2">
        <f ca="1"/>
        <v>0.20548249814395203</v>
      </c>
      <c r="O7068" s="2">
        <f ca="1"/>
        <v>0.65546732209813452</v>
      </c>
      <c r="X7068" s="2">
        <f ca="1"/>
        <v>60.791546855900492</v>
      </c>
      <c r="AG7068" s="2">
        <f ca="1"/>
        <v>0.8640075399144953</v>
      </c>
      <c r="AH7068" s="2" t="str">
        <f ca="1"/>
        <v>Bad</v>
      </c>
    </row>
    <row r="7069" spans="2:34" x14ac:dyDescent="0.2">
      <c r="B7069" s="2">
        <f ca="1"/>
        <v>0.20198500382767159</v>
      </c>
      <c r="O7069" s="2">
        <f ca="1"/>
        <v>-0.46440771039631479</v>
      </c>
      <c r="X7069" s="2">
        <f ca="1"/>
        <v>42.268085606357261</v>
      </c>
      <c r="AG7069" s="2">
        <f ca="1"/>
        <v>0.19540532405063638</v>
      </c>
      <c r="AH7069" s="2" t="str">
        <f ca="1"/>
        <v>OK</v>
      </c>
    </row>
    <row r="7070" spans="2:34" x14ac:dyDescent="0.2">
      <c r="B7070" s="2">
        <f ca="1"/>
        <v>0.12947304587882713</v>
      </c>
      <c r="O7070" s="2">
        <f ca="1"/>
        <v>-0.92207106930650851</v>
      </c>
      <c r="X7070" s="2">
        <f ca="1"/>
        <v>36.476367860455014</v>
      </c>
      <c r="AG7070" s="2">
        <f ca="1"/>
        <v>0.29920770872317837</v>
      </c>
      <c r="AH7070" s="2" t="str">
        <f ca="1"/>
        <v>OK</v>
      </c>
    </row>
    <row r="7071" spans="2:34" x14ac:dyDescent="0.2">
      <c r="B7071" s="2">
        <f ca="1"/>
        <v>0.26743859251959723</v>
      </c>
      <c r="O7071" s="2">
        <f ca="1"/>
        <v>0.85595186189899031</v>
      </c>
      <c r="X7071" s="2">
        <f ca="1"/>
        <v>52.699877652431795</v>
      </c>
      <c r="AG7071" s="2">
        <f ca="1"/>
        <v>0.82174967669516907</v>
      </c>
      <c r="AH7071" s="2" t="str">
        <f ca="1"/>
        <v>Bad</v>
      </c>
    </row>
    <row r="7072" spans="2:34" x14ac:dyDescent="0.2">
      <c r="B7072" s="2">
        <f ca="1"/>
        <v>0.46848791718618377</v>
      </c>
      <c r="O7072" s="2">
        <f ca="1"/>
        <v>0.24366617006714342</v>
      </c>
      <c r="X7072" s="2">
        <f ca="1"/>
        <v>51.622875384336496</v>
      </c>
      <c r="AG7072" s="2">
        <f ca="1"/>
        <v>7.0193646748722305E-2</v>
      </c>
      <c r="AH7072" s="2" t="str">
        <f ca="1"/>
        <v>OK</v>
      </c>
    </row>
    <row r="7073" spans="2:34" x14ac:dyDescent="0.2">
      <c r="B7073" s="2">
        <f ca="1"/>
        <v>0.35512098101641509</v>
      </c>
      <c r="O7073" s="2">
        <f ca="1"/>
        <v>0.8272367867397773</v>
      </c>
      <c r="X7073" s="2">
        <f ca="1"/>
        <v>50.846548679738916</v>
      </c>
      <c r="AG7073" s="2">
        <f ca="1"/>
        <v>0.92228811549258127</v>
      </c>
      <c r="AH7073" s="2" t="str">
        <f ca="1"/>
        <v>Bad</v>
      </c>
    </row>
    <row r="7074" spans="2:34" x14ac:dyDescent="0.2">
      <c r="B7074" s="2">
        <f ca="1"/>
        <v>0.41266721388615935</v>
      </c>
      <c r="O7074" s="2">
        <f ca="1"/>
        <v>1.3051904922764739</v>
      </c>
      <c r="X7074" s="2">
        <f ca="1"/>
        <v>78.838840995845288</v>
      </c>
      <c r="AG7074" s="2">
        <f ca="1"/>
        <v>0.47711873638886249</v>
      </c>
      <c r="AH7074" s="2" t="str">
        <f ca="1"/>
        <v>Bad</v>
      </c>
    </row>
    <row r="7075" spans="2:34" x14ac:dyDescent="0.2">
      <c r="B7075" s="2">
        <f ca="1"/>
        <v>0.39414370382333419</v>
      </c>
      <c r="O7075" s="2">
        <f ca="1"/>
        <v>-0.65694142087259644</v>
      </c>
      <c r="X7075" s="2">
        <f ca="1"/>
        <v>78.962941234949454</v>
      </c>
      <c r="AG7075" s="2">
        <f ca="1"/>
        <v>9.3387039228102431E-2</v>
      </c>
      <c r="AH7075" s="2" t="str">
        <f ca="1"/>
        <v>OK</v>
      </c>
    </row>
    <row r="7076" spans="2:34" x14ac:dyDescent="0.2">
      <c r="B7076" s="2">
        <f ca="1"/>
        <v>0.15758853149792773</v>
      </c>
      <c r="O7076" s="2">
        <f ca="1"/>
        <v>1.1339622235021403</v>
      </c>
      <c r="X7076" s="2">
        <f ca="1"/>
        <v>68.00167602645304</v>
      </c>
      <c r="AG7076" s="2">
        <f ca="1"/>
        <v>0.1787688238804479</v>
      </c>
      <c r="AH7076" s="2" t="str">
        <f ca="1"/>
        <v>OK</v>
      </c>
    </row>
    <row r="7077" spans="2:34" x14ac:dyDescent="0.2">
      <c r="B7077" s="2">
        <f ca="1"/>
        <v>0.91294017667324923</v>
      </c>
      <c r="O7077" s="2">
        <f ca="1"/>
        <v>4.4108840838838752E-2</v>
      </c>
      <c r="X7077" s="2">
        <f ca="1"/>
        <v>39.134221727287716</v>
      </c>
      <c r="AG7077" s="2">
        <f ca="1"/>
        <v>0.76498897468705107</v>
      </c>
      <c r="AH7077" s="2" t="str">
        <f ca="1"/>
        <v>Bad</v>
      </c>
    </row>
    <row r="7078" spans="2:34" x14ac:dyDescent="0.2">
      <c r="B7078" s="2">
        <f ca="1"/>
        <v>1.3928799037717488E-2</v>
      </c>
      <c r="O7078" s="2">
        <f ca="1"/>
        <v>2.1320596538284886</v>
      </c>
      <c r="X7078" s="2">
        <f ca="1"/>
        <v>58.920984234790915</v>
      </c>
      <c r="AG7078" s="2">
        <f ca="1"/>
        <v>0.9772484576196141</v>
      </c>
      <c r="AH7078" s="2" t="str">
        <f ca="1"/>
        <v>Bad</v>
      </c>
    </row>
    <row r="7079" spans="2:34" x14ac:dyDescent="0.2">
      <c r="B7079" s="2">
        <f ca="1"/>
        <v>0.82049484581676424</v>
      </c>
      <c r="O7079" s="2">
        <f ca="1"/>
        <v>-1.7413683724245934</v>
      </c>
      <c r="X7079" s="2">
        <f ca="1"/>
        <v>85.407737686049813</v>
      </c>
      <c r="AG7079" s="2">
        <f ca="1"/>
        <v>0.20338417219512683</v>
      </c>
      <c r="AH7079" s="2" t="str">
        <f ca="1"/>
        <v>OK</v>
      </c>
    </row>
    <row r="7080" spans="2:34" x14ac:dyDescent="0.2">
      <c r="B7080" s="2">
        <f ca="1"/>
        <v>0.19964247730739859</v>
      </c>
      <c r="O7080" s="2">
        <f ca="1"/>
        <v>-0.63891304658943526</v>
      </c>
      <c r="X7080" s="2">
        <f ca="1"/>
        <v>36.188921028062467</v>
      </c>
      <c r="AG7080" s="2">
        <f ca="1"/>
        <v>0.70378860717339076</v>
      </c>
      <c r="AH7080" s="2" t="str">
        <f ca="1"/>
        <v>Bad</v>
      </c>
    </row>
    <row r="7081" spans="2:34" x14ac:dyDescent="0.2">
      <c r="B7081" s="2">
        <f ca="1"/>
        <v>0.1555987318283123</v>
      </c>
      <c r="O7081" s="2">
        <f ca="1"/>
        <v>-0.19473240439415343</v>
      </c>
      <c r="X7081" s="2">
        <f ca="1"/>
        <v>43.317554858372354</v>
      </c>
      <c r="AG7081" s="2">
        <f ca="1"/>
        <v>0.85911551900746952</v>
      </c>
      <c r="AH7081" s="2" t="str">
        <f ca="1"/>
        <v>Bad</v>
      </c>
    </row>
    <row r="7082" spans="2:34" x14ac:dyDescent="0.2">
      <c r="B7082" s="2">
        <f ca="1"/>
        <v>0.8731849657305486</v>
      </c>
      <c r="O7082" s="2">
        <f ca="1"/>
        <v>-0.47599255043465516</v>
      </c>
      <c r="X7082" s="2">
        <f ca="1"/>
        <v>57.86973875662256</v>
      </c>
      <c r="AG7082" s="2">
        <f ca="1"/>
        <v>7.1872067010940954E-2</v>
      </c>
      <c r="AH7082" s="2" t="str">
        <f ca="1"/>
        <v>OK</v>
      </c>
    </row>
    <row r="7083" spans="2:34" x14ac:dyDescent="0.2">
      <c r="B7083" s="2">
        <f ca="1"/>
        <v>0.16605513105639491</v>
      </c>
      <c r="O7083" s="2">
        <f ca="1"/>
        <v>-1.7455011220143366</v>
      </c>
      <c r="X7083" s="2">
        <f ca="1"/>
        <v>32.743166736712581</v>
      </c>
      <c r="AG7083" s="2">
        <f ca="1"/>
        <v>0.72644457113677396</v>
      </c>
      <c r="AH7083" s="2" t="str">
        <f ca="1"/>
        <v>Bad</v>
      </c>
    </row>
    <row r="7084" spans="2:34" x14ac:dyDescent="0.2">
      <c r="B7084" s="2">
        <f ca="1"/>
        <v>0.87610716092435115</v>
      </c>
      <c r="O7084" s="2">
        <f ca="1"/>
        <v>-0.19290700338490771</v>
      </c>
      <c r="X7084" s="2">
        <f ca="1"/>
        <v>64.645197510877793</v>
      </c>
      <c r="AG7084" s="2">
        <f ca="1"/>
        <v>0.66749416969734576</v>
      </c>
      <c r="AH7084" s="2" t="str">
        <f ca="1"/>
        <v>Bad</v>
      </c>
    </row>
    <row r="7085" spans="2:34" x14ac:dyDescent="0.2">
      <c r="B7085" s="2">
        <f ca="1"/>
        <v>0.86693811381966834</v>
      </c>
      <c r="O7085" s="2">
        <f ca="1"/>
        <v>-0.3896165309503295</v>
      </c>
      <c r="X7085" s="2">
        <f ca="1"/>
        <v>70.521817550753212</v>
      </c>
      <c r="AG7085" s="2">
        <f ca="1"/>
        <v>6.7974882852699592E-2</v>
      </c>
      <c r="AH7085" s="2" t="str">
        <f ca="1"/>
        <v>OK</v>
      </c>
    </row>
    <row r="7086" spans="2:34" x14ac:dyDescent="0.2">
      <c r="B7086" s="2">
        <f ca="1"/>
        <v>0.15220671617705994</v>
      </c>
      <c r="O7086" s="2">
        <f ca="1"/>
        <v>1.5893516928264249</v>
      </c>
      <c r="X7086" s="2">
        <f ca="1"/>
        <v>67.81687850409142</v>
      </c>
      <c r="AG7086" s="2">
        <f ca="1"/>
        <v>0.43411210940525846</v>
      </c>
      <c r="AH7086" s="2" t="str">
        <f ca="1"/>
        <v>Bad</v>
      </c>
    </row>
    <row r="7087" spans="2:34" x14ac:dyDescent="0.2">
      <c r="B7087" s="2">
        <f ca="1"/>
        <v>0.52176831339269047</v>
      </c>
      <c r="O7087" s="2">
        <f ca="1"/>
        <v>1.5152139766795556</v>
      </c>
      <c r="X7087" s="2">
        <f ca="1"/>
        <v>74.459511411989467</v>
      </c>
      <c r="AG7087" s="2">
        <f ca="1"/>
        <v>0.63349209545823437</v>
      </c>
      <c r="AH7087" s="2" t="str">
        <f ca="1"/>
        <v>Bad</v>
      </c>
    </row>
    <row r="7088" spans="2:34" x14ac:dyDescent="0.2">
      <c r="B7088" s="2">
        <f ca="1"/>
        <v>0.1804548122561731</v>
      </c>
      <c r="O7088" s="2">
        <f ca="1"/>
        <v>1.5741583099625773</v>
      </c>
      <c r="X7088" s="2">
        <f ca="1"/>
        <v>68.303161433711111</v>
      </c>
      <c r="AG7088" s="2">
        <f ca="1"/>
        <v>0.9946822618804394</v>
      </c>
      <c r="AH7088" s="2" t="str">
        <f ca="1"/>
        <v>Bad</v>
      </c>
    </row>
    <row r="7089" spans="2:34" x14ac:dyDescent="0.2">
      <c r="B7089" s="2">
        <f ca="1"/>
        <v>0.72108386329078833</v>
      </c>
      <c r="O7089" s="2">
        <f ca="1"/>
        <v>1.0393426801370949</v>
      </c>
      <c r="X7089" s="2">
        <f ca="1"/>
        <v>68.893856975522411</v>
      </c>
      <c r="AG7089" s="2">
        <f ca="1"/>
        <v>0.87524993828423381</v>
      </c>
      <c r="AH7089" s="2" t="str">
        <f ca="1"/>
        <v>Bad</v>
      </c>
    </row>
    <row r="7090" spans="2:34" x14ac:dyDescent="0.2">
      <c r="B7090" s="2">
        <f ca="1"/>
        <v>0.86165891280509377</v>
      </c>
      <c r="O7090" s="2">
        <f ca="1"/>
        <v>0.64885934276697721</v>
      </c>
      <c r="X7090" s="2">
        <f ca="1"/>
        <v>47.281171347666422</v>
      </c>
      <c r="AG7090" s="2">
        <f ca="1"/>
        <v>0.9577127210127534</v>
      </c>
      <c r="AH7090" s="2" t="str">
        <f ca="1"/>
        <v>Bad</v>
      </c>
    </row>
    <row r="7091" spans="2:34" x14ac:dyDescent="0.2">
      <c r="B7091" s="2">
        <f ca="1"/>
        <v>0.63582505346277052</v>
      </c>
      <c r="O7091" s="2">
        <f ca="1"/>
        <v>0.83680465973143148</v>
      </c>
      <c r="X7091" s="2">
        <f ca="1"/>
        <v>17.985071888597052</v>
      </c>
      <c r="AG7091" s="2">
        <f ca="1"/>
        <v>0.99060548024705031</v>
      </c>
      <c r="AH7091" s="2" t="str">
        <f ca="1"/>
        <v>Bad</v>
      </c>
    </row>
    <row r="7092" spans="2:34" x14ac:dyDescent="0.2">
      <c r="B7092" s="2">
        <f ca="1"/>
        <v>0.43294224110552504</v>
      </c>
      <c r="O7092" s="2">
        <f ca="1"/>
        <v>-0.59763289732590208</v>
      </c>
      <c r="X7092" s="2">
        <f ca="1"/>
        <v>65.944212408901535</v>
      </c>
      <c r="AG7092" s="2">
        <f ca="1"/>
        <v>0.54482714463661952</v>
      </c>
      <c r="AH7092" s="2" t="str">
        <f ca="1"/>
        <v>Bad</v>
      </c>
    </row>
    <row r="7093" spans="2:34" x14ac:dyDescent="0.2">
      <c r="B7093" s="2">
        <f ca="1"/>
        <v>0.86761538235037516</v>
      </c>
      <c r="O7093" s="2">
        <f ca="1"/>
        <v>-0.55278986974383182</v>
      </c>
      <c r="X7093" s="2">
        <f ca="1"/>
        <v>43.621226948613192</v>
      </c>
      <c r="AG7093" s="2">
        <f ca="1"/>
        <v>0.31249895095589708</v>
      </c>
      <c r="AH7093" s="2" t="str">
        <f ca="1"/>
        <v>OK</v>
      </c>
    </row>
    <row r="7094" spans="2:34" x14ac:dyDescent="0.2">
      <c r="B7094" s="2">
        <f ca="1"/>
        <v>0.19387549859077136</v>
      </c>
      <c r="O7094" s="2">
        <f ca="1"/>
        <v>-0.27485019388842619</v>
      </c>
      <c r="X7094" s="2">
        <f ca="1"/>
        <v>36.822470338202592</v>
      </c>
      <c r="AG7094" s="2">
        <f ca="1"/>
        <v>0.2087079960406617</v>
      </c>
      <c r="AH7094" s="2" t="str">
        <f ca="1"/>
        <v>OK</v>
      </c>
    </row>
    <row r="7095" spans="2:34" x14ac:dyDescent="0.2">
      <c r="B7095" s="2">
        <f ca="1"/>
        <v>0.76870115919383331</v>
      </c>
      <c r="O7095" s="2">
        <f ca="1"/>
        <v>-1.5156703592553298</v>
      </c>
      <c r="X7095" s="2">
        <f ca="1"/>
        <v>43.844243870618911</v>
      </c>
      <c r="AG7095" s="2">
        <f ca="1"/>
        <v>0.86760909627540195</v>
      </c>
      <c r="AH7095" s="2" t="str">
        <f ca="1"/>
        <v>Bad</v>
      </c>
    </row>
    <row r="7096" spans="2:34" x14ac:dyDescent="0.2">
      <c r="B7096" s="2">
        <f ca="1"/>
        <v>0.38109849144494223</v>
      </c>
      <c r="O7096" s="2">
        <f ca="1"/>
        <v>0.61980770116503692</v>
      </c>
      <c r="X7096" s="2">
        <f ca="1"/>
        <v>57.061390880932251</v>
      </c>
      <c r="AG7096" s="2">
        <f ca="1"/>
        <v>0.44926893760864717</v>
      </c>
      <c r="AH7096" s="2" t="str">
        <f ca="1"/>
        <v>Bad</v>
      </c>
    </row>
    <row r="7097" spans="2:34" x14ac:dyDescent="0.2">
      <c r="B7097" s="2">
        <f ca="1"/>
        <v>0.99738934105053834</v>
      </c>
      <c r="O7097" s="2">
        <f ca="1"/>
        <v>0.21673777235311914</v>
      </c>
      <c r="X7097" s="2">
        <f ca="1"/>
        <v>59.343647317485846</v>
      </c>
      <c r="AG7097" s="2">
        <f ca="1"/>
        <v>0.9102037389625639</v>
      </c>
      <c r="AH7097" s="2" t="str">
        <f ca="1"/>
        <v>Bad</v>
      </c>
    </row>
    <row r="7098" spans="2:34" x14ac:dyDescent="0.2">
      <c r="B7098" s="2">
        <f ca="1"/>
        <v>0.36933971111403952</v>
      </c>
      <c r="O7098" s="2">
        <f ca="1"/>
        <v>-0.5897702755926717</v>
      </c>
      <c r="X7098" s="2">
        <f ca="1"/>
        <v>46.691083838578678</v>
      </c>
      <c r="AG7098" s="2">
        <f ca="1"/>
        <v>0.1449391399072153</v>
      </c>
      <c r="AH7098" s="2" t="str">
        <f ca="1"/>
        <v>OK</v>
      </c>
    </row>
    <row r="7099" spans="2:34" x14ac:dyDescent="0.2">
      <c r="B7099" s="2">
        <f ca="1"/>
        <v>0.95037228013418451</v>
      </c>
      <c r="O7099" s="2">
        <f ca="1"/>
        <v>-0.48647962084988916</v>
      </c>
      <c r="X7099" s="2">
        <f ca="1"/>
        <v>41.568604853502897</v>
      </c>
      <c r="AG7099" s="2">
        <f ca="1"/>
        <v>0.9079313791684247</v>
      </c>
      <c r="AH7099" s="2" t="str">
        <f ca="1"/>
        <v>Bad</v>
      </c>
    </row>
    <row r="7100" spans="2:34" x14ac:dyDescent="0.2">
      <c r="B7100" s="2">
        <f ca="1"/>
        <v>0.39225215904431443</v>
      </c>
      <c r="O7100" s="2">
        <f ca="1"/>
        <v>-1.107811217903679</v>
      </c>
      <c r="X7100" s="2">
        <f ca="1"/>
        <v>43.170792988215339</v>
      </c>
      <c r="AG7100" s="2">
        <f ca="1"/>
        <v>0.90605699601479306</v>
      </c>
      <c r="AH7100" s="2" t="str">
        <f ca="1"/>
        <v>Bad</v>
      </c>
    </row>
    <row r="7101" spans="2:34" x14ac:dyDescent="0.2">
      <c r="B7101" s="2">
        <f ca="1"/>
        <v>0.52105098167787922</v>
      </c>
      <c r="O7101" s="2">
        <f ca="1"/>
        <v>0.47828387775408415</v>
      </c>
      <c r="X7101" s="2">
        <f ca="1"/>
        <v>76.945054736675758</v>
      </c>
      <c r="AG7101" s="2">
        <f ca="1"/>
        <v>0.22562144086610725</v>
      </c>
      <c r="AH7101" s="2" t="str">
        <f ca="1"/>
        <v>OK</v>
      </c>
    </row>
    <row r="7102" spans="2:34" x14ac:dyDescent="0.2">
      <c r="B7102" s="2">
        <f ca="1"/>
        <v>0.661860495825908</v>
      </c>
      <c r="O7102" s="2">
        <f ca="1"/>
        <v>0.39967210799850778</v>
      </c>
      <c r="X7102" s="2">
        <f ca="1"/>
        <v>36.285113420489623</v>
      </c>
      <c r="AG7102" s="2">
        <f ca="1"/>
        <v>0.16168398225400638</v>
      </c>
      <c r="AH7102" s="2" t="str">
        <f ca="1"/>
        <v>OK</v>
      </c>
    </row>
    <row r="7103" spans="2:34" x14ac:dyDescent="0.2">
      <c r="B7103" s="2">
        <f ca="1"/>
        <v>0.55300490215983511</v>
      </c>
      <c r="O7103" s="2">
        <f ca="1"/>
        <v>-0.41740154215287278</v>
      </c>
      <c r="X7103" s="2">
        <f ca="1"/>
        <v>45.59132444592521</v>
      </c>
      <c r="AG7103" s="2">
        <f ca="1"/>
        <v>0.92918425842232422</v>
      </c>
      <c r="AH7103" s="2" t="str">
        <f ca="1"/>
        <v>Bad</v>
      </c>
    </row>
    <row r="7104" spans="2:34" x14ac:dyDescent="0.2">
      <c r="B7104" s="2">
        <f ca="1"/>
        <v>0.71352176754542262</v>
      </c>
      <c r="O7104" s="2">
        <f ca="1"/>
        <v>-1.1147638159920894</v>
      </c>
      <c r="X7104" s="2">
        <f ca="1"/>
        <v>48.959368228271018</v>
      </c>
      <c r="AG7104" s="2">
        <f ca="1"/>
        <v>0.86639485321159704</v>
      </c>
      <c r="AH7104" s="2" t="str">
        <f ca="1"/>
        <v>Bad</v>
      </c>
    </row>
    <row r="7105" spans="2:34" x14ac:dyDescent="0.2">
      <c r="B7105" s="2">
        <f ca="1"/>
        <v>0.1062652272250435</v>
      </c>
      <c r="O7105" s="2">
        <f ca="1"/>
        <v>9.938687174822386E-2</v>
      </c>
      <c r="X7105" s="2">
        <f ca="1"/>
        <v>37.12965335204882</v>
      </c>
      <c r="AG7105" s="2">
        <f ca="1"/>
        <v>0.97171601716212064</v>
      </c>
      <c r="AH7105" s="2" t="str">
        <f ca="1"/>
        <v>Bad</v>
      </c>
    </row>
    <row r="7106" spans="2:34" x14ac:dyDescent="0.2">
      <c r="B7106" s="2">
        <f ca="1"/>
        <v>0.19937990253413695</v>
      </c>
      <c r="O7106" s="2">
        <f ca="1"/>
        <v>0.21064222679725358</v>
      </c>
      <c r="X7106" s="2">
        <f ca="1"/>
        <v>47.306665345683705</v>
      </c>
      <c r="AG7106" s="2">
        <f ca="1"/>
        <v>0.379690591148095</v>
      </c>
      <c r="AH7106" s="2" t="str">
        <f ca="1"/>
        <v>OK</v>
      </c>
    </row>
    <row r="7107" spans="2:34" x14ac:dyDescent="0.2">
      <c r="B7107" s="2">
        <f ca="1"/>
        <v>0.89685432715426638</v>
      </c>
      <c r="O7107" s="2">
        <f ca="1"/>
        <v>0.36512096023085022</v>
      </c>
      <c r="X7107" s="2">
        <f ca="1"/>
        <v>67.415750825521499</v>
      </c>
      <c r="AG7107" s="2">
        <f ca="1"/>
        <v>0.38983009067202024</v>
      </c>
      <c r="AH7107" s="2" t="str">
        <f ca="1"/>
        <v>OK</v>
      </c>
    </row>
    <row r="7108" spans="2:34" x14ac:dyDescent="0.2">
      <c r="B7108" s="2">
        <f ca="1"/>
        <v>0.25862682076077803</v>
      </c>
      <c r="O7108" s="2">
        <f ca="1"/>
        <v>-1.8529671112103736</v>
      </c>
      <c r="X7108" s="2">
        <f ca="1"/>
        <v>47.035668724039816</v>
      </c>
      <c r="AG7108" s="2">
        <f ca="1"/>
        <v>0.7338933391143625</v>
      </c>
      <c r="AH7108" s="2" t="str">
        <f ca="1"/>
        <v>Bad</v>
      </c>
    </row>
    <row r="7109" spans="2:34" x14ac:dyDescent="0.2">
      <c r="B7109" s="2">
        <f ca="1"/>
        <v>0.32049745272462027</v>
      </c>
      <c r="O7109" s="2">
        <f ca="1"/>
        <v>-0.35000728467519826</v>
      </c>
      <c r="X7109" s="2">
        <f ca="1"/>
        <v>65.622368260146786</v>
      </c>
      <c r="AG7109" s="2">
        <f ca="1"/>
        <v>0.52765988578580414</v>
      </c>
      <c r="AH7109" s="2" t="str">
        <f ca="1"/>
        <v>Bad</v>
      </c>
    </row>
    <row r="7110" spans="2:34" x14ac:dyDescent="0.2">
      <c r="B7110" s="2">
        <f ca="1"/>
        <v>0.74989593812003896</v>
      </c>
      <c r="O7110" s="2">
        <f ca="1"/>
        <v>0.32613481685497148</v>
      </c>
      <c r="X7110" s="2">
        <f ca="1"/>
        <v>47.795693453497144</v>
      </c>
      <c r="AG7110" s="2">
        <f ca="1"/>
        <v>0.59503633243833676</v>
      </c>
      <c r="AH7110" s="2" t="str">
        <f ca="1"/>
        <v>Bad</v>
      </c>
    </row>
    <row r="7111" spans="2:34" x14ac:dyDescent="0.2">
      <c r="B7111" s="2">
        <f ca="1"/>
        <v>0.21920337491134356</v>
      </c>
      <c r="O7111" s="2">
        <f ca="1"/>
        <v>0.43731938937112591</v>
      </c>
      <c r="X7111" s="2">
        <f ca="1"/>
        <v>77.203346774360313</v>
      </c>
      <c r="AG7111" s="2">
        <f ca="1"/>
        <v>0.12044110788369777</v>
      </c>
      <c r="AH7111" s="2" t="str">
        <f ca="1"/>
        <v>OK</v>
      </c>
    </row>
    <row r="7112" spans="2:34" x14ac:dyDescent="0.2">
      <c r="B7112" s="2">
        <f ca="1"/>
        <v>0.85196284558513224</v>
      </c>
      <c r="O7112" s="2">
        <f ca="1"/>
        <v>-0.94343264918469538</v>
      </c>
      <c r="X7112" s="2">
        <f ca="1"/>
        <v>51.636968008410349</v>
      </c>
      <c r="AG7112" s="2">
        <f ca="1"/>
        <v>0.95682871660623992</v>
      </c>
      <c r="AH7112" s="2" t="str">
        <f ca="1"/>
        <v>Bad</v>
      </c>
    </row>
    <row r="7113" spans="2:34" x14ac:dyDescent="0.2">
      <c r="B7113" s="2">
        <f ca="1"/>
        <v>1.0497487628895907E-2</v>
      </c>
      <c r="O7113" s="2">
        <f ca="1"/>
        <v>0.56438400668068867</v>
      </c>
      <c r="X7113" s="2">
        <f ca="1"/>
        <v>58.023550750329733</v>
      </c>
      <c r="AG7113" s="2">
        <f ca="1"/>
        <v>0.77857833455327485</v>
      </c>
      <c r="AH7113" s="2" t="str">
        <f ca="1"/>
        <v>Bad</v>
      </c>
    </row>
    <row r="7114" spans="2:34" x14ac:dyDescent="0.2">
      <c r="B7114" s="2">
        <f ca="1"/>
        <v>0.97022726458911124</v>
      </c>
      <c r="O7114" s="2">
        <f ca="1"/>
        <v>0.64044377101352401</v>
      </c>
      <c r="X7114" s="2">
        <f ca="1"/>
        <v>48.321066941552687</v>
      </c>
      <c r="AG7114" s="2">
        <f ca="1"/>
        <v>0.54501787632479504</v>
      </c>
      <c r="AH7114" s="2" t="str">
        <f ca="1"/>
        <v>Bad</v>
      </c>
    </row>
    <row r="7115" spans="2:34" x14ac:dyDescent="0.2">
      <c r="B7115" s="2">
        <f ca="1"/>
        <v>0.96378364292909291</v>
      </c>
      <c r="O7115" s="2">
        <f ca="1"/>
        <v>0.69506321430528606</v>
      </c>
      <c r="X7115" s="2">
        <f ca="1"/>
        <v>40.513277713152831</v>
      </c>
      <c r="AG7115" s="2">
        <f ca="1"/>
        <v>0.33431110875404935</v>
      </c>
      <c r="AH7115" s="2" t="str">
        <f ca="1"/>
        <v>OK</v>
      </c>
    </row>
    <row r="7116" spans="2:34" x14ac:dyDescent="0.2">
      <c r="B7116" s="2">
        <f ca="1"/>
        <v>5.7033556393814244E-2</v>
      </c>
      <c r="O7116" s="2">
        <f ca="1"/>
        <v>1.0295496123698726</v>
      </c>
      <c r="X7116" s="2">
        <f ca="1"/>
        <v>42.65268758580148</v>
      </c>
      <c r="AG7116" s="2">
        <f ca="1"/>
        <v>0.42848558606631326</v>
      </c>
      <c r="AH7116" s="2" t="str">
        <f ca="1"/>
        <v>Bad</v>
      </c>
    </row>
    <row r="7117" spans="2:34" x14ac:dyDescent="0.2">
      <c r="B7117" s="2">
        <f ca="1"/>
        <v>0.23096044231699264</v>
      </c>
      <c r="O7117" s="2">
        <f ca="1"/>
        <v>0.27127032116378824</v>
      </c>
      <c r="X7117" s="2">
        <f ca="1"/>
        <v>38.725465226530879</v>
      </c>
      <c r="AG7117" s="2">
        <f ca="1"/>
        <v>0.30916970200296001</v>
      </c>
      <c r="AH7117" s="2" t="str">
        <f ca="1"/>
        <v>OK</v>
      </c>
    </row>
    <row r="7118" spans="2:34" x14ac:dyDescent="0.2">
      <c r="B7118" s="2">
        <f ca="1"/>
        <v>0.31395397942986691</v>
      </c>
      <c r="O7118" s="2">
        <f ca="1"/>
        <v>0.99312856261505078</v>
      </c>
      <c r="X7118" s="2">
        <f ca="1"/>
        <v>59.068024613875522</v>
      </c>
      <c r="AG7118" s="2">
        <f ca="1"/>
        <v>0.64404784086772549</v>
      </c>
      <c r="AH7118" s="2" t="str">
        <f ca="1"/>
        <v>Bad</v>
      </c>
    </row>
    <row r="7119" spans="2:34" x14ac:dyDescent="0.2">
      <c r="B7119" s="2">
        <f ca="1"/>
        <v>0.24513326614371667</v>
      </c>
      <c r="O7119" s="2">
        <f ca="1"/>
        <v>-6.235168554567095E-2</v>
      </c>
      <c r="X7119" s="2">
        <f ca="1"/>
        <v>63.012813364349959</v>
      </c>
      <c r="AG7119" s="2">
        <f ca="1"/>
        <v>0.96212168638354578</v>
      </c>
      <c r="AH7119" s="2" t="str">
        <f ca="1"/>
        <v>Bad</v>
      </c>
    </row>
    <row r="7120" spans="2:34" x14ac:dyDescent="0.2">
      <c r="B7120" s="2">
        <f ca="1"/>
        <v>0.50598545601702138</v>
      </c>
      <c r="O7120" s="2">
        <f ca="1"/>
        <v>1.7147889143136252</v>
      </c>
      <c r="X7120" s="2">
        <f ca="1"/>
        <v>72.775456282227935</v>
      </c>
      <c r="AG7120" s="2">
        <f ca="1"/>
        <v>0.56795383709075709</v>
      </c>
      <c r="AH7120" s="2" t="str">
        <f ca="1"/>
        <v>Bad</v>
      </c>
    </row>
    <row r="7121" spans="2:34" x14ac:dyDescent="0.2">
      <c r="B7121" s="2">
        <f ca="1"/>
        <v>0.98760374232911974</v>
      </c>
      <c r="O7121" s="2">
        <f ca="1"/>
        <v>0.18504670666438244</v>
      </c>
      <c r="X7121" s="2">
        <f ca="1"/>
        <v>69.865174390079588</v>
      </c>
      <c r="AG7121" s="2">
        <f ca="1"/>
        <v>0.60886561060126287</v>
      </c>
      <c r="AH7121" s="2" t="str">
        <f ca="1"/>
        <v>Bad</v>
      </c>
    </row>
    <row r="7122" spans="2:34" x14ac:dyDescent="0.2">
      <c r="B7122" s="2">
        <f ca="1"/>
        <v>0.11797757008032783</v>
      </c>
      <c r="O7122" s="2">
        <f ca="1"/>
        <v>-0.37361944014442328</v>
      </c>
      <c r="X7122" s="2">
        <f ca="1"/>
        <v>67.217183252258337</v>
      </c>
      <c r="AG7122" s="2">
        <f ca="1"/>
        <v>0.79924354995853486</v>
      </c>
      <c r="AH7122" s="2" t="str">
        <f ca="1"/>
        <v>Bad</v>
      </c>
    </row>
    <row r="7123" spans="2:34" x14ac:dyDescent="0.2">
      <c r="B7123" s="2">
        <f ca="1"/>
        <v>0.88283186403525837</v>
      </c>
      <c r="O7123" s="2">
        <f ca="1"/>
        <v>0.99474005551016864</v>
      </c>
      <c r="X7123" s="2">
        <f ca="1"/>
        <v>59.717184934047708</v>
      </c>
      <c r="AG7123" s="2">
        <f ca="1"/>
        <v>0.97245107779340478</v>
      </c>
      <c r="AH7123" s="2" t="str">
        <f ca="1"/>
        <v>Bad</v>
      </c>
    </row>
    <row r="7124" spans="2:34" x14ac:dyDescent="0.2">
      <c r="B7124" s="2">
        <f ca="1"/>
        <v>0.98064525043095663</v>
      </c>
      <c r="O7124" s="2">
        <f ca="1"/>
        <v>6.4200782175827836E-2</v>
      </c>
      <c r="X7124" s="2">
        <f ca="1"/>
        <v>36.937863445133544</v>
      </c>
      <c r="AG7124" s="2">
        <f ca="1"/>
        <v>0.10630402829139207</v>
      </c>
      <c r="AH7124" s="2" t="str">
        <f ca="1"/>
        <v>OK</v>
      </c>
    </row>
    <row r="7125" spans="2:34" x14ac:dyDescent="0.2">
      <c r="B7125" s="2">
        <f ca="1"/>
        <v>3.9876166294048998E-2</v>
      </c>
      <c r="O7125" s="2">
        <f ca="1"/>
        <v>1.6637295131827332</v>
      </c>
      <c r="X7125" s="2">
        <f ca="1"/>
        <v>64.098679586618147</v>
      </c>
      <c r="AG7125" s="2">
        <f ca="1"/>
        <v>0.60426923304460045</v>
      </c>
      <c r="AH7125" s="2" t="str">
        <f ca="1"/>
        <v>Bad</v>
      </c>
    </row>
    <row r="7126" spans="2:34" x14ac:dyDescent="0.2">
      <c r="B7126" s="2">
        <f ca="1"/>
        <v>0.81860455144384447</v>
      </c>
      <c r="O7126" s="2">
        <f ca="1"/>
        <v>2.3206882858673232</v>
      </c>
      <c r="X7126" s="2">
        <f ca="1"/>
        <v>43.522300088274108</v>
      </c>
      <c r="AG7126" s="2">
        <f ca="1"/>
        <v>0.24695156024492415</v>
      </c>
      <c r="AH7126" s="2" t="str">
        <f ca="1"/>
        <v>OK</v>
      </c>
    </row>
    <row r="7127" spans="2:34" x14ac:dyDescent="0.2">
      <c r="B7127" s="2">
        <f ca="1"/>
        <v>0.50096230201690961</v>
      </c>
      <c r="O7127" s="2">
        <f ca="1"/>
        <v>-9.6082001881145088E-2</v>
      </c>
      <c r="X7127" s="2">
        <f ca="1"/>
        <v>39.362670415436611</v>
      </c>
      <c r="AG7127" s="2">
        <f ca="1"/>
        <v>0.88358560712677847</v>
      </c>
      <c r="AH7127" s="2" t="str">
        <f ca="1"/>
        <v>Bad</v>
      </c>
    </row>
    <row r="7128" spans="2:34" x14ac:dyDescent="0.2">
      <c r="B7128" s="2">
        <f ca="1"/>
        <v>0.8788757915256773</v>
      </c>
      <c r="O7128" s="2">
        <f ca="1"/>
        <v>8.8618450937648485E-3</v>
      </c>
      <c r="X7128" s="2">
        <f ca="1"/>
        <v>31.174222790276929</v>
      </c>
      <c r="AG7128" s="2">
        <f ca="1"/>
        <v>0.87059964624392072</v>
      </c>
      <c r="AH7128" s="2" t="str">
        <f ca="1"/>
        <v>Bad</v>
      </c>
    </row>
    <row r="7129" spans="2:34" x14ac:dyDescent="0.2">
      <c r="B7129" s="2">
        <f ca="1"/>
        <v>0.91542990704036953</v>
      </c>
      <c r="O7129" s="2">
        <f ca="1"/>
        <v>-1.1811963132914221</v>
      </c>
      <c r="X7129" s="2">
        <f ca="1"/>
        <v>75.736043358529315</v>
      </c>
      <c r="AG7129" s="2">
        <f ca="1"/>
        <v>0.17441510785314396</v>
      </c>
      <c r="AH7129" s="2" t="str">
        <f ca="1"/>
        <v>OK</v>
      </c>
    </row>
    <row r="7130" spans="2:34" x14ac:dyDescent="0.2">
      <c r="B7130" s="2">
        <f ca="1"/>
        <v>0.3098232787852262</v>
      </c>
      <c r="O7130" s="2">
        <f ca="1"/>
        <v>1.6450763979546679</v>
      </c>
      <c r="X7130" s="2">
        <f ca="1"/>
        <v>71.3967328345109</v>
      </c>
      <c r="AG7130" s="2">
        <f ca="1"/>
        <v>0.74205254418929778</v>
      </c>
      <c r="AH7130" s="2" t="str">
        <f ca="1"/>
        <v>Bad</v>
      </c>
    </row>
    <row r="7131" spans="2:34" x14ac:dyDescent="0.2">
      <c r="B7131" s="2">
        <f ca="1"/>
        <v>0.83210908141847661</v>
      </c>
      <c r="O7131" s="2">
        <f ca="1"/>
        <v>-0.8884315562741425</v>
      </c>
      <c r="X7131" s="2">
        <f ca="1"/>
        <v>50.719917864487257</v>
      </c>
      <c r="AG7131" s="2">
        <f ca="1"/>
        <v>5.6019120733799666E-2</v>
      </c>
      <c r="AH7131" s="2" t="str">
        <f ca="1"/>
        <v>OK</v>
      </c>
    </row>
    <row r="7132" spans="2:34" x14ac:dyDescent="0.2">
      <c r="B7132" s="2">
        <f ca="1"/>
        <v>8.1348983902168825E-2</v>
      </c>
      <c r="O7132" s="2">
        <f ca="1"/>
        <v>-0.25853887521621521</v>
      </c>
      <c r="X7132" s="2">
        <f ca="1"/>
        <v>37.09528343534781</v>
      </c>
      <c r="AG7132" s="2">
        <f ca="1"/>
        <v>0.38918382075393954</v>
      </c>
      <c r="AH7132" s="2" t="str">
        <f ca="1"/>
        <v>OK</v>
      </c>
    </row>
    <row r="7133" spans="2:34" x14ac:dyDescent="0.2">
      <c r="B7133" s="2">
        <f ca="1"/>
        <v>0.30989102274904279</v>
      </c>
      <c r="O7133" s="2">
        <f ca="1"/>
        <v>-1.2870193080357566</v>
      </c>
      <c r="X7133" s="2">
        <f ca="1"/>
        <v>55.340565276433693</v>
      </c>
      <c r="AG7133" s="2">
        <f ca="1"/>
        <v>0.40271403171838593</v>
      </c>
      <c r="AH7133" s="2" t="str">
        <f ca="1"/>
        <v>Bad</v>
      </c>
    </row>
    <row r="7134" spans="2:34" x14ac:dyDescent="0.2">
      <c r="B7134" s="2">
        <f ca="1"/>
        <v>0.92817430341421558</v>
      </c>
      <c r="O7134" s="2">
        <f ca="1"/>
        <v>1.1486466325950127</v>
      </c>
      <c r="X7134" s="2">
        <f ca="1"/>
        <v>46.325022657452848</v>
      </c>
      <c r="AG7134" s="2">
        <f ca="1"/>
        <v>4.5729639612197559E-2</v>
      </c>
      <c r="AH7134" s="2" t="str">
        <f ca="1"/>
        <v>Good</v>
      </c>
    </row>
    <row r="7135" spans="2:34" x14ac:dyDescent="0.2">
      <c r="B7135" s="2">
        <f ca="1"/>
        <v>0.30330775206393157</v>
      </c>
      <c r="O7135" s="2">
        <f ca="1"/>
        <v>-1.0570237552358515</v>
      </c>
      <c r="X7135" s="2">
        <f ca="1"/>
        <v>57.92258174210474</v>
      </c>
      <c r="AG7135" s="2">
        <f ca="1"/>
        <v>0.75356222313635057</v>
      </c>
      <c r="AH7135" s="2" t="str">
        <f ca="1"/>
        <v>Bad</v>
      </c>
    </row>
    <row r="7136" spans="2:34" x14ac:dyDescent="0.2">
      <c r="B7136" s="2">
        <f ca="1"/>
        <v>0.91402253810724488</v>
      </c>
      <c r="O7136" s="2">
        <f ca="1"/>
        <v>-1.5056686834698509</v>
      </c>
      <c r="X7136" s="2">
        <f ca="1"/>
        <v>60.332784609307723</v>
      </c>
      <c r="AG7136" s="2">
        <f ca="1"/>
        <v>0.9182614172693917</v>
      </c>
      <c r="AH7136" s="2" t="str">
        <f ca="1"/>
        <v>Bad</v>
      </c>
    </row>
    <row r="7137" spans="2:34" x14ac:dyDescent="0.2">
      <c r="B7137" s="2">
        <f ca="1"/>
        <v>0.48548735602054705</v>
      </c>
      <c r="O7137" s="2">
        <f ca="1"/>
        <v>-0.36708906521602286</v>
      </c>
      <c r="X7137" s="2">
        <f ca="1"/>
        <v>61.293723490697403</v>
      </c>
      <c r="AG7137" s="2">
        <f ca="1"/>
        <v>0.76785281289961782</v>
      </c>
      <c r="AH7137" s="2" t="str">
        <f ca="1"/>
        <v>Bad</v>
      </c>
    </row>
    <row r="7138" spans="2:34" x14ac:dyDescent="0.2">
      <c r="B7138" s="2">
        <f ca="1"/>
        <v>0.66070119941243433</v>
      </c>
      <c r="O7138" s="2">
        <f ca="1"/>
        <v>3.6656578183641077E-2</v>
      </c>
      <c r="X7138" s="2">
        <f ca="1"/>
        <v>42.757276820987045</v>
      </c>
      <c r="AG7138" s="2">
        <f ca="1"/>
        <v>0.98881209067531284</v>
      </c>
      <c r="AH7138" s="2" t="str">
        <f ca="1"/>
        <v>Bad</v>
      </c>
    </row>
    <row r="7139" spans="2:34" x14ac:dyDescent="0.2">
      <c r="B7139" s="2">
        <f ca="1"/>
        <v>7.8895274775687696E-2</v>
      </c>
      <c r="O7139" s="2">
        <f ca="1"/>
        <v>0.1910102644180029</v>
      </c>
      <c r="X7139" s="2">
        <f ca="1"/>
        <v>64.302094400131807</v>
      </c>
      <c r="AG7139" s="2">
        <f ca="1"/>
        <v>0.9856821696072684</v>
      </c>
      <c r="AH7139" s="2" t="str">
        <f ca="1"/>
        <v>Bad</v>
      </c>
    </row>
    <row r="7140" spans="2:34" x14ac:dyDescent="0.2">
      <c r="B7140" s="2">
        <f ca="1"/>
        <v>4.9176571784203427E-2</v>
      </c>
      <c r="O7140" s="2">
        <f ca="1"/>
        <v>0.21168347892565209</v>
      </c>
      <c r="X7140" s="2">
        <f ca="1"/>
        <v>43.32580004525893</v>
      </c>
      <c r="AG7140" s="2">
        <f ca="1"/>
        <v>0.77697429720918554</v>
      </c>
      <c r="AH7140" s="2" t="str">
        <f ca="1"/>
        <v>Bad</v>
      </c>
    </row>
    <row r="7141" spans="2:34" x14ac:dyDescent="0.2">
      <c r="B7141" s="2">
        <f ca="1"/>
        <v>0.66430475256863031</v>
      </c>
      <c r="O7141" s="2">
        <f ca="1"/>
        <v>0.75296510630319757</v>
      </c>
      <c r="X7141" s="2">
        <f ca="1"/>
        <v>62.580316838438648</v>
      </c>
      <c r="AG7141" s="2">
        <f ca="1"/>
        <v>0.58898091925626339</v>
      </c>
      <c r="AH7141" s="2" t="str">
        <f ca="1"/>
        <v>Bad</v>
      </c>
    </row>
    <row r="7142" spans="2:34" x14ac:dyDescent="0.2">
      <c r="B7142" s="2">
        <f ca="1"/>
        <v>0.83042799555185964</v>
      </c>
      <c r="O7142" s="2">
        <f ca="1"/>
        <v>-0.55901629280619058</v>
      </c>
      <c r="X7142" s="2">
        <f ca="1"/>
        <v>38.483449146606155</v>
      </c>
      <c r="AG7142" s="2">
        <f ca="1"/>
        <v>0.53407319752789761</v>
      </c>
      <c r="AH7142" s="2" t="str">
        <f ca="1"/>
        <v>Bad</v>
      </c>
    </row>
    <row r="7143" spans="2:34" x14ac:dyDescent="0.2">
      <c r="B7143" s="2">
        <f ca="1"/>
        <v>0.61403778951896792</v>
      </c>
      <c r="O7143" s="2">
        <f ca="1"/>
        <v>-0.85821576943443534</v>
      </c>
      <c r="X7143" s="2">
        <f ca="1"/>
        <v>35.552645276389811</v>
      </c>
      <c r="AG7143" s="2">
        <f ca="1"/>
        <v>0.99314421720287083</v>
      </c>
      <c r="AH7143" s="2" t="str">
        <f ca="1"/>
        <v>Bad</v>
      </c>
    </row>
    <row r="7144" spans="2:34" x14ac:dyDescent="0.2">
      <c r="B7144" s="2">
        <f ca="1"/>
        <v>5.4400119462436392E-2</v>
      </c>
      <c r="O7144" s="2">
        <f ca="1"/>
        <v>-0.54760097644323535</v>
      </c>
      <c r="X7144" s="2">
        <f ca="1"/>
        <v>31.05004834857835</v>
      </c>
      <c r="AG7144" s="2">
        <f ca="1"/>
        <v>0.4511218884958168</v>
      </c>
      <c r="AH7144" s="2" t="str">
        <f ca="1"/>
        <v>Bad</v>
      </c>
    </row>
    <row r="7145" spans="2:34" x14ac:dyDescent="0.2">
      <c r="B7145" s="2">
        <f ca="1"/>
        <v>0.96815667618454992</v>
      </c>
      <c r="O7145" s="2">
        <f ca="1"/>
        <v>0.24110735265295904</v>
      </c>
      <c r="X7145" s="2">
        <f ca="1"/>
        <v>38.007280755699576</v>
      </c>
      <c r="AG7145" s="2">
        <f ca="1"/>
        <v>0.63920278557382382</v>
      </c>
      <c r="AH7145" s="2" t="str">
        <f ca="1"/>
        <v>Bad</v>
      </c>
    </row>
    <row r="7146" spans="2:34" x14ac:dyDescent="0.2">
      <c r="B7146" s="2">
        <f ca="1"/>
        <v>0.69489042008270063</v>
      </c>
      <c r="O7146" s="2">
        <f ca="1"/>
        <v>8.2260178716990567E-2</v>
      </c>
      <c r="X7146" s="2">
        <f ca="1"/>
        <v>33.44167032473058</v>
      </c>
      <c r="AG7146" s="2">
        <f ca="1"/>
        <v>0.33812741162926674</v>
      </c>
      <c r="AH7146" s="2" t="str">
        <f ca="1"/>
        <v>OK</v>
      </c>
    </row>
    <row r="7147" spans="2:34" x14ac:dyDescent="0.2">
      <c r="B7147" s="2">
        <f ca="1"/>
        <v>0.63130722821135765</v>
      </c>
      <c r="O7147" s="2">
        <f ca="1"/>
        <v>-1.7937673895101185</v>
      </c>
      <c r="X7147" s="2">
        <f ca="1"/>
        <v>40.789901133633734</v>
      </c>
      <c r="AG7147" s="2">
        <f ca="1"/>
        <v>0.15950808091811708</v>
      </c>
      <c r="AH7147" s="2" t="str">
        <f ca="1"/>
        <v>OK</v>
      </c>
    </row>
    <row r="7148" spans="2:34" x14ac:dyDescent="0.2">
      <c r="B7148" s="2">
        <f ca="1"/>
        <v>0.29441463367137732</v>
      </c>
      <c r="O7148" s="2">
        <f ca="1"/>
        <v>0.36644340424614935</v>
      </c>
      <c r="X7148" s="2">
        <f ca="1"/>
        <v>31.034829421655413</v>
      </c>
      <c r="AG7148" s="2">
        <f ca="1"/>
        <v>0.7947155662688925</v>
      </c>
      <c r="AH7148" s="2" t="str">
        <f ca="1"/>
        <v>Bad</v>
      </c>
    </row>
    <row r="7149" spans="2:34" x14ac:dyDescent="0.2">
      <c r="B7149" s="2">
        <f ca="1"/>
        <v>0.94395448882770627</v>
      </c>
      <c r="O7149" s="2">
        <f ca="1"/>
        <v>1.4139443251564194</v>
      </c>
      <c r="X7149" s="2">
        <f ca="1"/>
        <v>58.180479421657189</v>
      </c>
      <c r="AG7149" s="2">
        <f ca="1"/>
        <v>5.8394397065919534E-2</v>
      </c>
      <c r="AH7149" s="2" t="str">
        <f ca="1"/>
        <v>OK</v>
      </c>
    </row>
    <row r="7150" spans="2:34" x14ac:dyDescent="0.2">
      <c r="B7150" s="2">
        <f ca="1"/>
        <v>0.79805008048958581</v>
      </c>
      <c r="O7150" s="2">
        <f ca="1"/>
        <v>0.87800203406933386</v>
      </c>
      <c r="X7150" s="2">
        <f ca="1"/>
        <v>48.270133410751441</v>
      </c>
      <c r="AG7150" s="2">
        <f ca="1"/>
        <v>3.4194928840261429E-2</v>
      </c>
      <c r="AH7150" s="2" t="str">
        <f ca="1"/>
        <v>Good</v>
      </c>
    </row>
    <row r="7151" spans="2:34" x14ac:dyDescent="0.2">
      <c r="B7151" s="2">
        <f ca="1"/>
        <v>0.23186174729512676</v>
      </c>
      <c r="O7151" s="2">
        <f ca="1"/>
        <v>-0.33659078405946474</v>
      </c>
      <c r="X7151" s="2">
        <f ca="1"/>
        <v>35.891048421710586</v>
      </c>
      <c r="AG7151" s="2">
        <f ca="1"/>
        <v>0.20271078510331031</v>
      </c>
      <c r="AH7151" s="2" t="str">
        <f ca="1"/>
        <v>OK</v>
      </c>
    </row>
    <row r="7152" spans="2:34" x14ac:dyDescent="0.2">
      <c r="B7152" s="2">
        <f ca="1"/>
        <v>0.78323663044008507</v>
      </c>
      <c r="O7152" s="2">
        <f ca="1"/>
        <v>0.13700432622108241</v>
      </c>
      <c r="X7152" s="2">
        <f ca="1"/>
        <v>36.467708281205759</v>
      </c>
      <c r="AG7152" s="2">
        <f ca="1"/>
        <v>0.35659416489915152</v>
      </c>
      <c r="AH7152" s="2" t="str">
        <f ca="1"/>
        <v>OK</v>
      </c>
    </row>
    <row r="7153" spans="2:34" x14ac:dyDescent="0.2">
      <c r="B7153" s="2">
        <f ca="1"/>
        <v>0.80316799262829552</v>
      </c>
      <c r="O7153" s="2">
        <f ca="1"/>
        <v>0.42109051193279978</v>
      </c>
      <c r="X7153" s="2">
        <f ca="1"/>
        <v>43.320379846467809</v>
      </c>
      <c r="AG7153" s="2">
        <f ca="1"/>
        <v>0.26360375030532257</v>
      </c>
      <c r="AH7153" s="2" t="str">
        <f ca="1"/>
        <v>OK</v>
      </c>
    </row>
    <row r="7154" spans="2:34" x14ac:dyDescent="0.2">
      <c r="B7154" s="2">
        <f ca="1"/>
        <v>0.89911808777878388</v>
      </c>
      <c r="O7154" s="2">
        <f ca="1"/>
        <v>0.3441558745274651</v>
      </c>
      <c r="X7154" s="2">
        <f ca="1"/>
        <v>40.845991454902169</v>
      </c>
      <c r="AG7154" s="2">
        <f ca="1"/>
        <v>0.35778300235893412</v>
      </c>
      <c r="AH7154" s="2" t="str">
        <f ca="1"/>
        <v>OK</v>
      </c>
    </row>
    <row r="7155" spans="2:34" x14ac:dyDescent="0.2">
      <c r="B7155" s="2">
        <f ca="1"/>
        <v>9.1109875941000062E-2</v>
      </c>
      <c r="O7155" s="2">
        <f ca="1"/>
        <v>0.59603036838411072</v>
      </c>
      <c r="X7155" s="2">
        <f ca="1"/>
        <v>68.866349722148868</v>
      </c>
      <c r="AG7155" s="2">
        <f ca="1"/>
        <v>0.72380487741065824</v>
      </c>
      <c r="AH7155" s="2" t="str">
        <f ca="1"/>
        <v>Bad</v>
      </c>
    </row>
    <row r="7156" spans="2:34" x14ac:dyDescent="0.2">
      <c r="B7156" s="2">
        <f ca="1"/>
        <v>0.84517020441614399</v>
      </c>
      <c r="O7156" s="2">
        <f ca="1"/>
        <v>1.6492634021511785</v>
      </c>
      <c r="X7156" s="2">
        <f ca="1"/>
        <v>68.855658310362344</v>
      </c>
      <c r="AG7156" s="2">
        <f ca="1"/>
        <v>0.67702033807825823</v>
      </c>
      <c r="AH7156" s="2" t="str">
        <f ca="1"/>
        <v>Bad</v>
      </c>
    </row>
    <row r="7157" spans="2:34" x14ac:dyDescent="0.2">
      <c r="B7157" s="2">
        <f ca="1"/>
        <v>0.35917944340735364</v>
      </c>
      <c r="O7157" s="2">
        <f ca="1"/>
        <v>0.78243846941920925</v>
      </c>
      <c r="X7157" s="2">
        <f ca="1"/>
        <v>48.566661429767947</v>
      </c>
      <c r="AG7157" s="2">
        <f ca="1"/>
        <v>0.31179272019541515</v>
      </c>
      <c r="AH7157" s="2" t="str">
        <f ca="1"/>
        <v>OK</v>
      </c>
    </row>
    <row r="7158" spans="2:34" x14ac:dyDescent="0.2">
      <c r="B7158" s="2">
        <f ca="1"/>
        <v>2.4858552580879767E-2</v>
      </c>
      <c r="O7158" s="2">
        <f ca="1"/>
        <v>-4.1836095064777597E-2</v>
      </c>
      <c r="X7158" s="2">
        <f ca="1"/>
        <v>57.481308358987455</v>
      </c>
      <c r="AG7158" s="2">
        <f ca="1"/>
        <v>0.37180148587172779</v>
      </c>
      <c r="AH7158" s="2" t="str">
        <f ca="1"/>
        <v>OK</v>
      </c>
    </row>
    <row r="7159" spans="2:34" x14ac:dyDescent="0.2">
      <c r="B7159" s="2">
        <f ca="1"/>
        <v>0.44116885364931635</v>
      </c>
      <c r="O7159" s="2">
        <f ca="1"/>
        <v>0.12503617698300745</v>
      </c>
      <c r="X7159" s="2">
        <f ca="1"/>
        <v>43.038272572955229</v>
      </c>
      <c r="AG7159" s="2">
        <f ca="1"/>
        <v>0.20541061499324309</v>
      </c>
      <c r="AH7159" s="2" t="str">
        <f ca="1"/>
        <v>OK</v>
      </c>
    </row>
    <row r="7160" spans="2:34" x14ac:dyDescent="0.2">
      <c r="B7160" s="2">
        <f ca="1"/>
        <v>0.52967242317836183</v>
      </c>
      <c r="O7160" s="2">
        <f ca="1"/>
        <v>-0.81102854310426242</v>
      </c>
      <c r="X7160" s="2">
        <f ca="1"/>
        <v>42.861765358409556</v>
      </c>
      <c r="AG7160" s="2">
        <f ca="1"/>
        <v>0.42554303675930139</v>
      </c>
      <c r="AH7160" s="2" t="str">
        <f ca="1"/>
        <v>Bad</v>
      </c>
    </row>
    <row r="7161" spans="2:34" x14ac:dyDescent="0.2">
      <c r="B7161" s="2">
        <f ca="1"/>
        <v>0.78132244691572095</v>
      </c>
      <c r="O7161" s="2">
        <f ca="1"/>
        <v>0.49079971964444813</v>
      </c>
      <c r="X7161" s="2">
        <f ca="1"/>
        <v>44.458934496104796</v>
      </c>
      <c r="AG7161" s="2">
        <f ca="1"/>
        <v>0.28781177025095483</v>
      </c>
      <c r="AH7161" s="2" t="str">
        <f ca="1"/>
        <v>OK</v>
      </c>
    </row>
    <row r="7162" spans="2:34" x14ac:dyDescent="0.2">
      <c r="B7162" s="2">
        <f ca="1"/>
        <v>3.3179285171753836E-2</v>
      </c>
      <c r="O7162" s="2">
        <f ca="1"/>
        <v>-1.6257667990553599</v>
      </c>
      <c r="X7162" s="2">
        <f ca="1"/>
        <v>34.687766577480531</v>
      </c>
      <c r="AG7162" s="2">
        <f ca="1"/>
        <v>0.97060601323152751</v>
      </c>
      <c r="AH7162" s="2" t="str">
        <f ca="1"/>
        <v>Bad</v>
      </c>
    </row>
    <row r="7163" spans="2:34" x14ac:dyDescent="0.2">
      <c r="B7163" s="2">
        <f ca="1"/>
        <v>0.31668275183167283</v>
      </c>
      <c r="O7163" s="2">
        <f ca="1"/>
        <v>0.24964942636672724</v>
      </c>
      <c r="X7163" s="2">
        <f ca="1"/>
        <v>65.744856324074817</v>
      </c>
      <c r="AG7163" s="2">
        <f ca="1"/>
        <v>0.32182884069984397</v>
      </c>
      <c r="AH7163" s="2" t="str">
        <f ca="1"/>
        <v>OK</v>
      </c>
    </row>
    <row r="7164" spans="2:34" x14ac:dyDescent="0.2">
      <c r="B7164" s="2">
        <f ca="1"/>
        <v>0.22454281659192032</v>
      </c>
      <c r="O7164" s="2">
        <f ca="1"/>
        <v>0.8057685678623383</v>
      </c>
      <c r="X7164" s="2">
        <f ca="1"/>
        <v>54.083240681181593</v>
      </c>
      <c r="AG7164" s="2">
        <f ca="1"/>
        <v>0.66937491160064044</v>
      </c>
      <c r="AH7164" s="2" t="str">
        <f ca="1"/>
        <v>Bad</v>
      </c>
    </row>
    <row r="7165" spans="2:34" x14ac:dyDescent="0.2">
      <c r="B7165" s="2">
        <f ca="1"/>
        <v>0.17100323047757549</v>
      </c>
      <c r="O7165" s="2">
        <f ca="1"/>
        <v>0.530978897807031</v>
      </c>
      <c r="X7165" s="2">
        <f ca="1"/>
        <v>46.285147900913643</v>
      </c>
      <c r="AG7165" s="2">
        <f ca="1"/>
        <v>5.578542626446148E-2</v>
      </c>
      <c r="AH7165" s="2" t="str">
        <f ca="1"/>
        <v>OK</v>
      </c>
    </row>
    <row r="7166" spans="2:34" x14ac:dyDescent="0.2">
      <c r="B7166" s="2">
        <f ca="1"/>
        <v>0.18657758717601935</v>
      </c>
      <c r="O7166" s="2">
        <f ca="1"/>
        <v>-0.44374324932612397</v>
      </c>
      <c r="X7166" s="2">
        <f ca="1"/>
        <v>62.221542272809735</v>
      </c>
      <c r="AG7166" s="2">
        <f ca="1"/>
        <v>0.8062432766722567</v>
      </c>
      <c r="AH7166" s="2" t="str">
        <f ca="1"/>
        <v>Bad</v>
      </c>
    </row>
    <row r="7167" spans="2:34" x14ac:dyDescent="0.2">
      <c r="B7167" s="2">
        <f ca="1"/>
        <v>0.38310372518493852</v>
      </c>
      <c r="O7167" s="2">
        <f ca="1"/>
        <v>1.4797810801225737</v>
      </c>
      <c r="X7167" s="2">
        <f ca="1"/>
        <v>73.019147480768225</v>
      </c>
      <c r="AG7167" s="2">
        <f ca="1"/>
        <v>0.31239666868952476</v>
      </c>
      <c r="AH7167" s="2" t="str">
        <f ca="1"/>
        <v>OK</v>
      </c>
    </row>
    <row r="7168" spans="2:34" x14ac:dyDescent="0.2">
      <c r="B7168" s="2">
        <f ca="1"/>
        <v>0.4577741524442458</v>
      </c>
      <c r="O7168" s="2">
        <f ca="1"/>
        <v>1.0334429863800283</v>
      </c>
      <c r="X7168" s="2">
        <f ca="1"/>
        <v>29.712496702401168</v>
      </c>
      <c r="AG7168" s="2">
        <f ca="1"/>
        <v>0.39831929915863729</v>
      </c>
      <c r="AH7168" s="2" t="str">
        <f ca="1"/>
        <v>OK</v>
      </c>
    </row>
    <row r="7169" spans="2:34" x14ac:dyDescent="0.2">
      <c r="B7169" s="2">
        <f ca="1"/>
        <v>0.11944241763119678</v>
      </c>
      <c r="O7169" s="2">
        <f ca="1"/>
        <v>0.29862930608992194</v>
      </c>
      <c r="X7169" s="2">
        <f ca="1"/>
        <v>27.461126196699148</v>
      </c>
      <c r="AG7169" s="2">
        <f ca="1"/>
        <v>0.57305552954046646</v>
      </c>
      <c r="AH7169" s="2" t="str">
        <f ca="1"/>
        <v>Bad</v>
      </c>
    </row>
    <row r="7170" spans="2:34" x14ac:dyDescent="0.2">
      <c r="B7170" s="2">
        <f ca="1"/>
        <v>0.43989366077270997</v>
      </c>
      <c r="O7170" s="2">
        <f ca="1"/>
        <v>-1.7306088213911133</v>
      </c>
      <c r="X7170" s="2">
        <f ca="1"/>
        <v>58.610162852307113</v>
      </c>
      <c r="AG7170" s="2">
        <f ca="1"/>
        <v>0.93223907784284177</v>
      </c>
      <c r="AH7170" s="2" t="str">
        <f ca="1"/>
        <v>Bad</v>
      </c>
    </row>
    <row r="7171" spans="2:34" x14ac:dyDescent="0.2">
      <c r="B7171" s="2">
        <f ca="1"/>
        <v>0.25356765779268553</v>
      </c>
      <c r="O7171" s="2">
        <f ca="1"/>
        <v>-1.5058625433126138</v>
      </c>
      <c r="X7171" s="2">
        <f ca="1"/>
        <v>54.289035192062201</v>
      </c>
      <c r="AG7171" s="2">
        <f ca="1"/>
        <v>0.63075137889282962</v>
      </c>
      <c r="AH7171" s="2" t="str">
        <f ca="1"/>
        <v>Bad</v>
      </c>
    </row>
    <row r="7172" spans="2:34" x14ac:dyDescent="0.2">
      <c r="B7172" s="2">
        <f ca="1"/>
        <v>0.80102229782513223</v>
      </c>
      <c r="O7172" s="2">
        <f ca="1"/>
        <v>-0.1503854375321792</v>
      </c>
      <c r="X7172" s="2">
        <f ca="1"/>
        <v>72.287101598389725</v>
      </c>
      <c r="AG7172" s="2">
        <f ca="1"/>
        <v>1.377779512146593E-2</v>
      </c>
      <c r="AH7172" s="2" t="str">
        <f ca="1"/>
        <v>Good</v>
      </c>
    </row>
    <row r="7173" spans="2:34" x14ac:dyDescent="0.2">
      <c r="B7173" s="2">
        <f ca="1"/>
        <v>0.15544465220706272</v>
      </c>
      <c r="O7173" s="2">
        <f ca="1"/>
        <v>0.83790390923419866</v>
      </c>
      <c r="X7173" s="2">
        <f ca="1"/>
        <v>28.552152771082842</v>
      </c>
      <c r="AG7173" s="2">
        <f ca="1"/>
        <v>0.59153912120000052</v>
      </c>
      <c r="AH7173" s="2" t="str">
        <f ca="1"/>
        <v>Bad</v>
      </c>
    </row>
    <row r="7174" spans="2:34" x14ac:dyDescent="0.2">
      <c r="B7174" s="2">
        <f ca="1"/>
        <v>0.52792427205715287</v>
      </c>
      <c r="O7174" s="2">
        <f ca="1"/>
        <v>1.1724456068367313</v>
      </c>
      <c r="X7174" s="2">
        <f ca="1"/>
        <v>55.024682539950938</v>
      </c>
      <c r="AG7174" s="2">
        <f ca="1"/>
        <v>7.8039956676674516E-2</v>
      </c>
      <c r="AH7174" s="2" t="str">
        <f ca="1"/>
        <v>OK</v>
      </c>
    </row>
    <row r="7175" spans="2:34" x14ac:dyDescent="0.2">
      <c r="B7175" s="2">
        <f ca="1"/>
        <v>0.23604566164599761</v>
      </c>
      <c r="O7175" s="2">
        <f ca="1"/>
        <v>0.99029379167336518</v>
      </c>
      <c r="X7175" s="2">
        <f ca="1"/>
        <v>91.108895980202647</v>
      </c>
      <c r="AG7175" s="2">
        <f ca="1"/>
        <v>0.38858645498529998</v>
      </c>
      <c r="AH7175" s="2" t="str">
        <f ca="1"/>
        <v>OK</v>
      </c>
    </row>
    <row r="7176" spans="2:34" x14ac:dyDescent="0.2">
      <c r="B7176" s="2">
        <f ca="1"/>
        <v>0.13069147397375969</v>
      </c>
      <c r="O7176" s="2">
        <f ca="1"/>
        <v>-0.91439460872624179</v>
      </c>
      <c r="X7176" s="2">
        <f ca="1"/>
        <v>92.551949866486979</v>
      </c>
      <c r="AG7176" s="2">
        <f ca="1"/>
        <v>0.6361835537003615</v>
      </c>
      <c r="AH7176" s="2" t="str">
        <f ca="1"/>
        <v>Bad</v>
      </c>
    </row>
    <row r="7177" spans="2:34" x14ac:dyDescent="0.2">
      <c r="B7177" s="2">
        <f ca="1"/>
        <v>3.2286192995187646E-2</v>
      </c>
      <c r="O7177" s="2">
        <f ca="1"/>
        <v>0.26994698260372701</v>
      </c>
      <c r="X7177" s="2">
        <f ca="1"/>
        <v>39.470920828402583</v>
      </c>
      <c r="AG7177" s="2">
        <f ca="1"/>
        <v>0.84888429746408756</v>
      </c>
      <c r="AH7177" s="2" t="str">
        <f ca="1"/>
        <v>Bad</v>
      </c>
    </row>
    <row r="7178" spans="2:34" x14ac:dyDescent="0.2">
      <c r="B7178" s="2">
        <f ca="1"/>
        <v>0.28075254409142758</v>
      </c>
      <c r="O7178" s="2">
        <f ca="1"/>
        <v>-1.1211324709965165</v>
      </c>
      <c r="X7178" s="2">
        <f ca="1"/>
        <v>64.051568042967233</v>
      </c>
      <c r="AG7178" s="2">
        <f ca="1"/>
        <v>0.805702458611675</v>
      </c>
      <c r="AH7178" s="2" t="str">
        <f ca="1"/>
        <v>Bad</v>
      </c>
    </row>
    <row r="7179" spans="2:34" x14ac:dyDescent="0.2">
      <c r="B7179" s="2">
        <f ca="1"/>
        <v>0.38985098253876993</v>
      </c>
      <c r="O7179" s="2">
        <f ca="1"/>
        <v>0.60436868687775425</v>
      </c>
      <c r="X7179" s="2">
        <f ca="1"/>
        <v>72.655583115116983</v>
      </c>
      <c r="AG7179" s="2">
        <f ca="1"/>
        <v>0.89334504700435668</v>
      </c>
      <c r="AH7179" s="2" t="str">
        <f ca="1"/>
        <v>Bad</v>
      </c>
    </row>
    <row r="7180" spans="2:34" x14ac:dyDescent="0.2">
      <c r="B7180" s="2">
        <f ca="1"/>
        <v>0.75860386775298982</v>
      </c>
      <c r="O7180" s="2">
        <f ca="1"/>
        <v>1.8744385163932598</v>
      </c>
      <c r="X7180" s="2">
        <f ca="1"/>
        <v>73.836188399102781</v>
      </c>
      <c r="AG7180" s="2">
        <f ca="1"/>
        <v>9.4317618646293733E-2</v>
      </c>
      <c r="AH7180" s="2" t="str">
        <f ca="1"/>
        <v>OK</v>
      </c>
    </row>
    <row r="7181" spans="2:34" x14ac:dyDescent="0.2">
      <c r="B7181" s="2">
        <f ca="1"/>
        <v>0.38288784367340045</v>
      </c>
      <c r="O7181" s="2">
        <f ca="1"/>
        <v>0.23024212425742568</v>
      </c>
      <c r="X7181" s="2">
        <f ca="1"/>
        <v>63.077728245788563</v>
      </c>
      <c r="AG7181" s="2">
        <f ca="1"/>
        <v>0.40915764802616361</v>
      </c>
      <c r="AH7181" s="2" t="str">
        <f ca="1"/>
        <v>Bad</v>
      </c>
    </row>
    <row r="7182" spans="2:34" x14ac:dyDescent="0.2">
      <c r="B7182" s="2">
        <f ca="1"/>
        <v>0.99796315067638686</v>
      </c>
      <c r="O7182" s="2">
        <f ca="1"/>
        <v>1.76455782428049</v>
      </c>
      <c r="X7182" s="2">
        <f ca="1"/>
        <v>44.9951947991078</v>
      </c>
      <c r="AG7182" s="2">
        <f ca="1"/>
        <v>0.5483094241003037</v>
      </c>
      <c r="AH7182" s="2" t="str">
        <f ca="1"/>
        <v>Bad</v>
      </c>
    </row>
    <row r="7183" spans="2:34" x14ac:dyDescent="0.2">
      <c r="B7183" s="2">
        <f ca="1"/>
        <v>0.79179986544609293</v>
      </c>
      <c r="O7183" s="2">
        <f ca="1"/>
        <v>1.0501234133501665</v>
      </c>
      <c r="X7183" s="2">
        <f ca="1"/>
        <v>52.077935167720071</v>
      </c>
      <c r="AG7183" s="2">
        <f ca="1"/>
        <v>0.32860675629680625</v>
      </c>
      <c r="AH7183" s="2" t="str">
        <f ca="1"/>
        <v>OK</v>
      </c>
    </row>
    <row r="7184" spans="2:34" x14ac:dyDescent="0.2">
      <c r="B7184" s="2">
        <f ca="1"/>
        <v>0.1466225922370008</v>
      </c>
      <c r="O7184" s="2">
        <f ca="1"/>
        <v>0.15256836517402253</v>
      </c>
      <c r="X7184" s="2">
        <f ca="1"/>
        <v>27.684142977780798</v>
      </c>
      <c r="AG7184" s="2">
        <f ca="1"/>
        <v>0.45485755820791751</v>
      </c>
      <c r="AH7184" s="2" t="str">
        <f ca="1"/>
        <v>Bad</v>
      </c>
    </row>
    <row r="7185" spans="2:34" x14ac:dyDescent="0.2">
      <c r="B7185" s="2">
        <f ca="1"/>
        <v>0.83477048611322591</v>
      </c>
      <c r="O7185" s="2">
        <f ca="1"/>
        <v>-0.86457767254575768</v>
      </c>
      <c r="X7185" s="2">
        <f ca="1"/>
        <v>43.516466982653633</v>
      </c>
      <c r="AG7185" s="2">
        <f ca="1"/>
        <v>0.44166470721507545</v>
      </c>
      <c r="AH7185" s="2" t="str">
        <f ca="1"/>
        <v>Bad</v>
      </c>
    </row>
    <row r="7186" spans="2:34" x14ac:dyDescent="0.2">
      <c r="B7186" s="2">
        <f ca="1"/>
        <v>0.67512449482459336</v>
      </c>
      <c r="O7186" s="2">
        <f ca="1"/>
        <v>-1.4560424811973303</v>
      </c>
      <c r="X7186" s="2">
        <f ca="1"/>
        <v>38.488662488818782</v>
      </c>
      <c r="AG7186" s="2">
        <f ca="1"/>
        <v>0.83106864998584706</v>
      </c>
      <c r="AH7186" s="2" t="str">
        <f ca="1"/>
        <v>Bad</v>
      </c>
    </row>
    <row r="7187" spans="2:34" x14ac:dyDescent="0.2">
      <c r="B7187" s="2">
        <f ca="1"/>
        <v>4.8265736008378468E-2</v>
      </c>
      <c r="O7187" s="2">
        <f ca="1"/>
        <v>0.87838477696398842</v>
      </c>
      <c r="X7187" s="2">
        <f ca="1"/>
        <v>48.053349937714884</v>
      </c>
      <c r="AG7187" s="2">
        <f ca="1"/>
        <v>0.55145834043642505</v>
      </c>
      <c r="AH7187" s="2" t="str">
        <f ca="1"/>
        <v>Bad</v>
      </c>
    </row>
    <row r="7188" spans="2:34" x14ac:dyDescent="0.2">
      <c r="B7188" s="2">
        <f ca="1"/>
        <v>0.88750628871736237</v>
      </c>
      <c r="O7188" s="2">
        <f ca="1"/>
        <v>0.6795284676072616</v>
      </c>
      <c r="X7188" s="2">
        <f ca="1"/>
        <v>68.843790302050039</v>
      </c>
      <c r="AG7188" s="2">
        <f ca="1"/>
        <v>0.95059450293393244</v>
      </c>
      <c r="AH7188" s="2" t="str">
        <f ca="1"/>
        <v>Bad</v>
      </c>
    </row>
    <row r="7189" spans="2:34" x14ac:dyDescent="0.2">
      <c r="B7189" s="2">
        <f ca="1"/>
        <v>0.46551662622624423</v>
      </c>
      <c r="O7189" s="2">
        <f ca="1"/>
        <v>0.23273731217400656</v>
      </c>
      <c r="X7189" s="2">
        <f ca="1"/>
        <v>53.891755331391977</v>
      </c>
      <c r="AG7189" s="2">
        <f ca="1"/>
        <v>0.43260578663358862</v>
      </c>
      <c r="AH7189" s="2" t="str">
        <f ca="1"/>
        <v>Bad</v>
      </c>
    </row>
    <row r="7190" spans="2:34" x14ac:dyDescent="0.2">
      <c r="B7190" s="2">
        <f ca="1"/>
        <v>0.66912311619923814</v>
      </c>
      <c r="O7190" s="2">
        <f ca="1"/>
        <v>-2.3663340901064527</v>
      </c>
      <c r="X7190" s="2">
        <f ca="1"/>
        <v>41.960917032730841</v>
      </c>
      <c r="AG7190" s="2">
        <f ca="1"/>
        <v>0.86430738067570934</v>
      </c>
      <c r="AH7190" s="2" t="str">
        <f ca="1"/>
        <v>Bad</v>
      </c>
    </row>
    <row r="7191" spans="2:34" x14ac:dyDescent="0.2">
      <c r="B7191" s="2">
        <f ca="1"/>
        <v>0.52380253338873772</v>
      </c>
      <c r="O7191" s="2">
        <f ca="1"/>
        <v>-0.19056309914192049</v>
      </c>
      <c r="X7191" s="2">
        <f ca="1"/>
        <v>24.593263831754449</v>
      </c>
      <c r="AG7191" s="2">
        <f ca="1"/>
        <v>0.334164690980985</v>
      </c>
      <c r="AH7191" s="2" t="str">
        <f ca="1"/>
        <v>OK</v>
      </c>
    </row>
    <row r="7192" spans="2:34" x14ac:dyDescent="0.2">
      <c r="B7192" s="2">
        <f ca="1"/>
        <v>0.56315647252506618</v>
      </c>
      <c r="O7192" s="2">
        <f ca="1"/>
        <v>-1.5354892518774772</v>
      </c>
      <c r="X7192" s="2">
        <f ca="1"/>
        <v>52.892767123270161</v>
      </c>
      <c r="AG7192" s="2">
        <f ca="1"/>
        <v>0.79381699938180339</v>
      </c>
      <c r="AH7192" s="2" t="str">
        <f ca="1"/>
        <v>Bad</v>
      </c>
    </row>
    <row r="7193" spans="2:34" x14ac:dyDescent="0.2">
      <c r="B7193" s="2">
        <f ca="1"/>
        <v>0.54888442150240579</v>
      </c>
      <c r="O7193" s="2">
        <f ca="1"/>
        <v>-0.52209459575046679</v>
      </c>
      <c r="X7193" s="2">
        <f ca="1"/>
        <v>33.139393564478375</v>
      </c>
      <c r="AG7193" s="2">
        <f ca="1"/>
        <v>0.18253745127095256</v>
      </c>
      <c r="AH7193" s="2" t="str">
        <f ca="1"/>
        <v>OK</v>
      </c>
    </row>
    <row r="7194" spans="2:34" x14ac:dyDescent="0.2">
      <c r="B7194" s="2">
        <f ca="1"/>
        <v>0.74493078182523087</v>
      </c>
      <c r="O7194" s="2">
        <f ca="1"/>
        <v>0.61372388353796148</v>
      </c>
      <c r="X7194" s="2">
        <f ca="1"/>
        <v>21.264292941613803</v>
      </c>
      <c r="AG7194" s="2">
        <f ca="1"/>
        <v>0.83342657828825106</v>
      </c>
      <c r="AH7194" s="2" t="str">
        <f ca="1"/>
        <v>Bad</v>
      </c>
    </row>
    <row r="7195" spans="2:34" x14ac:dyDescent="0.2">
      <c r="B7195" s="2">
        <f ca="1"/>
        <v>0.15192554409363912</v>
      </c>
      <c r="O7195" s="2">
        <f ca="1"/>
        <v>1.0713714589517034</v>
      </c>
      <c r="X7195" s="2">
        <f ca="1"/>
        <v>70.344997310666727</v>
      </c>
      <c r="AG7195" s="2">
        <f ca="1"/>
        <v>0.24550295022245727</v>
      </c>
      <c r="AH7195" s="2" t="str">
        <f ca="1"/>
        <v>OK</v>
      </c>
    </row>
    <row r="7196" spans="2:34" x14ac:dyDescent="0.2">
      <c r="B7196" s="2">
        <f ca="1"/>
        <v>0.26240548934758268</v>
      </c>
      <c r="O7196" s="2">
        <f ca="1"/>
        <v>1.4721500816687827</v>
      </c>
      <c r="X7196" s="2">
        <f ca="1"/>
        <v>58.232713265955304</v>
      </c>
      <c r="AG7196" s="2">
        <f ca="1"/>
        <v>0.65518072757068135</v>
      </c>
      <c r="AH7196" s="2" t="str">
        <f ca="1"/>
        <v>Bad</v>
      </c>
    </row>
    <row r="7197" spans="2:34" x14ac:dyDescent="0.2">
      <c r="B7197" s="2">
        <f ca="1"/>
        <v>0.14026358139403605</v>
      </c>
      <c r="O7197" s="2">
        <f ca="1"/>
        <v>-0.88965332548714371</v>
      </c>
      <c r="X7197" s="2">
        <f ca="1"/>
        <v>54.708908495714901</v>
      </c>
      <c r="AG7197" s="2">
        <f ca="1"/>
        <v>1.8057938975784005E-2</v>
      </c>
      <c r="AH7197" s="2" t="str">
        <f ca="1"/>
        <v>Good</v>
      </c>
    </row>
    <row r="7198" spans="2:34" x14ac:dyDescent="0.2">
      <c r="B7198" s="2">
        <f ca="1"/>
        <v>0.80489229933828765</v>
      </c>
      <c r="O7198" s="2">
        <f ca="1"/>
        <v>-0.58561355901229151</v>
      </c>
      <c r="X7198" s="2">
        <f ca="1"/>
        <v>72.094038994064618</v>
      </c>
      <c r="AG7198" s="2">
        <f ca="1"/>
        <v>1.1278505188097254E-2</v>
      </c>
      <c r="AH7198" s="2" t="str">
        <f ca="1"/>
        <v>Good</v>
      </c>
    </row>
    <row r="7199" spans="2:34" x14ac:dyDescent="0.2">
      <c r="B7199" s="2">
        <f ca="1"/>
        <v>0.68277836762236999</v>
      </c>
      <c r="O7199" s="2">
        <f ca="1"/>
        <v>-0.31646863275784404</v>
      </c>
      <c r="X7199" s="2">
        <f ca="1"/>
        <v>39.849715176428717</v>
      </c>
      <c r="AG7199" s="2">
        <f ca="1"/>
        <v>0.9688370590151647</v>
      </c>
      <c r="AH7199" s="2" t="str">
        <f ca="1"/>
        <v>Bad</v>
      </c>
    </row>
    <row r="7200" spans="2:34" x14ac:dyDescent="0.2">
      <c r="B7200" s="2">
        <f ca="1"/>
        <v>0.84518143514401722</v>
      </c>
      <c r="O7200" s="2">
        <f ca="1"/>
        <v>0.17737343352993915</v>
      </c>
      <c r="X7200" s="2">
        <f ca="1"/>
        <v>43.907923755626179</v>
      </c>
      <c r="AG7200" s="2">
        <f ca="1"/>
        <v>0.49439120852873475</v>
      </c>
      <c r="AH7200" s="2" t="str">
        <f ca="1"/>
        <v>Bad</v>
      </c>
    </row>
    <row r="7201" spans="2:34" x14ac:dyDescent="0.2">
      <c r="B7201" s="2">
        <f ca="1"/>
        <v>0.45518043485939863</v>
      </c>
      <c r="O7201" s="2">
        <f ca="1"/>
        <v>-0.31041605978821479</v>
      </c>
      <c r="X7201" s="2">
        <f ca="1"/>
        <v>59.726233285041829</v>
      </c>
      <c r="AG7201" s="2">
        <f ca="1"/>
        <v>0.38095178234676497</v>
      </c>
      <c r="AH7201" s="2" t="str">
        <f ca="1"/>
        <v>OK</v>
      </c>
    </row>
    <row r="7202" spans="2:34" x14ac:dyDescent="0.2">
      <c r="B7202" s="2">
        <f ca="1"/>
        <v>0.89395936138406751</v>
      </c>
      <c r="O7202" s="2">
        <f ca="1"/>
        <v>0.8822713238349269</v>
      </c>
      <c r="X7202" s="2">
        <f ca="1"/>
        <v>44.041586340882844</v>
      </c>
      <c r="AG7202" s="2">
        <f ca="1"/>
        <v>0.37371225521605922</v>
      </c>
      <c r="AH7202" s="2" t="str">
        <f ca="1"/>
        <v>OK</v>
      </c>
    </row>
    <row r="7203" spans="2:34" x14ac:dyDescent="0.2">
      <c r="B7203" s="2">
        <f ca="1"/>
        <v>0.80457883708087352</v>
      </c>
      <c r="O7203" s="2">
        <f ca="1"/>
        <v>1.4635939778684406</v>
      </c>
      <c r="X7203" s="2">
        <f ca="1"/>
        <v>45.477535162297713</v>
      </c>
      <c r="AG7203" s="2">
        <f ca="1"/>
        <v>0.66093935030103768</v>
      </c>
      <c r="AH7203" s="2" t="str">
        <f ca="1"/>
        <v>Bad</v>
      </c>
    </row>
    <row r="7204" spans="2:34" x14ac:dyDescent="0.2">
      <c r="B7204" s="2">
        <f ca="1"/>
        <v>0.44174103003834553</v>
      </c>
      <c r="O7204" s="2">
        <f ca="1"/>
        <v>-0.30532212815159426</v>
      </c>
      <c r="X7204" s="2">
        <f ca="1"/>
        <v>30.510742200610533</v>
      </c>
      <c r="AG7204" s="2">
        <f ca="1"/>
        <v>0.46413605146599801</v>
      </c>
      <c r="AH7204" s="2" t="str">
        <f ca="1"/>
        <v>Bad</v>
      </c>
    </row>
    <row r="7205" spans="2:34" x14ac:dyDescent="0.2">
      <c r="B7205" s="2">
        <f ca="1"/>
        <v>0.99797322161579638</v>
      </c>
      <c r="O7205" s="2">
        <f ca="1"/>
        <v>1.1827903533558108</v>
      </c>
      <c r="X7205" s="2">
        <f ca="1"/>
        <v>50.324958064084477</v>
      </c>
      <c r="AG7205" s="2">
        <f ca="1"/>
        <v>0.98220840154940348</v>
      </c>
      <c r="AH7205" s="2" t="str">
        <f ca="1"/>
        <v>Bad</v>
      </c>
    </row>
    <row r="7206" spans="2:34" x14ac:dyDescent="0.2">
      <c r="B7206" s="2">
        <f ca="1"/>
        <v>0.55017664861733295</v>
      </c>
      <c r="O7206" s="2">
        <f ca="1"/>
        <v>0.22372301313301662</v>
      </c>
      <c r="X7206" s="2">
        <f ca="1"/>
        <v>51.685215574804175</v>
      </c>
      <c r="AG7206" s="2">
        <f ca="1"/>
        <v>0.10422716148808853</v>
      </c>
      <c r="AH7206" s="2" t="str">
        <f ca="1"/>
        <v>OK</v>
      </c>
    </row>
    <row r="7207" spans="2:34" x14ac:dyDescent="0.2">
      <c r="B7207" s="2">
        <f ca="1"/>
        <v>0.38830906501208906</v>
      </c>
      <c r="O7207" s="2">
        <f ca="1"/>
        <v>-2.2288012085243589</v>
      </c>
      <c r="X7207" s="2">
        <f ca="1"/>
        <v>53.117734922830465</v>
      </c>
      <c r="AG7207" s="2">
        <f ca="1"/>
        <v>0.6773181312285832</v>
      </c>
      <c r="AH7207" s="2" t="str">
        <f ca="1"/>
        <v>Bad</v>
      </c>
    </row>
    <row r="7208" spans="2:34" x14ac:dyDescent="0.2">
      <c r="B7208" s="2">
        <f ca="1"/>
        <v>0.81431229400121685</v>
      </c>
      <c r="O7208" s="2">
        <f ca="1"/>
        <v>0.1545496055636949</v>
      </c>
      <c r="X7208" s="2">
        <f ca="1"/>
        <v>43.926687517096013</v>
      </c>
      <c r="AG7208" s="2">
        <f ca="1"/>
        <v>0.4709623851102902</v>
      </c>
      <c r="AH7208" s="2" t="str">
        <f ca="1"/>
        <v>Bad</v>
      </c>
    </row>
    <row r="7209" spans="2:34" x14ac:dyDescent="0.2">
      <c r="B7209" s="2">
        <f ca="1"/>
        <v>0.60130072913250898</v>
      </c>
      <c r="O7209" s="2">
        <f ca="1"/>
        <v>-1.5149186470326086</v>
      </c>
      <c r="X7209" s="2">
        <f ca="1"/>
        <v>53.39680491623411</v>
      </c>
      <c r="AG7209" s="2">
        <f ca="1"/>
        <v>0.76600098618704426</v>
      </c>
      <c r="AH7209" s="2" t="str">
        <f ca="1"/>
        <v>Bad</v>
      </c>
    </row>
    <row r="7210" spans="2:34" x14ac:dyDescent="0.2">
      <c r="B7210" s="2">
        <f ca="1"/>
        <v>0.17796631934411322</v>
      </c>
      <c r="O7210" s="2">
        <f ca="1"/>
        <v>6.4566972235346437E-2</v>
      </c>
      <c r="X7210" s="2">
        <f ca="1"/>
        <v>48.617583533431883</v>
      </c>
      <c r="AG7210" s="2">
        <f ca="1"/>
        <v>0.95915768357194975</v>
      </c>
      <c r="AH7210" s="2" t="str">
        <f ca="1"/>
        <v>Bad</v>
      </c>
    </row>
    <row r="7211" spans="2:34" x14ac:dyDescent="0.2">
      <c r="B7211" s="2">
        <f ca="1"/>
        <v>0.87964922453643757</v>
      </c>
      <c r="O7211" s="2">
        <f ca="1"/>
        <v>1.6385108841633591</v>
      </c>
      <c r="X7211" s="2">
        <f ca="1"/>
        <v>45.777231042631499</v>
      </c>
      <c r="AG7211" s="2">
        <f ca="1"/>
        <v>0.66817994119806889</v>
      </c>
      <c r="AH7211" s="2" t="str">
        <f ca="1"/>
        <v>Bad</v>
      </c>
    </row>
    <row r="7212" spans="2:34" x14ac:dyDescent="0.2">
      <c r="B7212" s="2">
        <f ca="1"/>
        <v>0.16212704127955124</v>
      </c>
      <c r="O7212" s="2">
        <f ca="1"/>
        <v>0.23811154963991665</v>
      </c>
      <c r="X7212" s="2">
        <f ca="1"/>
        <v>74.680623220419704</v>
      </c>
      <c r="AG7212" s="2">
        <f ca="1"/>
        <v>0.86013657454412784</v>
      </c>
      <c r="AH7212" s="2" t="str">
        <f ca="1"/>
        <v>Bad</v>
      </c>
    </row>
    <row r="7213" spans="2:34" x14ac:dyDescent="0.2">
      <c r="B7213" s="2">
        <f ca="1"/>
        <v>0.94712427644018815</v>
      </c>
      <c r="O7213" s="2">
        <f ca="1"/>
        <v>1.0058755585068717</v>
      </c>
      <c r="X7213" s="2">
        <f ca="1"/>
        <v>57.241890093028132</v>
      </c>
      <c r="AG7213" s="2">
        <f ca="1"/>
        <v>0.46962604949014386</v>
      </c>
      <c r="AH7213" s="2" t="str">
        <f ca="1"/>
        <v>Bad</v>
      </c>
    </row>
    <row r="7214" spans="2:34" x14ac:dyDescent="0.2">
      <c r="B7214" s="2">
        <f ca="1"/>
        <v>0.94906155419436677</v>
      </c>
      <c r="O7214" s="2">
        <f ca="1"/>
        <v>0.10965683841330358</v>
      </c>
      <c r="X7214" s="2">
        <f ca="1"/>
        <v>49.400982789917371</v>
      </c>
      <c r="AG7214" s="2">
        <f ca="1"/>
        <v>0.51250471118434615</v>
      </c>
      <c r="AH7214" s="2" t="str">
        <f ca="1"/>
        <v>Bad</v>
      </c>
    </row>
    <row r="7215" spans="2:34" x14ac:dyDescent="0.2">
      <c r="B7215" s="2">
        <f ca="1"/>
        <v>0.46411979755238919</v>
      </c>
      <c r="O7215" s="2">
        <f ca="1"/>
        <v>1.6095117066709044</v>
      </c>
      <c r="X7215" s="2">
        <f ca="1"/>
        <v>35.599500498627343</v>
      </c>
      <c r="AG7215" s="2">
        <f ca="1"/>
        <v>0.91827847462500722</v>
      </c>
      <c r="AH7215" s="2" t="str">
        <f ca="1"/>
        <v>Bad</v>
      </c>
    </row>
    <row r="7216" spans="2:34" x14ac:dyDescent="0.2">
      <c r="B7216" s="2">
        <f ca="1"/>
        <v>0.24414002286106928</v>
      </c>
      <c r="O7216" s="2">
        <f ca="1"/>
        <v>-1.2922346714565522</v>
      </c>
      <c r="X7216" s="2">
        <f ca="1"/>
        <v>35.993851153777328</v>
      </c>
      <c r="AG7216" s="2">
        <f ca="1"/>
        <v>0.38323586248048036</v>
      </c>
      <c r="AH7216" s="2" t="str">
        <f ca="1"/>
        <v>OK</v>
      </c>
    </row>
    <row r="7217" spans="2:34" x14ac:dyDescent="0.2">
      <c r="B7217" s="2">
        <f ca="1"/>
        <v>7.2299890141223067E-2</v>
      </c>
      <c r="O7217" s="2">
        <f ca="1"/>
        <v>3.2269123957176356E-2</v>
      </c>
      <c r="X7217" s="2">
        <f ca="1"/>
        <v>77.652501957581933</v>
      </c>
      <c r="AG7217" s="2">
        <f ca="1"/>
        <v>0.20211683715316098</v>
      </c>
      <c r="AH7217" s="2" t="str">
        <f ca="1"/>
        <v>OK</v>
      </c>
    </row>
    <row r="7218" spans="2:34" x14ac:dyDescent="0.2">
      <c r="B7218" s="2">
        <f ca="1"/>
        <v>0.38644492778241024</v>
      </c>
      <c r="O7218" s="2">
        <f ca="1"/>
        <v>4.7958777242120054E-2</v>
      </c>
      <c r="X7218" s="2">
        <f ca="1"/>
        <v>63.868109159613724</v>
      </c>
      <c r="AG7218" s="2">
        <f ca="1"/>
        <v>0.74381537858069424</v>
      </c>
      <c r="AH7218" s="2" t="str">
        <f ca="1"/>
        <v>Bad</v>
      </c>
    </row>
    <row r="7219" spans="2:34" x14ac:dyDescent="0.2">
      <c r="B7219" s="2">
        <f ca="1"/>
        <v>0.21400071537031518</v>
      </c>
      <c r="O7219" s="2">
        <f ca="1"/>
        <v>-0.44375226964939413</v>
      </c>
      <c r="X7219" s="2">
        <f ca="1"/>
        <v>47.175065518929088</v>
      </c>
      <c r="AG7219" s="2">
        <f ca="1"/>
        <v>1.8587794325368057E-2</v>
      </c>
      <c r="AH7219" s="2" t="str">
        <f ca="1"/>
        <v>Good</v>
      </c>
    </row>
    <row r="7220" spans="2:34" x14ac:dyDescent="0.2">
      <c r="B7220" s="2">
        <f ca="1"/>
        <v>0.35781111593049153</v>
      </c>
      <c r="O7220" s="2">
        <f ca="1"/>
        <v>-1.1466800208910117</v>
      </c>
      <c r="X7220" s="2">
        <f ca="1"/>
        <v>64.601287069631624</v>
      </c>
      <c r="AG7220" s="2">
        <f ca="1"/>
        <v>0.61054259438936609</v>
      </c>
      <c r="AH7220" s="2" t="str">
        <f ca="1"/>
        <v>Bad</v>
      </c>
    </row>
    <row r="7221" spans="2:34" x14ac:dyDescent="0.2">
      <c r="B7221" s="2">
        <f ca="1"/>
        <v>0.73115128381288463</v>
      </c>
      <c r="O7221" s="2">
        <f ca="1"/>
        <v>0.7817166710925425</v>
      </c>
      <c r="X7221" s="2">
        <f ca="1"/>
        <v>55.635348311412727</v>
      </c>
      <c r="AG7221" s="2">
        <f ca="1"/>
        <v>6.168478175482317E-2</v>
      </c>
      <c r="AH7221" s="2" t="str">
        <f ca="1"/>
        <v>OK</v>
      </c>
    </row>
    <row r="7222" spans="2:34" x14ac:dyDescent="0.2">
      <c r="B7222" s="2">
        <f ca="1"/>
        <v>0.64403918264119553</v>
      </c>
      <c r="O7222" s="2">
        <f ca="1"/>
        <v>0.44209457882132108</v>
      </c>
      <c r="X7222" s="2">
        <f ca="1"/>
        <v>40.509467240146591</v>
      </c>
      <c r="AG7222" s="2">
        <f ca="1"/>
        <v>0.96860804854530969</v>
      </c>
      <c r="AH7222" s="2" t="str">
        <f ca="1"/>
        <v>Bad</v>
      </c>
    </row>
    <row r="7223" spans="2:34" x14ac:dyDescent="0.2">
      <c r="B7223" s="2">
        <f ca="1"/>
        <v>0.57594186058298202</v>
      </c>
      <c r="O7223" s="2">
        <f ca="1"/>
        <v>0.20442448523085574</v>
      </c>
      <c r="X7223" s="2">
        <f ca="1"/>
        <v>57.910735299725154</v>
      </c>
      <c r="AG7223" s="2">
        <f ca="1"/>
        <v>0.53900517397512293</v>
      </c>
      <c r="AH7223" s="2" t="str">
        <f ca="1"/>
        <v>Bad</v>
      </c>
    </row>
    <row r="7224" spans="2:34" x14ac:dyDescent="0.2">
      <c r="B7224" s="2">
        <f ca="1"/>
        <v>0.54719534644456136</v>
      </c>
      <c r="O7224" s="2">
        <f ca="1"/>
        <v>1.9133310362190405</v>
      </c>
      <c r="X7224" s="2">
        <f ca="1"/>
        <v>111.75046761946356</v>
      </c>
      <c r="AG7224" s="2">
        <f ca="1"/>
        <v>0.4558056903089347</v>
      </c>
      <c r="AH7224" s="2" t="str">
        <f ca="1"/>
        <v>Bad</v>
      </c>
    </row>
    <row r="7225" spans="2:34" x14ac:dyDescent="0.2">
      <c r="B7225" s="2">
        <f ca="1"/>
        <v>0.86225399288151694</v>
      </c>
      <c r="O7225" s="2">
        <f ca="1"/>
        <v>-0.31562063315440869</v>
      </c>
      <c r="X7225" s="2">
        <f ca="1"/>
        <v>80.655482269012509</v>
      </c>
      <c r="AG7225" s="2">
        <f ca="1"/>
        <v>7.5386971329169272E-2</v>
      </c>
      <c r="AH7225" s="2" t="str">
        <f ca="1"/>
        <v>OK</v>
      </c>
    </row>
    <row r="7226" spans="2:34" x14ac:dyDescent="0.2">
      <c r="B7226" s="2">
        <f ca="1"/>
        <v>0.77148130450958852</v>
      </c>
      <c r="O7226" s="2">
        <f ca="1"/>
        <v>0.55443102211946194</v>
      </c>
      <c r="X7226" s="2">
        <f ca="1"/>
        <v>62.186533543089546</v>
      </c>
      <c r="AG7226" s="2">
        <f ca="1"/>
        <v>0.26518586209287753</v>
      </c>
      <c r="AH7226" s="2" t="str">
        <f ca="1"/>
        <v>OK</v>
      </c>
    </row>
    <row r="7227" spans="2:34" x14ac:dyDescent="0.2">
      <c r="B7227" s="2">
        <f ca="1"/>
        <v>0.36969167738983311</v>
      </c>
      <c r="O7227" s="2">
        <f ca="1"/>
        <v>1.7755852790309115</v>
      </c>
      <c r="X7227" s="2">
        <f ca="1"/>
        <v>41.60643922377939</v>
      </c>
      <c r="AG7227" s="2">
        <f ca="1"/>
        <v>0.51376413510442043</v>
      </c>
      <c r="AH7227" s="2" t="str">
        <f ca="1"/>
        <v>Bad</v>
      </c>
    </row>
    <row r="7228" spans="2:34" x14ac:dyDescent="0.2">
      <c r="B7228" s="2">
        <f ca="1"/>
        <v>0.56981856586919521</v>
      </c>
      <c r="O7228" s="2">
        <f ca="1"/>
        <v>0.27589043455759382</v>
      </c>
      <c r="X7228" s="2">
        <f ca="1"/>
        <v>44.776525557437537</v>
      </c>
      <c r="AG7228" s="2">
        <f ca="1"/>
        <v>0.23963083570811583</v>
      </c>
      <c r="AH7228" s="2" t="str">
        <f ca="1"/>
        <v>OK</v>
      </c>
    </row>
    <row r="7229" spans="2:34" x14ac:dyDescent="0.2">
      <c r="B7229" s="2">
        <f ca="1"/>
        <v>0.21444468770784142</v>
      </c>
      <c r="O7229" s="2">
        <f ca="1"/>
        <v>0.65096820574114289</v>
      </c>
      <c r="X7229" s="2">
        <f ca="1"/>
        <v>28.338590286314435</v>
      </c>
      <c r="AG7229" s="2">
        <f ca="1"/>
        <v>0.32716349169108971</v>
      </c>
      <c r="AH7229" s="2" t="str">
        <f ca="1"/>
        <v>OK</v>
      </c>
    </row>
    <row r="7230" spans="2:34" x14ac:dyDescent="0.2">
      <c r="B7230" s="2">
        <f ca="1"/>
        <v>0.87820565062022471</v>
      </c>
      <c r="O7230" s="2">
        <f ca="1"/>
        <v>0.52204977668930364</v>
      </c>
      <c r="X7230" s="2">
        <f ca="1"/>
        <v>27.471555594851004</v>
      </c>
      <c r="AG7230" s="2">
        <f ca="1"/>
        <v>0.82317447387974396</v>
      </c>
      <c r="AH7230" s="2" t="str">
        <f ca="1"/>
        <v>Bad</v>
      </c>
    </row>
    <row r="7231" spans="2:34" x14ac:dyDescent="0.2">
      <c r="B7231" s="2">
        <f ca="1"/>
        <v>0.98202816886975519</v>
      </c>
      <c r="O7231" s="2">
        <f ca="1"/>
        <v>0.50710297405112525</v>
      </c>
      <c r="X7231" s="2">
        <f ca="1"/>
        <v>54.152896176999221</v>
      </c>
      <c r="AG7231" s="2">
        <f ca="1"/>
        <v>0.89484850541229299</v>
      </c>
      <c r="AH7231" s="2" t="str">
        <f ca="1"/>
        <v>Bad</v>
      </c>
    </row>
    <row r="7232" spans="2:34" x14ac:dyDescent="0.2">
      <c r="B7232" s="2">
        <f ca="1"/>
        <v>0.87281325498808249</v>
      </c>
      <c r="O7232" s="2">
        <f ca="1"/>
        <v>0.51167978000312497</v>
      </c>
      <c r="X7232" s="2">
        <f ca="1"/>
        <v>31.441417773400321</v>
      </c>
      <c r="AG7232" s="2">
        <f ca="1"/>
        <v>0.92789897163319024</v>
      </c>
      <c r="AH7232" s="2" t="str">
        <f ca="1"/>
        <v>Bad</v>
      </c>
    </row>
    <row r="7233" spans="2:34" x14ac:dyDescent="0.2">
      <c r="B7233" s="2">
        <f ca="1"/>
        <v>0.56668904649855256</v>
      </c>
      <c r="O7233" s="2">
        <f ca="1"/>
        <v>0.64302037829255521</v>
      </c>
      <c r="X7233" s="2">
        <f ca="1"/>
        <v>60.792927122370955</v>
      </c>
      <c r="AG7233" s="2">
        <f ca="1"/>
        <v>4.8448542160629104E-2</v>
      </c>
      <c r="AH7233" s="2" t="str">
        <f ca="1"/>
        <v>Good</v>
      </c>
    </row>
    <row r="7234" spans="2:34" x14ac:dyDescent="0.2">
      <c r="B7234" s="2">
        <f ca="1"/>
        <v>0.29556890104043565</v>
      </c>
      <c r="O7234" s="2">
        <f ca="1"/>
        <v>-1.4955438910576802</v>
      </c>
      <c r="X7234" s="2">
        <f ca="1"/>
        <v>64.85157961303841</v>
      </c>
      <c r="AG7234" s="2">
        <f ca="1"/>
        <v>0.20044246885809569</v>
      </c>
      <c r="AH7234" s="2" t="str">
        <f ca="1"/>
        <v>OK</v>
      </c>
    </row>
    <row r="7235" spans="2:34" x14ac:dyDescent="0.2">
      <c r="B7235" s="2">
        <f ca="1"/>
        <v>0.90303479567058176</v>
      </c>
      <c r="O7235" s="2">
        <f ca="1"/>
        <v>-0.56197764127513228</v>
      </c>
      <c r="X7235" s="2">
        <f ca="1"/>
        <v>26.673982878648307</v>
      </c>
      <c r="AG7235" s="2">
        <f ca="1"/>
        <v>0.64781697413598871</v>
      </c>
      <c r="AH7235" s="2" t="str">
        <f ca="1"/>
        <v>Bad</v>
      </c>
    </row>
    <row r="7236" spans="2:34" x14ac:dyDescent="0.2">
      <c r="B7236" s="2">
        <f ca="1"/>
        <v>0.17014869773137953</v>
      </c>
      <c r="O7236" s="2">
        <f ca="1"/>
        <v>1.5768105252314275</v>
      </c>
      <c r="X7236" s="2">
        <f ca="1"/>
        <v>74.76769812471025</v>
      </c>
      <c r="AG7236" s="2">
        <f ca="1"/>
        <v>6.1109068249505905E-2</v>
      </c>
      <c r="AH7236" s="2" t="str">
        <f ca="1"/>
        <v>OK</v>
      </c>
    </row>
    <row r="7237" spans="2:34" x14ac:dyDescent="0.2">
      <c r="B7237" s="2">
        <f ca="1"/>
        <v>0.72662001152879907</v>
      </c>
      <c r="O7237" s="2">
        <f ca="1"/>
        <v>0.55318778002859026</v>
      </c>
      <c r="X7237" s="2">
        <f ca="1"/>
        <v>51.199077423763057</v>
      </c>
      <c r="AG7237" s="2">
        <f ca="1"/>
        <v>0.50432429521977218</v>
      </c>
      <c r="AH7237" s="2" t="str">
        <f ca="1"/>
        <v>Bad</v>
      </c>
    </row>
    <row r="7238" spans="2:34" x14ac:dyDescent="0.2">
      <c r="B7238" s="2">
        <f ca="1"/>
        <v>0.24340924661318519</v>
      </c>
      <c r="O7238" s="2">
        <f ca="1"/>
        <v>-0.79560494031600082</v>
      </c>
      <c r="X7238" s="2">
        <f ca="1"/>
        <v>89.345845563389901</v>
      </c>
      <c r="AG7238" s="2">
        <f ca="1"/>
        <v>0.412759856877984</v>
      </c>
      <c r="AH7238" s="2" t="str">
        <f ca="1"/>
        <v>Bad</v>
      </c>
    </row>
    <row r="7239" spans="2:34" x14ac:dyDescent="0.2">
      <c r="B7239" s="2">
        <f ca="1"/>
        <v>0.8523160749952523</v>
      </c>
      <c r="O7239" s="2">
        <f ca="1"/>
        <v>0.94036970091945427</v>
      </c>
      <c r="X7239" s="2">
        <f ca="1"/>
        <v>46.581994680505574</v>
      </c>
      <c r="AG7239" s="2">
        <f ca="1"/>
        <v>0.10815097056467815</v>
      </c>
      <c r="AH7239" s="2" t="str">
        <f ca="1"/>
        <v>OK</v>
      </c>
    </row>
    <row r="7240" spans="2:34" x14ac:dyDescent="0.2">
      <c r="B7240" s="2">
        <f ca="1"/>
        <v>0.42481102159815243</v>
      </c>
      <c r="O7240" s="2">
        <f ca="1"/>
        <v>-0.7486726702117118</v>
      </c>
      <c r="X7240" s="2">
        <f ca="1"/>
        <v>50.590803801915797</v>
      </c>
      <c r="AG7240" s="2">
        <f ca="1"/>
        <v>0.99659683857325132</v>
      </c>
      <c r="AH7240" s="2" t="str">
        <f ca="1"/>
        <v>Bad</v>
      </c>
    </row>
    <row r="7241" spans="2:34" x14ac:dyDescent="0.2">
      <c r="B7241" s="2">
        <f ca="1"/>
        <v>0.61982908634070477</v>
      </c>
      <c r="O7241" s="2">
        <f ca="1"/>
        <v>-0.53182156072039133</v>
      </c>
      <c r="X7241" s="2">
        <f ca="1"/>
        <v>87.418191230399316</v>
      </c>
      <c r="AG7241" s="2">
        <f ca="1"/>
        <v>0.7365977330511122</v>
      </c>
      <c r="AH7241" s="2" t="str">
        <f ca="1"/>
        <v>Bad</v>
      </c>
    </row>
    <row r="7242" spans="2:34" x14ac:dyDescent="0.2">
      <c r="B7242" s="2">
        <f ca="1"/>
        <v>0.75716830364314092</v>
      </c>
      <c r="O7242" s="2">
        <f ca="1"/>
        <v>-2.4697483160179203</v>
      </c>
      <c r="X7242" s="2">
        <f ca="1"/>
        <v>60.666295083476726</v>
      </c>
      <c r="AG7242" s="2">
        <f ca="1"/>
        <v>0.8815650040849039</v>
      </c>
      <c r="AH7242" s="2" t="str">
        <f ca="1"/>
        <v>Bad</v>
      </c>
    </row>
    <row r="7243" spans="2:34" x14ac:dyDescent="0.2">
      <c r="B7243" s="2">
        <f ca="1"/>
        <v>0.45570701148847848</v>
      </c>
      <c r="O7243" s="2">
        <f ca="1"/>
        <v>0.17763702933360495</v>
      </c>
      <c r="X7243" s="2">
        <f ca="1"/>
        <v>50.997449010806363</v>
      </c>
      <c r="AG7243" s="2">
        <f ca="1"/>
        <v>0.35128246485181003</v>
      </c>
      <c r="AH7243" s="2" t="str">
        <f ca="1"/>
        <v>OK</v>
      </c>
    </row>
    <row r="7244" spans="2:34" x14ac:dyDescent="0.2">
      <c r="B7244" s="2">
        <f ca="1"/>
        <v>0.66538995935777656</v>
      </c>
      <c r="O7244" s="2">
        <f ca="1"/>
        <v>-0.35639574534936025</v>
      </c>
      <c r="X7244" s="2">
        <f ca="1"/>
        <v>39.595329631622363</v>
      </c>
      <c r="AG7244" s="2">
        <f ca="1"/>
        <v>0.71534218120214987</v>
      </c>
      <c r="AH7244" s="2" t="str">
        <f ca="1"/>
        <v>Bad</v>
      </c>
    </row>
    <row r="7245" spans="2:34" x14ac:dyDescent="0.2">
      <c r="B7245" s="2">
        <f ca="1"/>
        <v>0.99596558387567602</v>
      </c>
      <c r="O7245" s="2">
        <f ca="1"/>
        <v>-1.2677650990810145</v>
      </c>
      <c r="X7245" s="2">
        <f ca="1"/>
        <v>44.808905269208921</v>
      </c>
      <c r="AG7245" s="2">
        <f ca="1"/>
        <v>0.24656695165471576</v>
      </c>
      <c r="AH7245" s="2" t="str">
        <f ca="1"/>
        <v>OK</v>
      </c>
    </row>
    <row r="7246" spans="2:34" x14ac:dyDescent="0.2">
      <c r="B7246" s="2">
        <f ca="1"/>
        <v>0.62439520032531237</v>
      </c>
      <c r="O7246" s="2">
        <f ca="1"/>
        <v>0.90514970939076034</v>
      </c>
      <c r="X7246" s="2">
        <f ca="1"/>
        <v>36.224163150112226</v>
      </c>
      <c r="AG7246" s="2">
        <f ca="1"/>
        <v>4.671260228343721E-2</v>
      </c>
      <c r="AH7246" s="2" t="str">
        <f ca="1"/>
        <v>Good</v>
      </c>
    </row>
    <row r="7247" spans="2:34" x14ac:dyDescent="0.2">
      <c r="B7247" s="2">
        <f ca="1"/>
        <v>0.25814805270810526</v>
      </c>
      <c r="O7247" s="2">
        <f ca="1"/>
        <v>-0.3135339191605242</v>
      </c>
      <c r="X7247" s="2">
        <f ca="1"/>
        <v>74.312875410199595</v>
      </c>
      <c r="AG7247" s="2">
        <f ca="1"/>
        <v>0.84130374272861785</v>
      </c>
      <c r="AH7247" s="2" t="str">
        <f ca="1"/>
        <v>Bad</v>
      </c>
    </row>
    <row r="7248" spans="2:34" x14ac:dyDescent="0.2">
      <c r="B7248" s="2">
        <f ca="1"/>
        <v>0.70795613283193259</v>
      </c>
      <c r="O7248" s="2">
        <f ca="1"/>
        <v>-1.2627967820071522</v>
      </c>
      <c r="X7248" s="2">
        <f ca="1"/>
        <v>21.260596955414247</v>
      </c>
      <c r="AG7248" s="2">
        <f ca="1"/>
        <v>0.74992887573010591</v>
      </c>
      <c r="AH7248" s="2" t="str">
        <f ca="1"/>
        <v>Bad</v>
      </c>
    </row>
    <row r="7249" spans="2:34" x14ac:dyDescent="0.2">
      <c r="B7249" s="2">
        <f ca="1"/>
        <v>0.54239402218389032</v>
      </c>
      <c r="O7249" s="2">
        <f ca="1"/>
        <v>-1.4595056988537456</v>
      </c>
      <c r="X7249" s="2">
        <f ca="1"/>
        <v>35.205712940252653</v>
      </c>
      <c r="AG7249" s="2">
        <f ca="1"/>
        <v>0.19267227025206046</v>
      </c>
      <c r="AH7249" s="2" t="str">
        <f ca="1"/>
        <v>OK</v>
      </c>
    </row>
    <row r="7250" spans="2:34" x14ac:dyDescent="0.2">
      <c r="B7250" s="2">
        <f ca="1"/>
        <v>0.49064625023015207</v>
      </c>
      <c r="O7250" s="2">
        <f ca="1"/>
        <v>-1.2656923120376429</v>
      </c>
      <c r="X7250" s="2">
        <f ca="1"/>
        <v>35.048735750736519</v>
      </c>
      <c r="AG7250" s="2">
        <f ca="1"/>
        <v>0.7372230309466663</v>
      </c>
      <c r="AH7250" s="2" t="str">
        <f ca="1"/>
        <v>Bad</v>
      </c>
    </row>
    <row r="7251" spans="2:34" x14ac:dyDescent="0.2">
      <c r="B7251" s="2">
        <f ca="1"/>
        <v>5.647908027035653E-2</v>
      </c>
      <c r="O7251" s="2">
        <f ca="1"/>
        <v>0.22827646072149352</v>
      </c>
      <c r="X7251" s="2">
        <f ca="1"/>
        <v>41.954265069566276</v>
      </c>
      <c r="AG7251" s="2">
        <f ca="1"/>
        <v>0.31666168469343736</v>
      </c>
      <c r="AH7251" s="2" t="str">
        <f ca="1"/>
        <v>OK</v>
      </c>
    </row>
    <row r="7252" spans="2:34" x14ac:dyDescent="0.2">
      <c r="B7252" s="2">
        <f ca="1"/>
        <v>0.57280558368208734</v>
      </c>
      <c r="O7252" s="2">
        <f ca="1"/>
        <v>0.89555798959470656</v>
      </c>
      <c r="X7252" s="2">
        <f ca="1"/>
        <v>31.592236426378161</v>
      </c>
      <c r="AG7252" s="2">
        <f ca="1"/>
        <v>0.11613204868123383</v>
      </c>
      <c r="AH7252" s="2" t="str">
        <f ca="1"/>
        <v>OK</v>
      </c>
    </row>
    <row r="7253" spans="2:34" x14ac:dyDescent="0.2">
      <c r="B7253" s="2">
        <f ca="1"/>
        <v>9.057721767263005E-2</v>
      </c>
      <c r="O7253" s="2">
        <f ca="1"/>
        <v>0.83028791334719931</v>
      </c>
      <c r="X7253" s="2">
        <f ca="1"/>
        <v>44.51434269254726</v>
      </c>
      <c r="AG7253" s="2">
        <f ca="1"/>
        <v>0.97654535506776052</v>
      </c>
      <c r="AH7253" s="2" t="str">
        <f ca="1"/>
        <v>Bad</v>
      </c>
    </row>
    <row r="7254" spans="2:34" x14ac:dyDescent="0.2">
      <c r="B7254" s="2">
        <f ca="1"/>
        <v>0.4684402429385528</v>
      </c>
      <c r="O7254" s="2">
        <f ca="1"/>
        <v>2.1821759538224419E-2</v>
      </c>
      <c r="X7254" s="2">
        <f ca="1"/>
        <v>121.45240988726543</v>
      </c>
      <c r="AG7254" s="2">
        <f ca="1"/>
        <v>0.91349850907105412</v>
      </c>
      <c r="AH7254" s="2" t="str">
        <f ca="1"/>
        <v>Bad</v>
      </c>
    </row>
    <row r="7255" spans="2:34" x14ac:dyDescent="0.2">
      <c r="B7255" s="2">
        <f ca="1"/>
        <v>0.91034491084891989</v>
      </c>
      <c r="O7255" s="2">
        <f ca="1"/>
        <v>2.055197276150591</v>
      </c>
      <c r="X7255" s="2">
        <f ca="1"/>
        <v>41.884154131856505</v>
      </c>
      <c r="AG7255" s="2">
        <f ca="1"/>
        <v>0.36145791058174948</v>
      </c>
      <c r="AH7255" s="2" t="str">
        <f ca="1"/>
        <v>OK</v>
      </c>
    </row>
    <row r="7256" spans="2:34" x14ac:dyDescent="0.2">
      <c r="B7256" s="2">
        <f ca="1"/>
        <v>0.29780882164212574</v>
      </c>
      <c r="O7256" s="2">
        <f ca="1"/>
        <v>0.38059446653235979</v>
      </c>
      <c r="X7256" s="2">
        <f ca="1"/>
        <v>46.505184198649516</v>
      </c>
      <c r="AG7256" s="2">
        <f ca="1"/>
        <v>0.61998685154860622</v>
      </c>
      <c r="AH7256" s="2" t="str">
        <f ca="1"/>
        <v>Bad</v>
      </c>
    </row>
    <row r="7257" spans="2:34" x14ac:dyDescent="0.2">
      <c r="B7257" s="2">
        <f ca="1"/>
        <v>0.53736587548671744</v>
      </c>
      <c r="O7257" s="2">
        <f ca="1"/>
        <v>0.18226492480561449</v>
      </c>
      <c r="X7257" s="2">
        <f ca="1"/>
        <v>50.105089067988487</v>
      </c>
      <c r="AG7257" s="2">
        <f ca="1"/>
        <v>0.77872759772166678</v>
      </c>
      <c r="AH7257" s="2" t="str">
        <f ca="1"/>
        <v>Bad</v>
      </c>
    </row>
    <row r="7258" spans="2:34" x14ac:dyDescent="0.2">
      <c r="B7258" s="2">
        <f ca="1"/>
        <v>0.7481052747082233</v>
      </c>
      <c r="O7258" s="2">
        <f ca="1"/>
        <v>0.77719411724934628</v>
      </c>
      <c r="X7258" s="2">
        <f ca="1"/>
        <v>42.577972112726989</v>
      </c>
      <c r="AG7258" s="2">
        <f ca="1"/>
        <v>3.8755175343170301E-2</v>
      </c>
      <c r="AH7258" s="2" t="str">
        <f ca="1"/>
        <v>Good</v>
      </c>
    </row>
    <row r="7259" spans="2:34" x14ac:dyDescent="0.2">
      <c r="B7259" s="2">
        <f ca="1"/>
        <v>0.94361288566581081</v>
      </c>
      <c r="O7259" s="2">
        <f ca="1"/>
        <v>1.5173287503367772</v>
      </c>
      <c r="X7259" s="2">
        <f ca="1"/>
        <v>23.282038111028328</v>
      </c>
      <c r="AG7259" s="2">
        <f ca="1"/>
        <v>0.26453066525580615</v>
      </c>
      <c r="AH7259" s="2" t="str">
        <f ca="1"/>
        <v>OK</v>
      </c>
    </row>
    <row r="7260" spans="2:34" x14ac:dyDescent="0.2">
      <c r="B7260" s="2">
        <f ca="1"/>
        <v>7.8902085307039682E-2</v>
      </c>
      <c r="O7260" s="2">
        <f ca="1"/>
        <v>-1.5093604778662544</v>
      </c>
      <c r="X7260" s="2">
        <f ca="1"/>
        <v>43.099199648912851</v>
      </c>
      <c r="AG7260" s="2">
        <f ca="1"/>
        <v>0.85588656022527609</v>
      </c>
      <c r="AH7260" s="2" t="str">
        <f ca="1"/>
        <v>Bad</v>
      </c>
    </row>
    <row r="7261" spans="2:34" x14ac:dyDescent="0.2">
      <c r="B7261" s="2">
        <f ca="1"/>
        <v>0.91273023306153478</v>
      </c>
      <c r="O7261" s="2">
        <f ca="1"/>
        <v>7.158533390205743E-2</v>
      </c>
      <c r="X7261" s="2">
        <f ca="1"/>
        <v>61.608747936747505</v>
      </c>
      <c r="AG7261" s="2">
        <f ca="1"/>
        <v>0.46831664259511996</v>
      </c>
      <c r="AH7261" s="2" t="str">
        <f ca="1"/>
        <v>Bad</v>
      </c>
    </row>
    <row r="7262" spans="2:34" x14ac:dyDescent="0.2">
      <c r="B7262" s="2">
        <f ca="1"/>
        <v>0.60887230204051046</v>
      </c>
      <c r="O7262" s="2">
        <f ca="1"/>
        <v>-0.97832158261015589</v>
      </c>
      <c r="X7262" s="2">
        <f ca="1"/>
        <v>35.699911185232232</v>
      </c>
      <c r="AG7262" s="2">
        <f ca="1"/>
        <v>0.94029342438463348</v>
      </c>
      <c r="AH7262" s="2" t="str">
        <f ca="1"/>
        <v>Bad</v>
      </c>
    </row>
    <row r="7263" spans="2:34" x14ac:dyDescent="0.2">
      <c r="B7263" s="2">
        <f ca="1"/>
        <v>0.64719688979203682</v>
      </c>
      <c r="O7263" s="2">
        <f ca="1"/>
        <v>0.37751326930481272</v>
      </c>
      <c r="X7263" s="2">
        <f ca="1"/>
        <v>39.340194399307229</v>
      </c>
      <c r="AG7263" s="2">
        <f ca="1"/>
        <v>0.87201867713887049</v>
      </c>
      <c r="AH7263" s="2" t="str">
        <f ca="1"/>
        <v>Bad</v>
      </c>
    </row>
    <row r="7264" spans="2:34" x14ac:dyDescent="0.2">
      <c r="B7264" s="2">
        <f ca="1"/>
        <v>0.70314756490208818</v>
      </c>
      <c r="O7264" s="2">
        <f ca="1"/>
        <v>0.40000600164812777</v>
      </c>
      <c r="X7264" s="2">
        <f ca="1"/>
        <v>28.1684300974431</v>
      </c>
      <c r="AG7264" s="2">
        <f ca="1"/>
        <v>0.94387785173355554</v>
      </c>
      <c r="AH7264" s="2" t="str">
        <f ca="1"/>
        <v>Bad</v>
      </c>
    </row>
    <row r="7265" spans="2:34" x14ac:dyDescent="0.2">
      <c r="B7265" s="2">
        <f ca="1"/>
        <v>2.4016168983054476E-2</v>
      </c>
      <c r="O7265" s="2">
        <f ca="1"/>
        <v>0.25793728716468217</v>
      </c>
      <c r="X7265" s="2">
        <f ca="1"/>
        <v>35.196500918244553</v>
      </c>
      <c r="AG7265" s="2">
        <f ca="1"/>
        <v>0.55892820443175339</v>
      </c>
      <c r="AH7265" s="2" t="str">
        <f ca="1"/>
        <v>Bad</v>
      </c>
    </row>
    <row r="7266" spans="2:34" x14ac:dyDescent="0.2">
      <c r="B7266" s="2">
        <f ca="1"/>
        <v>0.98865724720805903</v>
      </c>
      <c r="O7266" s="2">
        <f ca="1"/>
        <v>2.2103959028989304</v>
      </c>
      <c r="X7266" s="2">
        <f ca="1"/>
        <v>51.001627908267395</v>
      </c>
      <c r="AG7266" s="2">
        <f ca="1"/>
        <v>0.69653419520112392</v>
      </c>
      <c r="AH7266" s="2" t="str">
        <f ca="1"/>
        <v>Bad</v>
      </c>
    </row>
    <row r="7267" spans="2:34" x14ac:dyDescent="0.2">
      <c r="B7267" s="2">
        <f ca="1"/>
        <v>0.27335606981202942</v>
      </c>
      <c r="O7267" s="2">
        <f ca="1"/>
        <v>1.1534711064043872</v>
      </c>
      <c r="X7267" s="2">
        <f ca="1"/>
        <v>64.621212998497541</v>
      </c>
      <c r="AG7267" s="2">
        <f ca="1"/>
        <v>0.39596013684858367</v>
      </c>
      <c r="AH7267" s="2" t="str">
        <f ca="1"/>
        <v>OK</v>
      </c>
    </row>
    <row r="7268" spans="2:34" x14ac:dyDescent="0.2">
      <c r="B7268" s="2">
        <f ca="1"/>
        <v>4.3848343460402228E-2</v>
      </c>
      <c r="O7268" s="2">
        <f ca="1"/>
        <v>-0.41834144869072232</v>
      </c>
      <c r="X7268" s="2">
        <f ca="1"/>
        <v>54.323223458491896</v>
      </c>
      <c r="AG7268" s="2">
        <f ca="1"/>
        <v>0.88177404673752324</v>
      </c>
      <c r="AH7268" s="2" t="str">
        <f ca="1"/>
        <v>Bad</v>
      </c>
    </row>
    <row r="7269" spans="2:34" x14ac:dyDescent="0.2">
      <c r="B7269" s="2">
        <f ca="1"/>
        <v>0.85891625086272638</v>
      </c>
      <c r="O7269" s="2">
        <f ca="1"/>
        <v>-0.33034173025872865</v>
      </c>
      <c r="X7269" s="2">
        <f ca="1"/>
        <v>48.162370576054528</v>
      </c>
      <c r="AG7269" s="2">
        <f ca="1"/>
        <v>0.82633696279484425</v>
      </c>
      <c r="AH7269" s="2" t="str">
        <f ca="1"/>
        <v>Bad</v>
      </c>
    </row>
    <row r="7270" spans="2:34" x14ac:dyDescent="0.2">
      <c r="B7270" s="2">
        <f ca="1"/>
        <v>4.4510276751098088E-2</v>
      </c>
      <c r="O7270" s="2">
        <f ca="1"/>
        <v>-1.7043092227961341</v>
      </c>
      <c r="X7270" s="2">
        <f ca="1"/>
        <v>58.977856762374508</v>
      </c>
      <c r="AG7270" s="2">
        <f ca="1"/>
        <v>0.74681558755856736</v>
      </c>
      <c r="AH7270" s="2" t="str">
        <f ca="1"/>
        <v>Bad</v>
      </c>
    </row>
    <row r="7271" spans="2:34" x14ac:dyDescent="0.2">
      <c r="B7271" s="2">
        <f ca="1"/>
        <v>0.21882284528228224</v>
      </c>
      <c r="O7271" s="2">
        <f ca="1"/>
        <v>1.6855597161449356</v>
      </c>
      <c r="X7271" s="2">
        <f ca="1"/>
        <v>45.19012357046158</v>
      </c>
      <c r="AG7271" s="2">
        <f ca="1"/>
        <v>0.45252454468924763</v>
      </c>
      <c r="AH7271" s="2" t="str">
        <f ca="1"/>
        <v>Bad</v>
      </c>
    </row>
    <row r="7272" spans="2:34" x14ac:dyDescent="0.2">
      <c r="B7272" s="2">
        <f ca="1"/>
        <v>0.53722707827213156</v>
      </c>
      <c r="O7272" s="2">
        <f ca="1"/>
        <v>-0.20543858568400888</v>
      </c>
      <c r="X7272" s="2">
        <f ca="1"/>
        <v>53.83024217733756</v>
      </c>
      <c r="AG7272" s="2">
        <f ca="1"/>
        <v>0.45580250737992678</v>
      </c>
      <c r="AH7272" s="2" t="str">
        <f ca="1"/>
        <v>Bad</v>
      </c>
    </row>
    <row r="7273" spans="2:34" x14ac:dyDescent="0.2">
      <c r="B7273" s="2">
        <f ca="1"/>
        <v>3.3029111894491425E-2</v>
      </c>
      <c r="O7273" s="2">
        <f ca="1"/>
        <v>-0.3567069438079678</v>
      </c>
      <c r="X7273" s="2">
        <f ca="1"/>
        <v>54.277887984337042</v>
      </c>
      <c r="AG7273" s="2">
        <f ca="1"/>
        <v>0.63670250775921522</v>
      </c>
      <c r="AH7273" s="2" t="str">
        <f ca="1"/>
        <v>Bad</v>
      </c>
    </row>
    <row r="7274" spans="2:34" x14ac:dyDescent="0.2">
      <c r="B7274" s="2">
        <f ca="1"/>
        <v>0.73504394379200866</v>
      </c>
      <c r="O7274" s="2">
        <f ca="1"/>
        <v>0.14667732256137558</v>
      </c>
      <c r="X7274" s="2">
        <f ca="1"/>
        <v>40.692881433425583</v>
      </c>
      <c r="AG7274" s="2">
        <f ca="1"/>
        <v>0.95880340058161173</v>
      </c>
      <c r="AH7274" s="2" t="str">
        <f ca="1"/>
        <v>Bad</v>
      </c>
    </row>
    <row r="7275" spans="2:34" x14ac:dyDescent="0.2">
      <c r="B7275" s="2">
        <f ca="1"/>
        <v>0.7240366049395619</v>
      </c>
      <c r="O7275" s="2">
        <f ca="1"/>
        <v>-1.2706587397568629</v>
      </c>
      <c r="X7275" s="2">
        <f ca="1"/>
        <v>51.686883029928538</v>
      </c>
      <c r="AG7275" s="2">
        <f ca="1"/>
        <v>0.24963793948399093</v>
      </c>
      <c r="AH7275" s="2" t="str">
        <f ca="1"/>
        <v>OK</v>
      </c>
    </row>
    <row r="7276" spans="2:34" x14ac:dyDescent="0.2">
      <c r="B7276" s="2">
        <f ca="1"/>
        <v>0.19003041900013251</v>
      </c>
      <c r="O7276" s="2">
        <f ca="1"/>
        <v>-0.44667473333000085</v>
      </c>
      <c r="X7276" s="2">
        <f ca="1"/>
        <v>25.88595529514679</v>
      </c>
      <c r="AG7276" s="2">
        <f ca="1"/>
        <v>0.62040513645855588</v>
      </c>
      <c r="AH7276" s="2" t="str">
        <f ca="1"/>
        <v>Bad</v>
      </c>
    </row>
    <row r="7277" spans="2:34" x14ac:dyDescent="0.2">
      <c r="B7277" s="2">
        <f ca="1"/>
        <v>0.40306281577517744</v>
      </c>
      <c r="O7277" s="2">
        <f ca="1"/>
        <v>2.4407293772520795</v>
      </c>
      <c r="X7277" s="2">
        <f ca="1"/>
        <v>35.721588309659481</v>
      </c>
      <c r="AG7277" s="2">
        <f ca="1"/>
        <v>0.98652802712176535</v>
      </c>
      <c r="AH7277" s="2" t="str">
        <f ca="1"/>
        <v>Bad</v>
      </c>
    </row>
    <row r="7278" spans="2:34" x14ac:dyDescent="0.2">
      <c r="B7278" s="2">
        <f ca="1"/>
        <v>0.80074629549176946</v>
      </c>
      <c r="O7278" s="2">
        <f ca="1"/>
        <v>-1.4817774614924268</v>
      </c>
      <c r="X7278" s="2">
        <f ca="1"/>
        <v>59.651018996847938</v>
      </c>
      <c r="AG7278" s="2">
        <f ca="1"/>
        <v>0.91114517527851802</v>
      </c>
      <c r="AH7278" s="2" t="str">
        <f ca="1"/>
        <v>Bad</v>
      </c>
    </row>
    <row r="7279" spans="2:34" x14ac:dyDescent="0.2">
      <c r="B7279" s="2">
        <f ca="1"/>
        <v>0.53858722708476536</v>
      </c>
      <c r="O7279" s="2">
        <f ca="1"/>
        <v>0.39987967772214794</v>
      </c>
      <c r="X7279" s="2">
        <f ca="1"/>
        <v>40.14067363780525</v>
      </c>
      <c r="AG7279" s="2">
        <f ca="1"/>
        <v>0.28033030153395289</v>
      </c>
      <c r="AH7279" s="2" t="str">
        <f ca="1"/>
        <v>OK</v>
      </c>
    </row>
    <row r="7280" spans="2:34" x14ac:dyDescent="0.2">
      <c r="B7280" s="2">
        <f ca="1"/>
        <v>0.32272367483288256</v>
      </c>
      <c r="O7280" s="2">
        <f ca="1"/>
        <v>1.6180245656046093</v>
      </c>
      <c r="X7280" s="2">
        <f ca="1"/>
        <v>30.470930431039918</v>
      </c>
      <c r="AG7280" s="2">
        <f ca="1"/>
        <v>0.60206348624239592</v>
      </c>
      <c r="AH7280" s="2" t="str">
        <f ca="1"/>
        <v>Bad</v>
      </c>
    </row>
    <row r="7281" spans="2:34" x14ac:dyDescent="0.2">
      <c r="B7281" s="2">
        <f ca="1"/>
        <v>0.92784058775075007</v>
      </c>
      <c r="O7281" s="2">
        <f ca="1"/>
        <v>0.87502286881155611</v>
      </c>
      <c r="X7281" s="2">
        <f ca="1"/>
        <v>38.202053676149838</v>
      </c>
      <c r="AG7281" s="2">
        <f ca="1"/>
        <v>0.72662582954148247</v>
      </c>
      <c r="AH7281" s="2" t="str">
        <f ca="1"/>
        <v>Bad</v>
      </c>
    </row>
    <row r="7282" spans="2:34" x14ac:dyDescent="0.2">
      <c r="B7282" s="2">
        <f ca="1"/>
        <v>0.24755582098382134</v>
      </c>
      <c r="O7282" s="2">
        <f ca="1"/>
        <v>-1.7985796461380503</v>
      </c>
      <c r="X7282" s="2">
        <f ca="1"/>
        <v>47.906686799903639</v>
      </c>
      <c r="AG7282" s="2">
        <f ca="1"/>
        <v>0.21450418344176847</v>
      </c>
      <c r="AH7282" s="2" t="str">
        <f ca="1"/>
        <v>OK</v>
      </c>
    </row>
    <row r="7283" spans="2:34" x14ac:dyDescent="0.2">
      <c r="B7283" s="2">
        <f ca="1"/>
        <v>3.753750956248747E-2</v>
      </c>
      <c r="O7283" s="2">
        <f ca="1"/>
        <v>-2.6515476274850913</v>
      </c>
      <c r="X7283" s="2">
        <f ca="1"/>
        <v>43.516927720226981</v>
      </c>
      <c r="AG7283" s="2">
        <f ca="1"/>
        <v>0.13472474750303887</v>
      </c>
      <c r="AH7283" s="2" t="str">
        <f ca="1"/>
        <v>OK</v>
      </c>
    </row>
    <row r="7284" spans="2:34" x14ac:dyDescent="0.2">
      <c r="B7284" s="2">
        <f ca="1"/>
        <v>0.85556583655623064</v>
      </c>
      <c r="O7284" s="2">
        <f ca="1"/>
        <v>-1.7938809566282876</v>
      </c>
      <c r="X7284" s="2">
        <f ca="1"/>
        <v>41.447419342528306</v>
      </c>
      <c r="AG7284" s="2">
        <f ca="1"/>
        <v>0.52116174083158318</v>
      </c>
      <c r="AH7284" s="2" t="str">
        <f ca="1"/>
        <v>Bad</v>
      </c>
    </row>
    <row r="7285" spans="2:34" x14ac:dyDescent="0.2">
      <c r="B7285" s="2">
        <f ca="1"/>
        <v>0.42036513137824594</v>
      </c>
      <c r="O7285" s="2">
        <f ca="1"/>
        <v>0.36401069378108641</v>
      </c>
      <c r="X7285" s="2">
        <f ca="1"/>
        <v>35.187219485877556</v>
      </c>
      <c r="AG7285" s="2">
        <f ca="1"/>
        <v>0.68760661317552407</v>
      </c>
      <c r="AH7285" s="2" t="str">
        <f ca="1"/>
        <v>Bad</v>
      </c>
    </row>
    <row r="7286" spans="2:34" x14ac:dyDescent="0.2">
      <c r="B7286" s="2">
        <f ca="1"/>
        <v>0.18656406492473376</v>
      </c>
      <c r="O7286" s="2">
        <f ca="1"/>
        <v>-4.2687944209647326E-2</v>
      </c>
      <c r="X7286" s="2">
        <f ca="1"/>
        <v>35.618566860451651</v>
      </c>
      <c r="AG7286" s="2">
        <f ca="1"/>
        <v>5.4371278857715089E-2</v>
      </c>
      <c r="AH7286" s="2" t="str">
        <f ca="1"/>
        <v>OK</v>
      </c>
    </row>
    <row r="7287" spans="2:34" x14ac:dyDescent="0.2">
      <c r="B7287" s="2">
        <f ca="1"/>
        <v>0.40685479860850515</v>
      </c>
      <c r="O7287" s="2">
        <f ca="1"/>
        <v>-1.2440715921891508</v>
      </c>
      <c r="X7287" s="2">
        <f ca="1"/>
        <v>40.507115872042732</v>
      </c>
      <c r="AG7287" s="2">
        <f ca="1"/>
        <v>0.97551273549148365</v>
      </c>
      <c r="AH7287" s="2" t="str">
        <f ca="1"/>
        <v>Bad</v>
      </c>
    </row>
    <row r="7288" spans="2:34" x14ac:dyDescent="0.2">
      <c r="B7288" s="2">
        <f ca="1"/>
        <v>0.96301162159576403</v>
      </c>
      <c r="O7288" s="2">
        <f ca="1"/>
        <v>0.65328927693926386</v>
      </c>
      <c r="X7288" s="2">
        <f ca="1"/>
        <v>92.246333218854403</v>
      </c>
      <c r="AG7288" s="2">
        <f ca="1"/>
        <v>0.24893745481516771</v>
      </c>
      <c r="AH7288" s="2" t="str">
        <f ca="1"/>
        <v>OK</v>
      </c>
    </row>
    <row r="7289" spans="2:34" x14ac:dyDescent="0.2">
      <c r="B7289" s="2">
        <f ca="1"/>
        <v>0.7919119171037694</v>
      </c>
      <c r="O7289" s="2">
        <f ca="1"/>
        <v>-0.63328374179713842</v>
      </c>
      <c r="X7289" s="2">
        <f ca="1"/>
        <v>48.346949261966337</v>
      </c>
      <c r="AG7289" s="2">
        <f ca="1"/>
        <v>0.52795529969901578</v>
      </c>
      <c r="AH7289" s="2" t="str">
        <f ca="1"/>
        <v>Bad</v>
      </c>
    </row>
    <row r="7290" spans="2:34" x14ac:dyDescent="0.2">
      <c r="B7290" s="2">
        <f ca="1"/>
        <v>0.64070908428743811</v>
      </c>
      <c r="O7290" s="2">
        <f ca="1"/>
        <v>2.9800666409308061</v>
      </c>
      <c r="X7290" s="2">
        <f ca="1"/>
        <v>39.93909267966643</v>
      </c>
      <c r="AG7290" s="2">
        <f ca="1"/>
        <v>8.0374004039444724E-2</v>
      </c>
      <c r="AH7290" s="2" t="str">
        <f ca="1"/>
        <v>OK</v>
      </c>
    </row>
    <row r="7291" spans="2:34" x14ac:dyDescent="0.2">
      <c r="B7291" s="2">
        <f ca="1"/>
        <v>0.27371696481416818</v>
      </c>
      <c r="O7291" s="2">
        <f ca="1"/>
        <v>-1.5133318241639009</v>
      </c>
      <c r="X7291" s="2">
        <f ca="1"/>
        <v>74.072127552243956</v>
      </c>
      <c r="AG7291" s="2">
        <f ca="1"/>
        <v>0.36938650226935876</v>
      </c>
      <c r="AH7291" s="2" t="str">
        <f ca="1"/>
        <v>OK</v>
      </c>
    </row>
    <row r="7292" spans="2:34" x14ac:dyDescent="0.2">
      <c r="B7292" s="2">
        <f ca="1"/>
        <v>6.8106095043658055E-2</v>
      </c>
      <c r="O7292" s="2">
        <f ca="1"/>
        <v>0.48916936856724075</v>
      </c>
      <c r="X7292" s="2">
        <f ca="1"/>
        <v>64.683959108501256</v>
      </c>
      <c r="AG7292" s="2">
        <f ca="1"/>
        <v>0.50992747605465216</v>
      </c>
      <c r="AH7292" s="2" t="str">
        <f ca="1"/>
        <v>Bad</v>
      </c>
    </row>
    <row r="7293" spans="2:34" x14ac:dyDescent="0.2">
      <c r="B7293" s="2">
        <f ca="1"/>
        <v>5.1573082217519994E-2</v>
      </c>
      <c r="O7293" s="2">
        <f ca="1"/>
        <v>-0.97325780477204615</v>
      </c>
      <c r="X7293" s="2">
        <f ca="1"/>
        <v>40.175422921328767</v>
      </c>
      <c r="AG7293" s="2">
        <f ca="1"/>
        <v>0.35589776256486672</v>
      </c>
      <c r="AH7293" s="2" t="str">
        <f ca="1"/>
        <v>OK</v>
      </c>
    </row>
    <row r="7294" spans="2:34" x14ac:dyDescent="0.2">
      <c r="B7294" s="2">
        <f ca="1"/>
        <v>0.99873842116788047</v>
      </c>
      <c r="O7294" s="2">
        <f ca="1"/>
        <v>1.0873294511449638</v>
      </c>
      <c r="X7294" s="2">
        <f ca="1"/>
        <v>50.405475079613836</v>
      </c>
      <c r="AG7294" s="2">
        <f ca="1"/>
        <v>0.56318607169079971</v>
      </c>
      <c r="AH7294" s="2" t="str">
        <f ca="1"/>
        <v>Bad</v>
      </c>
    </row>
    <row r="7295" spans="2:34" x14ac:dyDescent="0.2">
      <c r="B7295" s="2">
        <f ca="1"/>
        <v>0.41676785510925463</v>
      </c>
      <c r="O7295" s="2">
        <f ca="1"/>
        <v>1.2839316158161311</v>
      </c>
      <c r="X7295" s="2">
        <f ca="1"/>
        <v>28.433061806586004</v>
      </c>
      <c r="AG7295" s="2">
        <f ca="1"/>
        <v>3.2349710179022884E-2</v>
      </c>
      <c r="AH7295" s="2" t="str">
        <f ca="1"/>
        <v>Good</v>
      </c>
    </row>
    <row r="7296" spans="2:34" x14ac:dyDescent="0.2">
      <c r="B7296" s="2">
        <f ca="1"/>
        <v>0.10568563970385214</v>
      </c>
      <c r="O7296" s="2">
        <f ca="1"/>
        <v>-0.97396042878383371</v>
      </c>
      <c r="X7296" s="2">
        <f ca="1"/>
        <v>63.591612028092939</v>
      </c>
      <c r="AG7296" s="2">
        <f ca="1"/>
        <v>0.14829423813612053</v>
      </c>
      <c r="AH7296" s="2" t="str">
        <f ca="1"/>
        <v>OK</v>
      </c>
    </row>
    <row r="7297" spans="2:34" x14ac:dyDescent="0.2">
      <c r="B7297" s="2">
        <f ca="1"/>
        <v>0.86816721116241347</v>
      </c>
      <c r="O7297" s="2">
        <f ca="1"/>
        <v>-0.31361673625498038</v>
      </c>
      <c r="X7297" s="2">
        <f ca="1"/>
        <v>44.01438665747628</v>
      </c>
      <c r="AG7297" s="2">
        <f ca="1"/>
        <v>0.51247753509222904</v>
      </c>
      <c r="AH7297" s="2" t="str">
        <f ca="1"/>
        <v>Bad</v>
      </c>
    </row>
    <row r="7298" spans="2:34" x14ac:dyDescent="0.2">
      <c r="B7298" s="2">
        <f ca="1"/>
        <v>7.785244583444495E-2</v>
      </c>
      <c r="O7298" s="2">
        <f ca="1"/>
        <v>0.15278256038545959</v>
      </c>
      <c r="X7298" s="2">
        <f ca="1"/>
        <v>48.641225201363063</v>
      </c>
      <c r="AG7298" s="2">
        <f ca="1"/>
        <v>0.16572394214939679</v>
      </c>
      <c r="AH7298" s="2" t="str">
        <f ca="1"/>
        <v>OK</v>
      </c>
    </row>
    <row r="7299" spans="2:34" x14ac:dyDescent="0.2">
      <c r="B7299" s="2">
        <f ca="1"/>
        <v>0.98527531342547459</v>
      </c>
      <c r="O7299" s="2">
        <f ca="1"/>
        <v>1.6406624217320842</v>
      </c>
      <c r="X7299" s="2">
        <f ca="1"/>
        <v>34.413699202186145</v>
      </c>
      <c r="AG7299" s="2">
        <f ca="1"/>
        <v>0.23653423079209057</v>
      </c>
      <c r="AH7299" s="2" t="str">
        <f ca="1"/>
        <v>OK</v>
      </c>
    </row>
    <row r="7300" spans="2:34" x14ac:dyDescent="0.2">
      <c r="B7300" s="2">
        <f ca="1"/>
        <v>0.24254887010973314</v>
      </c>
      <c r="O7300" s="2">
        <f ca="1"/>
        <v>-1.8180164317102741</v>
      </c>
      <c r="X7300" s="2">
        <f ca="1"/>
        <v>63.798490635021579</v>
      </c>
      <c r="AG7300" s="2">
        <f ca="1"/>
        <v>0.67637126605897691</v>
      </c>
      <c r="AH7300" s="2" t="str">
        <f ca="1"/>
        <v>Bad</v>
      </c>
    </row>
    <row r="7301" spans="2:34" x14ac:dyDescent="0.2">
      <c r="B7301" s="2">
        <f ca="1"/>
        <v>0.42870202605658791</v>
      </c>
      <c r="O7301" s="2">
        <f ca="1"/>
        <v>0.11945507350291991</v>
      </c>
      <c r="X7301" s="2">
        <f ca="1"/>
        <v>35.744265673193979</v>
      </c>
      <c r="AG7301" s="2">
        <f ca="1"/>
        <v>0.56011364160242239</v>
      </c>
      <c r="AH7301" s="2" t="str">
        <f ca="1"/>
        <v>Bad</v>
      </c>
    </row>
    <row r="7302" spans="2:34" x14ac:dyDescent="0.2">
      <c r="B7302" s="2">
        <f ca="1"/>
        <v>0.98771896611695031</v>
      </c>
      <c r="O7302" s="2">
        <f ca="1"/>
        <v>0.25299873440664633</v>
      </c>
      <c r="X7302" s="2">
        <f ca="1"/>
        <v>81.514227481459116</v>
      </c>
      <c r="AG7302" s="2">
        <f ca="1"/>
        <v>0.30468202688259094</v>
      </c>
      <c r="AH7302" s="2" t="str">
        <f ca="1"/>
        <v>OK</v>
      </c>
    </row>
    <row r="7303" spans="2:34" x14ac:dyDescent="0.2">
      <c r="B7303" s="2">
        <f ca="1"/>
        <v>0.25060879851050033</v>
      </c>
      <c r="O7303" s="2">
        <f ca="1"/>
        <v>-1.1054012729748204</v>
      </c>
      <c r="X7303" s="2">
        <f ca="1"/>
        <v>41.696033993045361</v>
      </c>
      <c r="AG7303" s="2">
        <f ca="1"/>
        <v>0.27385552592512852</v>
      </c>
      <c r="AH7303" s="2" t="str">
        <f ca="1"/>
        <v>OK</v>
      </c>
    </row>
    <row r="7304" spans="2:34" x14ac:dyDescent="0.2">
      <c r="B7304" s="2">
        <f ca="1"/>
        <v>9.5828630017048555E-2</v>
      </c>
      <c r="O7304" s="2">
        <f ca="1"/>
        <v>-0.4812157842529417</v>
      </c>
      <c r="X7304" s="2">
        <f ca="1"/>
        <v>39.243688430684848</v>
      </c>
      <c r="AG7304" s="2">
        <f ca="1"/>
        <v>0.25780043533167163</v>
      </c>
      <c r="AH7304" s="2" t="str">
        <f ca="1"/>
        <v>OK</v>
      </c>
    </row>
    <row r="7305" spans="2:34" x14ac:dyDescent="0.2">
      <c r="B7305" s="2">
        <f ca="1"/>
        <v>7.6693121868162573E-2</v>
      </c>
      <c r="O7305" s="2">
        <f ca="1"/>
        <v>-1.2168373082204491</v>
      </c>
      <c r="X7305" s="2">
        <f ca="1"/>
        <v>71.625770289551369</v>
      </c>
      <c r="AG7305" s="2">
        <f ca="1"/>
        <v>0.84142800171053511</v>
      </c>
      <c r="AH7305" s="2" t="str">
        <f ca="1"/>
        <v>Bad</v>
      </c>
    </row>
    <row r="7306" spans="2:34" x14ac:dyDescent="0.2">
      <c r="B7306" s="2">
        <f ca="1"/>
        <v>0.45888230577764233</v>
      </c>
      <c r="O7306" s="2">
        <f ca="1"/>
        <v>-1.703776455857017</v>
      </c>
      <c r="X7306" s="2">
        <f ca="1"/>
        <v>48.962072889117195</v>
      </c>
      <c r="AG7306" s="2">
        <f ca="1"/>
        <v>0.98040397369924182</v>
      </c>
      <c r="AH7306" s="2" t="str">
        <f ca="1"/>
        <v>Bad</v>
      </c>
    </row>
    <row r="7307" spans="2:34" x14ac:dyDescent="0.2">
      <c r="B7307" s="2">
        <f ca="1"/>
        <v>0.89487984829810219</v>
      </c>
      <c r="O7307" s="2">
        <f ca="1"/>
        <v>-0.74599321487537296</v>
      </c>
      <c r="X7307" s="2">
        <f ca="1"/>
        <v>42.742423785589025</v>
      </c>
      <c r="AG7307" s="2">
        <f ca="1"/>
        <v>9.4778072396592528E-2</v>
      </c>
      <c r="AH7307" s="2" t="str">
        <f ca="1"/>
        <v>OK</v>
      </c>
    </row>
    <row r="7308" spans="2:34" x14ac:dyDescent="0.2">
      <c r="B7308" s="2">
        <f ca="1"/>
        <v>0.7549573781978014</v>
      </c>
      <c r="O7308" s="2">
        <f ca="1"/>
        <v>-1.3504297984539024</v>
      </c>
      <c r="X7308" s="2">
        <f ca="1"/>
        <v>60.063678346033136</v>
      </c>
      <c r="AG7308" s="2">
        <f ca="1"/>
        <v>0.46912351774984584</v>
      </c>
      <c r="AH7308" s="2" t="str">
        <f ca="1"/>
        <v>Bad</v>
      </c>
    </row>
    <row r="7309" spans="2:34" x14ac:dyDescent="0.2">
      <c r="B7309" s="2">
        <f ca="1"/>
        <v>0.19661619072958225</v>
      </c>
      <c r="O7309" s="2">
        <f ca="1"/>
        <v>2.2152640241653541</v>
      </c>
      <c r="X7309" s="2">
        <f ca="1"/>
        <v>43.126219387864914</v>
      </c>
      <c r="AG7309" s="2">
        <f ca="1"/>
        <v>0.44764414371853567</v>
      </c>
      <c r="AH7309" s="2" t="str">
        <f ca="1"/>
        <v>Bad</v>
      </c>
    </row>
    <row r="7310" spans="2:34" x14ac:dyDescent="0.2">
      <c r="B7310" s="2">
        <f ca="1"/>
        <v>0.20630849553268527</v>
      </c>
      <c r="O7310" s="2">
        <f ca="1"/>
        <v>-1.4082636701599283</v>
      </c>
      <c r="X7310" s="2">
        <f ca="1"/>
        <v>49.371480030559958</v>
      </c>
      <c r="AG7310" s="2">
        <f ca="1"/>
        <v>0.24151277668951776</v>
      </c>
      <c r="AH7310" s="2" t="str">
        <f ca="1"/>
        <v>OK</v>
      </c>
    </row>
    <row r="7311" spans="2:34" x14ac:dyDescent="0.2">
      <c r="B7311" s="2">
        <f ca="1"/>
        <v>0.43101840997526342</v>
      </c>
      <c r="O7311" s="2">
        <f ca="1"/>
        <v>-0.10861563093951913</v>
      </c>
      <c r="X7311" s="2">
        <f ca="1"/>
        <v>88.192332564288435</v>
      </c>
      <c r="AG7311" s="2">
        <f ca="1"/>
        <v>0.14848264650799226</v>
      </c>
      <c r="AH7311" s="2" t="str">
        <f ca="1"/>
        <v>OK</v>
      </c>
    </row>
    <row r="7312" spans="2:34" x14ac:dyDescent="0.2">
      <c r="B7312" s="2">
        <f ca="1"/>
        <v>0.17687040235242546</v>
      </c>
      <c r="O7312" s="2">
        <f ca="1"/>
        <v>0.9839417472202493</v>
      </c>
      <c r="X7312" s="2">
        <f ca="1"/>
        <v>63.005053941939451</v>
      </c>
      <c r="AG7312" s="2">
        <f ca="1"/>
        <v>0.19099099631747674</v>
      </c>
      <c r="AH7312" s="2" t="str">
        <f ca="1"/>
        <v>OK</v>
      </c>
    </row>
    <row r="7313" spans="2:34" x14ac:dyDescent="0.2">
      <c r="B7313" s="2">
        <f ca="1"/>
        <v>0.97793697816347058</v>
      </c>
      <c r="O7313" s="2">
        <f ca="1"/>
        <v>1.7332101770329087</v>
      </c>
      <c r="X7313" s="2">
        <f ca="1"/>
        <v>66.756820826143922</v>
      </c>
      <c r="AG7313" s="2">
        <f ca="1"/>
        <v>0.54858317007739998</v>
      </c>
      <c r="AH7313" s="2" t="str">
        <f ca="1"/>
        <v>Bad</v>
      </c>
    </row>
    <row r="7314" spans="2:34" x14ac:dyDescent="0.2">
      <c r="B7314" s="2">
        <f ca="1"/>
        <v>0.5962272565203004</v>
      </c>
      <c r="O7314" s="2">
        <f ca="1"/>
        <v>0.89480201317110764</v>
      </c>
      <c r="X7314" s="2">
        <f ca="1"/>
        <v>49.050758845710703</v>
      </c>
      <c r="AG7314" s="2">
        <f ca="1"/>
        <v>0.50993614787832597</v>
      </c>
      <c r="AH7314" s="2" t="str">
        <f ca="1"/>
        <v>Bad</v>
      </c>
    </row>
    <row r="7315" spans="2:34" x14ac:dyDescent="0.2">
      <c r="B7315" s="2">
        <f ca="1"/>
        <v>0.45428888287145819</v>
      </c>
      <c r="O7315" s="2">
        <f ca="1"/>
        <v>0.84164262386096245</v>
      </c>
      <c r="X7315" s="2">
        <f ca="1"/>
        <v>62.904475300712413</v>
      </c>
      <c r="AG7315" s="2">
        <f ca="1"/>
        <v>0.67510099226794118</v>
      </c>
      <c r="AH7315" s="2" t="str">
        <f ca="1"/>
        <v>Bad</v>
      </c>
    </row>
    <row r="7316" spans="2:34" x14ac:dyDescent="0.2">
      <c r="B7316" s="2">
        <f ca="1"/>
        <v>0.45940197275938255</v>
      </c>
      <c r="O7316" s="2">
        <f ca="1"/>
        <v>-0.55005003444513634</v>
      </c>
      <c r="X7316" s="2">
        <f ca="1"/>
        <v>53.89671824948843</v>
      </c>
      <c r="AG7316" s="2">
        <f ca="1"/>
        <v>0.58688752154592461</v>
      </c>
      <c r="AH7316" s="2" t="str">
        <f ca="1"/>
        <v>Bad</v>
      </c>
    </row>
    <row r="7317" spans="2:34" x14ac:dyDescent="0.2">
      <c r="B7317" s="2">
        <f ca="1"/>
        <v>0.26242705901266139</v>
      </c>
      <c r="O7317" s="2">
        <f ca="1"/>
        <v>2.2551292352976233</v>
      </c>
      <c r="X7317" s="2">
        <f ca="1"/>
        <v>71.342021210584548</v>
      </c>
      <c r="AG7317" s="2">
        <f ca="1"/>
        <v>0.60307392663445869</v>
      </c>
      <c r="AH7317" s="2" t="str">
        <f ca="1"/>
        <v>Bad</v>
      </c>
    </row>
    <row r="7318" spans="2:34" x14ac:dyDescent="0.2">
      <c r="B7318" s="2">
        <f ca="1"/>
        <v>0.9065146604781249</v>
      </c>
      <c r="O7318" s="2">
        <f ca="1"/>
        <v>9.1250144589317128E-2</v>
      </c>
      <c r="X7318" s="2">
        <f ca="1"/>
        <v>72.245468194214794</v>
      </c>
      <c r="AG7318" s="2">
        <f ca="1"/>
        <v>0.98447177337580594</v>
      </c>
      <c r="AH7318" s="2" t="str">
        <f ca="1"/>
        <v>Bad</v>
      </c>
    </row>
    <row r="7319" spans="2:34" x14ac:dyDescent="0.2">
      <c r="B7319" s="2">
        <f ca="1"/>
        <v>0.55885179889962244</v>
      </c>
      <c r="O7319" s="2">
        <f ca="1"/>
        <v>-2.264674370570007</v>
      </c>
      <c r="X7319" s="2">
        <f ca="1"/>
        <v>47.190590984903139</v>
      </c>
      <c r="AG7319" s="2">
        <f ca="1"/>
        <v>0.5532617233308359</v>
      </c>
      <c r="AH7319" s="2" t="str">
        <f ca="1"/>
        <v>Bad</v>
      </c>
    </row>
    <row r="7320" spans="2:34" x14ac:dyDescent="0.2">
      <c r="B7320" s="2">
        <f ca="1"/>
        <v>0.62702077082081731</v>
      </c>
      <c r="O7320" s="2">
        <f ca="1"/>
        <v>0.10085025947574434</v>
      </c>
      <c r="X7320" s="2">
        <f ca="1"/>
        <v>39.07052845187583</v>
      </c>
      <c r="AG7320" s="2">
        <f ca="1"/>
        <v>0.42583058804676766</v>
      </c>
      <c r="AH7320" s="2" t="str">
        <f ca="1"/>
        <v>Bad</v>
      </c>
    </row>
    <row r="7321" spans="2:34" x14ac:dyDescent="0.2">
      <c r="B7321" s="2">
        <f ca="1"/>
        <v>0.20553083734759814</v>
      </c>
      <c r="O7321" s="2">
        <f ca="1"/>
        <v>-1.052248283834494</v>
      </c>
      <c r="X7321" s="2">
        <f ca="1"/>
        <v>39.273315471298361</v>
      </c>
      <c r="AG7321" s="2">
        <f ca="1"/>
        <v>0.80424841889620646</v>
      </c>
      <c r="AH7321" s="2" t="str">
        <f ca="1"/>
        <v>Bad</v>
      </c>
    </row>
    <row r="7322" spans="2:34" x14ac:dyDescent="0.2">
      <c r="B7322" s="2">
        <f ca="1"/>
        <v>2.4277364862468787E-2</v>
      </c>
      <c r="O7322" s="2">
        <f ca="1"/>
        <v>0.23163541418378511</v>
      </c>
      <c r="X7322" s="2">
        <f ca="1"/>
        <v>26.798208667316459</v>
      </c>
      <c r="AG7322" s="2">
        <f ca="1"/>
        <v>0.66081886937945655</v>
      </c>
      <c r="AH7322" s="2" t="str">
        <f ca="1"/>
        <v>Bad</v>
      </c>
    </row>
    <row r="7323" spans="2:34" x14ac:dyDescent="0.2">
      <c r="B7323" s="2">
        <f ca="1"/>
        <v>0.56352778702099138</v>
      </c>
      <c r="O7323" s="2">
        <f ca="1"/>
        <v>-1.4429164993814654</v>
      </c>
      <c r="X7323" s="2">
        <f ca="1"/>
        <v>36.461434887867277</v>
      </c>
      <c r="AG7323" s="2">
        <f ca="1"/>
        <v>0.50111665472962863</v>
      </c>
      <c r="AH7323" s="2" t="str">
        <f ca="1"/>
        <v>Bad</v>
      </c>
    </row>
    <row r="7324" spans="2:34" x14ac:dyDescent="0.2">
      <c r="B7324" s="2">
        <f ca="1"/>
        <v>0.27983326851989454</v>
      </c>
      <c r="O7324" s="2">
        <f ca="1"/>
        <v>0.2780834453734144</v>
      </c>
      <c r="X7324" s="2">
        <f ca="1"/>
        <v>49.817183052328204</v>
      </c>
      <c r="AG7324" s="2">
        <f ca="1"/>
        <v>0.68210667929353863</v>
      </c>
      <c r="AH7324" s="2" t="str">
        <f ca="1"/>
        <v>Bad</v>
      </c>
    </row>
    <row r="7325" spans="2:34" x14ac:dyDescent="0.2">
      <c r="B7325" s="2">
        <f ca="1"/>
        <v>0.84570876532192729</v>
      </c>
      <c r="O7325" s="2">
        <f ca="1"/>
        <v>0.86447510289087603</v>
      </c>
      <c r="X7325" s="2">
        <f ca="1"/>
        <v>60.893029398517022</v>
      </c>
      <c r="AG7325" s="2">
        <f ca="1"/>
        <v>0.81075443384157575</v>
      </c>
      <c r="AH7325" s="2" t="str">
        <f ca="1"/>
        <v>Bad</v>
      </c>
    </row>
    <row r="7326" spans="2:34" x14ac:dyDescent="0.2">
      <c r="B7326" s="2">
        <f ca="1"/>
        <v>2.3681144765091755E-2</v>
      </c>
      <c r="O7326" s="2">
        <f ca="1"/>
        <v>1.2038000674406626</v>
      </c>
      <c r="X7326" s="2">
        <f ca="1"/>
        <v>42.3435948099862</v>
      </c>
      <c r="AG7326" s="2">
        <f ca="1"/>
        <v>6.269344246447206E-3</v>
      </c>
      <c r="AH7326" s="2" t="str">
        <f ca="1"/>
        <v>Good</v>
      </c>
    </row>
    <row r="7327" spans="2:34" x14ac:dyDescent="0.2">
      <c r="B7327" s="2">
        <f ca="1"/>
        <v>0.60740027994218271</v>
      </c>
      <c r="O7327" s="2">
        <f ca="1"/>
        <v>0.20587728972381664</v>
      </c>
      <c r="X7327" s="2">
        <f ca="1"/>
        <v>43.705349488972736</v>
      </c>
      <c r="AG7327" s="2">
        <f ca="1"/>
        <v>0.31898667236991574</v>
      </c>
      <c r="AH7327" s="2" t="str">
        <f ca="1"/>
        <v>OK</v>
      </c>
    </row>
    <row r="7328" spans="2:34" x14ac:dyDescent="0.2">
      <c r="B7328" s="2">
        <f ca="1"/>
        <v>0.28251078642894178</v>
      </c>
      <c r="O7328" s="2">
        <f ca="1"/>
        <v>0.20555688602945471</v>
      </c>
      <c r="X7328" s="2">
        <f ca="1"/>
        <v>54.254130312970304</v>
      </c>
      <c r="AG7328" s="2">
        <f ca="1"/>
        <v>0.50942165058924727</v>
      </c>
      <c r="AH7328" s="2" t="str">
        <f ca="1"/>
        <v>Bad</v>
      </c>
    </row>
    <row r="7329" spans="2:34" x14ac:dyDescent="0.2">
      <c r="B7329" s="2">
        <f ca="1"/>
        <v>0.8376558423893472</v>
      </c>
      <c r="O7329" s="2">
        <f ca="1"/>
        <v>-0.39969825872725129</v>
      </c>
      <c r="X7329" s="2">
        <f ca="1"/>
        <v>54.799358155066294</v>
      </c>
      <c r="AG7329" s="2">
        <f ca="1"/>
        <v>0.66463381992837123</v>
      </c>
      <c r="AH7329" s="2" t="str">
        <f ca="1"/>
        <v>Bad</v>
      </c>
    </row>
    <row r="7330" spans="2:34" x14ac:dyDescent="0.2">
      <c r="B7330" s="2">
        <f ca="1"/>
        <v>0.72864484125753215</v>
      </c>
      <c r="O7330" s="2">
        <f ca="1"/>
        <v>-1.611086360260048</v>
      </c>
      <c r="X7330" s="2">
        <f ca="1"/>
        <v>26.336580791324696</v>
      </c>
      <c r="AG7330" s="2">
        <f ca="1"/>
        <v>0.38297844407743109</v>
      </c>
      <c r="AH7330" s="2" t="str">
        <f ca="1"/>
        <v>OK</v>
      </c>
    </row>
    <row r="7331" spans="2:34" x14ac:dyDescent="0.2">
      <c r="B7331" s="2">
        <f ca="1"/>
        <v>9.6078642410178494E-2</v>
      </c>
      <c r="O7331" s="2">
        <f ca="1"/>
        <v>0.34200091535377181</v>
      </c>
      <c r="X7331" s="2">
        <f ca="1"/>
        <v>31.134472724339336</v>
      </c>
      <c r="AG7331" s="2">
        <f ca="1"/>
        <v>8.9540530853733369E-2</v>
      </c>
      <c r="AH7331" s="2" t="str">
        <f ca="1"/>
        <v>OK</v>
      </c>
    </row>
    <row r="7332" spans="2:34" x14ac:dyDescent="0.2">
      <c r="B7332" s="2">
        <f ca="1"/>
        <v>0.13083279847919549</v>
      </c>
      <c r="O7332" s="2">
        <f ca="1"/>
        <v>1.1585499773589965</v>
      </c>
      <c r="X7332" s="2">
        <f ca="1"/>
        <v>57.92179427320189</v>
      </c>
      <c r="AG7332" s="2">
        <f ca="1"/>
        <v>0.47105283061075864</v>
      </c>
      <c r="AH7332" s="2" t="str">
        <f ca="1"/>
        <v>Bad</v>
      </c>
    </row>
    <row r="7333" spans="2:34" x14ac:dyDescent="0.2">
      <c r="B7333" s="2">
        <f ca="1"/>
        <v>0.49159300597962563</v>
      </c>
      <c r="O7333" s="2">
        <f ca="1"/>
        <v>1.443237092355296</v>
      </c>
      <c r="X7333" s="2">
        <f ca="1"/>
        <v>47.965387643428876</v>
      </c>
      <c r="AG7333" s="2">
        <f ca="1"/>
        <v>0.80518175856841068</v>
      </c>
      <c r="AH7333" s="2" t="str">
        <f ca="1"/>
        <v>Bad</v>
      </c>
    </row>
    <row r="7334" spans="2:34" x14ac:dyDescent="0.2">
      <c r="B7334" s="2">
        <f ca="1"/>
        <v>0.40117835425681969</v>
      </c>
      <c r="O7334" s="2">
        <f ca="1"/>
        <v>-0.44687262543977785</v>
      </c>
      <c r="X7334" s="2">
        <f ca="1"/>
        <v>78.106415432247601</v>
      </c>
      <c r="AG7334" s="2">
        <f ca="1"/>
        <v>0.47856495652940145</v>
      </c>
      <c r="AH7334" s="2" t="str">
        <f ca="1"/>
        <v>Bad</v>
      </c>
    </row>
    <row r="7335" spans="2:34" x14ac:dyDescent="0.2">
      <c r="B7335" s="2">
        <f ca="1"/>
        <v>0.94612626020928192</v>
      </c>
      <c r="O7335" s="2">
        <f ca="1"/>
        <v>0.90827225480939322</v>
      </c>
      <c r="X7335" s="2">
        <f ca="1"/>
        <v>50.143389233752885</v>
      </c>
      <c r="AG7335" s="2">
        <f ca="1"/>
        <v>0.23819171018803664</v>
      </c>
      <c r="AH7335" s="2" t="str">
        <f ca="1"/>
        <v>OK</v>
      </c>
    </row>
    <row r="7336" spans="2:34" x14ac:dyDescent="0.2">
      <c r="B7336" s="2">
        <f ca="1"/>
        <v>0.93379371257303845</v>
      </c>
      <c r="O7336" s="2">
        <f ca="1"/>
        <v>0.99870956120528387</v>
      </c>
      <c r="X7336" s="2">
        <f ca="1"/>
        <v>52.143788433427261</v>
      </c>
      <c r="AG7336" s="2">
        <f ca="1"/>
        <v>0.72086669505257306</v>
      </c>
      <c r="AH7336" s="2" t="str">
        <f ca="1"/>
        <v>Bad</v>
      </c>
    </row>
    <row r="7337" spans="2:34" x14ac:dyDescent="0.2">
      <c r="B7337" s="2">
        <f ca="1"/>
        <v>0.99708567804672121</v>
      </c>
      <c r="O7337" s="2">
        <f ca="1"/>
        <v>0.82665947829952735</v>
      </c>
      <c r="X7337" s="2">
        <f ca="1"/>
        <v>57.500140888075734</v>
      </c>
      <c r="AG7337" s="2">
        <f ca="1"/>
        <v>0.85683747941777533</v>
      </c>
      <c r="AH7337" s="2" t="str">
        <f ca="1"/>
        <v>Bad</v>
      </c>
    </row>
    <row r="7338" spans="2:34" x14ac:dyDescent="0.2">
      <c r="B7338" s="2">
        <f ca="1"/>
        <v>0.24960988115988436</v>
      </c>
      <c r="O7338" s="2">
        <f ca="1"/>
        <v>-6.7394154003250764E-3</v>
      </c>
      <c r="X7338" s="2">
        <f ca="1"/>
        <v>68.925627266600785</v>
      </c>
      <c r="AG7338" s="2">
        <f ca="1"/>
        <v>0.18667883586956591</v>
      </c>
      <c r="AH7338" s="2" t="str">
        <f ca="1"/>
        <v>OK</v>
      </c>
    </row>
    <row r="7339" spans="2:34" x14ac:dyDescent="0.2">
      <c r="B7339" s="2">
        <f ca="1"/>
        <v>0.20493600229852449</v>
      </c>
      <c r="O7339" s="2">
        <f ca="1"/>
        <v>0.33984612358330052</v>
      </c>
      <c r="X7339" s="2">
        <f ca="1"/>
        <v>40.537950785354155</v>
      </c>
      <c r="AG7339" s="2">
        <f ca="1"/>
        <v>8.5634934561497067E-2</v>
      </c>
      <c r="AH7339" s="2" t="str">
        <f ca="1"/>
        <v>OK</v>
      </c>
    </row>
    <row r="7340" spans="2:34" x14ac:dyDescent="0.2">
      <c r="B7340" s="2">
        <f ca="1"/>
        <v>0.49525819325337972</v>
      </c>
      <c r="O7340" s="2">
        <f ca="1"/>
        <v>1.1712937417898626</v>
      </c>
      <c r="X7340" s="2">
        <f ca="1"/>
        <v>43.865896063211537</v>
      </c>
      <c r="AG7340" s="2">
        <f ca="1"/>
        <v>0.11564850184612863</v>
      </c>
      <c r="AH7340" s="2" t="str">
        <f ca="1"/>
        <v>OK</v>
      </c>
    </row>
    <row r="7341" spans="2:34" x14ac:dyDescent="0.2">
      <c r="B7341" s="2">
        <f ca="1"/>
        <v>0.15050637187235494</v>
      </c>
      <c r="O7341" s="2">
        <f ca="1"/>
        <v>-0.45386883335864131</v>
      </c>
      <c r="X7341" s="2">
        <f ca="1"/>
        <v>52.917632191375191</v>
      </c>
      <c r="AG7341" s="2">
        <f ca="1"/>
        <v>0.88935468203856205</v>
      </c>
      <c r="AH7341" s="2" t="str">
        <f ca="1"/>
        <v>Bad</v>
      </c>
    </row>
    <row r="7342" spans="2:34" x14ac:dyDescent="0.2">
      <c r="B7342" s="2">
        <f ca="1"/>
        <v>0.53022099692901947</v>
      </c>
      <c r="O7342" s="2">
        <f ca="1"/>
        <v>-0.87800401260429484</v>
      </c>
      <c r="X7342" s="2">
        <f ca="1"/>
        <v>65.559842628511916</v>
      </c>
      <c r="AG7342" s="2">
        <f ca="1"/>
        <v>0.17232880340397827</v>
      </c>
      <c r="AH7342" s="2" t="str">
        <f ca="1"/>
        <v>OK</v>
      </c>
    </row>
    <row r="7343" spans="2:34" x14ac:dyDescent="0.2">
      <c r="B7343" s="2">
        <f ca="1"/>
        <v>0.62392675289821908</v>
      </c>
      <c r="O7343" s="2">
        <f ca="1"/>
        <v>-0.83342629673649637</v>
      </c>
      <c r="X7343" s="2">
        <f ca="1"/>
        <v>71.461575665813996</v>
      </c>
      <c r="AG7343" s="2">
        <f ca="1"/>
        <v>8.9029426582559967E-2</v>
      </c>
      <c r="AH7343" s="2" t="str">
        <f ca="1"/>
        <v>OK</v>
      </c>
    </row>
    <row r="7344" spans="2:34" x14ac:dyDescent="0.2">
      <c r="B7344" s="2">
        <f ca="1"/>
        <v>7.5477885169745074E-2</v>
      </c>
      <c r="O7344" s="2">
        <f ca="1"/>
        <v>-0.10793961385312839</v>
      </c>
      <c r="X7344" s="2">
        <f ca="1"/>
        <v>34.663088661112425</v>
      </c>
      <c r="AG7344" s="2">
        <f ca="1"/>
        <v>0.33747840547131491</v>
      </c>
      <c r="AH7344" s="2" t="str">
        <f ca="1"/>
        <v>OK</v>
      </c>
    </row>
    <row r="7345" spans="2:34" x14ac:dyDescent="0.2">
      <c r="B7345" s="2">
        <f ca="1"/>
        <v>0.8240626634809467</v>
      </c>
      <c r="O7345" s="2">
        <f ca="1"/>
        <v>1.2498995061088563</v>
      </c>
      <c r="X7345" s="2">
        <f ca="1"/>
        <v>50.78013357531853</v>
      </c>
      <c r="AG7345" s="2">
        <f ca="1"/>
        <v>0.89917685096523603</v>
      </c>
      <c r="AH7345" s="2" t="str">
        <f ca="1"/>
        <v>Bad</v>
      </c>
    </row>
    <row r="7346" spans="2:34" x14ac:dyDescent="0.2">
      <c r="B7346" s="2">
        <f ca="1"/>
        <v>0.29534968026655717</v>
      </c>
      <c r="O7346" s="2">
        <f ca="1"/>
        <v>-1.372168767648432</v>
      </c>
      <c r="X7346" s="2">
        <f ca="1"/>
        <v>65.129521679170722</v>
      </c>
      <c r="AG7346" s="2">
        <f ca="1"/>
        <v>0.31834055031245811</v>
      </c>
      <c r="AH7346" s="2" t="str">
        <f ca="1"/>
        <v>OK</v>
      </c>
    </row>
    <row r="7347" spans="2:34" x14ac:dyDescent="0.2">
      <c r="B7347" s="2">
        <f ca="1"/>
        <v>0.32721577366468679</v>
      </c>
      <c r="O7347" s="2">
        <f ca="1"/>
        <v>-0.65173270106278058</v>
      </c>
      <c r="X7347" s="2">
        <f ca="1"/>
        <v>58.482153475743637</v>
      </c>
      <c r="AG7347" s="2">
        <f ca="1"/>
        <v>0.57456811651550255</v>
      </c>
      <c r="AH7347" s="2" t="str">
        <f ca="1"/>
        <v>Bad</v>
      </c>
    </row>
    <row r="7348" spans="2:34" x14ac:dyDescent="0.2">
      <c r="B7348" s="2">
        <f ca="1"/>
        <v>0.65491328270990268</v>
      </c>
      <c r="O7348" s="2">
        <f ca="1"/>
        <v>8.4766822676781428E-2</v>
      </c>
      <c r="X7348" s="2">
        <f ca="1"/>
        <v>65.383527378622048</v>
      </c>
      <c r="AG7348" s="2">
        <f ca="1"/>
        <v>0.28707202253999475</v>
      </c>
      <c r="AH7348" s="2" t="str">
        <f ca="1"/>
        <v>OK</v>
      </c>
    </row>
    <row r="7349" spans="2:34" x14ac:dyDescent="0.2">
      <c r="B7349" s="2">
        <f ca="1"/>
        <v>0.31950883240343741</v>
      </c>
      <c r="O7349" s="2">
        <f ca="1"/>
        <v>4.4714680422348912E-2</v>
      </c>
      <c r="X7349" s="2">
        <f ca="1"/>
        <v>34.78339697730857</v>
      </c>
      <c r="AG7349" s="2">
        <f ca="1"/>
        <v>0.5912601877551944</v>
      </c>
      <c r="AH7349" s="2" t="str">
        <f ca="1"/>
        <v>Bad</v>
      </c>
    </row>
    <row r="7350" spans="2:34" x14ac:dyDescent="0.2">
      <c r="B7350" s="2">
        <f ca="1"/>
        <v>0.90464671640724692</v>
      </c>
      <c r="O7350" s="2">
        <f ca="1"/>
        <v>0.88943670389570439</v>
      </c>
      <c r="X7350" s="2">
        <f ca="1"/>
        <v>45.14718986213331</v>
      </c>
      <c r="AG7350" s="2">
        <f ca="1"/>
        <v>0.47148604179164266</v>
      </c>
      <c r="AH7350" s="2" t="str">
        <f ca="1"/>
        <v>Bad</v>
      </c>
    </row>
    <row r="7351" spans="2:34" x14ac:dyDescent="0.2">
      <c r="B7351" s="2">
        <f ca="1"/>
        <v>0.30441251625612131</v>
      </c>
      <c r="O7351" s="2">
        <f ca="1"/>
        <v>0.8961459749035301</v>
      </c>
      <c r="X7351" s="2">
        <f ca="1"/>
        <v>43.120033594553021</v>
      </c>
      <c r="AG7351" s="2">
        <f ca="1"/>
        <v>0.71390189905148471</v>
      </c>
      <c r="AH7351" s="2" t="str">
        <f ca="1"/>
        <v>Bad</v>
      </c>
    </row>
    <row r="7352" spans="2:34" x14ac:dyDescent="0.2">
      <c r="B7352" s="2">
        <f ca="1"/>
        <v>0.29049726394913433</v>
      </c>
      <c r="O7352" s="2">
        <f ca="1"/>
        <v>-0.29256991487544792</v>
      </c>
      <c r="X7352" s="2">
        <f ca="1"/>
        <v>54.822434051798268</v>
      </c>
      <c r="AG7352" s="2">
        <f ca="1"/>
        <v>0.94071571011734645</v>
      </c>
      <c r="AH7352" s="2" t="str">
        <f ca="1"/>
        <v>Bad</v>
      </c>
    </row>
    <row r="7353" spans="2:34" x14ac:dyDescent="0.2">
      <c r="B7353" s="2">
        <f ca="1"/>
        <v>0.64351072244828122</v>
      </c>
      <c r="O7353" s="2">
        <f ca="1"/>
        <v>0.73324628267029779</v>
      </c>
      <c r="X7353" s="2">
        <f ca="1"/>
        <v>50.924861935608099</v>
      </c>
      <c r="AG7353" s="2">
        <f ca="1"/>
        <v>0.93228801965316976</v>
      </c>
      <c r="AH7353" s="2" t="str">
        <f ca="1"/>
        <v>Bad</v>
      </c>
    </row>
    <row r="7354" spans="2:34" x14ac:dyDescent="0.2">
      <c r="B7354" s="2">
        <f ca="1"/>
        <v>8.7267336496934966E-2</v>
      </c>
      <c r="O7354" s="2">
        <f ca="1"/>
        <v>-1.3101021226263634</v>
      </c>
      <c r="X7354" s="2">
        <f ca="1"/>
        <v>36.218857630824893</v>
      </c>
      <c r="AG7354" s="2">
        <f ca="1"/>
        <v>0.94721348949996775</v>
      </c>
      <c r="AH7354" s="2" t="str">
        <f ca="1"/>
        <v>Bad</v>
      </c>
    </row>
    <row r="7355" spans="2:34" x14ac:dyDescent="0.2">
      <c r="B7355" s="2">
        <f ca="1"/>
        <v>0.53994213186464091</v>
      </c>
      <c r="O7355" s="2">
        <f ca="1"/>
        <v>0.26933614968375286</v>
      </c>
      <c r="X7355" s="2">
        <f ca="1"/>
        <v>61.801423790684929</v>
      </c>
      <c r="AG7355" s="2">
        <f ca="1"/>
        <v>4.4661103493385479E-2</v>
      </c>
      <c r="AH7355" s="2" t="str">
        <f ca="1"/>
        <v>Good</v>
      </c>
    </row>
    <row r="7356" spans="2:34" x14ac:dyDescent="0.2">
      <c r="B7356" s="2">
        <f ca="1"/>
        <v>0.75722599415148562</v>
      </c>
      <c r="O7356" s="2">
        <f ca="1"/>
        <v>-0.68383767281338181</v>
      </c>
      <c r="X7356" s="2">
        <f ca="1"/>
        <v>25.551705315228659</v>
      </c>
      <c r="AG7356" s="2">
        <f ca="1"/>
        <v>0.6153992956914478</v>
      </c>
      <c r="AH7356" s="2" t="str">
        <f ca="1"/>
        <v>Bad</v>
      </c>
    </row>
    <row r="7357" spans="2:34" x14ac:dyDescent="0.2">
      <c r="B7357" s="2">
        <f ca="1"/>
        <v>0.51011245049596066</v>
      </c>
      <c r="O7357" s="2">
        <f ca="1"/>
        <v>-1.0365542788906028</v>
      </c>
      <c r="X7357" s="2">
        <f ca="1"/>
        <v>53.777008236723773</v>
      </c>
      <c r="AG7357" s="2">
        <f ca="1"/>
        <v>0.21954878922421317</v>
      </c>
      <c r="AH7357" s="2" t="str">
        <f ca="1"/>
        <v>OK</v>
      </c>
    </row>
    <row r="7358" spans="2:34" x14ac:dyDescent="0.2">
      <c r="B7358" s="2">
        <f ca="1"/>
        <v>0.67786611321474322</v>
      </c>
      <c r="O7358" s="2">
        <f ca="1"/>
        <v>-5.8419604620302303E-3</v>
      </c>
      <c r="X7358" s="2">
        <f ca="1"/>
        <v>36.97310404331872</v>
      </c>
      <c r="AG7358" s="2">
        <f ca="1"/>
        <v>0.43158531358359942</v>
      </c>
      <c r="AH7358" s="2" t="str">
        <f ca="1"/>
        <v>Bad</v>
      </c>
    </row>
    <row r="7359" spans="2:34" x14ac:dyDescent="0.2">
      <c r="B7359" s="2">
        <f ca="1"/>
        <v>0.1801793198265973</v>
      </c>
      <c r="O7359" s="2">
        <f ca="1"/>
        <v>1.5328624967791962</v>
      </c>
      <c r="X7359" s="2">
        <f ca="1"/>
        <v>52.657795803705611</v>
      </c>
      <c r="AG7359" s="2">
        <f ca="1"/>
        <v>0.35016020501342426</v>
      </c>
      <c r="AH7359" s="2" t="str">
        <f ca="1"/>
        <v>OK</v>
      </c>
    </row>
    <row r="7360" spans="2:34" x14ac:dyDescent="0.2">
      <c r="B7360" s="2">
        <f ca="1"/>
        <v>0.77342402055168735</v>
      </c>
      <c r="O7360" s="2">
        <f ca="1"/>
        <v>-0.8108188509450418</v>
      </c>
      <c r="X7360" s="2">
        <f ca="1"/>
        <v>53.707957168482906</v>
      </c>
      <c r="AG7360" s="2">
        <f ca="1"/>
        <v>0.35368915237957022</v>
      </c>
      <c r="AH7360" s="2" t="str">
        <f ca="1"/>
        <v>OK</v>
      </c>
    </row>
    <row r="7361" spans="2:34" x14ac:dyDescent="0.2">
      <c r="B7361" s="2">
        <f ca="1"/>
        <v>0.93842371879516584</v>
      </c>
      <c r="O7361" s="2">
        <f ca="1"/>
        <v>-0.66263746663411038</v>
      </c>
      <c r="X7361" s="2">
        <f ca="1"/>
        <v>28.744597521483332</v>
      </c>
      <c r="AG7361" s="2">
        <f ca="1"/>
        <v>2.2710026478728107E-2</v>
      </c>
      <c r="AH7361" s="2" t="str">
        <f ca="1"/>
        <v>Good</v>
      </c>
    </row>
    <row r="7362" spans="2:34" x14ac:dyDescent="0.2">
      <c r="B7362" s="2">
        <f ca="1"/>
        <v>0.73254570705613919</v>
      </c>
      <c r="O7362" s="2">
        <f ca="1"/>
        <v>0.40752638723772405</v>
      </c>
      <c r="X7362" s="2">
        <f ca="1"/>
        <v>59.61848595532021</v>
      </c>
      <c r="AG7362" s="2">
        <f ca="1"/>
        <v>0.30587574045372268</v>
      </c>
      <c r="AH7362" s="2" t="str">
        <f ca="1"/>
        <v>OK</v>
      </c>
    </row>
    <row r="7363" spans="2:34" x14ac:dyDescent="0.2">
      <c r="B7363" s="2">
        <f ca="1"/>
        <v>0.83679759727253455</v>
      </c>
      <c r="O7363" s="2">
        <f ca="1"/>
        <v>2.6792219290433215</v>
      </c>
      <c r="X7363" s="2">
        <f ca="1"/>
        <v>43.440462798574288</v>
      </c>
      <c r="AG7363" s="2">
        <f ca="1"/>
        <v>0.35228314442588382</v>
      </c>
      <c r="AH7363" s="2" t="str">
        <f ca="1"/>
        <v>OK</v>
      </c>
    </row>
    <row r="7364" spans="2:34" x14ac:dyDescent="0.2">
      <c r="B7364" s="2">
        <f ca="1"/>
        <v>0.5999151378335108</v>
      </c>
      <c r="O7364" s="2">
        <f ca="1"/>
        <v>0.25022220533400019</v>
      </c>
      <c r="X7364" s="2">
        <f ca="1"/>
        <v>74.40691179327635</v>
      </c>
      <c r="AG7364" s="2">
        <f ca="1"/>
        <v>0.35625197403919029</v>
      </c>
      <c r="AH7364" s="2" t="str">
        <f ca="1"/>
        <v>OK</v>
      </c>
    </row>
    <row r="7365" spans="2:34" x14ac:dyDescent="0.2">
      <c r="B7365" s="2">
        <f ca="1"/>
        <v>0.44671191447629943</v>
      </c>
      <c r="O7365" s="2">
        <f ca="1"/>
        <v>0.5386876010394388</v>
      </c>
      <c r="X7365" s="2">
        <f ca="1"/>
        <v>58.028921114641221</v>
      </c>
      <c r="AG7365" s="2">
        <f ca="1"/>
        <v>0.31880908295964683</v>
      </c>
      <c r="AH7365" s="2" t="str">
        <f ca="1"/>
        <v>OK</v>
      </c>
    </row>
    <row r="7366" spans="2:34" x14ac:dyDescent="0.2">
      <c r="B7366" s="2">
        <f ca="1"/>
        <v>0.23740337532805889</v>
      </c>
      <c r="O7366" s="2">
        <f ca="1"/>
        <v>1.1930865094752543</v>
      </c>
      <c r="X7366" s="2">
        <f ca="1"/>
        <v>26.958952575274889</v>
      </c>
      <c r="AG7366" s="2">
        <f ca="1"/>
        <v>0.99502396762823331</v>
      </c>
      <c r="AH7366" s="2" t="str">
        <f ca="1"/>
        <v>Bad</v>
      </c>
    </row>
    <row r="7367" spans="2:34" x14ac:dyDescent="0.2">
      <c r="B7367" s="2">
        <f ca="1"/>
        <v>0.76049009102539067</v>
      </c>
      <c r="O7367" s="2">
        <f ca="1"/>
        <v>-5.3028399998882148E-2</v>
      </c>
      <c r="X7367" s="2">
        <f ca="1"/>
        <v>46.169767360247</v>
      </c>
      <c r="AG7367" s="2">
        <f ca="1"/>
        <v>0.30119372740545791</v>
      </c>
      <c r="AH7367" s="2" t="str">
        <f ca="1"/>
        <v>OK</v>
      </c>
    </row>
    <row r="7368" spans="2:34" x14ac:dyDescent="0.2">
      <c r="B7368" s="2">
        <f ca="1"/>
        <v>0.25385342054156612</v>
      </c>
      <c r="O7368" s="2">
        <f ca="1"/>
        <v>-0.32029036096259161</v>
      </c>
      <c r="X7368" s="2">
        <f ca="1"/>
        <v>59.2525344390437</v>
      </c>
      <c r="AG7368" s="2">
        <f ca="1"/>
        <v>0.11010770571952566</v>
      </c>
      <c r="AH7368" s="2" t="str">
        <f ca="1"/>
        <v>OK</v>
      </c>
    </row>
    <row r="7369" spans="2:34" x14ac:dyDescent="0.2">
      <c r="B7369" s="2">
        <f ca="1"/>
        <v>0.88521546586156052</v>
      </c>
      <c r="O7369" s="2">
        <f ca="1"/>
        <v>-1.8145210215484771</v>
      </c>
      <c r="X7369" s="2">
        <f ca="1"/>
        <v>33.893749395513154</v>
      </c>
      <c r="AG7369" s="2">
        <f ca="1"/>
        <v>0.60478599426904101</v>
      </c>
      <c r="AH7369" s="2" t="str">
        <f ca="1"/>
        <v>Bad</v>
      </c>
    </row>
    <row r="7370" spans="2:34" x14ac:dyDescent="0.2">
      <c r="B7370" s="2">
        <f ca="1"/>
        <v>0.47934795429188592</v>
      </c>
      <c r="O7370" s="2">
        <f ca="1"/>
        <v>-0.85963820717281936</v>
      </c>
      <c r="X7370" s="2">
        <f ca="1"/>
        <v>33.320150387980263</v>
      </c>
      <c r="AG7370" s="2">
        <f ca="1"/>
        <v>0.53678120166654852</v>
      </c>
      <c r="AH7370" s="2" t="str">
        <f ca="1"/>
        <v>Bad</v>
      </c>
    </row>
    <row r="7371" spans="2:34" x14ac:dyDescent="0.2">
      <c r="B7371" s="2">
        <f ca="1"/>
        <v>0.61435985966333684</v>
      </c>
      <c r="O7371" s="2">
        <f ca="1"/>
        <v>-0.20810017260357677</v>
      </c>
      <c r="X7371" s="2">
        <f ca="1"/>
        <v>36.053447126475874</v>
      </c>
      <c r="AG7371" s="2">
        <f ca="1"/>
        <v>0.39373055124406298</v>
      </c>
      <c r="AH7371" s="2" t="str">
        <f ca="1"/>
        <v>OK</v>
      </c>
    </row>
    <row r="7372" spans="2:34" x14ac:dyDescent="0.2">
      <c r="B7372" s="2">
        <f ca="1"/>
        <v>0.70607347633184281</v>
      </c>
      <c r="O7372" s="2">
        <f ca="1"/>
        <v>1.4856010702715872</v>
      </c>
      <c r="X7372" s="2">
        <f ca="1"/>
        <v>54.807856760513616</v>
      </c>
      <c r="AG7372" s="2">
        <f ca="1"/>
        <v>0.51458633840094814</v>
      </c>
      <c r="AH7372" s="2" t="str">
        <f ca="1"/>
        <v>Bad</v>
      </c>
    </row>
    <row r="7373" spans="2:34" x14ac:dyDescent="0.2">
      <c r="B7373" s="2">
        <f ca="1"/>
        <v>0.12816867990233738</v>
      </c>
      <c r="O7373" s="2">
        <f ca="1"/>
        <v>1.0319866675722831E-2</v>
      </c>
      <c r="X7373" s="2">
        <f ca="1"/>
        <v>29.411554964190948</v>
      </c>
      <c r="AG7373" s="2">
        <f ca="1"/>
        <v>0.7777297154127325</v>
      </c>
      <c r="AH7373" s="2" t="str">
        <f ca="1"/>
        <v>Bad</v>
      </c>
    </row>
    <row r="7374" spans="2:34" x14ac:dyDescent="0.2">
      <c r="B7374" s="2">
        <f ca="1"/>
        <v>0.71389733536064082</v>
      </c>
      <c r="O7374" s="2">
        <f ca="1"/>
        <v>0.46174490097354165</v>
      </c>
      <c r="X7374" s="2">
        <f ca="1"/>
        <v>61.541110105619374</v>
      </c>
      <c r="AG7374" s="2">
        <f ca="1"/>
        <v>0.95273190339297598</v>
      </c>
      <c r="AH7374" s="2" t="str">
        <f ca="1"/>
        <v>Bad</v>
      </c>
    </row>
    <row r="7375" spans="2:34" x14ac:dyDescent="0.2">
      <c r="B7375" s="2">
        <f ca="1"/>
        <v>0.84212871760738728</v>
      </c>
      <c r="O7375" s="2">
        <f ca="1"/>
        <v>-0.61036344094009609</v>
      </c>
      <c r="X7375" s="2">
        <f ca="1"/>
        <v>35.558259005178677</v>
      </c>
      <c r="AG7375" s="2">
        <f ca="1"/>
        <v>0.5027543227386353</v>
      </c>
      <c r="AH7375" s="2" t="str">
        <f ca="1"/>
        <v>Bad</v>
      </c>
    </row>
    <row r="7376" spans="2:34" x14ac:dyDescent="0.2">
      <c r="B7376" s="2">
        <f ca="1"/>
        <v>0.56587772907191036</v>
      </c>
      <c r="O7376" s="2">
        <f ca="1"/>
        <v>0.99453626947395046</v>
      </c>
      <c r="X7376" s="2">
        <f ca="1"/>
        <v>55.063619063067968</v>
      </c>
      <c r="AG7376" s="2">
        <f ca="1"/>
        <v>0.20598900780022622</v>
      </c>
      <c r="AH7376" s="2" t="str">
        <f ca="1"/>
        <v>OK</v>
      </c>
    </row>
    <row r="7377" spans="2:34" x14ac:dyDescent="0.2">
      <c r="B7377" s="2">
        <f ca="1"/>
        <v>0.15432717825503484</v>
      </c>
      <c r="O7377" s="2">
        <f ca="1"/>
        <v>0.9740716092131867</v>
      </c>
      <c r="X7377" s="2">
        <f ca="1"/>
        <v>66.769532495055799</v>
      </c>
      <c r="AG7377" s="2">
        <f ca="1"/>
        <v>0.43757653141045028</v>
      </c>
      <c r="AH7377" s="2" t="str">
        <f ca="1"/>
        <v>Bad</v>
      </c>
    </row>
    <row r="7378" spans="2:34" x14ac:dyDescent="0.2">
      <c r="B7378" s="2">
        <f ca="1"/>
        <v>0.12747309147800379</v>
      </c>
      <c r="O7378" s="2">
        <f ca="1"/>
        <v>-1.6857940087662033</v>
      </c>
      <c r="X7378" s="2">
        <f ca="1"/>
        <v>48.700144234224695</v>
      </c>
      <c r="AG7378" s="2">
        <f ca="1"/>
        <v>0.46253563109136686</v>
      </c>
      <c r="AH7378" s="2" t="str">
        <f ca="1"/>
        <v>Bad</v>
      </c>
    </row>
    <row r="7379" spans="2:34" x14ac:dyDescent="0.2">
      <c r="B7379" s="2">
        <f ca="1"/>
        <v>0.62746718400491241</v>
      </c>
      <c r="O7379" s="2">
        <f ca="1"/>
        <v>0.73145793019603056</v>
      </c>
      <c r="X7379" s="2">
        <f ca="1"/>
        <v>36.326747778383535</v>
      </c>
      <c r="AG7379" s="2">
        <f ca="1"/>
        <v>0.6378272521437407</v>
      </c>
      <c r="AH7379" s="2" t="str">
        <f ca="1"/>
        <v>Bad</v>
      </c>
    </row>
    <row r="7380" spans="2:34" x14ac:dyDescent="0.2">
      <c r="B7380" s="2">
        <f ca="1"/>
        <v>5.9998694665422292E-2</v>
      </c>
      <c r="O7380" s="2">
        <f ca="1"/>
        <v>1.5894431816435279</v>
      </c>
      <c r="X7380" s="2">
        <f ca="1"/>
        <v>54.393977451354147</v>
      </c>
      <c r="AG7380" s="2">
        <f ca="1"/>
        <v>0.56921641399601697</v>
      </c>
      <c r="AH7380" s="2" t="str">
        <f ca="1"/>
        <v>Bad</v>
      </c>
    </row>
    <row r="7381" spans="2:34" x14ac:dyDescent="0.2">
      <c r="B7381" s="2">
        <f ca="1"/>
        <v>0.66428876308597107</v>
      </c>
      <c r="O7381" s="2">
        <f ca="1"/>
        <v>0.60823456640925222</v>
      </c>
      <c r="X7381" s="2">
        <f ca="1"/>
        <v>31.782849394660019</v>
      </c>
      <c r="AG7381" s="2">
        <f ca="1"/>
        <v>0.84749067654547616</v>
      </c>
      <c r="AH7381" s="2" t="str">
        <f ca="1"/>
        <v>Bad</v>
      </c>
    </row>
    <row r="7382" spans="2:34" x14ac:dyDescent="0.2">
      <c r="B7382" s="2">
        <f ca="1"/>
        <v>3.1200819292937165E-2</v>
      </c>
      <c r="O7382" s="2">
        <f ca="1"/>
        <v>-0.52771512564426504</v>
      </c>
      <c r="X7382" s="2">
        <f ca="1"/>
        <v>104.24983430304145</v>
      </c>
      <c r="AG7382" s="2">
        <f ca="1"/>
        <v>0.54087389531873575</v>
      </c>
      <c r="AH7382" s="2" t="str">
        <f ca="1"/>
        <v>Bad</v>
      </c>
    </row>
    <row r="7383" spans="2:34" x14ac:dyDescent="0.2">
      <c r="B7383" s="2">
        <f ca="1"/>
        <v>0.89037066347681848</v>
      </c>
      <c r="O7383" s="2">
        <f ca="1"/>
        <v>0.94276157040541109</v>
      </c>
      <c r="X7383" s="2">
        <f ca="1"/>
        <v>32.919804041180328</v>
      </c>
      <c r="AG7383" s="2">
        <f ca="1"/>
        <v>0.69874762712494976</v>
      </c>
      <c r="AH7383" s="2" t="str">
        <f ca="1"/>
        <v>Bad</v>
      </c>
    </row>
    <row r="7384" spans="2:34" x14ac:dyDescent="0.2">
      <c r="B7384" s="2">
        <f ca="1"/>
        <v>0.29170196791865854</v>
      </c>
      <c r="O7384" s="2">
        <f ca="1"/>
        <v>-0.32127977192395857</v>
      </c>
      <c r="X7384" s="2">
        <f ca="1"/>
        <v>31.795322997170924</v>
      </c>
      <c r="AG7384" s="2">
        <f ca="1"/>
        <v>0.76507827780702131</v>
      </c>
      <c r="AH7384" s="2" t="str">
        <f ca="1"/>
        <v>Bad</v>
      </c>
    </row>
    <row r="7385" spans="2:34" x14ac:dyDescent="0.2">
      <c r="B7385" s="2">
        <f ca="1"/>
        <v>0.75053269329055849</v>
      </c>
      <c r="O7385" s="2">
        <f ca="1"/>
        <v>-0.71577252731314134</v>
      </c>
      <c r="X7385" s="2">
        <f ca="1"/>
        <v>31.005245690953871</v>
      </c>
      <c r="AG7385" s="2">
        <f ca="1"/>
        <v>0.72441010928092076</v>
      </c>
      <c r="AH7385" s="2" t="str">
        <f ca="1"/>
        <v>Bad</v>
      </c>
    </row>
    <row r="7386" spans="2:34" x14ac:dyDescent="0.2">
      <c r="B7386" s="2">
        <f ca="1"/>
        <v>0.99703073751712146</v>
      </c>
      <c r="O7386" s="2">
        <f ca="1"/>
        <v>0.73311406531844714</v>
      </c>
      <c r="X7386" s="2">
        <f ca="1"/>
        <v>57.084090518576261</v>
      </c>
      <c r="AG7386" s="2">
        <f ca="1"/>
        <v>0.81103577883636335</v>
      </c>
      <c r="AH7386" s="2" t="str">
        <f ca="1"/>
        <v>Bad</v>
      </c>
    </row>
    <row r="7387" spans="2:34" x14ac:dyDescent="0.2">
      <c r="B7387" s="2">
        <f ca="1"/>
        <v>0.34811313451073089</v>
      </c>
      <c r="O7387" s="2">
        <f ca="1"/>
        <v>-0.69156306753398489</v>
      </c>
      <c r="X7387" s="2">
        <f ca="1"/>
        <v>55.928973938255652</v>
      </c>
      <c r="AG7387" s="2">
        <f ca="1"/>
        <v>0.2074847466016001</v>
      </c>
      <c r="AH7387" s="2" t="str">
        <f ca="1"/>
        <v>OK</v>
      </c>
    </row>
    <row r="7388" spans="2:34" x14ac:dyDescent="0.2">
      <c r="B7388" s="2">
        <f ca="1"/>
        <v>0.71849966926922737</v>
      </c>
      <c r="O7388" s="2">
        <f ca="1"/>
        <v>-8.50695012361527E-2</v>
      </c>
      <c r="X7388" s="2">
        <f ca="1"/>
        <v>33.474975021065752</v>
      </c>
      <c r="AG7388" s="2">
        <f ca="1"/>
        <v>0.58345718771483202</v>
      </c>
      <c r="AH7388" s="2" t="str">
        <f ca="1"/>
        <v>Bad</v>
      </c>
    </row>
    <row r="7389" spans="2:34" x14ac:dyDescent="0.2">
      <c r="B7389" s="2">
        <f ca="1"/>
        <v>0.89364168373527875</v>
      </c>
      <c r="O7389" s="2">
        <f ca="1"/>
        <v>0.31505035708636592</v>
      </c>
      <c r="X7389" s="2">
        <f ca="1"/>
        <v>39.239402162892304</v>
      </c>
      <c r="AG7389" s="2">
        <f ca="1"/>
        <v>0.73683650167399284</v>
      </c>
      <c r="AH7389" s="2" t="str">
        <f ca="1"/>
        <v>Bad</v>
      </c>
    </row>
    <row r="7390" spans="2:34" x14ac:dyDescent="0.2">
      <c r="B7390" s="2">
        <f ca="1"/>
        <v>0.51243188743179457</v>
      </c>
      <c r="O7390" s="2">
        <f ca="1"/>
        <v>-0.97623264797194753</v>
      </c>
      <c r="X7390" s="2">
        <f ca="1"/>
        <v>102.22383257294797</v>
      </c>
      <c r="AG7390" s="2">
        <f ca="1"/>
        <v>0.70023125228645289</v>
      </c>
      <c r="AH7390" s="2" t="str">
        <f ca="1"/>
        <v>Bad</v>
      </c>
    </row>
    <row r="7391" spans="2:34" x14ac:dyDescent="0.2">
      <c r="B7391" s="2">
        <f ca="1"/>
        <v>5.0034610890534736E-2</v>
      </c>
      <c r="O7391" s="2">
        <f ca="1"/>
        <v>-1.1214770074828957</v>
      </c>
      <c r="X7391" s="2">
        <f ca="1"/>
        <v>47.954693608160532</v>
      </c>
      <c r="AG7391" s="2">
        <f ca="1"/>
        <v>0.1223449261895353</v>
      </c>
      <c r="AH7391" s="2" t="str">
        <f ca="1"/>
        <v>OK</v>
      </c>
    </row>
    <row r="7392" spans="2:34" x14ac:dyDescent="0.2">
      <c r="B7392" s="2">
        <f ca="1"/>
        <v>0.30374644854050303</v>
      </c>
      <c r="O7392" s="2">
        <f ca="1"/>
        <v>-0.83296545743442429</v>
      </c>
      <c r="X7392" s="2">
        <f ca="1"/>
        <v>74.304151536433324</v>
      </c>
      <c r="AG7392" s="2">
        <f ca="1"/>
        <v>3.6394672179964171E-2</v>
      </c>
      <c r="AH7392" s="2" t="str">
        <f ca="1"/>
        <v>Good</v>
      </c>
    </row>
    <row r="7393" spans="2:34" x14ac:dyDescent="0.2">
      <c r="B7393" s="2">
        <f ca="1"/>
        <v>0.32290314657582031</v>
      </c>
      <c r="O7393" s="2">
        <f ca="1"/>
        <v>1.620263911507946</v>
      </c>
      <c r="X7393" s="2">
        <f ca="1"/>
        <v>35.699358717069117</v>
      </c>
      <c r="AG7393" s="2">
        <f ca="1"/>
        <v>0.26952287242574813</v>
      </c>
      <c r="AH7393" s="2" t="str">
        <f ca="1"/>
        <v>OK</v>
      </c>
    </row>
    <row r="7394" spans="2:34" x14ac:dyDescent="0.2">
      <c r="B7394" s="2">
        <f ca="1"/>
        <v>0.89232000748853268</v>
      </c>
      <c r="O7394" s="2">
        <f ca="1"/>
        <v>6.3044314844430682E-2</v>
      </c>
      <c r="X7394" s="2">
        <f ca="1"/>
        <v>48.306625438566726</v>
      </c>
      <c r="AG7394" s="2">
        <f ca="1"/>
        <v>0.60898973064512307</v>
      </c>
      <c r="AH7394" s="2" t="str">
        <f ca="1"/>
        <v>Bad</v>
      </c>
    </row>
    <row r="7395" spans="2:34" x14ac:dyDescent="0.2">
      <c r="B7395" s="2">
        <f ca="1"/>
        <v>0.72153687111002984</v>
      </c>
      <c r="O7395" s="2">
        <f ca="1"/>
        <v>1.8237104906615293</v>
      </c>
      <c r="X7395" s="2">
        <f ca="1"/>
        <v>31.497131258106855</v>
      </c>
      <c r="AG7395" s="2">
        <f ca="1"/>
        <v>2.1237978448658046E-2</v>
      </c>
      <c r="AH7395" s="2" t="str">
        <f ca="1"/>
        <v>Good</v>
      </c>
    </row>
    <row r="7396" spans="2:34" x14ac:dyDescent="0.2">
      <c r="B7396" s="2">
        <f ca="1"/>
        <v>0.70728961649586375</v>
      </c>
      <c r="O7396" s="2">
        <f ca="1"/>
        <v>1.1326489419025756</v>
      </c>
      <c r="X7396" s="2">
        <f ca="1"/>
        <v>55.92018369646928</v>
      </c>
      <c r="AG7396" s="2">
        <f ca="1"/>
        <v>0.3722939675711372</v>
      </c>
      <c r="AH7396" s="2" t="str">
        <f ca="1"/>
        <v>OK</v>
      </c>
    </row>
    <row r="7397" spans="2:34" x14ac:dyDescent="0.2">
      <c r="B7397" s="2">
        <f ca="1"/>
        <v>9.4511952990123715E-2</v>
      </c>
      <c r="O7397" s="2">
        <f ca="1"/>
        <v>-0.57334483874116016</v>
      </c>
      <c r="X7397" s="2">
        <f ca="1"/>
        <v>36.688866887644295</v>
      </c>
      <c r="AG7397" s="2">
        <f ca="1"/>
        <v>0.98888668495153831</v>
      </c>
      <c r="AH7397" s="2" t="str">
        <f ca="1"/>
        <v>Bad</v>
      </c>
    </row>
    <row r="7398" spans="2:34" x14ac:dyDescent="0.2">
      <c r="B7398" s="2">
        <f ca="1"/>
        <v>0.12713564505754693</v>
      </c>
      <c r="O7398" s="2">
        <f ca="1"/>
        <v>0.712448389775036</v>
      </c>
      <c r="X7398" s="2">
        <f ca="1"/>
        <v>24.458399735682775</v>
      </c>
      <c r="AG7398" s="2">
        <f ca="1"/>
        <v>0.85610366543031713</v>
      </c>
      <c r="AH7398" s="2" t="str">
        <f ca="1"/>
        <v>Bad</v>
      </c>
    </row>
    <row r="7399" spans="2:34" x14ac:dyDescent="0.2">
      <c r="B7399" s="2">
        <f ca="1"/>
        <v>0.48430506456396727</v>
      </c>
      <c r="O7399" s="2">
        <f ca="1"/>
        <v>0.73977706702938462</v>
      </c>
      <c r="X7399" s="2">
        <f ca="1"/>
        <v>33.629458581071702</v>
      </c>
      <c r="AG7399" s="2">
        <f ca="1"/>
        <v>0.85203607023127637</v>
      </c>
      <c r="AH7399" s="2" t="str">
        <f ca="1"/>
        <v>Bad</v>
      </c>
    </row>
    <row r="7400" spans="2:34" x14ac:dyDescent="0.2">
      <c r="B7400" s="2">
        <f ca="1"/>
        <v>0.47065582804261519</v>
      </c>
      <c r="O7400" s="2">
        <f ca="1"/>
        <v>0.10160062305042486</v>
      </c>
      <c r="X7400" s="2">
        <f ca="1"/>
        <v>45.646171953869569</v>
      </c>
      <c r="AG7400" s="2">
        <f ca="1"/>
        <v>0.40686760742818295</v>
      </c>
      <c r="AH7400" s="2" t="str">
        <f ca="1"/>
        <v>Bad</v>
      </c>
    </row>
    <row r="7401" spans="2:34" x14ac:dyDescent="0.2">
      <c r="B7401" s="2">
        <f ca="1"/>
        <v>0.88585442973494777</v>
      </c>
      <c r="O7401" s="2">
        <f ca="1"/>
        <v>0.98544442970990964</v>
      </c>
      <c r="X7401" s="2">
        <f ca="1"/>
        <v>49.549393417528449</v>
      </c>
      <c r="AG7401" s="2">
        <f ca="1"/>
        <v>0.66635095305311043</v>
      </c>
      <c r="AH7401" s="2" t="str">
        <f ca="1"/>
        <v>Bad</v>
      </c>
    </row>
    <row r="7402" spans="2:34" x14ac:dyDescent="0.2">
      <c r="B7402" s="2">
        <f ca="1"/>
        <v>0.60705849463555017</v>
      </c>
      <c r="O7402" s="2">
        <f ca="1"/>
        <v>0.32266513937374486</v>
      </c>
      <c r="X7402" s="2">
        <f ca="1"/>
        <v>28.210265968710409</v>
      </c>
      <c r="AG7402" s="2">
        <f ca="1"/>
        <v>0.90016070022480266</v>
      </c>
      <c r="AH7402" s="2" t="str">
        <f ca="1"/>
        <v>Bad</v>
      </c>
    </row>
    <row r="7403" spans="2:34" x14ac:dyDescent="0.2">
      <c r="B7403" s="2">
        <f ca="1"/>
        <v>0.97904438881074896</v>
      </c>
      <c r="O7403" s="2">
        <f ca="1"/>
        <v>0.85773883938621998</v>
      </c>
      <c r="X7403" s="2">
        <f ca="1"/>
        <v>39.987382618142973</v>
      </c>
      <c r="AG7403" s="2">
        <f ca="1"/>
        <v>0.1109816193905111</v>
      </c>
      <c r="AH7403" s="2" t="str">
        <f ca="1"/>
        <v>OK</v>
      </c>
    </row>
    <row r="7404" spans="2:34" x14ac:dyDescent="0.2">
      <c r="B7404" s="2">
        <f ca="1"/>
        <v>0.78500176989834891</v>
      </c>
      <c r="O7404" s="2">
        <f ca="1"/>
        <v>0.29234648286937909</v>
      </c>
      <c r="X7404" s="2">
        <f ca="1"/>
        <v>46.150246092307093</v>
      </c>
      <c r="AG7404" s="2">
        <f ca="1"/>
        <v>0.61568386183949553</v>
      </c>
      <c r="AH7404" s="2" t="str">
        <f ca="1"/>
        <v>Bad</v>
      </c>
    </row>
    <row r="7405" spans="2:34" x14ac:dyDescent="0.2">
      <c r="B7405" s="2">
        <f ca="1"/>
        <v>0.66847673178551448</v>
      </c>
      <c r="O7405" s="2">
        <f ca="1"/>
        <v>0.37439412804575911</v>
      </c>
      <c r="X7405" s="2">
        <f ca="1"/>
        <v>57.795302352261395</v>
      </c>
      <c r="AG7405" s="2">
        <f ca="1"/>
        <v>0.79225194177097902</v>
      </c>
      <c r="AH7405" s="2" t="str">
        <f ca="1"/>
        <v>Bad</v>
      </c>
    </row>
    <row r="7406" spans="2:34" x14ac:dyDescent="0.2">
      <c r="B7406" s="2">
        <f ca="1"/>
        <v>0.36118502522412776</v>
      </c>
      <c r="O7406" s="2">
        <f ca="1"/>
        <v>0.7438123197241765</v>
      </c>
      <c r="X7406" s="2">
        <f ca="1"/>
        <v>47.802594488757194</v>
      </c>
      <c r="AG7406" s="2">
        <f ca="1"/>
        <v>0.7045654960867791</v>
      </c>
      <c r="AH7406" s="2" t="str">
        <f ca="1"/>
        <v>Bad</v>
      </c>
    </row>
    <row r="7407" spans="2:34" x14ac:dyDescent="0.2">
      <c r="B7407" s="2">
        <f ca="1"/>
        <v>5.211711269513053E-2</v>
      </c>
      <c r="O7407" s="2">
        <f ca="1"/>
        <v>0.20340249761422471</v>
      </c>
      <c r="X7407" s="2">
        <f ca="1"/>
        <v>36.091078098961823</v>
      </c>
      <c r="AG7407" s="2">
        <f ca="1"/>
        <v>0.96648926563824222</v>
      </c>
      <c r="AH7407" s="2" t="str">
        <f ca="1"/>
        <v>Bad</v>
      </c>
    </row>
    <row r="7408" spans="2:34" x14ac:dyDescent="0.2">
      <c r="B7408" s="2">
        <f ca="1"/>
        <v>0.54555554545253626</v>
      </c>
      <c r="O7408" s="2">
        <f ca="1"/>
        <v>0.60300661072261286</v>
      </c>
      <c r="X7408" s="2">
        <f ca="1"/>
        <v>84.397824776911406</v>
      </c>
      <c r="AG7408" s="2">
        <f ca="1"/>
        <v>0.54666053970610951</v>
      </c>
      <c r="AH7408" s="2" t="str">
        <f ca="1"/>
        <v>Bad</v>
      </c>
    </row>
    <row r="7409" spans="2:34" x14ac:dyDescent="0.2">
      <c r="B7409" s="2">
        <f ca="1"/>
        <v>0.73162400369054703</v>
      </c>
      <c r="O7409" s="2">
        <f ca="1"/>
        <v>-0.15976313318893776</v>
      </c>
      <c r="X7409" s="2">
        <f ca="1"/>
        <v>59.918553091141121</v>
      </c>
      <c r="AG7409" s="2">
        <f ca="1"/>
        <v>0.86345003898281236</v>
      </c>
      <c r="AH7409" s="2" t="str">
        <f ca="1"/>
        <v>Bad</v>
      </c>
    </row>
    <row r="7410" spans="2:34" x14ac:dyDescent="0.2">
      <c r="B7410" s="2">
        <f ca="1"/>
        <v>0.61932197328894367</v>
      </c>
      <c r="O7410" s="2">
        <f ca="1"/>
        <v>-0.25972304035567512</v>
      </c>
      <c r="X7410" s="2">
        <f ca="1"/>
        <v>51.683554528751145</v>
      </c>
      <c r="AG7410" s="2">
        <f ca="1"/>
        <v>0.35908237905911733</v>
      </c>
      <c r="AH7410" s="2" t="str">
        <f ca="1"/>
        <v>OK</v>
      </c>
    </row>
    <row r="7411" spans="2:34" x14ac:dyDescent="0.2">
      <c r="B7411" s="2">
        <f ca="1"/>
        <v>0.50475686903797179</v>
      </c>
      <c r="O7411" s="2">
        <f ca="1"/>
        <v>-0.91300040848700148</v>
      </c>
      <c r="X7411" s="2">
        <f ca="1"/>
        <v>39.242975726730741</v>
      </c>
      <c r="AG7411" s="2">
        <f ca="1"/>
        <v>0.48648846659977418</v>
      </c>
      <c r="AH7411" s="2" t="str">
        <f ca="1"/>
        <v>Bad</v>
      </c>
    </row>
    <row r="7412" spans="2:34" x14ac:dyDescent="0.2">
      <c r="B7412" s="2">
        <f ca="1"/>
        <v>0.93597688638634446</v>
      </c>
      <c r="O7412" s="2">
        <f ca="1"/>
        <v>-0.19194633138503381</v>
      </c>
      <c r="X7412" s="2">
        <f ca="1"/>
        <v>24.276486924666859</v>
      </c>
      <c r="AG7412" s="2">
        <f ca="1"/>
        <v>0.92249685946043081</v>
      </c>
      <c r="AH7412" s="2" t="str">
        <f ca="1"/>
        <v>Bad</v>
      </c>
    </row>
    <row r="7413" spans="2:34" x14ac:dyDescent="0.2">
      <c r="B7413" s="2">
        <f ca="1"/>
        <v>0.77579544998578265</v>
      </c>
      <c r="O7413" s="2">
        <f ca="1"/>
        <v>0.19130709175562952</v>
      </c>
      <c r="X7413" s="2">
        <f ca="1"/>
        <v>42.614703995233008</v>
      </c>
      <c r="AG7413" s="2">
        <f ca="1"/>
        <v>0.47920758848582179</v>
      </c>
      <c r="AH7413" s="2" t="str">
        <f ca="1"/>
        <v>Bad</v>
      </c>
    </row>
    <row r="7414" spans="2:34" x14ac:dyDescent="0.2">
      <c r="B7414" s="2">
        <f ca="1"/>
        <v>8.1237106285059868E-2</v>
      </c>
      <c r="O7414" s="2">
        <f ca="1"/>
        <v>0.82153974925002182</v>
      </c>
      <c r="X7414" s="2">
        <f ca="1"/>
        <v>65.850424385563812</v>
      </c>
      <c r="AG7414" s="2">
        <f ca="1"/>
        <v>0.66395693225480001</v>
      </c>
      <c r="AH7414" s="2" t="str">
        <f ca="1"/>
        <v>Bad</v>
      </c>
    </row>
    <row r="7415" spans="2:34" x14ac:dyDescent="0.2">
      <c r="B7415" s="2">
        <f ca="1"/>
        <v>0.52987418354459659</v>
      </c>
      <c r="O7415" s="2">
        <f ca="1"/>
        <v>-2.2290206784248183</v>
      </c>
      <c r="X7415" s="2">
        <f ca="1"/>
        <v>38.384155048937046</v>
      </c>
      <c r="AG7415" s="2">
        <f ca="1"/>
        <v>0.96628681391728311</v>
      </c>
      <c r="AH7415" s="2" t="str">
        <f ca="1"/>
        <v>Bad</v>
      </c>
    </row>
    <row r="7416" spans="2:34" x14ac:dyDescent="0.2">
      <c r="B7416" s="2">
        <f ca="1"/>
        <v>0.90954963868198946</v>
      </c>
      <c r="O7416" s="2">
        <f ca="1"/>
        <v>-0.69551152246546977</v>
      </c>
      <c r="X7416" s="2">
        <f ca="1"/>
        <v>77.865678532439858</v>
      </c>
      <c r="AG7416" s="2">
        <f ca="1"/>
        <v>0.97196571249018149</v>
      </c>
      <c r="AH7416" s="2" t="str">
        <f ca="1"/>
        <v>Bad</v>
      </c>
    </row>
    <row r="7417" spans="2:34" x14ac:dyDescent="0.2">
      <c r="B7417" s="2">
        <f ca="1"/>
        <v>0.98582845628029836</v>
      </c>
      <c r="O7417" s="2">
        <f ca="1"/>
        <v>0.6272506499627799</v>
      </c>
      <c r="X7417" s="2">
        <f ca="1"/>
        <v>49.502046589481601</v>
      </c>
      <c r="AG7417" s="2">
        <f ca="1"/>
        <v>0.71167804974593696</v>
      </c>
      <c r="AH7417" s="2" t="str">
        <f ca="1"/>
        <v>Bad</v>
      </c>
    </row>
    <row r="7418" spans="2:34" x14ac:dyDescent="0.2">
      <c r="B7418" s="2">
        <f ca="1"/>
        <v>0.57514873638361541</v>
      </c>
      <c r="O7418" s="2">
        <f ca="1"/>
        <v>-1.1558018620224086</v>
      </c>
      <c r="X7418" s="2">
        <f ca="1"/>
        <v>60.964260556315189</v>
      </c>
      <c r="AG7418" s="2">
        <f ca="1"/>
        <v>0.66134157071740085</v>
      </c>
      <c r="AH7418" s="2" t="str">
        <f ca="1"/>
        <v>Bad</v>
      </c>
    </row>
    <row r="7419" spans="2:34" x14ac:dyDescent="0.2">
      <c r="B7419" s="2">
        <f ca="1"/>
        <v>4.211331026326981E-2</v>
      </c>
      <c r="O7419" s="2">
        <f ca="1"/>
        <v>-0.53753815361003021</v>
      </c>
      <c r="X7419" s="2">
        <f ca="1"/>
        <v>106.75291250026885</v>
      </c>
      <c r="AG7419" s="2">
        <f ca="1"/>
        <v>0.11273488930885978</v>
      </c>
      <c r="AH7419" s="2" t="str">
        <f ca="1"/>
        <v>OK</v>
      </c>
    </row>
    <row r="7420" spans="2:34" x14ac:dyDescent="0.2">
      <c r="B7420" s="2">
        <f ca="1"/>
        <v>4.7047978342813934E-2</v>
      </c>
      <c r="O7420" s="2">
        <f ca="1"/>
        <v>1.1859224776090249</v>
      </c>
      <c r="X7420" s="2">
        <f ca="1"/>
        <v>64.028147735321241</v>
      </c>
      <c r="AG7420" s="2">
        <f ca="1"/>
        <v>0.3757341594983199</v>
      </c>
      <c r="AH7420" s="2" t="str">
        <f ca="1"/>
        <v>OK</v>
      </c>
    </row>
    <row r="7421" spans="2:34" x14ac:dyDescent="0.2">
      <c r="B7421" s="2">
        <f ca="1"/>
        <v>0.7475553131744026</v>
      </c>
      <c r="O7421" s="2">
        <f ca="1"/>
        <v>1.1390802738271755</v>
      </c>
      <c r="X7421" s="2">
        <f ca="1"/>
        <v>34.032998267582862</v>
      </c>
      <c r="AG7421" s="2">
        <f ca="1"/>
        <v>0.2843168818541808</v>
      </c>
      <c r="AH7421" s="2" t="str">
        <f ca="1"/>
        <v>OK</v>
      </c>
    </row>
    <row r="7422" spans="2:34" x14ac:dyDescent="0.2">
      <c r="B7422" s="2">
        <f ca="1"/>
        <v>0.74440204710163127</v>
      </c>
      <c r="O7422" s="2">
        <f ca="1"/>
        <v>-1.3704668661952513</v>
      </c>
      <c r="X7422" s="2">
        <f ca="1"/>
        <v>49.32832945332003</v>
      </c>
      <c r="AG7422" s="2">
        <f ca="1"/>
        <v>0.13405315681371777</v>
      </c>
      <c r="AH7422" s="2" t="str">
        <f ca="1"/>
        <v>OK</v>
      </c>
    </row>
    <row r="7423" spans="2:34" x14ac:dyDescent="0.2">
      <c r="B7423" s="2">
        <f ca="1"/>
        <v>0.94354596122831103</v>
      </c>
      <c r="O7423" s="2">
        <f ca="1"/>
        <v>0.27445722930913602</v>
      </c>
      <c r="X7423" s="2">
        <f ca="1"/>
        <v>64.371600389160562</v>
      </c>
      <c r="AG7423" s="2">
        <f ca="1"/>
        <v>0.41482871786900355</v>
      </c>
      <c r="AH7423" s="2" t="str">
        <f ca="1"/>
        <v>Bad</v>
      </c>
    </row>
    <row r="7424" spans="2:34" x14ac:dyDescent="0.2">
      <c r="B7424" s="2">
        <f ca="1"/>
        <v>0.39973977425236384</v>
      </c>
      <c r="O7424" s="2">
        <f ca="1"/>
        <v>-0.20244068993818529</v>
      </c>
      <c r="X7424" s="2">
        <f ca="1"/>
        <v>49.516377164860842</v>
      </c>
      <c r="AG7424" s="2">
        <f ca="1"/>
        <v>0.93274462535855962</v>
      </c>
      <c r="AH7424" s="2" t="str">
        <f ca="1"/>
        <v>Bad</v>
      </c>
    </row>
    <row r="7425" spans="2:34" x14ac:dyDescent="0.2">
      <c r="B7425" s="2">
        <f ca="1"/>
        <v>0.88413463722551189</v>
      </c>
      <c r="O7425" s="2">
        <f ca="1"/>
        <v>0.8386616385030643</v>
      </c>
      <c r="X7425" s="2">
        <f ca="1"/>
        <v>76.766468831065751</v>
      </c>
      <c r="AG7425" s="2">
        <f ca="1"/>
        <v>0.66922494195606119</v>
      </c>
      <c r="AH7425" s="2" t="str">
        <f ca="1"/>
        <v>Bad</v>
      </c>
    </row>
    <row r="7426" spans="2:34" x14ac:dyDescent="0.2">
      <c r="B7426" s="2">
        <f ca="1"/>
        <v>0.40357356729610827</v>
      </c>
      <c r="O7426" s="2">
        <f ca="1"/>
        <v>-2.8395400122488899E-2</v>
      </c>
      <c r="X7426" s="2">
        <f ca="1"/>
        <v>34.984766111892142</v>
      </c>
      <c r="AG7426" s="2">
        <f ca="1"/>
        <v>0.34997552038618895</v>
      </c>
      <c r="AH7426" s="2" t="str">
        <f ca="1"/>
        <v>OK</v>
      </c>
    </row>
    <row r="7427" spans="2:34" x14ac:dyDescent="0.2">
      <c r="B7427" s="2">
        <f ca="1"/>
        <v>0.52604538351529073</v>
      </c>
      <c r="O7427" s="2">
        <f ca="1"/>
        <v>-0.98998379294969741</v>
      </c>
      <c r="X7427" s="2">
        <f ca="1"/>
        <v>42.076027369824757</v>
      </c>
      <c r="AG7427" s="2">
        <f ca="1"/>
        <v>0.62993435585618052</v>
      </c>
      <c r="AH7427" s="2" t="str">
        <f ca="1"/>
        <v>Bad</v>
      </c>
    </row>
    <row r="7428" spans="2:34" x14ac:dyDescent="0.2">
      <c r="B7428" s="2">
        <f ca="1"/>
        <v>0.87351685723535977</v>
      </c>
      <c r="O7428" s="2">
        <f ca="1"/>
        <v>-0.14688386656399696</v>
      </c>
      <c r="X7428" s="2">
        <f ca="1"/>
        <v>56.174783581330239</v>
      </c>
      <c r="AG7428" s="2">
        <f ca="1"/>
        <v>1.5277271845975715E-2</v>
      </c>
      <c r="AH7428" s="2" t="str">
        <f ca="1"/>
        <v>Good</v>
      </c>
    </row>
    <row r="7429" spans="2:34" x14ac:dyDescent="0.2">
      <c r="B7429" s="2">
        <f ca="1"/>
        <v>0.34221800121536283</v>
      </c>
      <c r="O7429" s="2">
        <f ca="1"/>
        <v>-1.9061129800869068</v>
      </c>
      <c r="X7429" s="2">
        <f ca="1"/>
        <v>42.671000962323696</v>
      </c>
      <c r="AG7429" s="2">
        <f ca="1"/>
        <v>0.28566404731061268</v>
      </c>
      <c r="AH7429" s="2" t="str">
        <f ca="1"/>
        <v>OK</v>
      </c>
    </row>
    <row r="7430" spans="2:34" x14ac:dyDescent="0.2">
      <c r="B7430" s="2">
        <f ca="1"/>
        <v>0.59520871519016927</v>
      </c>
      <c r="O7430" s="2">
        <f ca="1"/>
        <v>1.5195941333018554</v>
      </c>
      <c r="X7430" s="2">
        <f ca="1"/>
        <v>30.677521462306757</v>
      </c>
      <c r="AG7430" s="2">
        <f ca="1"/>
        <v>0.60003750517425436</v>
      </c>
      <c r="AH7430" s="2" t="str">
        <f ca="1"/>
        <v>Bad</v>
      </c>
    </row>
    <row r="7431" spans="2:34" x14ac:dyDescent="0.2">
      <c r="B7431" s="2">
        <f ca="1"/>
        <v>0.57588596826272509</v>
      </c>
      <c r="O7431" s="2">
        <f ca="1"/>
        <v>-0.33286616494908905</v>
      </c>
      <c r="X7431" s="2">
        <f ca="1"/>
        <v>51.803315420972382</v>
      </c>
      <c r="AG7431" s="2">
        <f ca="1"/>
        <v>0.57163218687008444</v>
      </c>
      <c r="AH7431" s="2" t="str">
        <f ca="1"/>
        <v>Bad</v>
      </c>
    </row>
    <row r="7432" spans="2:34" x14ac:dyDescent="0.2">
      <c r="B7432" s="2">
        <f ca="1"/>
        <v>6.4045129641465026E-2</v>
      </c>
      <c r="O7432" s="2">
        <f ca="1"/>
        <v>0.43866355722633804</v>
      </c>
      <c r="X7432" s="2">
        <f ca="1"/>
        <v>28.902620474594389</v>
      </c>
      <c r="AG7432" s="2">
        <f ca="1"/>
        <v>0.2941416698982342</v>
      </c>
      <c r="AH7432" s="2" t="str">
        <f ca="1"/>
        <v>OK</v>
      </c>
    </row>
    <row r="7433" spans="2:34" x14ac:dyDescent="0.2">
      <c r="B7433" s="2">
        <f ca="1"/>
        <v>0.96483004133482364</v>
      </c>
      <c r="O7433" s="2">
        <f ca="1"/>
        <v>0.10210138055912707</v>
      </c>
      <c r="X7433" s="2">
        <f ca="1"/>
        <v>40.489600597411695</v>
      </c>
      <c r="AG7433" s="2">
        <f ca="1"/>
        <v>0.26368225518057686</v>
      </c>
      <c r="AH7433" s="2" t="str">
        <f ca="1"/>
        <v>OK</v>
      </c>
    </row>
    <row r="7434" spans="2:34" x14ac:dyDescent="0.2">
      <c r="B7434" s="2">
        <f ca="1"/>
        <v>0.92792576332451393</v>
      </c>
      <c r="O7434" s="2">
        <f ca="1"/>
        <v>-1.1947903863122586</v>
      </c>
      <c r="X7434" s="2">
        <f ca="1"/>
        <v>61.197230697861364</v>
      </c>
      <c r="AG7434" s="2">
        <f ca="1"/>
        <v>0.89921881557451488</v>
      </c>
      <c r="AH7434" s="2" t="str">
        <f ca="1"/>
        <v>Bad</v>
      </c>
    </row>
    <row r="7435" spans="2:34" x14ac:dyDescent="0.2">
      <c r="B7435" s="2">
        <f ca="1"/>
        <v>0.41839222907290097</v>
      </c>
      <c r="O7435" s="2">
        <f ca="1"/>
        <v>1.5905728405984392</v>
      </c>
      <c r="X7435" s="2">
        <f ca="1"/>
        <v>29.677894788381302</v>
      </c>
      <c r="AG7435" s="2">
        <f ca="1"/>
        <v>0.55302861291280192</v>
      </c>
      <c r="AH7435" s="2" t="str">
        <f ca="1"/>
        <v>Bad</v>
      </c>
    </row>
    <row r="7436" spans="2:34" x14ac:dyDescent="0.2">
      <c r="B7436" s="2">
        <f ca="1"/>
        <v>4.4977880789878411E-2</v>
      </c>
      <c r="O7436" s="2">
        <f ca="1"/>
        <v>-0.6819301659843372</v>
      </c>
      <c r="X7436" s="2">
        <f ca="1"/>
        <v>63.73925415809736</v>
      </c>
      <c r="AG7436" s="2">
        <f ca="1"/>
        <v>0.46911100176890508</v>
      </c>
      <c r="AH7436" s="2" t="str">
        <f ca="1"/>
        <v>Bad</v>
      </c>
    </row>
    <row r="7437" spans="2:34" x14ac:dyDescent="0.2">
      <c r="B7437" s="2">
        <f ca="1"/>
        <v>0.14981378437020898</v>
      </c>
      <c r="O7437" s="2">
        <f ca="1"/>
        <v>0.13800494566029789</v>
      </c>
      <c r="X7437" s="2">
        <f ca="1"/>
        <v>38.478422006305777</v>
      </c>
      <c r="AG7437" s="2">
        <f ca="1"/>
        <v>0.55318662125099327</v>
      </c>
      <c r="AH7437" s="2" t="str">
        <f ca="1"/>
        <v>Bad</v>
      </c>
    </row>
    <row r="7438" spans="2:34" x14ac:dyDescent="0.2">
      <c r="B7438" s="2">
        <f ca="1"/>
        <v>0.39184343600607741</v>
      </c>
      <c r="O7438" s="2">
        <f ca="1"/>
        <v>0.96780994242959217</v>
      </c>
      <c r="X7438" s="2">
        <f ca="1"/>
        <v>45.73232729245602</v>
      </c>
      <c r="AG7438" s="2">
        <f ca="1"/>
        <v>0.59664695191347006</v>
      </c>
      <c r="AH7438" s="2" t="str">
        <f ca="1"/>
        <v>Bad</v>
      </c>
    </row>
    <row r="7439" spans="2:34" x14ac:dyDescent="0.2">
      <c r="B7439" s="2">
        <f ca="1"/>
        <v>0.87496342554943363</v>
      </c>
      <c r="O7439" s="2">
        <f ca="1"/>
        <v>-0.14691582996155159</v>
      </c>
      <c r="X7439" s="2">
        <f ca="1"/>
        <v>64.997425997471638</v>
      </c>
      <c r="AG7439" s="2">
        <f ca="1"/>
        <v>0.82033432114591642</v>
      </c>
      <c r="AH7439" s="2" t="str">
        <f ca="1"/>
        <v>Bad</v>
      </c>
    </row>
    <row r="7440" spans="2:34" x14ac:dyDescent="0.2">
      <c r="B7440" s="2">
        <f ca="1"/>
        <v>3.9481654301252611E-2</v>
      </c>
      <c r="O7440" s="2">
        <f ca="1"/>
        <v>0.49436742050919041</v>
      </c>
      <c r="X7440" s="2">
        <f ca="1"/>
        <v>54.855485062680252</v>
      </c>
      <c r="AG7440" s="2">
        <f ca="1"/>
        <v>0.58067070494796336</v>
      </c>
      <c r="AH7440" s="2" t="str">
        <f ca="1"/>
        <v>Bad</v>
      </c>
    </row>
    <row r="7441" spans="2:34" x14ac:dyDescent="0.2">
      <c r="B7441" s="2">
        <f ca="1"/>
        <v>0.61097060741639719</v>
      </c>
      <c r="O7441" s="2">
        <f ca="1"/>
        <v>-0.79666503380306675</v>
      </c>
      <c r="X7441" s="2">
        <f ca="1"/>
        <v>26.47699325829501</v>
      </c>
      <c r="AG7441" s="2">
        <f ca="1"/>
        <v>0.90756018043415843</v>
      </c>
      <c r="AH7441" s="2" t="str">
        <f ca="1"/>
        <v>Bad</v>
      </c>
    </row>
    <row r="7442" spans="2:34" x14ac:dyDescent="0.2">
      <c r="B7442" s="2">
        <f ca="1"/>
        <v>0.61766666202491227</v>
      </c>
      <c r="O7442" s="2">
        <f ca="1"/>
        <v>0.81337041611958416</v>
      </c>
      <c r="X7442" s="2">
        <f ca="1"/>
        <v>23.612492508931613</v>
      </c>
      <c r="AG7442" s="2">
        <f ca="1"/>
        <v>0.35705659164253234</v>
      </c>
      <c r="AH7442" s="2" t="str">
        <f ca="1"/>
        <v>OK</v>
      </c>
    </row>
    <row r="7443" spans="2:34" x14ac:dyDescent="0.2">
      <c r="B7443" s="2">
        <f ca="1"/>
        <v>0.7447606046690447</v>
      </c>
      <c r="O7443" s="2">
        <f ca="1"/>
        <v>7.7290320412191901E-2</v>
      </c>
      <c r="X7443" s="2">
        <f ca="1"/>
        <v>43.874032460490426</v>
      </c>
      <c r="AG7443" s="2">
        <f ca="1"/>
        <v>0.16747410878624724</v>
      </c>
      <c r="AH7443" s="2" t="str">
        <f ca="1"/>
        <v>OK</v>
      </c>
    </row>
    <row r="7444" spans="2:34" x14ac:dyDescent="0.2">
      <c r="B7444" s="2">
        <f ca="1"/>
        <v>0.855123634964021</v>
      </c>
      <c r="O7444" s="2">
        <f ca="1"/>
        <v>-0.10609466561247775</v>
      </c>
      <c r="X7444" s="2">
        <f ca="1"/>
        <v>31.891279602730854</v>
      </c>
      <c r="AG7444" s="2">
        <f ca="1"/>
        <v>0.21281379372470033</v>
      </c>
      <c r="AH7444" s="2" t="str">
        <f ca="1"/>
        <v>OK</v>
      </c>
    </row>
    <row r="7445" spans="2:34" x14ac:dyDescent="0.2">
      <c r="B7445" s="2">
        <f ca="1"/>
        <v>0.47553559769837017</v>
      </c>
      <c r="O7445" s="2">
        <f ca="1"/>
        <v>-0.51821658555112871</v>
      </c>
      <c r="X7445" s="2">
        <f ca="1"/>
        <v>65.221320549553482</v>
      </c>
      <c r="AG7445" s="2">
        <f ca="1"/>
        <v>0.76985631970526502</v>
      </c>
      <c r="AH7445" s="2" t="str">
        <f ca="1"/>
        <v>Bad</v>
      </c>
    </row>
    <row r="7446" spans="2:34" x14ac:dyDescent="0.2">
      <c r="B7446" s="2">
        <f ca="1"/>
        <v>0.8250980941986199</v>
      </c>
      <c r="O7446" s="2">
        <f ca="1"/>
        <v>2.4347056194259005</v>
      </c>
      <c r="X7446" s="2">
        <f ca="1"/>
        <v>48.11050196382206</v>
      </c>
      <c r="AG7446" s="2">
        <f ca="1"/>
        <v>0.80315141584559568</v>
      </c>
      <c r="AH7446" s="2" t="str">
        <f ca="1"/>
        <v>Bad</v>
      </c>
    </row>
    <row r="7447" spans="2:34" x14ac:dyDescent="0.2">
      <c r="B7447" s="2">
        <f ca="1"/>
        <v>5.0664352045384442E-2</v>
      </c>
      <c r="O7447" s="2">
        <f ca="1"/>
        <v>-0.52229064822800575</v>
      </c>
      <c r="X7447" s="2">
        <f ca="1"/>
        <v>48.518291952846539</v>
      </c>
      <c r="AG7447" s="2">
        <f ca="1"/>
        <v>0.86409931271976603</v>
      </c>
      <c r="AH7447" s="2" t="str">
        <f ca="1"/>
        <v>Bad</v>
      </c>
    </row>
    <row r="7448" spans="2:34" x14ac:dyDescent="0.2">
      <c r="B7448" s="2">
        <f ca="1"/>
        <v>0.79534726299125591</v>
      </c>
      <c r="O7448" s="2">
        <f ca="1"/>
        <v>0.96155681108094226</v>
      </c>
      <c r="X7448" s="2">
        <f ca="1"/>
        <v>69.076697503166656</v>
      </c>
      <c r="AG7448" s="2">
        <f ca="1"/>
        <v>0.8882396424481791</v>
      </c>
      <c r="AH7448" s="2" t="str">
        <f ca="1"/>
        <v>Bad</v>
      </c>
    </row>
    <row r="7449" spans="2:34" x14ac:dyDescent="0.2">
      <c r="B7449" s="2">
        <f ca="1"/>
        <v>0.97161534268703154</v>
      </c>
      <c r="O7449" s="2">
        <f ca="1"/>
        <v>5.8172374937543299E-2</v>
      </c>
      <c r="X7449" s="2">
        <f ca="1"/>
        <v>31.777510694893742</v>
      </c>
      <c r="AG7449" s="2">
        <f ca="1"/>
        <v>0.19030773606225226</v>
      </c>
      <c r="AH7449" s="2" t="str">
        <f ca="1"/>
        <v>OK</v>
      </c>
    </row>
    <row r="7450" spans="2:34" x14ac:dyDescent="0.2">
      <c r="B7450" s="2">
        <f ca="1"/>
        <v>0.61016189773877283</v>
      </c>
      <c r="O7450" s="2">
        <f ca="1"/>
        <v>0.49430413285791136</v>
      </c>
      <c r="X7450" s="2">
        <f ca="1"/>
        <v>61.099921133990634</v>
      </c>
      <c r="AG7450" s="2">
        <f ca="1"/>
        <v>0.37148488793450207</v>
      </c>
      <c r="AH7450" s="2" t="str">
        <f ca="1"/>
        <v>OK</v>
      </c>
    </row>
    <row r="7451" spans="2:34" x14ac:dyDescent="0.2">
      <c r="B7451" s="2">
        <f ca="1"/>
        <v>0.40074785875625851</v>
      </c>
      <c r="O7451" s="2">
        <f ca="1"/>
        <v>-0.15465429488040966</v>
      </c>
      <c r="X7451" s="2">
        <f ca="1"/>
        <v>52.63776377784297</v>
      </c>
      <c r="AG7451" s="2">
        <f ca="1"/>
        <v>0.45068680126119087</v>
      </c>
      <c r="AH7451" s="2" t="str">
        <f ca="1"/>
        <v>Bad</v>
      </c>
    </row>
    <row r="7452" spans="2:34" x14ac:dyDescent="0.2">
      <c r="B7452" s="2">
        <f ca="1"/>
        <v>9.7801115807298444E-2</v>
      </c>
      <c r="O7452" s="2">
        <f ca="1"/>
        <v>1.2510559041381788</v>
      </c>
      <c r="X7452" s="2">
        <f ca="1"/>
        <v>45.777211607218014</v>
      </c>
      <c r="AG7452" s="2">
        <f ca="1"/>
        <v>0.51568303535763271</v>
      </c>
      <c r="AH7452" s="2" t="str">
        <f ca="1"/>
        <v>Bad</v>
      </c>
    </row>
    <row r="7453" spans="2:34" x14ac:dyDescent="0.2">
      <c r="B7453" s="2">
        <f ca="1"/>
        <v>0.1131717286327989</v>
      </c>
      <c r="O7453" s="2">
        <f ca="1"/>
        <v>-0.32003414080208653</v>
      </c>
      <c r="X7453" s="2">
        <f ca="1"/>
        <v>44.674679058040788</v>
      </c>
      <c r="AG7453" s="2">
        <f ca="1"/>
        <v>0.57578342720910758</v>
      </c>
      <c r="AH7453" s="2" t="str">
        <f ca="1"/>
        <v>Bad</v>
      </c>
    </row>
    <row r="7454" spans="2:34" x14ac:dyDescent="0.2">
      <c r="B7454" s="2">
        <f ca="1"/>
        <v>0.43372243272159006</v>
      </c>
      <c r="O7454" s="2">
        <f ca="1"/>
        <v>-0.2266465782583362</v>
      </c>
      <c r="X7454" s="2">
        <f ca="1"/>
        <v>63.678366418251017</v>
      </c>
      <c r="AG7454" s="2">
        <f ca="1"/>
        <v>0.45992820676863788</v>
      </c>
      <c r="AH7454" s="2" t="str">
        <f ca="1"/>
        <v>Bad</v>
      </c>
    </row>
    <row r="7455" spans="2:34" x14ac:dyDescent="0.2">
      <c r="B7455" s="2">
        <f ca="1"/>
        <v>0.51112931604928047</v>
      </c>
      <c r="O7455" s="2">
        <f ca="1"/>
        <v>-1.9090930970249156</v>
      </c>
      <c r="X7455" s="2">
        <f ca="1"/>
        <v>33.668249927087103</v>
      </c>
      <c r="AG7455" s="2">
        <f ca="1"/>
        <v>0.38661675558374453</v>
      </c>
      <c r="AH7455" s="2" t="str">
        <f ca="1"/>
        <v>OK</v>
      </c>
    </row>
    <row r="7456" spans="2:34" x14ac:dyDescent="0.2">
      <c r="B7456" s="2">
        <f ca="1"/>
        <v>0.38006659639614759</v>
      </c>
      <c r="O7456" s="2">
        <f ca="1"/>
        <v>-0.66788650899687796</v>
      </c>
      <c r="X7456" s="2">
        <f ca="1"/>
        <v>83.429049513471796</v>
      </c>
      <c r="AG7456" s="2">
        <f ca="1"/>
        <v>1.0366911063396156E-2</v>
      </c>
      <c r="AH7456" s="2" t="str">
        <f ca="1"/>
        <v>Good</v>
      </c>
    </row>
    <row r="7457" spans="2:34" x14ac:dyDescent="0.2">
      <c r="B7457" s="2">
        <f ca="1"/>
        <v>0.23528022567210005</v>
      </c>
      <c r="O7457" s="2">
        <f ca="1"/>
        <v>0.70892791620523887</v>
      </c>
      <c r="X7457" s="2">
        <f ca="1"/>
        <v>52.525878200829467</v>
      </c>
      <c r="AG7457" s="2">
        <f ca="1"/>
        <v>0.36229965061650926</v>
      </c>
      <c r="AH7457" s="2" t="str">
        <f ca="1"/>
        <v>OK</v>
      </c>
    </row>
    <row r="7458" spans="2:34" x14ac:dyDescent="0.2">
      <c r="B7458" s="2">
        <f ca="1"/>
        <v>0.44953337559694617</v>
      </c>
      <c r="O7458" s="2">
        <f ca="1"/>
        <v>1.2987239939329567</v>
      </c>
      <c r="X7458" s="2">
        <f ca="1"/>
        <v>44.514758489425546</v>
      </c>
      <c r="AG7458" s="2">
        <f ca="1"/>
        <v>0.74786482110742436</v>
      </c>
      <c r="AH7458" s="2" t="str">
        <f ca="1"/>
        <v>Bad</v>
      </c>
    </row>
    <row r="7459" spans="2:34" x14ac:dyDescent="0.2">
      <c r="B7459" s="2">
        <f ca="1"/>
        <v>0.16210631399080455</v>
      </c>
      <c r="O7459" s="2">
        <f ca="1"/>
        <v>0.61146895415771929</v>
      </c>
      <c r="X7459" s="2">
        <f ca="1"/>
        <v>58.361248039133841</v>
      </c>
      <c r="AG7459" s="2">
        <f ca="1"/>
        <v>0.7570790113020851</v>
      </c>
      <c r="AH7459" s="2" t="str">
        <f ca="1"/>
        <v>Bad</v>
      </c>
    </row>
    <row r="7460" spans="2:34" x14ac:dyDescent="0.2">
      <c r="B7460" s="2">
        <f ca="1"/>
        <v>0.74022231007383055</v>
      </c>
      <c r="O7460" s="2">
        <f ca="1"/>
        <v>1.2501379392893275</v>
      </c>
      <c r="X7460" s="2">
        <f ca="1"/>
        <v>44.154387585878212</v>
      </c>
      <c r="AG7460" s="2">
        <f ca="1"/>
        <v>0.97556291960110109</v>
      </c>
      <c r="AH7460" s="2" t="str">
        <f ca="1"/>
        <v>Bad</v>
      </c>
    </row>
    <row r="7461" spans="2:34" x14ac:dyDescent="0.2">
      <c r="B7461" s="2">
        <f ca="1"/>
        <v>0.25302356331047893</v>
      </c>
      <c r="O7461" s="2">
        <f ca="1"/>
        <v>-0.40868513670597989</v>
      </c>
      <c r="X7461" s="2">
        <f ca="1"/>
        <v>48.603487667412217</v>
      </c>
      <c r="AG7461" s="2">
        <f ca="1"/>
        <v>0.96788616542600359</v>
      </c>
      <c r="AH7461" s="2" t="str">
        <f ca="1"/>
        <v>Bad</v>
      </c>
    </row>
    <row r="7462" spans="2:34" x14ac:dyDescent="0.2">
      <c r="B7462" s="2">
        <f ca="1"/>
        <v>0.23392654598173568</v>
      </c>
      <c r="O7462" s="2">
        <f ca="1"/>
        <v>0.41384940128326736</v>
      </c>
      <c r="X7462" s="2">
        <f ca="1"/>
        <v>43.873999726500656</v>
      </c>
      <c r="AG7462" s="2">
        <f ca="1"/>
        <v>0.35617466237368989</v>
      </c>
      <c r="AH7462" s="2" t="str">
        <f ca="1"/>
        <v>OK</v>
      </c>
    </row>
    <row r="7463" spans="2:34" x14ac:dyDescent="0.2">
      <c r="B7463" s="2">
        <f ca="1"/>
        <v>0.25442946096667751</v>
      </c>
      <c r="O7463" s="2">
        <f ca="1"/>
        <v>-0.48142048712002733</v>
      </c>
      <c r="X7463" s="2">
        <f ca="1"/>
        <v>36.055207960617281</v>
      </c>
      <c r="AG7463" s="2">
        <f ca="1"/>
        <v>0.45881007880155567</v>
      </c>
      <c r="AH7463" s="2" t="str">
        <f ca="1"/>
        <v>Bad</v>
      </c>
    </row>
    <row r="7464" spans="2:34" x14ac:dyDescent="0.2">
      <c r="B7464" s="2">
        <f ca="1"/>
        <v>0.70767512163204094</v>
      </c>
      <c r="O7464" s="2">
        <f ca="1"/>
        <v>-0.20191883383345638</v>
      </c>
      <c r="X7464" s="2">
        <f ca="1"/>
        <v>38.46386169596866</v>
      </c>
      <c r="AG7464" s="2">
        <f ca="1"/>
        <v>0.53065039011987825</v>
      </c>
      <c r="AH7464" s="2" t="str">
        <f ca="1"/>
        <v>Bad</v>
      </c>
    </row>
    <row r="7465" spans="2:34" x14ac:dyDescent="0.2">
      <c r="B7465" s="2">
        <f ca="1"/>
        <v>0.4276747318315417</v>
      </c>
      <c r="O7465" s="2">
        <f ca="1"/>
        <v>-1.0103845797734543</v>
      </c>
      <c r="X7465" s="2">
        <f ca="1"/>
        <v>44.815219343785522</v>
      </c>
      <c r="AG7465" s="2">
        <f ca="1"/>
        <v>0.94760243047168213</v>
      </c>
      <c r="AH7465" s="2" t="str">
        <f ca="1"/>
        <v>Bad</v>
      </c>
    </row>
    <row r="7466" spans="2:34" x14ac:dyDescent="0.2">
      <c r="B7466" s="2">
        <f ca="1"/>
        <v>0.68126605620792868</v>
      </c>
      <c r="O7466" s="2">
        <f ca="1"/>
        <v>1.388399291025439</v>
      </c>
      <c r="X7466" s="2">
        <f ca="1"/>
        <v>52.30343413576901</v>
      </c>
      <c r="AG7466" s="2">
        <f ca="1"/>
        <v>0.68476946674856398</v>
      </c>
      <c r="AH7466" s="2" t="str">
        <f ca="1"/>
        <v>Bad</v>
      </c>
    </row>
    <row r="7467" spans="2:34" x14ac:dyDescent="0.2">
      <c r="B7467" s="2">
        <f ca="1"/>
        <v>0.70997630407130896</v>
      </c>
      <c r="O7467" s="2">
        <f ca="1"/>
        <v>-0.50481283634117502</v>
      </c>
      <c r="X7467" s="2">
        <f ca="1"/>
        <v>60.550942198461769</v>
      </c>
      <c r="AG7467" s="2">
        <f ca="1"/>
        <v>0.4987044118189794</v>
      </c>
      <c r="AH7467" s="2" t="str">
        <f ca="1"/>
        <v>Bad</v>
      </c>
    </row>
    <row r="7468" spans="2:34" x14ac:dyDescent="0.2">
      <c r="B7468" s="2">
        <f ca="1"/>
        <v>0.4576030982613406</v>
      </c>
      <c r="O7468" s="2">
        <f ca="1"/>
        <v>-0.37229053888616526</v>
      </c>
      <c r="X7468" s="2">
        <f ca="1"/>
        <v>28.644682257174292</v>
      </c>
      <c r="AG7468" s="2">
        <f ca="1"/>
        <v>0.11487597380887959</v>
      </c>
      <c r="AH7468" s="2" t="str">
        <f ca="1"/>
        <v>OK</v>
      </c>
    </row>
    <row r="7469" spans="2:34" x14ac:dyDescent="0.2">
      <c r="B7469" s="2">
        <f ca="1"/>
        <v>0.79735835874367633</v>
      </c>
      <c r="O7469" s="2">
        <f ca="1"/>
        <v>-0.2052497859125009</v>
      </c>
      <c r="X7469" s="2">
        <f ca="1"/>
        <v>55.535698456966287</v>
      </c>
      <c r="AG7469" s="2">
        <f ca="1"/>
        <v>0.62707696380128453</v>
      </c>
      <c r="AH7469" s="2" t="str">
        <f ca="1"/>
        <v>Bad</v>
      </c>
    </row>
    <row r="7470" spans="2:34" x14ac:dyDescent="0.2">
      <c r="B7470" s="2">
        <f ca="1"/>
        <v>0.81856304039369321</v>
      </c>
      <c r="O7470" s="2">
        <f ca="1"/>
        <v>-2.6301602927630245</v>
      </c>
      <c r="X7470" s="2">
        <f ca="1"/>
        <v>45.553926194440848</v>
      </c>
      <c r="AG7470" s="2">
        <f ca="1"/>
        <v>0.35382424776414645</v>
      </c>
      <c r="AH7470" s="2" t="str">
        <f ca="1"/>
        <v>OK</v>
      </c>
    </row>
    <row r="7471" spans="2:34" x14ac:dyDescent="0.2">
      <c r="B7471" s="2">
        <f ca="1"/>
        <v>0.79932468090778475</v>
      </c>
      <c r="O7471" s="2">
        <f ca="1"/>
        <v>0.4338340921461234</v>
      </c>
      <c r="X7471" s="2">
        <f ca="1"/>
        <v>40.250721636755429</v>
      </c>
      <c r="AG7471" s="2">
        <f ca="1"/>
        <v>0.36424856256861271</v>
      </c>
      <c r="AH7471" s="2" t="str">
        <f ca="1"/>
        <v>OK</v>
      </c>
    </row>
    <row r="7472" spans="2:34" x14ac:dyDescent="0.2">
      <c r="B7472" s="2">
        <f ca="1"/>
        <v>0.36053974093888264</v>
      </c>
      <c r="O7472" s="2">
        <f ca="1"/>
        <v>0.79120178616314818</v>
      </c>
      <c r="X7472" s="2">
        <f ca="1"/>
        <v>39.329007956110267</v>
      </c>
      <c r="AG7472" s="2">
        <f ca="1"/>
        <v>0.17505696137675297</v>
      </c>
      <c r="AH7472" s="2" t="str">
        <f ca="1"/>
        <v>OK</v>
      </c>
    </row>
    <row r="7473" spans="2:34" x14ac:dyDescent="0.2">
      <c r="B7473" s="2">
        <f ca="1"/>
        <v>0.94746843839421113</v>
      </c>
      <c r="O7473" s="2">
        <f ca="1"/>
        <v>0.11221609260119378</v>
      </c>
      <c r="X7473" s="2">
        <f ca="1"/>
        <v>36.98222984193994</v>
      </c>
      <c r="AG7473" s="2">
        <f ca="1"/>
        <v>6.1147664242717115E-2</v>
      </c>
      <c r="AH7473" s="2" t="str">
        <f ca="1"/>
        <v>OK</v>
      </c>
    </row>
    <row r="7474" spans="2:34" x14ac:dyDescent="0.2">
      <c r="B7474" s="2">
        <f ca="1"/>
        <v>0.21804554281826594</v>
      </c>
      <c r="O7474" s="2">
        <f ca="1"/>
        <v>0.83631934462664548</v>
      </c>
      <c r="X7474" s="2">
        <f ca="1"/>
        <v>56.035797197929853</v>
      </c>
      <c r="AG7474" s="2">
        <f ca="1"/>
        <v>0.90800366855518755</v>
      </c>
      <c r="AH7474" s="2" t="str">
        <f ca="1"/>
        <v>Bad</v>
      </c>
    </row>
    <row r="7475" spans="2:34" x14ac:dyDescent="0.2">
      <c r="B7475" s="2">
        <f ca="1"/>
        <v>6.424988906907303E-2</v>
      </c>
      <c r="O7475" s="2">
        <f ca="1"/>
        <v>-0.16052085432365124</v>
      </c>
      <c r="X7475" s="2">
        <f ca="1"/>
        <v>38.441461525091974</v>
      </c>
      <c r="AG7475" s="2">
        <f ca="1"/>
        <v>0.55457342422770139</v>
      </c>
      <c r="AH7475" s="2" t="str">
        <f ca="1"/>
        <v>Bad</v>
      </c>
    </row>
    <row r="7476" spans="2:34" x14ac:dyDescent="0.2">
      <c r="B7476" s="2">
        <f ca="1"/>
        <v>0.22546703581299221</v>
      </c>
      <c r="O7476" s="2">
        <f ca="1"/>
        <v>-0.92782854751871313</v>
      </c>
      <c r="X7476" s="2">
        <f ca="1"/>
        <v>42.054913260246394</v>
      </c>
      <c r="AG7476" s="2">
        <f ca="1"/>
        <v>0.53365321188598847</v>
      </c>
      <c r="AH7476" s="2" t="str">
        <f ca="1"/>
        <v>Bad</v>
      </c>
    </row>
    <row r="7477" spans="2:34" x14ac:dyDescent="0.2">
      <c r="B7477" s="2">
        <f ca="1"/>
        <v>0.67591160333872247</v>
      </c>
      <c r="O7477" s="2">
        <f ca="1"/>
        <v>1.2645817148329104</v>
      </c>
      <c r="X7477" s="2">
        <f ca="1"/>
        <v>51.868280969658677</v>
      </c>
      <c r="AG7477" s="2">
        <f ca="1"/>
        <v>0.68215265695671512</v>
      </c>
      <c r="AH7477" s="2" t="str">
        <f ca="1"/>
        <v>Bad</v>
      </c>
    </row>
    <row r="7478" spans="2:34" x14ac:dyDescent="0.2">
      <c r="B7478" s="2">
        <f ca="1"/>
        <v>0.75547090119065197</v>
      </c>
      <c r="O7478" s="2">
        <f ca="1"/>
        <v>-0.86477421767817064</v>
      </c>
      <c r="X7478" s="2">
        <f ca="1"/>
        <v>50.288479833476941</v>
      </c>
      <c r="AG7478" s="2">
        <f ca="1"/>
        <v>0.15124067766740779</v>
      </c>
      <c r="AH7478" s="2" t="str">
        <f ca="1"/>
        <v>OK</v>
      </c>
    </row>
    <row r="7479" spans="2:34" x14ac:dyDescent="0.2">
      <c r="B7479" s="2">
        <f ca="1"/>
        <v>0.61920617185790428</v>
      </c>
      <c r="O7479" s="2">
        <f ca="1"/>
        <v>1.4658702612237227</v>
      </c>
      <c r="X7479" s="2">
        <f ca="1"/>
        <v>49.970615880354508</v>
      </c>
      <c r="AG7479" s="2">
        <f ca="1"/>
        <v>0.289595373630533</v>
      </c>
      <c r="AH7479" s="2" t="str">
        <f ca="1"/>
        <v>OK</v>
      </c>
    </row>
    <row r="7480" spans="2:34" x14ac:dyDescent="0.2">
      <c r="B7480" s="2">
        <f ca="1"/>
        <v>0.43238539895758921</v>
      </c>
      <c r="O7480" s="2">
        <f ca="1"/>
        <v>0.4759965767143241</v>
      </c>
      <c r="X7480" s="2">
        <f ca="1"/>
        <v>27.593890756636362</v>
      </c>
      <c r="AG7480" s="2">
        <f ca="1"/>
        <v>5.8511959714699691E-2</v>
      </c>
      <c r="AH7480" s="2" t="str">
        <f ca="1"/>
        <v>OK</v>
      </c>
    </row>
    <row r="7481" spans="2:34" x14ac:dyDescent="0.2">
      <c r="B7481" s="2">
        <f ca="1"/>
        <v>1.1007086750773887E-2</v>
      </c>
      <c r="O7481" s="2">
        <f ca="1"/>
        <v>-0.26768428367729263</v>
      </c>
      <c r="X7481" s="2">
        <f ca="1"/>
        <v>48.702788251516395</v>
      </c>
      <c r="AG7481" s="2">
        <f ca="1"/>
        <v>0.81724755470109023</v>
      </c>
      <c r="AH7481" s="2" t="str">
        <f ca="1"/>
        <v>Bad</v>
      </c>
    </row>
    <row r="7482" spans="2:34" x14ac:dyDescent="0.2">
      <c r="B7482" s="2">
        <f ca="1"/>
        <v>6.1522153853339701E-2</v>
      </c>
      <c r="O7482" s="2">
        <f ca="1"/>
        <v>0.97686497020692875</v>
      </c>
      <c r="X7482" s="2">
        <f ca="1"/>
        <v>68.054261658224618</v>
      </c>
      <c r="AG7482" s="2">
        <f ca="1"/>
        <v>0.47293691174483743</v>
      </c>
      <c r="AH7482" s="2" t="str">
        <f ca="1"/>
        <v>Bad</v>
      </c>
    </row>
    <row r="7483" spans="2:34" x14ac:dyDescent="0.2">
      <c r="B7483" s="2">
        <f ca="1"/>
        <v>0.88597039079323214</v>
      </c>
      <c r="O7483" s="2">
        <f ca="1"/>
        <v>0.28416932091110741</v>
      </c>
      <c r="X7483" s="2">
        <f ca="1"/>
        <v>22.344457312527016</v>
      </c>
      <c r="AG7483" s="2">
        <f ca="1"/>
        <v>1.8870706423853356E-2</v>
      </c>
      <c r="AH7483" s="2" t="str">
        <f ca="1"/>
        <v>Good</v>
      </c>
    </row>
    <row r="7484" spans="2:34" x14ac:dyDescent="0.2">
      <c r="B7484" s="2">
        <f ca="1"/>
        <v>0.64043028749691233</v>
      </c>
      <c r="O7484" s="2">
        <f ca="1"/>
        <v>-1.5618709105298054</v>
      </c>
      <c r="X7484" s="2">
        <f ca="1"/>
        <v>54.386182543437904</v>
      </c>
      <c r="AG7484" s="2">
        <f ca="1"/>
        <v>1.6018340852002044E-2</v>
      </c>
      <c r="AH7484" s="2" t="str">
        <f ca="1"/>
        <v>Good</v>
      </c>
    </row>
    <row r="7485" spans="2:34" x14ac:dyDescent="0.2">
      <c r="B7485" s="2">
        <f ca="1"/>
        <v>0.72580949570837139</v>
      </c>
      <c r="O7485" s="2">
        <f ca="1"/>
        <v>-1.7006224049838763</v>
      </c>
      <c r="X7485" s="2">
        <f ca="1"/>
        <v>37.17275310887662</v>
      </c>
      <c r="AG7485" s="2">
        <f ca="1"/>
        <v>0.82178310015659384</v>
      </c>
      <c r="AH7485" s="2" t="str">
        <f ca="1"/>
        <v>Bad</v>
      </c>
    </row>
    <row r="7486" spans="2:34" x14ac:dyDescent="0.2">
      <c r="B7486" s="2">
        <f ca="1"/>
        <v>0.4075038729874243</v>
      </c>
      <c r="O7486" s="2">
        <f ca="1"/>
        <v>1.5494756911897459E-2</v>
      </c>
      <c r="X7486" s="2">
        <f ca="1"/>
        <v>52.26259861181974</v>
      </c>
      <c r="AG7486" s="2">
        <f ca="1"/>
        <v>7.9002630942756724E-2</v>
      </c>
      <c r="AH7486" s="2" t="str">
        <f ca="1"/>
        <v>OK</v>
      </c>
    </row>
    <row r="7487" spans="2:34" x14ac:dyDescent="0.2">
      <c r="B7487" s="2">
        <f ca="1"/>
        <v>0.57767541714680215</v>
      </c>
      <c r="O7487" s="2">
        <f ca="1"/>
        <v>0.46166038989578023</v>
      </c>
      <c r="X7487" s="2">
        <f ca="1"/>
        <v>56.258666128370976</v>
      </c>
      <c r="AG7487" s="2">
        <f ca="1"/>
        <v>0.70663559911532947</v>
      </c>
      <c r="AH7487" s="2" t="str">
        <f ca="1"/>
        <v>Bad</v>
      </c>
    </row>
    <row r="7488" spans="2:34" x14ac:dyDescent="0.2">
      <c r="B7488" s="2">
        <f ca="1"/>
        <v>0.83078377644263712</v>
      </c>
      <c r="O7488" s="2">
        <f ca="1"/>
        <v>0.11348877328025521</v>
      </c>
      <c r="X7488" s="2">
        <f ca="1"/>
        <v>54.622439725676735</v>
      </c>
      <c r="AG7488" s="2">
        <f ca="1"/>
        <v>0.46957370373228891</v>
      </c>
      <c r="AH7488" s="2" t="str">
        <f ca="1"/>
        <v>Bad</v>
      </c>
    </row>
    <row r="7489" spans="2:34" x14ac:dyDescent="0.2">
      <c r="B7489" s="2">
        <f ca="1"/>
        <v>0.76068524328441978</v>
      </c>
      <c r="O7489" s="2">
        <f ca="1"/>
        <v>1.5841474997166387</v>
      </c>
      <c r="X7489" s="2">
        <f ca="1"/>
        <v>30.617925422526213</v>
      </c>
      <c r="AG7489" s="2">
        <f ca="1"/>
        <v>0.66605179794494562</v>
      </c>
      <c r="AH7489" s="2" t="str">
        <f ca="1"/>
        <v>Bad</v>
      </c>
    </row>
    <row r="7490" spans="2:34" x14ac:dyDescent="0.2">
      <c r="B7490" s="2">
        <f ca="1"/>
        <v>0.70727284456518169</v>
      </c>
      <c r="O7490" s="2">
        <f ca="1"/>
        <v>-2.4355158575266551</v>
      </c>
      <c r="X7490" s="2">
        <f ca="1"/>
        <v>41.273347187651709</v>
      </c>
      <c r="AG7490" s="2">
        <f ca="1"/>
        <v>4.5219488658109874E-2</v>
      </c>
      <c r="AH7490" s="2" t="str">
        <f ca="1"/>
        <v>Good</v>
      </c>
    </row>
    <row r="7491" spans="2:34" x14ac:dyDescent="0.2">
      <c r="B7491" s="2">
        <f ca="1"/>
        <v>0.62569684695257854</v>
      </c>
      <c r="O7491" s="2">
        <f ca="1"/>
        <v>0.19327555921402351</v>
      </c>
      <c r="X7491" s="2">
        <f ca="1"/>
        <v>15.311635116658199</v>
      </c>
      <c r="AG7491" s="2">
        <f ca="1"/>
        <v>0.17350831992814997</v>
      </c>
      <c r="AH7491" s="2" t="str">
        <f ca="1"/>
        <v>OK</v>
      </c>
    </row>
    <row r="7492" spans="2:34" x14ac:dyDescent="0.2">
      <c r="B7492" s="2">
        <f ca="1"/>
        <v>0.46054227296560435</v>
      </c>
      <c r="O7492" s="2">
        <f ca="1"/>
        <v>-2.7879314093394784E-2</v>
      </c>
      <c r="X7492" s="2">
        <f ca="1"/>
        <v>68.382157764213929</v>
      </c>
      <c r="AG7492" s="2">
        <f ca="1"/>
        <v>0.66149889159168773</v>
      </c>
      <c r="AH7492" s="2" t="str">
        <f ca="1"/>
        <v>Bad</v>
      </c>
    </row>
    <row r="7493" spans="2:34" x14ac:dyDescent="0.2">
      <c r="B7493" s="2">
        <f ca="1"/>
        <v>0.17300285145981364</v>
      </c>
      <c r="O7493" s="2">
        <f ca="1"/>
        <v>0.36873795287875288</v>
      </c>
      <c r="X7493" s="2">
        <f ca="1"/>
        <v>52.322219578215496</v>
      </c>
      <c r="AG7493" s="2">
        <f ca="1"/>
        <v>7.1988660092676682E-3</v>
      </c>
      <c r="AH7493" s="2" t="str">
        <f ca="1"/>
        <v>Good</v>
      </c>
    </row>
    <row r="7494" spans="2:34" x14ac:dyDescent="0.2">
      <c r="B7494" s="2">
        <f ca="1"/>
        <v>0.57878976408826377</v>
      </c>
      <c r="O7494" s="2">
        <f ca="1"/>
        <v>-0.2949261522741749</v>
      </c>
      <c r="X7494" s="2">
        <f ca="1"/>
        <v>73.175892506451959</v>
      </c>
      <c r="AG7494" s="2">
        <f ca="1"/>
        <v>0.55380914948092963</v>
      </c>
      <c r="AH7494" s="2" t="str">
        <f ca="1"/>
        <v>Bad</v>
      </c>
    </row>
    <row r="7495" spans="2:34" x14ac:dyDescent="0.2">
      <c r="B7495" s="2">
        <f ca="1"/>
        <v>0.46083852604668363</v>
      </c>
      <c r="O7495" s="2">
        <f ca="1"/>
        <v>0.51210516565559583</v>
      </c>
      <c r="X7495" s="2">
        <f ca="1"/>
        <v>48.888274003930206</v>
      </c>
      <c r="AG7495" s="2">
        <f ca="1"/>
        <v>0.2573236137319066</v>
      </c>
      <c r="AH7495" s="2" t="str">
        <f ca="1"/>
        <v>OK</v>
      </c>
    </row>
    <row r="7496" spans="2:34" x14ac:dyDescent="0.2">
      <c r="B7496" s="2">
        <f ca="1"/>
        <v>0.68635203133970224</v>
      </c>
      <c r="O7496" s="2">
        <f ca="1"/>
        <v>0.31214173514515775</v>
      </c>
      <c r="X7496" s="2">
        <f ca="1"/>
        <v>36.093571675109516</v>
      </c>
      <c r="AG7496" s="2">
        <f ca="1"/>
        <v>0.88377030817172031</v>
      </c>
      <c r="AH7496" s="2" t="str">
        <f ca="1"/>
        <v>Bad</v>
      </c>
    </row>
    <row r="7497" spans="2:34" x14ac:dyDescent="0.2">
      <c r="B7497" s="2">
        <f ca="1"/>
        <v>0.28299777076771937</v>
      </c>
      <c r="O7497" s="2">
        <f ca="1"/>
        <v>0.91635485894489066</v>
      </c>
      <c r="X7497" s="2">
        <f ca="1"/>
        <v>54.351202881410657</v>
      </c>
      <c r="AG7497" s="2">
        <f ca="1"/>
        <v>0.23905129391839486</v>
      </c>
      <c r="AH7497" s="2" t="str">
        <f ca="1"/>
        <v>OK</v>
      </c>
    </row>
    <row r="7498" spans="2:34" x14ac:dyDescent="0.2">
      <c r="B7498" s="2">
        <f ca="1"/>
        <v>0.53104304024899585</v>
      </c>
      <c r="O7498" s="2">
        <f ca="1"/>
        <v>0.34512065339314563</v>
      </c>
      <c r="X7498" s="2">
        <f ca="1"/>
        <v>44.299101499175528</v>
      </c>
      <c r="AG7498" s="2">
        <f ca="1"/>
        <v>0.13253675935815479</v>
      </c>
      <c r="AH7498" s="2" t="str">
        <f ca="1"/>
        <v>OK</v>
      </c>
    </row>
    <row r="7499" spans="2:34" x14ac:dyDescent="0.2">
      <c r="B7499" s="2">
        <f ca="1"/>
        <v>0.51484912485722978</v>
      </c>
      <c r="O7499" s="2">
        <f ca="1"/>
        <v>0.19664606542103505</v>
      </c>
      <c r="X7499" s="2">
        <f ca="1"/>
        <v>39.654042857680977</v>
      </c>
      <c r="AG7499" s="2">
        <f ca="1"/>
        <v>0.96045237399640815</v>
      </c>
      <c r="AH7499" s="2" t="str">
        <f ca="1"/>
        <v>Bad</v>
      </c>
    </row>
    <row r="7500" spans="2:34" x14ac:dyDescent="0.2">
      <c r="B7500" s="2">
        <f ca="1"/>
        <v>0.88315373296124489</v>
      </c>
      <c r="O7500" s="2">
        <f ca="1"/>
        <v>-0.91269715153946163</v>
      </c>
      <c r="X7500" s="2">
        <f ca="1"/>
        <v>49.076284820296969</v>
      </c>
      <c r="AG7500" s="2">
        <f ca="1"/>
        <v>0.39799979120775708</v>
      </c>
      <c r="AH7500" s="2" t="str">
        <f ca="1"/>
        <v>OK</v>
      </c>
    </row>
    <row r="7501" spans="2:34" x14ac:dyDescent="0.2">
      <c r="B7501" s="2">
        <f ca="1"/>
        <v>8.7846373132362876E-2</v>
      </c>
      <c r="O7501" s="2">
        <f ca="1"/>
        <v>0.38892228575648552</v>
      </c>
      <c r="X7501" s="2">
        <f ca="1"/>
        <v>55.285844503070194</v>
      </c>
      <c r="AG7501" s="2">
        <f ca="1"/>
        <v>1.190654608600461E-2</v>
      </c>
      <c r="AH7501" s="2" t="str">
        <f ca="1"/>
        <v>Good</v>
      </c>
    </row>
    <row r="7502" spans="2:34" x14ac:dyDescent="0.2">
      <c r="B7502" s="2">
        <f ca="1"/>
        <v>0.76375230197214994</v>
      </c>
      <c r="O7502" s="2">
        <f ca="1"/>
        <v>5.0953057062130498E-2</v>
      </c>
      <c r="X7502" s="2">
        <f ca="1"/>
        <v>28.64564352551788</v>
      </c>
      <c r="AG7502" s="2">
        <f ca="1"/>
        <v>0.44157238269511634</v>
      </c>
      <c r="AH7502" s="2" t="str">
        <f ca="1"/>
        <v>Bad</v>
      </c>
    </row>
    <row r="7503" spans="2:34" x14ac:dyDescent="0.2">
      <c r="B7503" s="2">
        <f ca="1"/>
        <v>0.3334478560980787</v>
      </c>
      <c r="O7503" s="2">
        <f ca="1"/>
        <v>0.49013853351292275</v>
      </c>
      <c r="X7503" s="2">
        <f ca="1"/>
        <v>37.928720688034893</v>
      </c>
      <c r="AG7503" s="2">
        <f ca="1"/>
        <v>0.63996456194767459</v>
      </c>
      <c r="AH7503" s="2" t="str">
        <f ca="1"/>
        <v>Bad</v>
      </c>
    </row>
    <row r="7504" spans="2:34" x14ac:dyDescent="0.2">
      <c r="B7504" s="2">
        <f ca="1"/>
        <v>0.4249024234653147</v>
      </c>
      <c r="O7504" s="2">
        <f ca="1"/>
        <v>-3.0087139766902807E-2</v>
      </c>
      <c r="X7504" s="2">
        <f ca="1"/>
        <v>41.916309394158475</v>
      </c>
      <c r="AG7504" s="2">
        <f ca="1"/>
        <v>0.80958112323917297</v>
      </c>
      <c r="AH7504" s="2" t="str">
        <f ca="1"/>
        <v>Bad</v>
      </c>
    </row>
    <row r="7505" spans="2:34" x14ac:dyDescent="0.2">
      <c r="B7505" s="2">
        <f ca="1"/>
        <v>0.29311913339356122</v>
      </c>
      <c r="O7505" s="2">
        <f ca="1"/>
        <v>-3.724751889011188E-2</v>
      </c>
      <c r="X7505" s="2">
        <f ca="1"/>
        <v>48.42913167501802</v>
      </c>
      <c r="AG7505" s="2">
        <f ca="1"/>
        <v>0.72566275678744563</v>
      </c>
      <c r="AH7505" s="2" t="str">
        <f ca="1"/>
        <v>Bad</v>
      </c>
    </row>
    <row r="7506" spans="2:34" x14ac:dyDescent="0.2">
      <c r="B7506" s="2">
        <f ca="1"/>
        <v>0.33205985266519833</v>
      </c>
      <c r="O7506" s="2">
        <f ca="1"/>
        <v>0.5689826518080584</v>
      </c>
      <c r="X7506" s="2">
        <f ca="1"/>
        <v>38.640425854272436</v>
      </c>
      <c r="AG7506" s="2">
        <f ca="1"/>
        <v>0.42095559968396712</v>
      </c>
      <c r="AH7506" s="2" t="str">
        <f ca="1"/>
        <v>Bad</v>
      </c>
    </row>
    <row r="7507" spans="2:34" x14ac:dyDescent="0.2">
      <c r="B7507" s="2">
        <f ca="1"/>
        <v>0.80682042972120449</v>
      </c>
      <c r="O7507" s="2">
        <f ca="1"/>
        <v>-0.18215124209305369</v>
      </c>
      <c r="X7507" s="2">
        <f ca="1"/>
        <v>55.562939532185212</v>
      </c>
      <c r="AG7507" s="2">
        <f ca="1"/>
        <v>0.74091477959045093</v>
      </c>
      <c r="AH7507" s="2" t="str">
        <f ca="1"/>
        <v>Bad</v>
      </c>
    </row>
    <row r="7508" spans="2:34" x14ac:dyDescent="0.2">
      <c r="B7508" s="2">
        <f ca="1"/>
        <v>0.68901665043925342</v>
      </c>
      <c r="O7508" s="2">
        <f ca="1"/>
        <v>-0.69882054321756315</v>
      </c>
      <c r="X7508" s="2">
        <f ca="1"/>
        <v>82.160995979127733</v>
      </c>
      <c r="AG7508" s="2">
        <f ca="1"/>
        <v>0.57093699327004055</v>
      </c>
      <c r="AH7508" s="2" t="str">
        <f ca="1"/>
        <v>Bad</v>
      </c>
    </row>
    <row r="7509" spans="2:34" x14ac:dyDescent="0.2">
      <c r="B7509" s="2">
        <f ca="1"/>
        <v>0.7889776490993512</v>
      </c>
      <c r="O7509" s="2">
        <f ca="1"/>
        <v>0.83663570592951164</v>
      </c>
      <c r="X7509" s="2">
        <f ca="1"/>
        <v>74.463245786671166</v>
      </c>
      <c r="AG7509" s="2">
        <f ca="1"/>
        <v>0.75796757016648408</v>
      </c>
      <c r="AH7509" s="2" t="str">
        <f ca="1"/>
        <v>Bad</v>
      </c>
    </row>
    <row r="7510" spans="2:34" x14ac:dyDescent="0.2">
      <c r="B7510" s="2">
        <f ca="1"/>
        <v>0.10870604876015744</v>
      </c>
      <c r="O7510" s="2">
        <f ca="1"/>
        <v>1.7688064972387176</v>
      </c>
      <c r="X7510" s="2">
        <f ca="1"/>
        <v>31.96208614371502</v>
      </c>
      <c r="AG7510" s="2">
        <f ca="1"/>
        <v>0.34748225927074849</v>
      </c>
      <c r="AH7510" s="2" t="str">
        <f ca="1"/>
        <v>OK</v>
      </c>
    </row>
    <row r="7511" spans="2:34" x14ac:dyDescent="0.2">
      <c r="B7511" s="2">
        <f ca="1"/>
        <v>0.54390597627094883</v>
      </c>
      <c r="O7511" s="2">
        <f ca="1"/>
        <v>0.71415371328595567</v>
      </c>
      <c r="X7511" s="2">
        <f ca="1"/>
        <v>54.152148493377048</v>
      </c>
      <c r="AG7511" s="2">
        <f ca="1"/>
        <v>0.63472361769010344</v>
      </c>
      <c r="AH7511" s="2" t="str">
        <f ca="1"/>
        <v>Bad</v>
      </c>
    </row>
    <row r="7512" spans="2:34" x14ac:dyDescent="0.2">
      <c r="B7512" s="2">
        <f ca="1"/>
        <v>1.2018428956263261E-2</v>
      </c>
      <c r="O7512" s="2">
        <f ca="1"/>
        <v>-1.0176070270591508</v>
      </c>
      <c r="X7512" s="2">
        <f ca="1"/>
        <v>67.110822603126593</v>
      </c>
      <c r="AG7512" s="2">
        <f ca="1"/>
        <v>0.47383290652175747</v>
      </c>
      <c r="AH7512" s="2" t="str">
        <f ca="1"/>
        <v>Bad</v>
      </c>
    </row>
    <row r="7513" spans="2:34" x14ac:dyDescent="0.2">
      <c r="B7513" s="2">
        <f ca="1"/>
        <v>0.69401611122972628</v>
      </c>
      <c r="O7513" s="2">
        <f ca="1"/>
        <v>6.472141378910877E-2</v>
      </c>
      <c r="X7513" s="2">
        <f ca="1"/>
        <v>68.042850475235809</v>
      </c>
      <c r="AG7513" s="2">
        <f ca="1"/>
        <v>0.55858964253104149</v>
      </c>
      <c r="AH7513" s="2" t="str">
        <f ca="1"/>
        <v>Bad</v>
      </c>
    </row>
    <row r="7514" spans="2:34" x14ac:dyDescent="0.2">
      <c r="B7514" s="2">
        <f ca="1"/>
        <v>0.53231769457880307</v>
      </c>
      <c r="O7514" s="2">
        <f ca="1"/>
        <v>0.53608150755594564</v>
      </c>
      <c r="X7514" s="2">
        <f ca="1"/>
        <v>36.793011684667313</v>
      </c>
      <c r="AG7514" s="2">
        <f ca="1"/>
        <v>0.66125968752057407</v>
      </c>
      <c r="AH7514" s="2" t="str">
        <f ca="1"/>
        <v>Bad</v>
      </c>
    </row>
    <row r="7515" spans="2:34" x14ac:dyDescent="0.2">
      <c r="B7515" s="2">
        <f ca="1"/>
        <v>6.9116471964021375E-2</v>
      </c>
      <c r="O7515" s="2">
        <f ca="1"/>
        <v>-1.9731204721633027</v>
      </c>
      <c r="X7515" s="2">
        <f ca="1"/>
        <v>22.871896684600692</v>
      </c>
      <c r="AG7515" s="2">
        <f ca="1"/>
        <v>0.80925373286615798</v>
      </c>
      <c r="AH7515" s="2" t="str">
        <f ca="1"/>
        <v>Bad</v>
      </c>
    </row>
    <row r="7516" spans="2:34" x14ac:dyDescent="0.2">
      <c r="B7516" s="2">
        <f ca="1"/>
        <v>0.74608647335141098</v>
      </c>
      <c r="O7516" s="2">
        <f ca="1"/>
        <v>1.1101491869905151</v>
      </c>
      <c r="X7516" s="2">
        <f ca="1"/>
        <v>73.073726524864441</v>
      </c>
      <c r="AG7516" s="2">
        <f ca="1"/>
        <v>0.27796503563248454</v>
      </c>
      <c r="AH7516" s="2" t="str">
        <f ca="1"/>
        <v>OK</v>
      </c>
    </row>
    <row r="7517" spans="2:34" x14ac:dyDescent="0.2">
      <c r="B7517" s="2">
        <f ca="1"/>
        <v>0.28221578407565162</v>
      </c>
      <c r="O7517" s="2">
        <f ca="1"/>
        <v>0.90722955921720805</v>
      </c>
      <c r="X7517" s="2">
        <f ca="1"/>
        <v>51.816325857614451</v>
      </c>
      <c r="AG7517" s="2">
        <f ca="1"/>
        <v>0.40905286570745591</v>
      </c>
      <c r="AH7517" s="2" t="str">
        <f ca="1"/>
        <v>Bad</v>
      </c>
    </row>
    <row r="7518" spans="2:34" x14ac:dyDescent="0.2">
      <c r="B7518" s="2">
        <f ca="1"/>
        <v>0.17057501100215622</v>
      </c>
      <c r="O7518" s="2">
        <f ca="1"/>
        <v>3.8506786204451499E-3</v>
      </c>
      <c r="X7518" s="2">
        <f ca="1"/>
        <v>52.277394138379769</v>
      </c>
      <c r="AG7518" s="2">
        <f ca="1"/>
        <v>0.93435903368656059</v>
      </c>
      <c r="AH7518" s="2" t="str">
        <f ca="1"/>
        <v>Bad</v>
      </c>
    </row>
    <row r="7519" spans="2:34" x14ac:dyDescent="0.2">
      <c r="B7519" s="2">
        <f ca="1"/>
        <v>0.61469461258664726</v>
      </c>
      <c r="O7519" s="2">
        <f ca="1"/>
        <v>-0.29706664307350472</v>
      </c>
      <c r="X7519" s="2">
        <f ca="1"/>
        <v>71.591451984026804</v>
      </c>
      <c r="AG7519" s="2">
        <f ca="1"/>
        <v>0.32759588246095861</v>
      </c>
      <c r="AH7519" s="2" t="str">
        <f ca="1"/>
        <v>OK</v>
      </c>
    </row>
    <row r="7520" spans="2:34" x14ac:dyDescent="0.2">
      <c r="B7520" s="2">
        <f ca="1"/>
        <v>0.67975979437089729</v>
      </c>
      <c r="O7520" s="2">
        <f ca="1"/>
        <v>-0.40631222274654272</v>
      </c>
      <c r="X7520" s="2">
        <f ca="1"/>
        <v>59.362172861553766</v>
      </c>
      <c r="AG7520" s="2">
        <f ca="1"/>
        <v>0.10420752195695604</v>
      </c>
      <c r="AH7520" s="2" t="str">
        <f ca="1"/>
        <v>OK</v>
      </c>
    </row>
    <row r="7521" spans="2:34" x14ac:dyDescent="0.2">
      <c r="B7521" s="2">
        <f ca="1"/>
        <v>0.42392416148971201</v>
      </c>
      <c r="O7521" s="2">
        <f ca="1"/>
        <v>1.6237405163981242</v>
      </c>
      <c r="X7521" s="2">
        <f ca="1"/>
        <v>72.683616773849892</v>
      </c>
      <c r="AG7521" s="2">
        <f ca="1"/>
        <v>0.67581560444829436</v>
      </c>
      <c r="AH7521" s="2" t="str">
        <f ca="1"/>
        <v>Bad</v>
      </c>
    </row>
    <row r="7522" spans="2:34" x14ac:dyDescent="0.2">
      <c r="B7522" s="2">
        <f ca="1"/>
        <v>0.36441906649632205</v>
      </c>
      <c r="O7522" s="2">
        <f ca="1"/>
        <v>2.8896972021110559</v>
      </c>
      <c r="X7522" s="2">
        <f ca="1"/>
        <v>110.01421195621511</v>
      </c>
      <c r="AG7522" s="2">
        <f ca="1"/>
        <v>0.2148342276506241</v>
      </c>
      <c r="AH7522" s="2" t="str">
        <f ca="1"/>
        <v>OK</v>
      </c>
    </row>
    <row r="7523" spans="2:34" x14ac:dyDescent="0.2">
      <c r="B7523" s="2">
        <f ca="1"/>
        <v>0.27035897849705726</v>
      </c>
      <c r="O7523" s="2">
        <f ca="1"/>
        <v>0.70156989455327334</v>
      </c>
      <c r="X7523" s="2">
        <f ca="1"/>
        <v>53.875872511134084</v>
      </c>
      <c r="AG7523" s="2">
        <f ca="1"/>
        <v>0.62771796335818975</v>
      </c>
      <c r="AH7523" s="2" t="str">
        <f ca="1"/>
        <v>Bad</v>
      </c>
    </row>
    <row r="7524" spans="2:34" x14ac:dyDescent="0.2">
      <c r="B7524" s="2">
        <f ca="1"/>
        <v>2.6422058268049664E-2</v>
      </c>
      <c r="O7524" s="2">
        <f ca="1"/>
        <v>-0.51194533825935506</v>
      </c>
      <c r="X7524" s="2">
        <f ca="1"/>
        <v>39.950713261702198</v>
      </c>
      <c r="AG7524" s="2">
        <f ca="1"/>
        <v>0.4074277980641432</v>
      </c>
      <c r="AH7524" s="2" t="str">
        <f ca="1"/>
        <v>Bad</v>
      </c>
    </row>
    <row r="7525" spans="2:34" x14ac:dyDescent="0.2">
      <c r="B7525" s="2">
        <f ca="1"/>
        <v>0.76478511371556457</v>
      </c>
      <c r="O7525" s="2">
        <f ca="1"/>
        <v>0.59822767841766511</v>
      </c>
      <c r="X7525" s="2">
        <f ca="1"/>
        <v>29.146387026349011</v>
      </c>
      <c r="AG7525" s="2">
        <f ca="1"/>
        <v>0.61920920865899021</v>
      </c>
      <c r="AH7525" s="2" t="str">
        <f ca="1"/>
        <v>Bad</v>
      </c>
    </row>
    <row r="7526" spans="2:34" x14ac:dyDescent="0.2">
      <c r="B7526" s="2">
        <f ca="1"/>
        <v>0.96303245917552593</v>
      </c>
      <c r="O7526" s="2">
        <f ca="1"/>
        <v>1.3246011564835101</v>
      </c>
      <c r="X7526" s="2">
        <f ca="1"/>
        <v>54.386171238083335</v>
      </c>
      <c r="AG7526" s="2">
        <f ca="1"/>
        <v>0.16038215722197013</v>
      </c>
      <c r="AH7526" s="2" t="str">
        <f ca="1"/>
        <v>OK</v>
      </c>
    </row>
    <row r="7527" spans="2:34" x14ac:dyDescent="0.2">
      <c r="B7527" s="2">
        <f ca="1"/>
        <v>0.54745765232835764</v>
      </c>
      <c r="O7527" s="2">
        <f ca="1"/>
        <v>0.81181368946926102</v>
      </c>
      <c r="X7527" s="2">
        <f ca="1"/>
        <v>55.277041484202854</v>
      </c>
      <c r="AG7527" s="2">
        <f ca="1"/>
        <v>3.786078016096317E-2</v>
      </c>
      <c r="AH7527" s="2" t="str">
        <f ca="1"/>
        <v>Good</v>
      </c>
    </row>
    <row r="7528" spans="2:34" x14ac:dyDescent="0.2">
      <c r="B7528" s="2">
        <f ca="1"/>
        <v>0.65367631975295271</v>
      </c>
      <c r="O7528" s="2">
        <f ca="1"/>
        <v>0.15107034499857744</v>
      </c>
      <c r="X7528" s="2">
        <f ca="1"/>
        <v>97.548323339676344</v>
      </c>
      <c r="AG7528" s="2">
        <f ca="1"/>
        <v>6.8040700121705822E-2</v>
      </c>
      <c r="AH7528" s="2" t="str">
        <f ca="1"/>
        <v>OK</v>
      </c>
    </row>
    <row r="7529" spans="2:34" x14ac:dyDescent="0.2">
      <c r="B7529" s="2">
        <f ca="1"/>
        <v>0.98521727128863179</v>
      </c>
      <c r="O7529" s="2">
        <f ca="1"/>
        <v>1.8123944872043338</v>
      </c>
      <c r="X7529" s="2">
        <f ca="1"/>
        <v>55.552678364837661</v>
      </c>
      <c r="AG7529" s="2">
        <f ca="1"/>
        <v>0.16328448829071807</v>
      </c>
      <c r="AH7529" s="2" t="str">
        <f ca="1"/>
        <v>OK</v>
      </c>
    </row>
    <row r="7530" spans="2:34" x14ac:dyDescent="0.2">
      <c r="B7530" s="2">
        <f ca="1"/>
        <v>4.1855979463815807E-2</v>
      </c>
      <c r="O7530" s="2">
        <f ca="1"/>
        <v>-0.31470859034135812</v>
      </c>
      <c r="X7530" s="2">
        <f ca="1"/>
        <v>87.17126732017374</v>
      </c>
      <c r="AG7530" s="2">
        <f ca="1"/>
        <v>0.12988268432844263</v>
      </c>
      <c r="AH7530" s="2" t="str">
        <f ca="1"/>
        <v>OK</v>
      </c>
    </row>
    <row r="7531" spans="2:34" x14ac:dyDescent="0.2">
      <c r="B7531" s="2">
        <f ca="1"/>
        <v>0.80939199609232859</v>
      </c>
      <c r="O7531" s="2">
        <f ca="1"/>
        <v>-1.1663073324588842</v>
      </c>
      <c r="X7531" s="2">
        <f ca="1"/>
        <v>72.664998978035328</v>
      </c>
      <c r="AG7531" s="2">
        <f ca="1"/>
        <v>0.21297042112984199</v>
      </c>
      <c r="AH7531" s="2" t="str">
        <f ca="1"/>
        <v>OK</v>
      </c>
    </row>
    <row r="7532" spans="2:34" x14ac:dyDescent="0.2">
      <c r="B7532" s="2">
        <f ca="1"/>
        <v>0.91296172759174299</v>
      </c>
      <c r="O7532" s="2">
        <f ca="1"/>
        <v>9.4293999065585332E-2</v>
      </c>
      <c r="X7532" s="2">
        <f ca="1"/>
        <v>39.898169295427984</v>
      </c>
      <c r="AG7532" s="2">
        <f ca="1"/>
        <v>0.86583496117055603</v>
      </c>
      <c r="AH7532" s="2" t="str">
        <f ca="1"/>
        <v>Bad</v>
      </c>
    </row>
    <row r="7533" spans="2:34" x14ac:dyDescent="0.2">
      <c r="B7533" s="2">
        <f ca="1"/>
        <v>0.14165795921519964</v>
      </c>
      <c r="O7533" s="2">
        <f ca="1"/>
        <v>-0.71807382505432704</v>
      </c>
      <c r="X7533" s="2">
        <f ca="1"/>
        <v>38.859919015405033</v>
      </c>
      <c r="AG7533" s="2">
        <f ca="1"/>
        <v>0.29094602816377968</v>
      </c>
      <c r="AH7533" s="2" t="str">
        <f ca="1"/>
        <v>OK</v>
      </c>
    </row>
    <row r="7534" spans="2:34" x14ac:dyDescent="0.2">
      <c r="B7534" s="2">
        <f ca="1"/>
        <v>0.6277899650935872</v>
      </c>
      <c r="O7534" s="2">
        <f ca="1"/>
        <v>-1.2034010740158401</v>
      </c>
      <c r="X7534" s="2">
        <f ca="1"/>
        <v>51.374783883124422</v>
      </c>
      <c r="AG7534" s="2">
        <f ca="1"/>
        <v>0.76698880135638259</v>
      </c>
      <c r="AH7534" s="2" t="str">
        <f ca="1"/>
        <v>Bad</v>
      </c>
    </row>
    <row r="7535" spans="2:34" x14ac:dyDescent="0.2">
      <c r="B7535" s="2">
        <f ca="1"/>
        <v>0.60346460458290219</v>
      </c>
      <c r="O7535" s="2">
        <f ca="1"/>
        <v>0.14182469993103738</v>
      </c>
      <c r="X7535" s="2">
        <f ca="1"/>
        <v>44.093555300305809</v>
      </c>
      <c r="AG7535" s="2">
        <f ca="1"/>
        <v>0.78493613727222167</v>
      </c>
      <c r="AH7535" s="2" t="str">
        <f ca="1"/>
        <v>Bad</v>
      </c>
    </row>
    <row r="7536" spans="2:34" x14ac:dyDescent="0.2">
      <c r="B7536" s="2">
        <f ca="1"/>
        <v>0.72070676012421542</v>
      </c>
      <c r="O7536" s="2">
        <f ca="1"/>
        <v>0.2228871709600462</v>
      </c>
      <c r="X7536" s="2">
        <f ca="1"/>
        <v>41.895907193965641</v>
      </c>
      <c r="AG7536" s="2">
        <f ca="1"/>
        <v>0.21621468225011653</v>
      </c>
      <c r="AH7536" s="2" t="str">
        <f ca="1"/>
        <v>OK</v>
      </c>
    </row>
    <row r="7537" spans="2:34" x14ac:dyDescent="0.2">
      <c r="B7537" s="2">
        <f ca="1"/>
        <v>0.17341837965906448</v>
      </c>
      <c r="O7537" s="2">
        <f ca="1"/>
        <v>-0.42061835221291533</v>
      </c>
      <c r="X7537" s="2">
        <f ca="1"/>
        <v>31.42133876685536</v>
      </c>
      <c r="AG7537" s="2">
        <f ca="1"/>
        <v>0.69153746387481796</v>
      </c>
      <c r="AH7537" s="2" t="str">
        <f ca="1"/>
        <v>Bad</v>
      </c>
    </row>
    <row r="7538" spans="2:34" x14ac:dyDescent="0.2">
      <c r="B7538" s="2">
        <f ca="1"/>
        <v>0.54145073288921464</v>
      </c>
      <c r="O7538" s="2">
        <f ca="1"/>
        <v>-0.50400285474129924</v>
      </c>
      <c r="X7538" s="2">
        <f ca="1"/>
        <v>54.539258195691204</v>
      </c>
      <c r="AG7538" s="2">
        <f ca="1"/>
        <v>0.80385691407710502</v>
      </c>
      <c r="AH7538" s="2" t="str">
        <f ca="1"/>
        <v>Bad</v>
      </c>
    </row>
    <row r="7539" spans="2:34" x14ac:dyDescent="0.2">
      <c r="B7539" s="2">
        <f ca="1"/>
        <v>0.3790416607333229</v>
      </c>
      <c r="O7539" s="2">
        <f ca="1"/>
        <v>1.907210176154682</v>
      </c>
      <c r="X7539" s="2">
        <f ca="1"/>
        <v>37.461967907621471</v>
      </c>
      <c r="AG7539" s="2">
        <f ca="1"/>
        <v>0.37411111250637208</v>
      </c>
      <c r="AH7539" s="2" t="str">
        <f ca="1"/>
        <v>OK</v>
      </c>
    </row>
    <row r="7540" spans="2:34" x14ac:dyDescent="0.2">
      <c r="B7540" s="2">
        <f ca="1"/>
        <v>4.1985972222965406E-2</v>
      </c>
      <c r="O7540" s="2">
        <f ca="1"/>
        <v>-1.1647089128443406</v>
      </c>
      <c r="X7540" s="2">
        <f ca="1"/>
        <v>48.640599814190651</v>
      </c>
      <c r="AG7540" s="2">
        <f ca="1"/>
        <v>0.35254019269376857</v>
      </c>
      <c r="AH7540" s="2" t="str">
        <f ca="1"/>
        <v>OK</v>
      </c>
    </row>
    <row r="7541" spans="2:34" x14ac:dyDescent="0.2">
      <c r="B7541" s="2">
        <f ca="1"/>
        <v>9.2169552807100485E-2</v>
      </c>
      <c r="O7541" s="2">
        <f ca="1"/>
        <v>-1.225371648141337</v>
      </c>
      <c r="X7541" s="2">
        <f ca="1"/>
        <v>39.426550510308672</v>
      </c>
      <c r="AG7541" s="2">
        <f ca="1"/>
        <v>0.13013066387385019</v>
      </c>
      <c r="AH7541" s="2" t="str">
        <f ca="1"/>
        <v>OK</v>
      </c>
    </row>
    <row r="7542" spans="2:34" x14ac:dyDescent="0.2">
      <c r="B7542" s="2">
        <f ca="1"/>
        <v>0.49561636936381204</v>
      </c>
      <c r="O7542" s="2">
        <f ca="1"/>
        <v>0.15867035719568731</v>
      </c>
      <c r="X7542" s="2">
        <f ca="1"/>
        <v>47.053256192932494</v>
      </c>
      <c r="AG7542" s="2">
        <f ca="1"/>
        <v>0.54569760552340529</v>
      </c>
      <c r="AH7542" s="2" t="str">
        <f ca="1"/>
        <v>Bad</v>
      </c>
    </row>
    <row r="7543" spans="2:34" x14ac:dyDescent="0.2">
      <c r="B7543" s="2">
        <f ca="1"/>
        <v>0.67378772934081921</v>
      </c>
      <c r="O7543" s="2">
        <f ca="1"/>
        <v>0.68215295169874746</v>
      </c>
      <c r="X7543" s="2">
        <f ca="1"/>
        <v>51.208333416201256</v>
      </c>
      <c r="AG7543" s="2">
        <f ca="1"/>
        <v>0.19848897939013455</v>
      </c>
      <c r="AH7543" s="2" t="str">
        <f ca="1"/>
        <v>OK</v>
      </c>
    </row>
    <row r="7544" spans="2:34" x14ac:dyDescent="0.2">
      <c r="B7544" s="2">
        <f ca="1"/>
        <v>0.54268118887706507</v>
      </c>
      <c r="O7544" s="2">
        <f ca="1"/>
        <v>0.61922743871160602</v>
      </c>
      <c r="X7544" s="2">
        <f ca="1"/>
        <v>47.850694271135374</v>
      </c>
      <c r="AG7544" s="2">
        <f ca="1"/>
        <v>0.80607242710382176</v>
      </c>
      <c r="AH7544" s="2" t="str">
        <f ca="1"/>
        <v>Bad</v>
      </c>
    </row>
    <row r="7545" spans="2:34" x14ac:dyDescent="0.2">
      <c r="B7545" s="2">
        <f ca="1"/>
        <v>9.2992531041623083E-2</v>
      </c>
      <c r="O7545" s="2">
        <f ca="1"/>
        <v>-8.1209565748977197E-2</v>
      </c>
      <c r="X7545" s="2">
        <f ca="1"/>
        <v>71.686875623894593</v>
      </c>
      <c r="AG7545" s="2">
        <f ca="1"/>
        <v>0.70197387686362411</v>
      </c>
      <c r="AH7545" s="2" t="str">
        <f ca="1"/>
        <v>Bad</v>
      </c>
    </row>
    <row r="7546" spans="2:34" x14ac:dyDescent="0.2">
      <c r="B7546" s="2">
        <f ca="1"/>
        <v>0.2326920571758091</v>
      </c>
      <c r="O7546" s="2">
        <f ca="1"/>
        <v>0.1680835197532479</v>
      </c>
      <c r="X7546" s="2">
        <f ca="1"/>
        <v>55.245921646002202</v>
      </c>
      <c r="AG7546" s="2">
        <f ca="1"/>
        <v>0.72998887762550635</v>
      </c>
      <c r="AH7546" s="2" t="str">
        <f ca="1"/>
        <v>Bad</v>
      </c>
    </row>
    <row r="7547" spans="2:34" x14ac:dyDescent="0.2">
      <c r="B7547" s="2">
        <f ca="1"/>
        <v>0.87535663452273305</v>
      </c>
      <c r="O7547" s="2">
        <f ca="1"/>
        <v>1.6420648314773463</v>
      </c>
      <c r="X7547" s="2">
        <f ca="1"/>
        <v>39.619443754358159</v>
      </c>
      <c r="AG7547" s="2">
        <f ca="1"/>
        <v>0.4151623241498219</v>
      </c>
      <c r="AH7547" s="2" t="str">
        <f ca="1"/>
        <v>Bad</v>
      </c>
    </row>
    <row r="7548" spans="2:34" x14ac:dyDescent="0.2">
      <c r="B7548" s="2">
        <f ca="1"/>
        <v>0.86616122931463391</v>
      </c>
      <c r="O7548" s="2">
        <f ca="1"/>
        <v>1.6480526826202446E-2</v>
      </c>
      <c r="X7548" s="2">
        <f ca="1"/>
        <v>62.881884702960363</v>
      </c>
      <c r="AG7548" s="2">
        <f ca="1"/>
        <v>0.85751455330495174</v>
      </c>
      <c r="AH7548" s="2" t="str">
        <f ca="1"/>
        <v>Bad</v>
      </c>
    </row>
    <row r="7549" spans="2:34" x14ac:dyDescent="0.2">
      <c r="B7549" s="2">
        <f ca="1"/>
        <v>0.77644611499103</v>
      </c>
      <c r="O7549" s="2">
        <f ca="1"/>
        <v>1.8665916416654151</v>
      </c>
      <c r="X7549" s="2">
        <f ca="1"/>
        <v>50.046704190458229</v>
      </c>
      <c r="AG7549" s="2">
        <f ca="1"/>
        <v>0.94818000973500727</v>
      </c>
      <c r="AH7549" s="2" t="str">
        <f ca="1"/>
        <v>Bad</v>
      </c>
    </row>
    <row r="7550" spans="2:34" x14ac:dyDescent="0.2">
      <c r="B7550" s="2">
        <f ca="1"/>
        <v>0.3720096016833514</v>
      </c>
      <c r="O7550" s="2">
        <f ca="1"/>
        <v>-1.6041123627104692</v>
      </c>
      <c r="X7550" s="2">
        <f ca="1"/>
        <v>50.20011938674719</v>
      </c>
      <c r="AG7550" s="2">
        <f ca="1"/>
        <v>0.7629201282064777</v>
      </c>
      <c r="AH7550" s="2" t="str">
        <f ca="1"/>
        <v>Bad</v>
      </c>
    </row>
    <row r="7551" spans="2:34" x14ac:dyDescent="0.2">
      <c r="B7551" s="2">
        <f ca="1"/>
        <v>4.9287146562559947E-4</v>
      </c>
      <c r="O7551" s="2">
        <f ca="1"/>
        <v>-0.43296600795411583</v>
      </c>
      <c r="X7551" s="2">
        <f ca="1"/>
        <v>46.229498624857477</v>
      </c>
      <c r="AG7551" s="2">
        <f ca="1"/>
        <v>0.33171306009543478</v>
      </c>
      <c r="AH7551" s="2" t="str">
        <f ca="1"/>
        <v>OK</v>
      </c>
    </row>
    <row r="7552" spans="2:34" x14ac:dyDescent="0.2">
      <c r="B7552" s="2">
        <f ca="1"/>
        <v>0.299972836684399</v>
      </c>
      <c r="O7552" s="2">
        <f ca="1"/>
        <v>-0.91382543008387374</v>
      </c>
      <c r="X7552" s="2">
        <f ca="1"/>
        <v>65.515354829306659</v>
      </c>
      <c r="AG7552" s="2">
        <f ca="1"/>
        <v>0.36130413101414138</v>
      </c>
      <c r="AH7552" s="2" t="str">
        <f ca="1"/>
        <v>OK</v>
      </c>
    </row>
    <row r="7553" spans="2:34" x14ac:dyDescent="0.2">
      <c r="B7553" s="2">
        <f ca="1"/>
        <v>0.54511832650921233</v>
      </c>
      <c r="O7553" s="2">
        <f ca="1"/>
        <v>0.71035296455644015</v>
      </c>
      <c r="X7553" s="2">
        <f ca="1"/>
        <v>53.092291098013092</v>
      </c>
      <c r="AG7553" s="2">
        <f ca="1"/>
        <v>0.98152804051935538</v>
      </c>
      <c r="AH7553" s="2" t="str">
        <f ca="1"/>
        <v>Bad</v>
      </c>
    </row>
    <row r="7554" spans="2:34" x14ac:dyDescent="0.2">
      <c r="B7554" s="2">
        <f ca="1"/>
        <v>0.38807543887857343</v>
      </c>
      <c r="O7554" s="2">
        <f ca="1"/>
        <v>-0.44421155305872601</v>
      </c>
      <c r="X7554" s="2">
        <f ca="1"/>
        <v>50.61533107000394</v>
      </c>
      <c r="AG7554" s="2">
        <f ca="1"/>
        <v>0.24273071109779121</v>
      </c>
      <c r="AH7554" s="2" t="str">
        <f ca="1"/>
        <v>OK</v>
      </c>
    </row>
    <row r="7555" spans="2:34" x14ac:dyDescent="0.2">
      <c r="B7555" s="2">
        <f ca="1"/>
        <v>0.14517343626116475</v>
      </c>
      <c r="O7555" s="2">
        <f ca="1"/>
        <v>-0.79455177710069891</v>
      </c>
      <c r="X7555" s="2">
        <f ca="1"/>
        <v>55.148421961955954</v>
      </c>
      <c r="AG7555" s="2">
        <f ca="1"/>
        <v>0.26359723172004168</v>
      </c>
      <c r="AH7555" s="2" t="str">
        <f ca="1"/>
        <v>OK</v>
      </c>
    </row>
    <row r="7556" spans="2:34" x14ac:dyDescent="0.2">
      <c r="B7556" s="2">
        <f ca="1"/>
        <v>0.18317592618791734</v>
      </c>
      <c r="O7556" s="2">
        <f ca="1"/>
        <v>1.1949949064652168</v>
      </c>
      <c r="X7556" s="2">
        <f ca="1"/>
        <v>70.317879376752728</v>
      </c>
      <c r="AG7556" s="2">
        <f ca="1"/>
        <v>0.59230153659815743</v>
      </c>
      <c r="AH7556" s="2" t="str">
        <f ca="1"/>
        <v>Bad</v>
      </c>
    </row>
    <row r="7557" spans="2:34" x14ac:dyDescent="0.2">
      <c r="B7557" s="2">
        <f ca="1"/>
        <v>3.763921929569336E-2</v>
      </c>
      <c r="O7557" s="2">
        <f ca="1"/>
        <v>-1.1052346778575122</v>
      </c>
      <c r="X7557" s="2">
        <f ca="1"/>
        <v>64.865392157261411</v>
      </c>
      <c r="AG7557" s="2">
        <f ca="1"/>
        <v>7.3533243526543668E-2</v>
      </c>
      <c r="AH7557" s="2" t="str">
        <f ca="1"/>
        <v>OK</v>
      </c>
    </row>
    <row r="7558" spans="2:34" x14ac:dyDescent="0.2">
      <c r="B7558" s="2">
        <f ca="1"/>
        <v>0.41273536791243259</v>
      </c>
      <c r="O7558" s="2">
        <f ca="1"/>
        <v>-0.77532944563474104</v>
      </c>
      <c r="X7558" s="2">
        <f ca="1"/>
        <v>49.414270270919722</v>
      </c>
      <c r="AG7558" s="2">
        <f ca="1"/>
        <v>0.7664990782543144</v>
      </c>
      <c r="AH7558" s="2" t="str">
        <f ca="1"/>
        <v>Bad</v>
      </c>
    </row>
    <row r="7559" spans="2:34" x14ac:dyDescent="0.2">
      <c r="B7559" s="2">
        <f ca="1"/>
        <v>8.3908883241859744E-2</v>
      </c>
      <c r="O7559" s="2">
        <f ca="1"/>
        <v>-0.41878794469468011</v>
      </c>
      <c r="X7559" s="2">
        <f ca="1"/>
        <v>43.985681494135349</v>
      </c>
      <c r="AG7559" s="2">
        <f ca="1"/>
        <v>0.79365273429184913</v>
      </c>
      <c r="AH7559" s="2" t="str">
        <f ca="1"/>
        <v>Bad</v>
      </c>
    </row>
    <row r="7560" spans="2:34" x14ac:dyDescent="0.2">
      <c r="B7560" s="2">
        <f ca="1"/>
        <v>0.30115908749958087</v>
      </c>
      <c r="O7560" s="2">
        <f ca="1"/>
        <v>-0.28598581046757587</v>
      </c>
      <c r="X7560" s="2">
        <f ca="1"/>
        <v>28.519542744175471</v>
      </c>
      <c r="AG7560" s="2">
        <f ca="1"/>
        <v>0.82704190453248305</v>
      </c>
      <c r="AH7560" s="2" t="str">
        <f ca="1"/>
        <v>Bad</v>
      </c>
    </row>
    <row r="7561" spans="2:34" x14ac:dyDescent="0.2">
      <c r="B7561" s="2">
        <f ca="1"/>
        <v>0.52855273684276449</v>
      </c>
      <c r="O7561" s="2">
        <f ca="1"/>
        <v>-0.50542209928459347</v>
      </c>
      <c r="X7561" s="2">
        <f ca="1"/>
        <v>43.84095248779073</v>
      </c>
      <c r="AG7561" s="2">
        <f ca="1"/>
        <v>0.74817480423693716</v>
      </c>
      <c r="AH7561" s="2" t="str">
        <f ca="1"/>
        <v>Bad</v>
      </c>
    </row>
    <row r="7562" spans="2:34" x14ac:dyDescent="0.2">
      <c r="B7562" s="2">
        <f ca="1"/>
        <v>0.13760617626804938</v>
      </c>
      <c r="O7562" s="2">
        <f ca="1"/>
        <v>-2.1742470311739446</v>
      </c>
      <c r="X7562" s="2">
        <f ca="1"/>
        <v>54.146824881883916</v>
      </c>
      <c r="AG7562" s="2">
        <f ca="1"/>
        <v>0.3859805015996971</v>
      </c>
      <c r="AH7562" s="2" t="str">
        <f ca="1"/>
        <v>OK</v>
      </c>
    </row>
    <row r="7563" spans="2:34" x14ac:dyDescent="0.2">
      <c r="B7563" s="2">
        <f ca="1"/>
        <v>0.965623705745146</v>
      </c>
      <c r="O7563" s="2">
        <f ca="1"/>
        <v>1.3301238905560944</v>
      </c>
      <c r="X7563" s="2">
        <f ca="1"/>
        <v>26.341838454261119</v>
      </c>
      <c r="AG7563" s="2">
        <f ca="1"/>
        <v>0.76260083564476622</v>
      </c>
      <c r="AH7563" s="2" t="str">
        <f ca="1"/>
        <v>Bad</v>
      </c>
    </row>
    <row r="7564" spans="2:34" x14ac:dyDescent="0.2">
      <c r="B7564" s="2">
        <f ca="1"/>
        <v>0.91331788170976158</v>
      </c>
      <c r="O7564" s="2">
        <f ca="1"/>
        <v>-0.16884147557134879</v>
      </c>
      <c r="X7564" s="2">
        <f ca="1"/>
        <v>38.067556481998473</v>
      </c>
      <c r="AG7564" s="2">
        <f ca="1"/>
        <v>0.35714973769822467</v>
      </c>
      <c r="AH7564" s="2" t="str">
        <f ca="1"/>
        <v>OK</v>
      </c>
    </row>
    <row r="7565" spans="2:34" x14ac:dyDescent="0.2">
      <c r="B7565" s="2">
        <f ca="1"/>
        <v>0.67722540158833522</v>
      </c>
      <c r="O7565" s="2">
        <f ca="1"/>
        <v>-0.32860923714995938</v>
      </c>
      <c r="X7565" s="2">
        <f ca="1"/>
        <v>41.288443985972037</v>
      </c>
      <c r="AG7565" s="2">
        <f ca="1"/>
        <v>0.61620380066857638</v>
      </c>
      <c r="AH7565" s="2" t="str">
        <f ca="1"/>
        <v>Bad</v>
      </c>
    </row>
    <row r="7566" spans="2:34" x14ac:dyDescent="0.2">
      <c r="B7566" s="2">
        <f ca="1"/>
        <v>0.19951929119319023</v>
      </c>
      <c r="O7566" s="2">
        <f ca="1"/>
        <v>-1.184848109382646</v>
      </c>
      <c r="X7566" s="2">
        <f ca="1"/>
        <v>26.966213815535916</v>
      </c>
      <c r="AG7566" s="2">
        <f ca="1"/>
        <v>0.94937209887964857</v>
      </c>
      <c r="AH7566" s="2" t="str">
        <f ca="1"/>
        <v>Bad</v>
      </c>
    </row>
    <row r="7567" spans="2:34" x14ac:dyDescent="0.2">
      <c r="B7567" s="2">
        <f ca="1"/>
        <v>0.64100333271222909</v>
      </c>
      <c r="O7567" s="2">
        <f ca="1"/>
        <v>0.34736189619968988</v>
      </c>
      <c r="X7567" s="2">
        <f ca="1"/>
        <v>54.198299742901177</v>
      </c>
      <c r="AG7567" s="2">
        <f ca="1"/>
        <v>0.88985757704500767</v>
      </c>
      <c r="AH7567" s="2" t="str">
        <f ca="1"/>
        <v>Bad</v>
      </c>
    </row>
    <row r="7568" spans="2:34" x14ac:dyDescent="0.2">
      <c r="B7568" s="2">
        <f ca="1"/>
        <v>1.9624950873335489E-2</v>
      </c>
      <c r="O7568" s="2">
        <f ca="1"/>
        <v>-0.8110172790749095</v>
      </c>
      <c r="X7568" s="2">
        <f ca="1"/>
        <v>47.417602114838331</v>
      </c>
      <c r="AG7568" s="2">
        <f ca="1"/>
        <v>0.60433845871413938</v>
      </c>
      <c r="AH7568" s="2" t="str">
        <f ca="1"/>
        <v>Bad</v>
      </c>
    </row>
    <row r="7569" spans="2:34" x14ac:dyDescent="0.2">
      <c r="B7569" s="2">
        <f ca="1"/>
        <v>0.8873359082393375</v>
      </c>
      <c r="O7569" s="2">
        <f ca="1"/>
        <v>0.27939821483319388</v>
      </c>
      <c r="X7569" s="2">
        <f ca="1"/>
        <v>65.935683349972038</v>
      </c>
      <c r="AG7569" s="2">
        <f ca="1"/>
        <v>0.59486777646287159</v>
      </c>
      <c r="AH7569" s="2" t="str">
        <f ca="1"/>
        <v>Bad</v>
      </c>
    </row>
    <row r="7570" spans="2:34" x14ac:dyDescent="0.2">
      <c r="B7570" s="2">
        <f ca="1"/>
        <v>0.94432885146058365</v>
      </c>
      <c r="O7570" s="2">
        <f ca="1"/>
        <v>-1.2993893111118937</v>
      </c>
      <c r="X7570" s="2">
        <f ca="1"/>
        <v>44.813562558719049</v>
      </c>
      <c r="AG7570" s="2">
        <f ca="1"/>
        <v>0.37703026296277065</v>
      </c>
      <c r="AH7570" s="2" t="str">
        <f ca="1"/>
        <v>OK</v>
      </c>
    </row>
    <row r="7571" spans="2:34" x14ac:dyDescent="0.2">
      <c r="B7571" s="2">
        <f ca="1"/>
        <v>0.66158903045824546</v>
      </c>
      <c r="O7571" s="2">
        <f ca="1"/>
        <v>1.3961091229542855</v>
      </c>
      <c r="X7571" s="2">
        <f ca="1"/>
        <v>34.432927178942549</v>
      </c>
      <c r="AG7571" s="2">
        <f ca="1"/>
        <v>0.68092955143626366</v>
      </c>
      <c r="AH7571" s="2" t="str">
        <f ca="1"/>
        <v>Bad</v>
      </c>
    </row>
    <row r="7572" spans="2:34" x14ac:dyDescent="0.2">
      <c r="B7572" s="2">
        <f ca="1"/>
        <v>0.8320710512757914</v>
      </c>
      <c r="O7572" s="2">
        <f ca="1"/>
        <v>-3.3092870248104068E-2</v>
      </c>
      <c r="X7572" s="2">
        <f ca="1"/>
        <v>70.928089494798186</v>
      </c>
      <c r="AG7572" s="2">
        <f ca="1"/>
        <v>4.1033100192157335E-2</v>
      </c>
      <c r="AH7572" s="2" t="str">
        <f ca="1"/>
        <v>Good</v>
      </c>
    </row>
    <row r="7573" spans="2:34" x14ac:dyDescent="0.2">
      <c r="B7573" s="2">
        <f ca="1"/>
        <v>0.4458818220966132</v>
      </c>
      <c r="O7573" s="2">
        <f ca="1"/>
        <v>0.72087314086222898</v>
      </c>
      <c r="X7573" s="2">
        <f ca="1"/>
        <v>34.706861018649448</v>
      </c>
      <c r="AG7573" s="2">
        <f ca="1"/>
        <v>0.93178179478668954</v>
      </c>
      <c r="AH7573" s="2" t="str">
        <f ca="1"/>
        <v>Bad</v>
      </c>
    </row>
    <row r="7574" spans="2:34" x14ac:dyDescent="0.2">
      <c r="B7574" s="2">
        <f ca="1"/>
        <v>0.77966510012268131</v>
      </c>
      <c r="O7574" s="2">
        <f ca="1"/>
        <v>2.1814394556832786E-2</v>
      </c>
      <c r="X7574" s="2">
        <f ca="1"/>
        <v>48.433254473018259</v>
      </c>
      <c r="AG7574" s="2">
        <f ca="1"/>
        <v>0.78052432274586203</v>
      </c>
      <c r="AH7574" s="2" t="str">
        <f ca="1"/>
        <v>Bad</v>
      </c>
    </row>
    <row r="7575" spans="2:34" x14ac:dyDescent="0.2">
      <c r="B7575" s="2">
        <f ca="1"/>
        <v>5.3286607248706819E-2</v>
      </c>
      <c r="O7575" s="2">
        <f ca="1"/>
        <v>-0.4940168688631682</v>
      </c>
      <c r="X7575" s="2">
        <f ca="1"/>
        <v>54.753239757894711</v>
      </c>
      <c r="AG7575" s="2">
        <f ca="1"/>
        <v>0.87815706524908754</v>
      </c>
      <c r="AH7575" s="2" t="str">
        <f ca="1"/>
        <v>Bad</v>
      </c>
    </row>
    <row r="7576" spans="2:34" x14ac:dyDescent="0.2">
      <c r="B7576" s="2">
        <f ca="1"/>
        <v>0.84857167140217693</v>
      </c>
      <c r="O7576" s="2">
        <f ca="1"/>
        <v>0.11655475738549265</v>
      </c>
      <c r="X7576" s="2">
        <f ca="1"/>
        <v>56.248874152197665</v>
      </c>
      <c r="AG7576" s="2">
        <f ca="1"/>
        <v>0.83165302934914909</v>
      </c>
      <c r="AH7576" s="2" t="str">
        <f ca="1"/>
        <v>Bad</v>
      </c>
    </row>
    <row r="7577" spans="2:34" x14ac:dyDescent="0.2">
      <c r="B7577" s="2">
        <f ca="1"/>
        <v>0.68157386193177771</v>
      </c>
      <c r="O7577" s="2">
        <f ca="1"/>
        <v>0.59880311596371039</v>
      </c>
      <c r="X7577" s="2">
        <f ca="1"/>
        <v>47.013366372548646</v>
      </c>
      <c r="AG7577" s="2">
        <f ca="1"/>
        <v>0.80905299457001156</v>
      </c>
      <c r="AH7577" s="2" t="str">
        <f ca="1"/>
        <v>Bad</v>
      </c>
    </row>
    <row r="7578" spans="2:34" x14ac:dyDescent="0.2">
      <c r="B7578" s="2">
        <f ca="1"/>
        <v>0.90168305601250465</v>
      </c>
      <c r="O7578" s="2">
        <f ca="1"/>
        <v>-1.7092640860513846</v>
      </c>
      <c r="X7578" s="2">
        <f ca="1"/>
        <v>56.298877888633541</v>
      </c>
      <c r="AG7578" s="2">
        <f ca="1"/>
        <v>0.59292992282972201</v>
      </c>
      <c r="AH7578" s="2" t="str">
        <f ca="1"/>
        <v>Bad</v>
      </c>
    </row>
    <row r="7579" spans="2:34" x14ac:dyDescent="0.2">
      <c r="B7579" s="2">
        <f ca="1"/>
        <v>0.45515483689892888</v>
      </c>
      <c r="O7579" s="2">
        <f ca="1"/>
        <v>-0.50593825485269095</v>
      </c>
      <c r="X7579" s="2">
        <f ca="1"/>
        <v>42.930174695648596</v>
      </c>
      <c r="AG7579" s="2">
        <f ca="1"/>
        <v>0.39352506930284625</v>
      </c>
      <c r="AH7579" s="2" t="str">
        <f ca="1"/>
        <v>OK</v>
      </c>
    </row>
    <row r="7580" spans="2:34" x14ac:dyDescent="0.2">
      <c r="B7580" s="2">
        <f ca="1"/>
        <v>0.43750601801130085</v>
      </c>
      <c r="O7580" s="2">
        <f ca="1"/>
        <v>-0.96610440781999296</v>
      </c>
      <c r="X7580" s="2">
        <f ca="1"/>
        <v>92.407267316343663</v>
      </c>
      <c r="AG7580" s="2">
        <f ca="1"/>
        <v>3.3525736946472762E-2</v>
      </c>
      <c r="AH7580" s="2" t="str">
        <f ca="1"/>
        <v>Good</v>
      </c>
    </row>
    <row r="7581" spans="2:34" x14ac:dyDescent="0.2">
      <c r="B7581" s="2">
        <f ca="1"/>
        <v>0.43915183019430915</v>
      </c>
      <c r="O7581" s="2">
        <f ca="1"/>
        <v>-0.2026008396690312</v>
      </c>
      <c r="X7581" s="2">
        <f ca="1"/>
        <v>64.86211211164597</v>
      </c>
      <c r="AG7581" s="2">
        <f ca="1"/>
        <v>0.34951012159259265</v>
      </c>
      <c r="AH7581" s="2" t="str">
        <f ca="1"/>
        <v>OK</v>
      </c>
    </row>
    <row r="7582" spans="2:34" x14ac:dyDescent="0.2">
      <c r="B7582" s="2">
        <f ca="1"/>
        <v>0.38831575785304873</v>
      </c>
      <c r="O7582" s="2">
        <f ca="1"/>
        <v>0.68372452040600673</v>
      </c>
      <c r="X7582" s="2">
        <f ca="1"/>
        <v>45.647081362030875</v>
      </c>
      <c r="AG7582" s="2">
        <f ca="1"/>
        <v>0.58901858154984699</v>
      </c>
      <c r="AH7582" s="2" t="str">
        <f ca="1"/>
        <v>Bad</v>
      </c>
    </row>
    <row r="7583" spans="2:34" x14ac:dyDescent="0.2">
      <c r="B7583" s="2">
        <f ca="1"/>
        <v>0.84463634700759926</v>
      </c>
      <c r="O7583" s="2">
        <f ca="1"/>
        <v>-1.1356625904615822</v>
      </c>
      <c r="X7583" s="2">
        <f ca="1"/>
        <v>49.266807396054553</v>
      </c>
      <c r="AG7583" s="2">
        <f ca="1"/>
        <v>0.1272033900199212</v>
      </c>
      <c r="AH7583" s="2" t="str">
        <f ca="1"/>
        <v>OK</v>
      </c>
    </row>
    <row r="7584" spans="2:34" x14ac:dyDescent="0.2">
      <c r="B7584" s="2">
        <f ca="1"/>
        <v>2.034577476625743E-2</v>
      </c>
      <c r="O7584" s="2">
        <f ca="1"/>
        <v>-0.88566400063965922</v>
      </c>
      <c r="X7584" s="2">
        <f ca="1"/>
        <v>47.325590286185118</v>
      </c>
      <c r="AG7584" s="2">
        <f ca="1"/>
        <v>0.34613022018644846</v>
      </c>
      <c r="AH7584" s="2" t="str">
        <f ca="1"/>
        <v>OK</v>
      </c>
    </row>
    <row r="7585" spans="2:34" x14ac:dyDescent="0.2">
      <c r="B7585" s="2">
        <f ca="1"/>
        <v>0.8988270461954746</v>
      </c>
      <c r="O7585" s="2">
        <f ca="1"/>
        <v>0.44616238320459778</v>
      </c>
      <c r="X7585" s="2">
        <f ca="1"/>
        <v>53.033174062024116</v>
      </c>
      <c r="AG7585" s="2">
        <f ca="1"/>
        <v>0.99041906362972365</v>
      </c>
      <c r="AH7585" s="2" t="str">
        <f ca="1"/>
        <v>Bad</v>
      </c>
    </row>
    <row r="7586" spans="2:34" x14ac:dyDescent="0.2">
      <c r="B7586" s="2">
        <f ca="1"/>
        <v>0.88530496657897872</v>
      </c>
      <c r="O7586" s="2">
        <f ca="1"/>
        <v>0.32080214833061271</v>
      </c>
      <c r="X7586" s="2">
        <f ca="1"/>
        <v>59.354725359337053</v>
      </c>
      <c r="AG7586" s="2">
        <f ca="1"/>
        <v>0.60290634433691048</v>
      </c>
      <c r="AH7586" s="2" t="str">
        <f ca="1"/>
        <v>Bad</v>
      </c>
    </row>
    <row r="7587" spans="2:34" x14ac:dyDescent="0.2">
      <c r="B7587" s="2">
        <f ca="1"/>
        <v>0.72072473447101482</v>
      </c>
      <c r="O7587" s="2">
        <f ca="1"/>
        <v>1.6352480677762629</v>
      </c>
      <c r="X7587" s="2">
        <f ca="1"/>
        <v>32.961713820647432</v>
      </c>
      <c r="AG7587" s="2">
        <f ca="1"/>
        <v>0.13195259425064765</v>
      </c>
      <c r="AH7587" s="2" t="str">
        <f ca="1"/>
        <v>OK</v>
      </c>
    </row>
    <row r="7588" spans="2:34" x14ac:dyDescent="0.2">
      <c r="B7588" s="2">
        <f ca="1"/>
        <v>0.9970710221129313</v>
      </c>
      <c r="O7588" s="2">
        <f ca="1"/>
        <v>0.42803453489775184</v>
      </c>
      <c r="X7588" s="2">
        <f ca="1"/>
        <v>49.588248637486103</v>
      </c>
      <c r="AG7588" s="2">
        <f ca="1"/>
        <v>0.48262557834510345</v>
      </c>
      <c r="AH7588" s="2" t="str">
        <f ca="1"/>
        <v>Bad</v>
      </c>
    </row>
    <row r="7589" spans="2:34" x14ac:dyDescent="0.2">
      <c r="B7589" s="2">
        <f ca="1"/>
        <v>0.78061015979757431</v>
      </c>
      <c r="O7589" s="2">
        <f ca="1"/>
        <v>-1.5441559840832737</v>
      </c>
      <c r="X7589" s="2">
        <f ca="1"/>
        <v>50.530338968940271</v>
      </c>
      <c r="AG7589" s="2">
        <f ca="1"/>
        <v>8.610433463746836E-2</v>
      </c>
      <c r="AH7589" s="2" t="str">
        <f ca="1"/>
        <v>OK</v>
      </c>
    </row>
    <row r="7590" spans="2:34" x14ac:dyDescent="0.2">
      <c r="B7590" s="2">
        <f ca="1"/>
        <v>0.84483240809841287</v>
      </c>
      <c r="O7590" s="2">
        <f ca="1"/>
        <v>0.72849530993748191</v>
      </c>
      <c r="X7590" s="2">
        <f ca="1"/>
        <v>58.968215828742061</v>
      </c>
      <c r="AG7590" s="2">
        <f ca="1"/>
        <v>0.22465611375862737</v>
      </c>
      <c r="AH7590" s="2" t="str">
        <f ca="1"/>
        <v>OK</v>
      </c>
    </row>
    <row r="7591" spans="2:34" x14ac:dyDescent="0.2">
      <c r="B7591" s="2">
        <f ca="1"/>
        <v>0.54534720384899682</v>
      </c>
      <c r="O7591" s="2">
        <f ca="1"/>
        <v>1.1457993044308508</v>
      </c>
      <c r="X7591" s="2">
        <f ca="1"/>
        <v>61.156372765430866</v>
      </c>
      <c r="AG7591" s="2">
        <f ca="1"/>
        <v>0.29778119648659307</v>
      </c>
      <c r="AH7591" s="2" t="str">
        <f ca="1"/>
        <v>OK</v>
      </c>
    </row>
    <row r="7592" spans="2:34" x14ac:dyDescent="0.2">
      <c r="B7592" s="2">
        <f ca="1"/>
        <v>0.34129474440921492</v>
      </c>
      <c r="O7592" s="2">
        <f ca="1"/>
        <v>-1.8752150063129176</v>
      </c>
      <c r="X7592" s="2">
        <f ca="1"/>
        <v>33.604119875476727</v>
      </c>
      <c r="AG7592" s="2">
        <f ca="1"/>
        <v>0.73214271582582602</v>
      </c>
      <c r="AH7592" s="2" t="str">
        <f ca="1"/>
        <v>Bad</v>
      </c>
    </row>
    <row r="7593" spans="2:34" x14ac:dyDescent="0.2">
      <c r="B7593" s="2">
        <f ca="1"/>
        <v>0.1978201938367754</v>
      </c>
      <c r="O7593" s="2">
        <f ca="1"/>
        <v>-0.60035830133630008</v>
      </c>
      <c r="X7593" s="2">
        <f ca="1"/>
        <v>29.765030430788432</v>
      </c>
      <c r="AG7593" s="2">
        <f ca="1"/>
        <v>0.48540381754339479</v>
      </c>
      <c r="AH7593" s="2" t="str">
        <f ca="1"/>
        <v>Bad</v>
      </c>
    </row>
    <row r="7594" spans="2:34" x14ac:dyDescent="0.2">
      <c r="B7594" s="2">
        <f ca="1"/>
        <v>0.96744099082210377</v>
      </c>
      <c r="O7594" s="2">
        <f ca="1"/>
        <v>2.7749024265612644E-2</v>
      </c>
      <c r="X7594" s="2">
        <f ca="1"/>
        <v>40.37562680733042</v>
      </c>
      <c r="AG7594" s="2">
        <f ca="1"/>
        <v>1.0708741760317109E-2</v>
      </c>
      <c r="AH7594" s="2" t="str">
        <f ca="1"/>
        <v>Good</v>
      </c>
    </row>
    <row r="7595" spans="2:34" x14ac:dyDescent="0.2">
      <c r="B7595" s="2">
        <f ca="1"/>
        <v>0.44086900137979912</v>
      </c>
      <c r="O7595" s="2">
        <f ca="1"/>
        <v>-0.56121125098255742</v>
      </c>
      <c r="X7595" s="2">
        <f ca="1"/>
        <v>62.591040015326811</v>
      </c>
      <c r="AG7595" s="2">
        <f ca="1"/>
        <v>0.83584508474652064</v>
      </c>
      <c r="AH7595" s="2" t="str">
        <f ca="1"/>
        <v>Bad</v>
      </c>
    </row>
    <row r="7596" spans="2:34" x14ac:dyDescent="0.2">
      <c r="B7596" s="2">
        <f ca="1"/>
        <v>0.45539263260666463</v>
      </c>
      <c r="O7596" s="2">
        <f ca="1"/>
        <v>-0.55144081745629281</v>
      </c>
      <c r="X7596" s="2">
        <f ca="1"/>
        <v>40.283076408221277</v>
      </c>
      <c r="AG7596" s="2">
        <f ca="1"/>
        <v>0.98661542628936449</v>
      </c>
      <c r="AH7596" s="2" t="str">
        <f ca="1"/>
        <v>Bad</v>
      </c>
    </row>
    <row r="7597" spans="2:34" x14ac:dyDescent="0.2">
      <c r="B7597" s="2">
        <f ca="1"/>
        <v>0.56212751410275064</v>
      </c>
      <c r="O7597" s="2">
        <f ca="1"/>
        <v>0.57110583790836666</v>
      </c>
      <c r="X7597" s="2">
        <f ca="1"/>
        <v>45.199665484740159</v>
      </c>
      <c r="AG7597" s="2">
        <f ca="1"/>
        <v>0.67000812078765448</v>
      </c>
      <c r="AH7597" s="2" t="str">
        <f ca="1"/>
        <v>Bad</v>
      </c>
    </row>
    <row r="7598" spans="2:34" x14ac:dyDescent="0.2">
      <c r="B7598" s="2">
        <f ca="1"/>
        <v>0.83755689257340871</v>
      </c>
      <c r="O7598" s="2">
        <f ca="1"/>
        <v>0.35760120000966694</v>
      </c>
      <c r="X7598" s="2">
        <f ca="1"/>
        <v>44.173921231019662</v>
      </c>
      <c r="AG7598" s="2">
        <f ca="1"/>
        <v>0.75905286515286963</v>
      </c>
      <c r="AH7598" s="2" t="str">
        <f ca="1"/>
        <v>Bad</v>
      </c>
    </row>
    <row r="7599" spans="2:34" x14ac:dyDescent="0.2">
      <c r="B7599" s="2">
        <f ca="1"/>
        <v>0.74554797795925731</v>
      </c>
      <c r="O7599" s="2">
        <f ca="1"/>
        <v>-0.35145473081921541</v>
      </c>
      <c r="X7599" s="2">
        <f ca="1"/>
        <v>51.434508175969768</v>
      </c>
      <c r="AG7599" s="2">
        <f ca="1"/>
        <v>0.10876260255177517</v>
      </c>
      <c r="AH7599" s="2" t="str">
        <f ca="1"/>
        <v>OK</v>
      </c>
    </row>
    <row r="7600" spans="2:34" x14ac:dyDescent="0.2">
      <c r="B7600" s="2">
        <f ca="1"/>
        <v>0.34604205329620097</v>
      </c>
      <c r="O7600" s="2">
        <f ca="1"/>
        <v>-0.91433854288053706</v>
      </c>
      <c r="X7600" s="2">
        <f ca="1"/>
        <v>47.20543408142079</v>
      </c>
      <c r="AG7600" s="2">
        <f ca="1"/>
        <v>0.65589873160437406</v>
      </c>
      <c r="AH7600" s="2" t="str">
        <f ca="1"/>
        <v>Bad</v>
      </c>
    </row>
    <row r="7601" spans="2:34" x14ac:dyDescent="0.2">
      <c r="B7601" s="2">
        <f ca="1"/>
        <v>0.99590650589452245</v>
      </c>
      <c r="O7601" s="2">
        <f ca="1"/>
        <v>0.37660915962584818</v>
      </c>
      <c r="X7601" s="2">
        <f ca="1"/>
        <v>38.249417913809573</v>
      </c>
      <c r="AG7601" s="2">
        <f ca="1"/>
        <v>0.37494340299205575</v>
      </c>
      <c r="AH7601" s="2" t="str">
        <f ca="1"/>
        <v>OK</v>
      </c>
    </row>
    <row r="7602" spans="2:34" x14ac:dyDescent="0.2">
      <c r="B7602" s="2">
        <f ca="1"/>
        <v>0.62971602388714687</v>
      </c>
      <c r="O7602" s="2">
        <f ca="1"/>
        <v>-0.90872264914087364</v>
      </c>
      <c r="X7602" s="2">
        <f ca="1"/>
        <v>30.003508319934543</v>
      </c>
      <c r="AG7602" s="2">
        <f ca="1"/>
        <v>0.23247882218945337</v>
      </c>
      <c r="AH7602" s="2" t="str">
        <f ca="1"/>
        <v>OK</v>
      </c>
    </row>
    <row r="7603" spans="2:34" x14ac:dyDescent="0.2">
      <c r="B7603" s="2">
        <f ca="1"/>
        <v>0.50158826213990837</v>
      </c>
      <c r="O7603" s="2">
        <f ca="1"/>
        <v>2.9949187565631972</v>
      </c>
      <c r="X7603" s="2">
        <f ca="1"/>
        <v>70.264762003583286</v>
      </c>
      <c r="AG7603" s="2">
        <f ca="1"/>
        <v>2.4319302469344883E-2</v>
      </c>
      <c r="AH7603" s="2" t="str">
        <f ca="1"/>
        <v>Good</v>
      </c>
    </row>
    <row r="7604" spans="2:34" x14ac:dyDescent="0.2">
      <c r="B7604" s="2">
        <f ca="1"/>
        <v>5.2340369680085708E-2</v>
      </c>
      <c r="O7604" s="2">
        <f ca="1"/>
        <v>-1.1096892168887305</v>
      </c>
      <c r="X7604" s="2">
        <f ca="1"/>
        <v>46.78292707655995</v>
      </c>
      <c r="AG7604" s="2">
        <f ca="1"/>
        <v>0.58137789570979725</v>
      </c>
      <c r="AH7604" s="2" t="str">
        <f ca="1"/>
        <v>Bad</v>
      </c>
    </row>
    <row r="7605" spans="2:34" x14ac:dyDescent="0.2">
      <c r="B7605" s="2">
        <f ca="1"/>
        <v>0.26455301466771042</v>
      </c>
      <c r="O7605" s="2">
        <f ca="1"/>
        <v>0.95133731937594257</v>
      </c>
      <c r="X7605" s="2">
        <f ca="1"/>
        <v>49.41111132215476</v>
      </c>
      <c r="AG7605" s="2">
        <f ca="1"/>
        <v>0.93659435617231268</v>
      </c>
      <c r="AH7605" s="2" t="str">
        <f ca="1"/>
        <v>Bad</v>
      </c>
    </row>
    <row r="7606" spans="2:34" x14ac:dyDescent="0.2">
      <c r="B7606" s="2">
        <f ca="1"/>
        <v>0.4416560973631698</v>
      </c>
      <c r="O7606" s="2">
        <f ca="1"/>
        <v>-1.271145354878116</v>
      </c>
      <c r="X7606" s="2">
        <f ca="1"/>
        <v>50.604771958668245</v>
      </c>
      <c r="AG7606" s="2">
        <f ca="1"/>
        <v>0.42871623764554911</v>
      </c>
      <c r="AH7606" s="2" t="str">
        <f ca="1"/>
        <v>Bad</v>
      </c>
    </row>
    <row r="7607" spans="2:34" x14ac:dyDescent="0.2">
      <c r="B7607" s="2">
        <f ca="1"/>
        <v>5.8597358645988917E-2</v>
      </c>
      <c r="O7607" s="2">
        <f ca="1"/>
        <v>-0.20740098900122619</v>
      </c>
      <c r="X7607" s="2">
        <f ca="1"/>
        <v>39.652499487036373</v>
      </c>
      <c r="AG7607" s="2">
        <f ca="1"/>
        <v>0.61226359805008168</v>
      </c>
      <c r="AH7607" s="2" t="str">
        <f ca="1"/>
        <v>Bad</v>
      </c>
    </row>
    <row r="7608" spans="2:34" x14ac:dyDescent="0.2">
      <c r="B7608" s="2">
        <f ca="1"/>
        <v>0.13202858578941923</v>
      </c>
      <c r="O7608" s="2">
        <f ca="1"/>
        <v>0.71574158966405999</v>
      </c>
      <c r="X7608" s="2">
        <f ca="1"/>
        <v>89.004869617384216</v>
      </c>
      <c r="AG7608" s="2">
        <f ca="1"/>
        <v>0.44106578598326651</v>
      </c>
      <c r="AH7608" s="2" t="str">
        <f ca="1"/>
        <v>Bad</v>
      </c>
    </row>
    <row r="7609" spans="2:34" x14ac:dyDescent="0.2">
      <c r="B7609" s="2">
        <f ca="1"/>
        <v>2.6282143119806811E-3</v>
      </c>
      <c r="O7609" s="2">
        <f ca="1"/>
        <v>0.76746101312408299</v>
      </c>
      <c r="X7609" s="2">
        <f ca="1"/>
        <v>38.717138496095139</v>
      </c>
      <c r="AG7609" s="2">
        <f ca="1"/>
        <v>0.33007848819235375</v>
      </c>
      <c r="AH7609" s="2" t="str">
        <f ca="1"/>
        <v>OK</v>
      </c>
    </row>
    <row r="7610" spans="2:34" x14ac:dyDescent="0.2">
      <c r="B7610" s="2">
        <f ca="1"/>
        <v>0.1216904842939317</v>
      </c>
      <c r="O7610" s="2">
        <f ca="1"/>
        <v>0.13819898334492839</v>
      </c>
      <c r="X7610" s="2">
        <f ca="1"/>
        <v>72.599458063360501</v>
      </c>
      <c r="AG7610" s="2">
        <f ca="1"/>
        <v>0.57466076771330132</v>
      </c>
      <c r="AH7610" s="2" t="str">
        <f ca="1"/>
        <v>Bad</v>
      </c>
    </row>
    <row r="7611" spans="2:34" x14ac:dyDescent="0.2">
      <c r="B7611" s="2">
        <f ca="1"/>
        <v>1.9858114155107742E-2</v>
      </c>
      <c r="O7611" s="2">
        <f ca="1"/>
        <v>1.4583717130306197</v>
      </c>
      <c r="X7611" s="2">
        <f ca="1"/>
        <v>20.752476776809985</v>
      </c>
      <c r="AG7611" s="2">
        <f ca="1"/>
        <v>0.73155912751162511</v>
      </c>
      <c r="AH7611" s="2" t="str">
        <f ca="1"/>
        <v>Bad</v>
      </c>
    </row>
    <row r="7612" spans="2:34" x14ac:dyDescent="0.2">
      <c r="B7612" s="2">
        <f ca="1"/>
        <v>0.25550412169695247</v>
      </c>
      <c r="O7612" s="2">
        <f ca="1"/>
        <v>0.59663476057156462</v>
      </c>
      <c r="X7612" s="2">
        <f ca="1"/>
        <v>31.216577060851414</v>
      </c>
      <c r="AG7612" s="2">
        <f ca="1"/>
        <v>0.71594040527397707</v>
      </c>
      <c r="AH7612" s="2" t="str">
        <f ca="1"/>
        <v>Bad</v>
      </c>
    </row>
    <row r="7613" spans="2:34" x14ac:dyDescent="0.2">
      <c r="B7613" s="2">
        <f ca="1"/>
        <v>1.8113046606129002E-2</v>
      </c>
      <c r="O7613" s="2">
        <f ca="1"/>
        <v>0.51134247544334466</v>
      </c>
      <c r="X7613" s="2">
        <f ca="1"/>
        <v>28.847531307319308</v>
      </c>
      <c r="AG7613" s="2">
        <f ca="1"/>
        <v>0.5150008701473483</v>
      </c>
      <c r="AH7613" s="2" t="str">
        <f ca="1"/>
        <v>Bad</v>
      </c>
    </row>
    <row r="7614" spans="2:34" x14ac:dyDescent="0.2">
      <c r="B7614" s="2">
        <f ca="1"/>
        <v>0.38492872445558968</v>
      </c>
      <c r="O7614" s="2">
        <f ca="1"/>
        <v>0.69369297462227109</v>
      </c>
      <c r="X7614" s="2">
        <f ca="1"/>
        <v>66.178530090682585</v>
      </c>
      <c r="AG7614" s="2">
        <f ca="1"/>
        <v>0.93868358810616281</v>
      </c>
      <c r="AH7614" s="2" t="str">
        <f ca="1"/>
        <v>Bad</v>
      </c>
    </row>
    <row r="7615" spans="2:34" x14ac:dyDescent="0.2">
      <c r="B7615" s="2">
        <f ca="1"/>
        <v>0.66956608335813939</v>
      </c>
      <c r="O7615" s="2">
        <f ca="1"/>
        <v>1.0295223547382619</v>
      </c>
      <c r="X7615" s="2">
        <f ca="1"/>
        <v>72.200781240200286</v>
      </c>
      <c r="AG7615" s="2">
        <f ca="1"/>
        <v>0.1127035751697536</v>
      </c>
      <c r="AH7615" s="2" t="str">
        <f ca="1"/>
        <v>OK</v>
      </c>
    </row>
    <row r="7616" spans="2:34" x14ac:dyDescent="0.2">
      <c r="B7616" s="2">
        <f ca="1"/>
        <v>1.8135668895056911E-2</v>
      </c>
      <c r="O7616" s="2">
        <f ca="1"/>
        <v>-0.66237401849702371</v>
      </c>
      <c r="X7616" s="2">
        <f ca="1"/>
        <v>48.630001815312085</v>
      </c>
      <c r="AG7616" s="2">
        <f ca="1"/>
        <v>2.914439950402925E-2</v>
      </c>
      <c r="AH7616" s="2" t="str">
        <f ca="1"/>
        <v>Good</v>
      </c>
    </row>
    <row r="7617" spans="2:34" x14ac:dyDescent="0.2">
      <c r="B7617" s="2">
        <f ca="1"/>
        <v>0.89201800413318777</v>
      </c>
      <c r="O7617" s="2">
        <f ca="1"/>
        <v>1.169561136318424</v>
      </c>
      <c r="X7617" s="2">
        <f ca="1"/>
        <v>54.571650076764442</v>
      </c>
      <c r="AG7617" s="2">
        <f ca="1"/>
        <v>0.14215293135416407</v>
      </c>
      <c r="AH7617" s="2" t="str">
        <f ca="1"/>
        <v>OK</v>
      </c>
    </row>
    <row r="7618" spans="2:34" x14ac:dyDescent="0.2">
      <c r="B7618" s="2">
        <f ca="1"/>
        <v>0.34686624071223093</v>
      </c>
      <c r="O7618" s="2">
        <f ca="1"/>
        <v>1.3818282403079338</v>
      </c>
      <c r="X7618" s="2">
        <f ca="1"/>
        <v>73.543888591861474</v>
      </c>
      <c r="AG7618" s="2">
        <f ca="1"/>
        <v>0.25021190657927628</v>
      </c>
      <c r="AH7618" s="2" t="str">
        <f ca="1"/>
        <v>OK</v>
      </c>
    </row>
    <row r="7619" spans="2:34" x14ac:dyDescent="0.2">
      <c r="B7619" s="2">
        <f ca="1"/>
        <v>0.45206572770405185</v>
      </c>
      <c r="O7619" s="2">
        <f ca="1"/>
        <v>-0.40683922605977241</v>
      </c>
      <c r="X7619" s="2">
        <f ca="1"/>
        <v>23.014560139451461</v>
      </c>
      <c r="AG7619" s="2">
        <f ca="1"/>
        <v>1.8156315947528645E-2</v>
      </c>
      <c r="AH7619" s="2" t="str">
        <f ca="1"/>
        <v>Good</v>
      </c>
    </row>
    <row r="7620" spans="2:34" x14ac:dyDescent="0.2">
      <c r="B7620" s="2">
        <f ca="1"/>
        <v>0.44794677957584028</v>
      </c>
      <c r="O7620" s="2">
        <f ca="1"/>
        <v>1.184376986033352</v>
      </c>
      <c r="X7620" s="2">
        <f ca="1"/>
        <v>36.351801936418809</v>
      </c>
      <c r="AG7620" s="2">
        <f ca="1"/>
        <v>0.33229519940220653</v>
      </c>
      <c r="AH7620" s="2" t="str">
        <f ca="1"/>
        <v>OK</v>
      </c>
    </row>
    <row r="7621" spans="2:34" x14ac:dyDescent="0.2">
      <c r="B7621" s="2">
        <f ca="1"/>
        <v>0.38278088193517212</v>
      </c>
      <c r="O7621" s="2">
        <f ca="1"/>
        <v>0.50381079562487652</v>
      </c>
      <c r="X7621" s="2">
        <f ca="1"/>
        <v>39.667827102278551</v>
      </c>
      <c r="AG7621" s="2">
        <f ca="1"/>
        <v>0.2867270184075692</v>
      </c>
      <c r="AH7621" s="2" t="str">
        <f ca="1"/>
        <v>OK</v>
      </c>
    </row>
    <row r="7622" spans="2:34" x14ac:dyDescent="0.2">
      <c r="B7622" s="2">
        <f ca="1"/>
        <v>0.67429748324888661</v>
      </c>
      <c r="O7622" s="2">
        <f ca="1"/>
        <v>-0.46787485760153397</v>
      </c>
      <c r="X7622" s="2">
        <f ca="1"/>
        <v>62.181436132509049</v>
      </c>
      <c r="AG7622" s="2">
        <f ca="1"/>
        <v>0.33288487034203129</v>
      </c>
      <c r="AH7622" s="2" t="str">
        <f ca="1"/>
        <v>OK</v>
      </c>
    </row>
    <row r="7623" spans="2:34" x14ac:dyDescent="0.2">
      <c r="B7623" s="2">
        <f ca="1"/>
        <v>0.45836737398197869</v>
      </c>
      <c r="O7623" s="2">
        <f ca="1"/>
        <v>0.26637219413061392</v>
      </c>
      <c r="X7623" s="2">
        <f ca="1"/>
        <v>77.76566236857667</v>
      </c>
      <c r="AG7623" s="2">
        <f ca="1"/>
        <v>0.64696668433564031</v>
      </c>
      <c r="AH7623" s="2" t="str">
        <f ca="1"/>
        <v>Bad</v>
      </c>
    </row>
    <row r="7624" spans="2:34" x14ac:dyDescent="0.2">
      <c r="B7624" s="2">
        <f ca="1"/>
        <v>0.80172417291959364</v>
      </c>
      <c r="O7624" s="2">
        <f ca="1"/>
        <v>-0.88326747575177555</v>
      </c>
      <c r="X7624" s="2">
        <f ca="1"/>
        <v>32.68731670385646</v>
      </c>
      <c r="AG7624" s="2">
        <f ca="1"/>
        <v>0.83877447894213097</v>
      </c>
      <c r="AH7624" s="2" t="str">
        <f ca="1"/>
        <v>Bad</v>
      </c>
    </row>
    <row r="7625" spans="2:34" x14ac:dyDescent="0.2">
      <c r="B7625" s="2">
        <f ca="1"/>
        <v>0.46692223193592453</v>
      </c>
      <c r="O7625" s="2">
        <f ca="1"/>
        <v>1.2357525283224822</v>
      </c>
      <c r="X7625" s="2">
        <f ca="1"/>
        <v>42.789162911115987</v>
      </c>
      <c r="AG7625" s="2">
        <f ca="1"/>
        <v>0.90527280326532078</v>
      </c>
      <c r="AH7625" s="2" t="str">
        <f ca="1"/>
        <v>Bad</v>
      </c>
    </row>
    <row r="7626" spans="2:34" x14ac:dyDescent="0.2">
      <c r="B7626" s="2">
        <f ca="1"/>
        <v>0.30742186070982869</v>
      </c>
      <c r="O7626" s="2">
        <f ca="1"/>
        <v>-0.72323199716349429</v>
      </c>
      <c r="X7626" s="2">
        <f ca="1"/>
        <v>84.335722224720101</v>
      </c>
      <c r="AG7626" s="2">
        <f ca="1"/>
        <v>0.48543259041136455</v>
      </c>
      <c r="AH7626" s="2" t="str">
        <f ca="1"/>
        <v>Bad</v>
      </c>
    </row>
    <row r="7627" spans="2:34" x14ac:dyDescent="0.2">
      <c r="B7627" s="2">
        <f ca="1"/>
        <v>0.30817630785404471</v>
      </c>
      <c r="O7627" s="2">
        <f ca="1"/>
        <v>-0.36492240840110168</v>
      </c>
      <c r="X7627" s="2">
        <f ca="1"/>
        <v>20.621783714166195</v>
      </c>
      <c r="AG7627" s="2">
        <f ca="1"/>
        <v>0.5603587260959022</v>
      </c>
      <c r="AH7627" s="2" t="str">
        <f ca="1"/>
        <v>Bad</v>
      </c>
    </row>
    <row r="7628" spans="2:34" x14ac:dyDescent="0.2">
      <c r="B7628" s="2">
        <f ca="1"/>
        <v>0.23396220843609949</v>
      </c>
      <c r="O7628" s="2">
        <f ca="1"/>
        <v>0.90169740480831373</v>
      </c>
      <c r="X7628" s="2">
        <f ca="1"/>
        <v>64.991160716417625</v>
      </c>
      <c r="AG7628" s="2">
        <f ca="1"/>
        <v>1.8052955212544131E-3</v>
      </c>
      <c r="AH7628" s="2" t="str">
        <f ca="1"/>
        <v>Good</v>
      </c>
    </row>
    <row r="7629" spans="2:34" x14ac:dyDescent="0.2">
      <c r="B7629" s="2">
        <f ca="1"/>
        <v>0.65719811091550162</v>
      </c>
      <c r="O7629" s="2">
        <f ca="1"/>
        <v>1.9402367824114948</v>
      </c>
      <c r="X7629" s="2">
        <f ca="1"/>
        <v>31.990730728306772</v>
      </c>
      <c r="AG7629" s="2">
        <f ca="1"/>
        <v>0.73696423628567698</v>
      </c>
      <c r="AH7629" s="2" t="str">
        <f ca="1"/>
        <v>Bad</v>
      </c>
    </row>
    <row r="7630" spans="2:34" x14ac:dyDescent="0.2">
      <c r="B7630" s="2">
        <f ca="1"/>
        <v>0.40845941243205974</v>
      </c>
      <c r="O7630" s="2">
        <f ca="1"/>
        <v>1.4883875999001088</v>
      </c>
      <c r="X7630" s="2">
        <f ca="1"/>
        <v>44.096735984916151</v>
      </c>
      <c r="AG7630" s="2">
        <f ca="1"/>
        <v>0.62786512036532272</v>
      </c>
      <c r="AH7630" s="2" t="str">
        <f ca="1"/>
        <v>Bad</v>
      </c>
    </row>
    <row r="7631" spans="2:34" x14ac:dyDescent="0.2">
      <c r="B7631" s="2">
        <f ca="1"/>
        <v>0.7853409870164747</v>
      </c>
      <c r="O7631" s="2">
        <f ca="1"/>
        <v>0.95073298923991933</v>
      </c>
      <c r="X7631" s="2">
        <f ca="1"/>
        <v>20.935741474938972</v>
      </c>
      <c r="AG7631" s="2">
        <f ca="1"/>
        <v>0.61063052900383408</v>
      </c>
      <c r="AH7631" s="2" t="str">
        <f ca="1"/>
        <v>Bad</v>
      </c>
    </row>
    <row r="7632" spans="2:34" x14ac:dyDescent="0.2">
      <c r="B7632" s="2">
        <f ca="1"/>
        <v>0.53023927746975397</v>
      </c>
      <c r="O7632" s="2">
        <f ca="1"/>
        <v>1.0577233093427976</v>
      </c>
      <c r="X7632" s="2">
        <f ca="1"/>
        <v>55.68354725165365</v>
      </c>
      <c r="AG7632" s="2">
        <f ca="1"/>
        <v>0.53441522398468178</v>
      </c>
      <c r="AH7632" s="2" t="str">
        <f ca="1"/>
        <v>Bad</v>
      </c>
    </row>
    <row r="7633" spans="2:34" x14ac:dyDescent="0.2">
      <c r="B7633" s="2">
        <f ca="1"/>
        <v>0.59767908373785561</v>
      </c>
      <c r="O7633" s="2">
        <f ca="1"/>
        <v>0.55556536487423902</v>
      </c>
      <c r="X7633" s="2">
        <f ca="1"/>
        <v>58.639636285073749</v>
      </c>
      <c r="AG7633" s="2">
        <f ca="1"/>
        <v>0.86691889886451934</v>
      </c>
      <c r="AH7633" s="2" t="str">
        <f ca="1"/>
        <v>Bad</v>
      </c>
    </row>
    <row r="7634" spans="2:34" x14ac:dyDescent="0.2">
      <c r="B7634" s="2">
        <f ca="1"/>
        <v>0.4545337640474445</v>
      </c>
      <c r="O7634" s="2">
        <f ca="1"/>
        <v>1.2442967742162532</v>
      </c>
      <c r="X7634" s="2">
        <f ca="1"/>
        <v>93.765225271181478</v>
      </c>
      <c r="AG7634" s="2">
        <f ca="1"/>
        <v>0.79797893137261378</v>
      </c>
      <c r="AH7634" s="2" t="str">
        <f ca="1"/>
        <v>Bad</v>
      </c>
    </row>
    <row r="7635" spans="2:34" x14ac:dyDescent="0.2">
      <c r="B7635" s="2">
        <f ca="1"/>
        <v>0.67050225145400488</v>
      </c>
      <c r="O7635" s="2">
        <f ca="1"/>
        <v>-1.3873699680065295</v>
      </c>
      <c r="X7635" s="2">
        <f ca="1"/>
        <v>53.687478951977425</v>
      </c>
      <c r="AG7635" s="2">
        <f ca="1"/>
        <v>0.22241436219509159</v>
      </c>
      <c r="AH7635" s="2" t="str">
        <f ca="1"/>
        <v>OK</v>
      </c>
    </row>
    <row r="7636" spans="2:34" x14ac:dyDescent="0.2">
      <c r="B7636" s="2">
        <f ca="1"/>
        <v>0.56576890876944508</v>
      </c>
      <c r="O7636" s="2">
        <f ca="1"/>
        <v>-0.7160517194471675</v>
      </c>
      <c r="X7636" s="2">
        <f ca="1"/>
        <v>44.635771027247138</v>
      </c>
      <c r="AG7636" s="2">
        <f ca="1"/>
        <v>0.9459066597581689</v>
      </c>
      <c r="AH7636" s="2" t="str">
        <f ca="1"/>
        <v>Bad</v>
      </c>
    </row>
    <row r="7637" spans="2:34" x14ac:dyDescent="0.2">
      <c r="B7637" s="2">
        <f ca="1"/>
        <v>0.68790396268991327</v>
      </c>
      <c r="O7637" s="2">
        <f ca="1"/>
        <v>0.82206033313627647</v>
      </c>
      <c r="X7637" s="2">
        <f ca="1"/>
        <v>49.568085287089197</v>
      </c>
      <c r="AG7637" s="2">
        <f ca="1"/>
        <v>0.63255043469446903</v>
      </c>
      <c r="AH7637" s="2" t="str">
        <f ca="1"/>
        <v>Bad</v>
      </c>
    </row>
    <row r="7638" spans="2:34" x14ac:dyDescent="0.2">
      <c r="B7638" s="2">
        <f ca="1"/>
        <v>0.94320927127506371</v>
      </c>
      <c r="O7638" s="2">
        <f ca="1"/>
        <v>0.31397041296950362</v>
      </c>
      <c r="X7638" s="2">
        <f ca="1"/>
        <v>33.107526576517834</v>
      </c>
      <c r="AG7638" s="2">
        <f ca="1"/>
        <v>0.63550931000970956</v>
      </c>
      <c r="AH7638" s="2" t="str">
        <f ca="1"/>
        <v>Bad</v>
      </c>
    </row>
    <row r="7639" spans="2:34" x14ac:dyDescent="0.2">
      <c r="B7639" s="2">
        <f ca="1"/>
        <v>0.24522705407933065</v>
      </c>
      <c r="O7639" s="2">
        <f ca="1"/>
        <v>-0.3889868434178998</v>
      </c>
      <c r="X7639" s="2">
        <f ca="1"/>
        <v>31.429885916727578</v>
      </c>
      <c r="AG7639" s="2">
        <f ca="1"/>
        <v>0.40885652350499435</v>
      </c>
      <c r="AH7639" s="2" t="str">
        <f ca="1"/>
        <v>Bad</v>
      </c>
    </row>
    <row r="7640" spans="2:34" x14ac:dyDescent="0.2">
      <c r="B7640" s="2">
        <f ca="1"/>
        <v>0.33543325759340448</v>
      </c>
      <c r="O7640" s="2">
        <f ca="1"/>
        <v>1.3320278142837652</v>
      </c>
      <c r="X7640" s="2">
        <f ca="1"/>
        <v>19.491431819277963</v>
      </c>
      <c r="AG7640" s="2">
        <f ca="1"/>
        <v>0.8692817302151028</v>
      </c>
      <c r="AH7640" s="2" t="str">
        <f ca="1"/>
        <v>Bad</v>
      </c>
    </row>
    <row r="7641" spans="2:34" x14ac:dyDescent="0.2">
      <c r="B7641" s="2">
        <f ca="1"/>
        <v>0.39230175866359618</v>
      </c>
      <c r="O7641" s="2">
        <f ca="1"/>
        <v>-0.97143104066741548</v>
      </c>
      <c r="X7641" s="2">
        <f ca="1"/>
        <v>37.49165673069389</v>
      </c>
      <c r="AG7641" s="2">
        <f ca="1"/>
        <v>2.5753230685217288E-2</v>
      </c>
      <c r="AH7641" s="2" t="str">
        <f ca="1"/>
        <v>Good</v>
      </c>
    </row>
    <row r="7642" spans="2:34" x14ac:dyDescent="0.2">
      <c r="B7642" s="2">
        <f ca="1"/>
        <v>7.4854713636083314E-2</v>
      </c>
      <c r="O7642" s="2">
        <f ca="1"/>
        <v>2.1326810907507125</v>
      </c>
      <c r="X7642" s="2">
        <f ca="1"/>
        <v>55.078789327690089</v>
      </c>
      <c r="AG7642" s="2">
        <f ca="1"/>
        <v>0.34177126885422093</v>
      </c>
      <c r="AH7642" s="2" t="str">
        <f ca="1"/>
        <v>OK</v>
      </c>
    </row>
    <row r="7643" spans="2:34" x14ac:dyDescent="0.2">
      <c r="B7643" s="2">
        <f ca="1"/>
        <v>0.95176349856914766</v>
      </c>
      <c r="O7643" s="2">
        <f ca="1"/>
        <v>-0.88746177684216354</v>
      </c>
      <c r="X7643" s="2">
        <f ca="1"/>
        <v>57.971434468602077</v>
      </c>
      <c r="AG7643" s="2">
        <f ca="1"/>
        <v>0.12902366238606189</v>
      </c>
      <c r="AH7643" s="2" t="str">
        <f ca="1"/>
        <v>OK</v>
      </c>
    </row>
    <row r="7644" spans="2:34" x14ac:dyDescent="0.2">
      <c r="B7644" s="2">
        <f ca="1"/>
        <v>2.6551471575971153E-2</v>
      </c>
      <c r="O7644" s="2">
        <f ca="1"/>
        <v>0.88584529836256354</v>
      </c>
      <c r="X7644" s="2">
        <f ca="1"/>
        <v>29.448309401874624</v>
      </c>
      <c r="AG7644" s="2">
        <f ca="1"/>
        <v>0.59487707067456141</v>
      </c>
      <c r="AH7644" s="2" t="str">
        <f ca="1"/>
        <v>Bad</v>
      </c>
    </row>
    <row r="7645" spans="2:34" x14ac:dyDescent="0.2">
      <c r="B7645" s="2">
        <f ca="1"/>
        <v>0.46928718262135938</v>
      </c>
      <c r="O7645" s="2">
        <f ca="1"/>
        <v>-1.4004699904917808</v>
      </c>
      <c r="X7645" s="2">
        <f ca="1"/>
        <v>45.202543066395613</v>
      </c>
      <c r="AG7645" s="2">
        <f ca="1"/>
        <v>0.9561740991628489</v>
      </c>
      <c r="AH7645" s="2" t="str">
        <f ca="1"/>
        <v>Bad</v>
      </c>
    </row>
    <row r="7646" spans="2:34" x14ac:dyDescent="0.2">
      <c r="B7646" s="2">
        <f ca="1"/>
        <v>0.10530555817099807</v>
      </c>
      <c r="O7646" s="2">
        <f ca="1"/>
        <v>1.91894358698977</v>
      </c>
      <c r="X7646" s="2">
        <f ca="1"/>
        <v>37.562933073630369</v>
      </c>
      <c r="AG7646" s="2">
        <f ca="1"/>
        <v>0.46503330030900836</v>
      </c>
      <c r="AH7646" s="2" t="str">
        <f ca="1"/>
        <v>Bad</v>
      </c>
    </row>
    <row r="7647" spans="2:34" x14ac:dyDescent="0.2">
      <c r="B7647" s="2">
        <f ca="1"/>
        <v>0.42071832460234071</v>
      </c>
      <c r="O7647" s="2">
        <f ca="1"/>
        <v>8.7718174956006617E-2</v>
      </c>
      <c r="X7647" s="2">
        <f ca="1"/>
        <v>30.490742557848435</v>
      </c>
      <c r="AG7647" s="2">
        <f ca="1"/>
        <v>0.11884340027338225</v>
      </c>
      <c r="AH7647" s="2" t="str">
        <f ca="1"/>
        <v>OK</v>
      </c>
    </row>
    <row r="7648" spans="2:34" x14ac:dyDescent="0.2">
      <c r="B7648" s="2">
        <f ca="1"/>
        <v>1.5576033331383687E-3</v>
      </c>
      <c r="O7648" s="2">
        <f ca="1"/>
        <v>0.64068255963170573</v>
      </c>
      <c r="X7648" s="2">
        <f ca="1"/>
        <v>11.652263963577969</v>
      </c>
      <c r="AG7648" s="2">
        <f ca="1"/>
        <v>0.61297003514867776</v>
      </c>
      <c r="AH7648" s="2" t="str">
        <f ca="1"/>
        <v>Bad</v>
      </c>
    </row>
    <row r="7649" spans="2:34" x14ac:dyDescent="0.2">
      <c r="B7649" s="2">
        <f ca="1"/>
        <v>0.53264991444350818</v>
      </c>
      <c r="O7649" s="2">
        <f ca="1"/>
        <v>-0.38132401595807902</v>
      </c>
      <c r="X7649" s="2">
        <f ca="1"/>
        <v>17.841390844546471</v>
      </c>
      <c r="AG7649" s="2">
        <f ca="1"/>
        <v>0.83836279575086747</v>
      </c>
      <c r="AH7649" s="2" t="str">
        <f ca="1"/>
        <v>Bad</v>
      </c>
    </row>
    <row r="7650" spans="2:34" x14ac:dyDescent="0.2">
      <c r="B7650" s="2">
        <f ca="1"/>
        <v>0.79163275143426004</v>
      </c>
      <c r="O7650" s="2">
        <f ca="1"/>
        <v>-1.7964458096235758</v>
      </c>
      <c r="X7650" s="2">
        <f ca="1"/>
        <v>29.956153416253727</v>
      </c>
      <c r="AG7650" s="2">
        <f ca="1"/>
        <v>0.9790180283528751</v>
      </c>
      <c r="AH7650" s="2" t="str">
        <f ca="1"/>
        <v>Bad</v>
      </c>
    </row>
    <row r="7651" spans="2:34" x14ac:dyDescent="0.2">
      <c r="B7651" s="2">
        <f ca="1"/>
        <v>0.51572224758837559</v>
      </c>
      <c r="O7651" s="2">
        <f ca="1"/>
        <v>-1.6113724522722817</v>
      </c>
      <c r="X7651" s="2">
        <f ca="1"/>
        <v>43.57973440970737</v>
      </c>
      <c r="AG7651" s="2">
        <f ca="1"/>
        <v>0.73664449959984468</v>
      </c>
      <c r="AH7651" s="2" t="str">
        <f ca="1"/>
        <v>Bad</v>
      </c>
    </row>
    <row r="7652" spans="2:34" x14ac:dyDescent="0.2">
      <c r="B7652" s="2">
        <f ca="1"/>
        <v>0.3375137849587484</v>
      </c>
      <c r="O7652" s="2">
        <f ca="1"/>
        <v>0.30469633810237229</v>
      </c>
      <c r="X7652" s="2">
        <f ca="1"/>
        <v>16.248550544357052</v>
      </c>
      <c r="AG7652" s="2">
        <f ca="1"/>
        <v>0.2098095397951425</v>
      </c>
      <c r="AH7652" s="2" t="str">
        <f ca="1"/>
        <v>OK</v>
      </c>
    </row>
    <row r="7653" spans="2:34" x14ac:dyDescent="0.2">
      <c r="B7653" s="2">
        <f ca="1"/>
        <v>0.27230009165432945</v>
      </c>
      <c r="O7653" s="2">
        <f ca="1"/>
        <v>-1.2698685034020982</v>
      </c>
      <c r="X7653" s="2">
        <f ca="1"/>
        <v>32.553768632873052</v>
      </c>
      <c r="AG7653" s="2">
        <f ca="1"/>
        <v>0.51950876138681612</v>
      </c>
      <c r="AH7653" s="2" t="str">
        <f ca="1"/>
        <v>Bad</v>
      </c>
    </row>
    <row r="7654" spans="2:34" x14ac:dyDescent="0.2">
      <c r="B7654" s="2">
        <f ca="1"/>
        <v>0.9569480814660809</v>
      </c>
      <c r="O7654" s="2">
        <f ca="1"/>
        <v>1.4074589370946911</v>
      </c>
      <c r="X7654" s="2">
        <f ca="1"/>
        <v>56.200745067784126</v>
      </c>
      <c r="AG7654" s="2">
        <f ca="1"/>
        <v>0.23099838376015724</v>
      </c>
      <c r="AH7654" s="2" t="str">
        <f ca="1"/>
        <v>OK</v>
      </c>
    </row>
    <row r="7655" spans="2:34" x14ac:dyDescent="0.2">
      <c r="B7655" s="2">
        <f ca="1"/>
        <v>0.71058974688341614</v>
      </c>
      <c r="O7655" s="2">
        <f ca="1"/>
        <v>-1.6288560656346147</v>
      </c>
      <c r="X7655" s="2">
        <f ca="1"/>
        <v>41.674206673381882</v>
      </c>
      <c r="AG7655" s="2">
        <f ca="1"/>
        <v>0.29605939166759354</v>
      </c>
      <c r="AH7655" s="2" t="str">
        <f ca="1"/>
        <v>OK</v>
      </c>
    </row>
    <row r="7656" spans="2:34" x14ac:dyDescent="0.2">
      <c r="B7656" s="2">
        <f ca="1"/>
        <v>0.40341843141080558</v>
      </c>
      <c r="O7656" s="2">
        <f ca="1"/>
        <v>2.1162080051690295</v>
      </c>
      <c r="X7656" s="2">
        <f ca="1"/>
        <v>58.499115433497792</v>
      </c>
      <c r="AG7656" s="2">
        <f ca="1"/>
        <v>8.1522472897940901E-2</v>
      </c>
      <c r="AH7656" s="2" t="str">
        <f ca="1"/>
        <v>OK</v>
      </c>
    </row>
    <row r="7657" spans="2:34" x14ac:dyDescent="0.2">
      <c r="B7657" s="2">
        <f ca="1"/>
        <v>0.2907005300386134</v>
      </c>
      <c r="O7657" s="2">
        <f ca="1"/>
        <v>-0.11109657875871445</v>
      </c>
      <c r="X7657" s="2">
        <f ca="1"/>
        <v>74.762809302390494</v>
      </c>
      <c r="AG7657" s="2">
        <f ca="1"/>
        <v>7.8419514125132705E-2</v>
      </c>
      <c r="AH7657" s="2" t="str">
        <f ca="1"/>
        <v>OK</v>
      </c>
    </row>
    <row r="7658" spans="2:34" x14ac:dyDescent="0.2">
      <c r="B7658" s="2">
        <f ca="1"/>
        <v>0.71071727710461752</v>
      </c>
      <c r="O7658" s="2">
        <f ca="1"/>
        <v>0.10055257718008687</v>
      </c>
      <c r="X7658" s="2">
        <f ca="1"/>
        <v>20.790435131115817</v>
      </c>
      <c r="AG7658" s="2">
        <f ca="1"/>
        <v>0.94859643146402517</v>
      </c>
      <c r="AH7658" s="2" t="str">
        <f ca="1"/>
        <v>Bad</v>
      </c>
    </row>
    <row r="7659" spans="2:34" x14ac:dyDescent="0.2">
      <c r="B7659" s="2">
        <f ca="1"/>
        <v>0.65435454624776312</v>
      </c>
      <c r="O7659" s="2">
        <f ca="1"/>
        <v>-0.4627469672227269</v>
      </c>
      <c r="X7659" s="2">
        <f ca="1"/>
        <v>29.524757460674405</v>
      </c>
      <c r="AG7659" s="2">
        <f ca="1"/>
        <v>0.87123003147042422</v>
      </c>
      <c r="AH7659" s="2" t="str">
        <f ca="1"/>
        <v>Bad</v>
      </c>
    </row>
    <row r="7660" spans="2:34" x14ac:dyDescent="0.2">
      <c r="B7660" s="2">
        <f ca="1"/>
        <v>0.75703569526722658</v>
      </c>
      <c r="O7660" s="2">
        <f ca="1"/>
        <v>0.56414235667981372</v>
      </c>
      <c r="X7660" s="2">
        <f ca="1"/>
        <v>38.510848244955916</v>
      </c>
      <c r="AG7660" s="2">
        <f ca="1"/>
        <v>0.91145668962204351</v>
      </c>
      <c r="AH7660" s="2" t="str">
        <f ca="1"/>
        <v>Bad</v>
      </c>
    </row>
    <row r="7661" spans="2:34" x14ac:dyDescent="0.2">
      <c r="B7661" s="2">
        <f ca="1"/>
        <v>0.29970378583360069</v>
      </c>
      <c r="O7661" s="2">
        <f ca="1"/>
        <v>3.3528325378345707E-2</v>
      </c>
      <c r="X7661" s="2">
        <f ca="1"/>
        <v>57.493684890813334</v>
      </c>
      <c r="AG7661" s="2">
        <f ca="1"/>
        <v>0.30744752242140327</v>
      </c>
      <c r="AH7661" s="2" t="str">
        <f ca="1"/>
        <v>OK</v>
      </c>
    </row>
    <row r="7662" spans="2:34" x14ac:dyDescent="0.2">
      <c r="B7662" s="2">
        <f ca="1"/>
        <v>0.53849123632808138</v>
      </c>
      <c r="O7662" s="2">
        <f ca="1"/>
        <v>-0.33416690066469984</v>
      </c>
      <c r="X7662" s="2">
        <f ca="1"/>
        <v>47.808449781166601</v>
      </c>
      <c r="AG7662" s="2">
        <f ca="1"/>
        <v>0.78041276706229956</v>
      </c>
      <c r="AH7662" s="2" t="str">
        <f ca="1"/>
        <v>Bad</v>
      </c>
    </row>
    <row r="7663" spans="2:34" x14ac:dyDescent="0.2">
      <c r="B7663" s="2">
        <f ca="1"/>
        <v>0.9237831108631489</v>
      </c>
      <c r="O7663" s="2">
        <f ca="1"/>
        <v>-0.96943849492588441</v>
      </c>
      <c r="X7663" s="2">
        <f ca="1"/>
        <v>31.658967881369552</v>
      </c>
      <c r="AG7663" s="2">
        <f ca="1"/>
        <v>2.088200870816137E-2</v>
      </c>
      <c r="AH7663" s="2" t="str">
        <f ca="1"/>
        <v>Good</v>
      </c>
    </row>
    <row r="7664" spans="2:34" x14ac:dyDescent="0.2">
      <c r="B7664" s="2">
        <f ca="1"/>
        <v>0.54955474095410017</v>
      </c>
      <c r="O7664" s="2">
        <f ca="1"/>
        <v>0.83569773964833349</v>
      </c>
      <c r="X7664" s="2">
        <f ca="1"/>
        <v>43.204650136104178</v>
      </c>
      <c r="AG7664" s="2">
        <f ca="1"/>
        <v>0.20037842165427744</v>
      </c>
      <c r="AH7664" s="2" t="str">
        <f ca="1"/>
        <v>OK</v>
      </c>
    </row>
    <row r="7665" spans="2:34" x14ac:dyDescent="0.2">
      <c r="B7665" s="2">
        <f ca="1"/>
        <v>0.32888492221347221</v>
      </c>
      <c r="O7665" s="2">
        <f ca="1"/>
        <v>-0.91131285381028515</v>
      </c>
      <c r="X7665" s="2">
        <f ca="1"/>
        <v>37.278110711637218</v>
      </c>
      <c r="AG7665" s="2">
        <f ca="1"/>
        <v>0.57178362714844355</v>
      </c>
      <c r="AH7665" s="2" t="str">
        <f ca="1"/>
        <v>Bad</v>
      </c>
    </row>
    <row r="7666" spans="2:34" x14ac:dyDescent="0.2">
      <c r="B7666" s="2">
        <f ca="1"/>
        <v>0.66272349396176056</v>
      </c>
      <c r="O7666" s="2">
        <f ca="1"/>
        <v>8.4777808285614958E-2</v>
      </c>
      <c r="X7666" s="2">
        <f ca="1"/>
        <v>64.476261472722598</v>
      </c>
      <c r="AG7666" s="2">
        <f ca="1"/>
        <v>0.24855140932178355</v>
      </c>
      <c r="AH7666" s="2" t="str">
        <f ca="1"/>
        <v>OK</v>
      </c>
    </row>
    <row r="7667" spans="2:34" x14ac:dyDescent="0.2">
      <c r="B7667" s="2">
        <f ca="1"/>
        <v>0.16228399388851011</v>
      </c>
      <c r="O7667" s="2">
        <f ca="1"/>
        <v>2.0926937930560929</v>
      </c>
      <c r="X7667" s="2">
        <f ca="1"/>
        <v>44.305176669437998</v>
      </c>
      <c r="AG7667" s="2">
        <f ca="1"/>
        <v>0.44585906403226772</v>
      </c>
      <c r="AH7667" s="2" t="str">
        <f ca="1"/>
        <v>Bad</v>
      </c>
    </row>
    <row r="7668" spans="2:34" x14ac:dyDescent="0.2">
      <c r="B7668" s="2">
        <f ca="1"/>
        <v>0.33178168564777333</v>
      </c>
      <c r="O7668" s="2">
        <f ca="1"/>
        <v>-0.83960569992890077</v>
      </c>
      <c r="X7668" s="2">
        <f ca="1"/>
        <v>40.094998440912406</v>
      </c>
      <c r="AG7668" s="2">
        <f ca="1"/>
        <v>0.9119154477766398</v>
      </c>
      <c r="AH7668" s="2" t="str">
        <f ca="1"/>
        <v>Bad</v>
      </c>
    </row>
    <row r="7669" spans="2:34" x14ac:dyDescent="0.2">
      <c r="B7669" s="2">
        <f ca="1"/>
        <v>0.68824816160015656</v>
      </c>
      <c r="O7669" s="2">
        <f ca="1"/>
        <v>-9.9736987681517866E-3</v>
      </c>
      <c r="X7669" s="2">
        <f ca="1"/>
        <v>34.182852801214032</v>
      </c>
      <c r="AG7669" s="2">
        <f ca="1"/>
        <v>0.79831035821103247</v>
      </c>
      <c r="AH7669" s="2" t="str">
        <f ca="1"/>
        <v>Bad</v>
      </c>
    </row>
    <row r="7670" spans="2:34" x14ac:dyDescent="0.2">
      <c r="B7670" s="2">
        <f ca="1"/>
        <v>0.3303927239581228</v>
      </c>
      <c r="O7670" s="2">
        <f ca="1"/>
        <v>-9.5727093264289909E-2</v>
      </c>
      <c r="X7670" s="2">
        <f ca="1"/>
        <v>56.0196417019256</v>
      </c>
      <c r="AG7670" s="2">
        <f ca="1"/>
        <v>0.55459618470502781</v>
      </c>
      <c r="AH7670" s="2" t="str">
        <f ca="1"/>
        <v>Bad</v>
      </c>
    </row>
    <row r="7671" spans="2:34" x14ac:dyDescent="0.2">
      <c r="B7671" s="2">
        <f ca="1"/>
        <v>0.6733355199758857</v>
      </c>
      <c r="O7671" s="2">
        <f ca="1"/>
        <v>0.97123666475573223</v>
      </c>
      <c r="X7671" s="2">
        <f ca="1"/>
        <v>57.8333204934357</v>
      </c>
      <c r="AG7671" s="2">
        <f ca="1"/>
        <v>0.30872358649319143</v>
      </c>
      <c r="AH7671" s="2" t="str">
        <f ca="1"/>
        <v>OK</v>
      </c>
    </row>
    <row r="7672" spans="2:34" x14ac:dyDescent="0.2">
      <c r="B7672" s="2">
        <f ca="1"/>
        <v>0.62312845689121987</v>
      </c>
      <c r="O7672" s="2">
        <f ca="1"/>
        <v>-0.29404692757907192</v>
      </c>
      <c r="X7672" s="2">
        <f ca="1"/>
        <v>43.567722054700496</v>
      </c>
      <c r="AG7672" s="2">
        <f ca="1"/>
        <v>0.79829152195624609</v>
      </c>
      <c r="AH7672" s="2" t="str">
        <f ca="1"/>
        <v>Bad</v>
      </c>
    </row>
    <row r="7673" spans="2:34" x14ac:dyDescent="0.2">
      <c r="B7673" s="2">
        <f ca="1"/>
        <v>0.8277521987753107</v>
      </c>
      <c r="O7673" s="2">
        <f ca="1"/>
        <v>2.2554013148851881</v>
      </c>
      <c r="X7673" s="2">
        <f ca="1"/>
        <v>38.052580393232937</v>
      </c>
      <c r="AG7673" s="2">
        <f ca="1"/>
        <v>4.8642930524479988E-2</v>
      </c>
      <c r="AH7673" s="2" t="str">
        <f ca="1"/>
        <v>Good</v>
      </c>
    </row>
    <row r="7674" spans="2:34" x14ac:dyDescent="0.2">
      <c r="B7674" s="2">
        <f ca="1"/>
        <v>0.66013484746536899</v>
      </c>
      <c r="O7674" s="2">
        <f ca="1"/>
        <v>1.2934990600090672</v>
      </c>
      <c r="X7674" s="2">
        <f ca="1"/>
        <v>49.314973718435844</v>
      </c>
      <c r="AG7674" s="2">
        <f ca="1"/>
        <v>0.90768276745430776</v>
      </c>
      <c r="AH7674" s="2" t="str">
        <f ca="1"/>
        <v>Bad</v>
      </c>
    </row>
    <row r="7675" spans="2:34" x14ac:dyDescent="0.2">
      <c r="B7675" s="2">
        <f ca="1"/>
        <v>1.803678410285614E-2</v>
      </c>
      <c r="O7675" s="2">
        <f ca="1"/>
        <v>-0.28459004080629274</v>
      </c>
      <c r="X7675" s="2">
        <f ca="1"/>
        <v>66.329564323777205</v>
      </c>
      <c r="AG7675" s="2">
        <f ca="1"/>
        <v>0.56382347757959184</v>
      </c>
      <c r="AH7675" s="2" t="str">
        <f ca="1"/>
        <v>Bad</v>
      </c>
    </row>
    <row r="7676" spans="2:34" x14ac:dyDescent="0.2">
      <c r="B7676" s="2">
        <f ca="1"/>
        <v>0.39653527390946142</v>
      </c>
      <c r="O7676" s="2">
        <f ca="1"/>
        <v>-1.9902313121657904</v>
      </c>
      <c r="X7676" s="2">
        <f ca="1"/>
        <v>77.446100540247357</v>
      </c>
      <c r="AG7676" s="2">
        <f ca="1"/>
        <v>0.13868831641330903</v>
      </c>
      <c r="AH7676" s="2" t="str">
        <f ca="1"/>
        <v>OK</v>
      </c>
    </row>
    <row r="7677" spans="2:34" x14ac:dyDescent="0.2">
      <c r="B7677" s="2">
        <f ca="1"/>
        <v>0.17947261461034381</v>
      </c>
      <c r="O7677" s="2">
        <f ca="1"/>
        <v>0.2278485151954345</v>
      </c>
      <c r="X7677" s="2">
        <f ca="1"/>
        <v>70.951098215415897</v>
      </c>
      <c r="AG7677" s="2">
        <f ca="1"/>
        <v>0.47969999112704298</v>
      </c>
      <c r="AH7677" s="2" t="str">
        <f ca="1"/>
        <v>Bad</v>
      </c>
    </row>
    <row r="7678" spans="2:34" x14ac:dyDescent="0.2">
      <c r="B7678" s="2">
        <f ca="1"/>
        <v>0.55725673522011343</v>
      </c>
      <c r="O7678" s="2">
        <f ca="1"/>
        <v>-0.21852314390232358</v>
      </c>
      <c r="X7678" s="2">
        <f ca="1"/>
        <v>44.732310657505238</v>
      </c>
      <c r="AG7678" s="2">
        <f ca="1"/>
        <v>0.39307145964613088</v>
      </c>
      <c r="AH7678" s="2" t="str">
        <f ca="1"/>
        <v>OK</v>
      </c>
    </row>
    <row r="7679" spans="2:34" x14ac:dyDescent="0.2">
      <c r="B7679" s="2">
        <f ca="1"/>
        <v>0.18574280311867786</v>
      </c>
      <c r="O7679" s="2">
        <f ca="1"/>
        <v>-0.46471413540589263</v>
      </c>
      <c r="X7679" s="2">
        <f ca="1"/>
        <v>35.113591271878178</v>
      </c>
      <c r="AG7679" s="2">
        <f ca="1"/>
        <v>0.36902890970741864</v>
      </c>
      <c r="AH7679" s="2" t="str">
        <f ca="1"/>
        <v>OK</v>
      </c>
    </row>
    <row r="7680" spans="2:34" x14ac:dyDescent="0.2">
      <c r="B7680" s="2">
        <f ca="1"/>
        <v>0.51576297301628427</v>
      </c>
      <c r="O7680" s="2">
        <f ca="1"/>
        <v>-1.1950092599673607</v>
      </c>
      <c r="X7680" s="2">
        <f ca="1"/>
        <v>89.1334620370192</v>
      </c>
      <c r="AG7680" s="2">
        <f ca="1"/>
        <v>0.79801815459017034</v>
      </c>
      <c r="AH7680" s="2" t="str">
        <f ca="1"/>
        <v>Bad</v>
      </c>
    </row>
    <row r="7681" spans="2:34" x14ac:dyDescent="0.2">
      <c r="B7681" s="2">
        <f ca="1"/>
        <v>0.68506509779740044</v>
      </c>
      <c r="O7681" s="2">
        <f ca="1"/>
        <v>-0.36218584479440236</v>
      </c>
      <c r="X7681" s="2">
        <f ca="1"/>
        <v>53.877109334374055</v>
      </c>
      <c r="AG7681" s="2">
        <f ca="1"/>
        <v>0.48913284293548065</v>
      </c>
      <c r="AH7681" s="2" t="str">
        <f ca="1"/>
        <v>Bad</v>
      </c>
    </row>
    <row r="7682" spans="2:34" x14ac:dyDescent="0.2">
      <c r="B7682" s="2">
        <f ca="1"/>
        <v>0.60783136440114194</v>
      </c>
      <c r="O7682" s="2">
        <f ca="1"/>
        <v>1.4227933127190011</v>
      </c>
      <c r="X7682" s="2">
        <f ca="1"/>
        <v>78.693076364365382</v>
      </c>
      <c r="AG7682" s="2">
        <f ca="1"/>
        <v>0.84997535154036097</v>
      </c>
      <c r="AH7682" s="2" t="str">
        <f ca="1"/>
        <v>Bad</v>
      </c>
    </row>
    <row r="7683" spans="2:34" x14ac:dyDescent="0.2">
      <c r="B7683" s="2">
        <f ca="1"/>
        <v>0.61485474431215259</v>
      </c>
      <c r="O7683" s="2">
        <f ca="1"/>
        <v>0.4696070025604156</v>
      </c>
      <c r="X7683" s="2">
        <f ca="1"/>
        <v>37.194265205154558</v>
      </c>
      <c r="AG7683" s="2">
        <f ca="1"/>
        <v>0.54621980382683932</v>
      </c>
      <c r="AH7683" s="2" t="str">
        <f ca="1"/>
        <v>Bad</v>
      </c>
    </row>
    <row r="7684" spans="2:34" x14ac:dyDescent="0.2">
      <c r="B7684" s="2">
        <f ca="1"/>
        <v>0.15094785954545031</v>
      </c>
      <c r="O7684" s="2">
        <f ca="1"/>
        <v>-0.35721135977692864</v>
      </c>
      <c r="X7684" s="2">
        <f ca="1"/>
        <v>43.97530258272905</v>
      </c>
      <c r="AG7684" s="2">
        <f ca="1"/>
        <v>0.22205091556760315</v>
      </c>
      <c r="AH7684" s="2" t="str">
        <f ca="1"/>
        <v>OK</v>
      </c>
    </row>
    <row r="7685" spans="2:34" x14ac:dyDescent="0.2">
      <c r="B7685" s="2">
        <f ca="1"/>
        <v>0.28447524868251572</v>
      </c>
      <c r="O7685" s="2">
        <f ca="1"/>
        <v>-1.021490471205496</v>
      </c>
      <c r="X7685" s="2">
        <f ca="1"/>
        <v>34.558605200340345</v>
      </c>
      <c r="AG7685" s="2">
        <f ca="1"/>
        <v>0.59874764612986886</v>
      </c>
      <c r="AH7685" s="2" t="str">
        <f ca="1"/>
        <v>Bad</v>
      </c>
    </row>
    <row r="7686" spans="2:34" x14ac:dyDescent="0.2">
      <c r="B7686" s="2">
        <f ca="1"/>
        <v>9.8899930507860834E-3</v>
      </c>
      <c r="O7686" s="2">
        <f ca="1"/>
        <v>0.29330015005074089</v>
      </c>
      <c r="X7686" s="2">
        <f ca="1"/>
        <v>36.224977811308634</v>
      </c>
      <c r="AG7686" s="2">
        <f ca="1"/>
        <v>0.19750011554299673</v>
      </c>
      <c r="AH7686" s="2" t="str">
        <f ca="1"/>
        <v>OK</v>
      </c>
    </row>
    <row r="7687" spans="2:34" x14ac:dyDescent="0.2">
      <c r="B7687" s="2">
        <f ca="1"/>
        <v>0.83945608060191712</v>
      </c>
      <c r="O7687" s="2">
        <f ca="1"/>
        <v>2.1255127534932865</v>
      </c>
      <c r="X7687" s="2">
        <f ca="1"/>
        <v>52.434419657248668</v>
      </c>
      <c r="AG7687" s="2">
        <f ca="1"/>
        <v>0.10178225700629207</v>
      </c>
      <c r="AH7687" s="2" t="str">
        <f ca="1"/>
        <v>OK</v>
      </c>
    </row>
    <row r="7688" spans="2:34" x14ac:dyDescent="0.2">
      <c r="B7688" s="2">
        <f ca="1"/>
        <v>0.85458700722274639</v>
      </c>
      <c r="O7688" s="2">
        <f ca="1"/>
        <v>0.48628059474729313</v>
      </c>
      <c r="X7688" s="2">
        <f ca="1"/>
        <v>56.995137638803506</v>
      </c>
      <c r="AG7688" s="2">
        <f ca="1"/>
        <v>0.39299280182876251</v>
      </c>
      <c r="AH7688" s="2" t="str">
        <f ca="1"/>
        <v>OK</v>
      </c>
    </row>
    <row r="7689" spans="2:34" x14ac:dyDescent="0.2">
      <c r="B7689" s="2">
        <f ca="1"/>
        <v>0.78091767094960485</v>
      </c>
      <c r="O7689" s="2">
        <f ca="1"/>
        <v>0.14147723513845695</v>
      </c>
      <c r="X7689" s="2">
        <f ca="1"/>
        <v>35.414842403716726</v>
      </c>
      <c r="AG7689" s="2">
        <f ca="1"/>
        <v>0.82220987181963334</v>
      </c>
      <c r="AH7689" s="2" t="str">
        <f ca="1"/>
        <v>Bad</v>
      </c>
    </row>
    <row r="7690" spans="2:34" x14ac:dyDescent="0.2">
      <c r="B7690" s="2">
        <f ca="1"/>
        <v>0.22595436167409222</v>
      </c>
      <c r="O7690" s="2">
        <f ca="1"/>
        <v>-0.26191903681507644</v>
      </c>
      <c r="X7690" s="2">
        <f ca="1"/>
        <v>41.77011361021875</v>
      </c>
      <c r="AG7690" s="2">
        <f ca="1"/>
        <v>0.84010610802642871</v>
      </c>
      <c r="AH7690" s="2" t="str">
        <f ca="1"/>
        <v>Bad</v>
      </c>
    </row>
    <row r="7691" spans="2:34" x14ac:dyDescent="0.2">
      <c r="B7691" s="2">
        <f ca="1"/>
        <v>0.57790781634094568</v>
      </c>
      <c r="O7691" s="2">
        <f ca="1"/>
        <v>1.8080687205639114</v>
      </c>
      <c r="X7691" s="2">
        <f ca="1"/>
        <v>57.988889769539476</v>
      </c>
      <c r="AG7691" s="2">
        <f ca="1"/>
        <v>0.87658684711092238</v>
      </c>
      <c r="AH7691" s="2" t="str">
        <f ca="1"/>
        <v>Bad</v>
      </c>
    </row>
    <row r="7692" spans="2:34" x14ac:dyDescent="0.2">
      <c r="B7692" s="2">
        <f ca="1"/>
        <v>0.98205234387112816</v>
      </c>
      <c r="O7692" s="2">
        <f ca="1"/>
        <v>-0.12319148424862755</v>
      </c>
      <c r="X7692" s="2">
        <f ca="1"/>
        <v>40.822460611415501</v>
      </c>
      <c r="AG7692" s="2">
        <f ca="1"/>
        <v>0.41802594264600623</v>
      </c>
      <c r="AH7692" s="2" t="str">
        <f ca="1"/>
        <v>Bad</v>
      </c>
    </row>
    <row r="7693" spans="2:34" x14ac:dyDescent="0.2">
      <c r="B7693" s="2">
        <f ca="1"/>
        <v>0.97887566036514628</v>
      </c>
      <c r="O7693" s="2">
        <f ca="1"/>
        <v>1.0868065771130673</v>
      </c>
      <c r="X7693" s="2">
        <f ca="1"/>
        <v>33.787175183746612</v>
      </c>
      <c r="AG7693" s="2">
        <f ca="1"/>
        <v>0.78841197243208905</v>
      </c>
      <c r="AH7693" s="2" t="str">
        <f ca="1"/>
        <v>Bad</v>
      </c>
    </row>
    <row r="7694" spans="2:34" x14ac:dyDescent="0.2">
      <c r="B7694" s="2">
        <f ca="1"/>
        <v>0.22336395897745942</v>
      </c>
      <c r="O7694" s="2">
        <f ca="1"/>
        <v>4.9139026652447293E-2</v>
      </c>
      <c r="X7694" s="2">
        <f ca="1"/>
        <v>61.374567393375123</v>
      </c>
      <c r="AG7694" s="2">
        <f ca="1"/>
        <v>0.38609774543299236</v>
      </c>
      <c r="AH7694" s="2" t="str">
        <f ca="1"/>
        <v>OK</v>
      </c>
    </row>
    <row r="7695" spans="2:34" x14ac:dyDescent="0.2">
      <c r="B7695" s="2">
        <f ca="1"/>
        <v>0.37979410949786585</v>
      </c>
      <c r="O7695" s="2">
        <f ca="1"/>
        <v>0.66899426497654013</v>
      </c>
      <c r="X7695" s="2">
        <f ca="1"/>
        <v>57.36092773987221</v>
      </c>
      <c r="AG7695" s="2">
        <f ca="1"/>
        <v>0.2264375874777913</v>
      </c>
      <c r="AH7695" s="2" t="str">
        <f ca="1"/>
        <v>OK</v>
      </c>
    </row>
    <row r="7696" spans="2:34" x14ac:dyDescent="0.2">
      <c r="B7696" s="2">
        <f ca="1"/>
        <v>0.85308893757102866</v>
      </c>
      <c r="O7696" s="2">
        <f ca="1"/>
        <v>1.2258795512424978</v>
      </c>
      <c r="X7696" s="2">
        <f ca="1"/>
        <v>82.806127338475179</v>
      </c>
      <c r="AG7696" s="2">
        <f ca="1"/>
        <v>0.99309169414704535</v>
      </c>
      <c r="AH7696" s="2" t="str">
        <f ca="1"/>
        <v>Bad</v>
      </c>
    </row>
    <row r="7697" spans="2:34" x14ac:dyDescent="0.2">
      <c r="B7697" s="2">
        <f ca="1"/>
        <v>0.28160394935092725</v>
      </c>
      <c r="O7697" s="2">
        <f ca="1"/>
        <v>-0.43876160068989151</v>
      </c>
      <c r="X7697" s="2">
        <f ca="1"/>
        <v>62.6831921607873</v>
      </c>
      <c r="AG7697" s="2">
        <f ca="1"/>
        <v>0.70437130328256314</v>
      </c>
      <c r="AH7697" s="2" t="str">
        <f ca="1"/>
        <v>Bad</v>
      </c>
    </row>
    <row r="7698" spans="2:34" x14ac:dyDescent="0.2">
      <c r="B7698" s="2">
        <f ca="1"/>
        <v>0.9978552025596048</v>
      </c>
      <c r="O7698" s="2">
        <f ca="1"/>
        <v>-0.38779759743242703</v>
      </c>
      <c r="X7698" s="2">
        <f ca="1"/>
        <v>58.933943987279761</v>
      </c>
      <c r="AG7698" s="2">
        <f ca="1"/>
        <v>4.6723073668958781E-2</v>
      </c>
      <c r="AH7698" s="2" t="str">
        <f ca="1"/>
        <v>Good</v>
      </c>
    </row>
    <row r="7699" spans="2:34" x14ac:dyDescent="0.2">
      <c r="B7699" s="2">
        <f ca="1"/>
        <v>0.93889314550148861</v>
      </c>
      <c r="O7699" s="2">
        <f ca="1"/>
        <v>-1.0240720499076283</v>
      </c>
      <c r="X7699" s="2">
        <f ca="1"/>
        <v>54.969333363784571</v>
      </c>
      <c r="AG7699" s="2">
        <f ca="1"/>
        <v>0.76945002422081621</v>
      </c>
      <c r="AH7699" s="2" t="str">
        <f ca="1"/>
        <v>Bad</v>
      </c>
    </row>
    <row r="7700" spans="2:34" x14ac:dyDescent="0.2">
      <c r="B7700" s="2">
        <f ca="1"/>
        <v>0.78976841005997511</v>
      </c>
      <c r="O7700" s="2">
        <f ca="1"/>
        <v>-1.6068227955275247</v>
      </c>
      <c r="X7700" s="2">
        <f ca="1"/>
        <v>64.606195757225919</v>
      </c>
      <c r="AG7700" s="2">
        <f ca="1"/>
        <v>0.30777457298391098</v>
      </c>
      <c r="AH7700" s="2" t="str">
        <f ca="1"/>
        <v>OK</v>
      </c>
    </row>
    <row r="7701" spans="2:34" x14ac:dyDescent="0.2">
      <c r="B7701" s="2">
        <f ca="1"/>
        <v>0.27822727343436471</v>
      </c>
      <c r="O7701" s="2">
        <f ca="1"/>
        <v>0.41379882258881751</v>
      </c>
      <c r="X7701" s="2">
        <f ca="1"/>
        <v>64.916334712477592</v>
      </c>
      <c r="AG7701" s="2">
        <f ca="1"/>
        <v>0.11837006051985921</v>
      </c>
      <c r="AH7701" s="2" t="str">
        <f ca="1"/>
        <v>OK</v>
      </c>
    </row>
    <row r="7702" spans="2:34" x14ac:dyDescent="0.2">
      <c r="B7702" s="2">
        <f ca="1"/>
        <v>0.43119947806355374</v>
      </c>
      <c r="O7702" s="2">
        <f ca="1"/>
        <v>0.50361171585862807</v>
      </c>
      <c r="X7702" s="2">
        <f ca="1"/>
        <v>45.802243003466955</v>
      </c>
      <c r="AG7702" s="2">
        <f ca="1"/>
        <v>0.19461516415736146</v>
      </c>
      <c r="AH7702" s="2" t="str">
        <f ca="1"/>
        <v>OK</v>
      </c>
    </row>
    <row r="7703" spans="2:34" x14ac:dyDescent="0.2">
      <c r="B7703" s="2">
        <f ca="1"/>
        <v>0.23826099352412178</v>
      </c>
      <c r="O7703" s="2">
        <f ca="1"/>
        <v>0.10567545824033125</v>
      </c>
      <c r="X7703" s="2">
        <f ca="1"/>
        <v>46.440591901254074</v>
      </c>
      <c r="AG7703" s="2">
        <f ca="1"/>
        <v>0.36964555287082623</v>
      </c>
      <c r="AH7703" s="2" t="str">
        <f ca="1"/>
        <v>OK</v>
      </c>
    </row>
    <row r="7704" spans="2:34" x14ac:dyDescent="0.2">
      <c r="B7704" s="2">
        <f ca="1"/>
        <v>0.41715007306108709</v>
      </c>
      <c r="O7704" s="2">
        <f ca="1"/>
        <v>-0.23113750036804051</v>
      </c>
      <c r="X7704" s="2">
        <f ca="1"/>
        <v>51.45584096886963</v>
      </c>
      <c r="AG7704" s="2">
        <f ca="1"/>
        <v>5.205716981845443E-2</v>
      </c>
      <c r="AH7704" s="2" t="str">
        <f ca="1"/>
        <v>OK</v>
      </c>
    </row>
    <row r="7705" spans="2:34" x14ac:dyDescent="0.2">
      <c r="B7705" s="2">
        <f ca="1"/>
        <v>0.65290825463534796</v>
      </c>
      <c r="O7705" s="2">
        <f ca="1"/>
        <v>1.7594782717345279</v>
      </c>
      <c r="X7705" s="2">
        <f ca="1"/>
        <v>55.336469326949157</v>
      </c>
      <c r="AG7705" s="2">
        <f ca="1"/>
        <v>0.64737937290021663</v>
      </c>
      <c r="AH7705" s="2" t="str">
        <f ca="1"/>
        <v>Bad</v>
      </c>
    </row>
    <row r="7706" spans="2:34" x14ac:dyDescent="0.2">
      <c r="B7706" s="2">
        <f ca="1"/>
        <v>0.46027658891972556</v>
      </c>
      <c r="O7706" s="2">
        <f ca="1"/>
        <v>1.6510663462128132</v>
      </c>
      <c r="X7706" s="2">
        <f ca="1"/>
        <v>41.353811159740168</v>
      </c>
      <c r="AG7706" s="2">
        <f ca="1"/>
        <v>0.80435417868880243</v>
      </c>
      <c r="AH7706" s="2" t="str">
        <f ca="1"/>
        <v>Bad</v>
      </c>
    </row>
    <row r="7707" spans="2:34" x14ac:dyDescent="0.2">
      <c r="B7707" s="2">
        <f ca="1"/>
        <v>2.0775587230983827E-2</v>
      </c>
      <c r="O7707" s="2">
        <f ca="1"/>
        <v>-0.37296901852173286</v>
      </c>
      <c r="X7707" s="2">
        <f ca="1"/>
        <v>40.673025742695103</v>
      </c>
      <c r="AG7707" s="2">
        <f ca="1"/>
        <v>0.68344667248593738</v>
      </c>
      <c r="AH7707" s="2" t="str">
        <f ca="1"/>
        <v>Bad</v>
      </c>
    </row>
    <row r="7708" spans="2:34" x14ac:dyDescent="0.2">
      <c r="B7708" s="2">
        <f ca="1"/>
        <v>0.14420168705811021</v>
      </c>
      <c r="O7708" s="2">
        <f ca="1"/>
        <v>-1.5679130955565848</v>
      </c>
      <c r="X7708" s="2">
        <f ca="1"/>
        <v>69.619263712385106</v>
      </c>
      <c r="AG7708" s="2">
        <f ca="1"/>
        <v>0.74678165505088812</v>
      </c>
      <c r="AH7708" s="2" t="str">
        <f ca="1"/>
        <v>Bad</v>
      </c>
    </row>
    <row r="7709" spans="2:34" x14ac:dyDescent="0.2">
      <c r="B7709" s="2">
        <f ca="1"/>
        <v>0.20129241288056043</v>
      </c>
      <c r="O7709" s="2">
        <f ca="1"/>
        <v>0.2270125505068078</v>
      </c>
      <c r="X7709" s="2">
        <f ca="1"/>
        <v>80.296154562512328</v>
      </c>
      <c r="AG7709" s="2">
        <f ca="1"/>
        <v>0.14753717341993666</v>
      </c>
      <c r="AH7709" s="2" t="str">
        <f ca="1"/>
        <v>OK</v>
      </c>
    </row>
    <row r="7710" spans="2:34" x14ac:dyDescent="0.2">
      <c r="B7710" s="2">
        <f ca="1"/>
        <v>0.45424155760910945</v>
      </c>
      <c r="O7710" s="2">
        <f ca="1"/>
        <v>-1.0333845226524003</v>
      </c>
      <c r="X7710" s="2">
        <f ca="1"/>
        <v>39.125062304663778</v>
      </c>
      <c r="AG7710" s="2">
        <f ca="1"/>
        <v>0.55167176332058188</v>
      </c>
      <c r="AH7710" s="2" t="str">
        <f ca="1"/>
        <v>Bad</v>
      </c>
    </row>
    <row r="7711" spans="2:34" x14ac:dyDescent="0.2">
      <c r="B7711" s="2">
        <f ca="1"/>
        <v>0.37561955929862378</v>
      </c>
      <c r="O7711" s="2">
        <f ca="1"/>
        <v>0.3239720691837164</v>
      </c>
      <c r="X7711" s="2">
        <f ca="1"/>
        <v>36.499516441306696</v>
      </c>
      <c r="AG7711" s="2">
        <f ca="1"/>
        <v>0.16037224382705939</v>
      </c>
      <c r="AH7711" s="2" t="str">
        <f ca="1"/>
        <v>OK</v>
      </c>
    </row>
    <row r="7712" spans="2:34" x14ac:dyDescent="0.2">
      <c r="B7712" s="2">
        <f ca="1"/>
        <v>0.53060648838601177</v>
      </c>
      <c r="O7712" s="2">
        <f ca="1"/>
        <v>0.7528606165500431</v>
      </c>
      <c r="X7712" s="2">
        <f ca="1"/>
        <v>41.916990655509196</v>
      </c>
      <c r="AG7712" s="2">
        <f ca="1"/>
        <v>0.2156580222181248</v>
      </c>
      <c r="AH7712" s="2" t="str">
        <f ca="1"/>
        <v>OK</v>
      </c>
    </row>
    <row r="7713" spans="2:34" x14ac:dyDescent="0.2">
      <c r="B7713" s="2">
        <f ca="1"/>
        <v>9.3261547625483443E-2</v>
      </c>
      <c r="O7713" s="2">
        <f ca="1"/>
        <v>1.4271880248512641</v>
      </c>
      <c r="X7713" s="2">
        <f ca="1"/>
        <v>49.380599252384854</v>
      </c>
      <c r="AG7713" s="2">
        <f ca="1"/>
        <v>0.84243958793471685</v>
      </c>
      <c r="AH7713" s="2" t="str">
        <f ca="1"/>
        <v>Bad</v>
      </c>
    </row>
    <row r="7714" spans="2:34" x14ac:dyDescent="0.2">
      <c r="B7714" s="2">
        <f ca="1"/>
        <v>0.38454218748963731</v>
      </c>
      <c r="O7714" s="2">
        <f ca="1"/>
        <v>0.37081422873766329</v>
      </c>
      <c r="X7714" s="2">
        <f ca="1"/>
        <v>51.243015935121299</v>
      </c>
      <c r="AG7714" s="2">
        <f ca="1"/>
        <v>0.37697737815885035</v>
      </c>
      <c r="AH7714" s="2" t="str">
        <f ca="1"/>
        <v>OK</v>
      </c>
    </row>
    <row r="7715" spans="2:34" x14ac:dyDescent="0.2">
      <c r="B7715" s="2">
        <f ca="1"/>
        <v>0.18368031614292657</v>
      </c>
      <c r="O7715" s="2">
        <f ca="1"/>
        <v>1.694809777146483</v>
      </c>
      <c r="X7715" s="2">
        <f ca="1"/>
        <v>62.099675838400657</v>
      </c>
      <c r="AG7715" s="2">
        <f ca="1"/>
        <v>0.8182716776388792</v>
      </c>
      <c r="AH7715" s="2" t="str">
        <f ca="1"/>
        <v>Bad</v>
      </c>
    </row>
    <row r="7716" spans="2:34" x14ac:dyDescent="0.2">
      <c r="B7716" s="2">
        <f ca="1"/>
        <v>0.45820924947546304</v>
      </c>
      <c r="O7716" s="2">
        <f ca="1"/>
        <v>-1.074303922974944</v>
      </c>
      <c r="X7716" s="2">
        <f ca="1"/>
        <v>85.75189666675027</v>
      </c>
      <c r="AG7716" s="2">
        <f ca="1"/>
        <v>0.12014109108941295</v>
      </c>
      <c r="AH7716" s="2" t="str">
        <f ca="1"/>
        <v>OK</v>
      </c>
    </row>
    <row r="7717" spans="2:34" x14ac:dyDescent="0.2">
      <c r="B7717" s="2">
        <f ca="1"/>
        <v>0.81356900237603402</v>
      </c>
      <c r="O7717" s="2">
        <f ca="1"/>
        <v>-1.0199166612197819</v>
      </c>
      <c r="X7717" s="2">
        <f ca="1"/>
        <v>62.874361957017271</v>
      </c>
      <c r="AG7717" s="2">
        <f ca="1"/>
        <v>0.9007212625806269</v>
      </c>
      <c r="AH7717" s="2" t="str">
        <f ca="1"/>
        <v>Bad</v>
      </c>
    </row>
    <row r="7718" spans="2:34" x14ac:dyDescent="0.2">
      <c r="B7718" s="2">
        <f ca="1"/>
        <v>0.52310732697786366</v>
      </c>
      <c r="O7718" s="2">
        <f ca="1"/>
        <v>-0.75595356551292869</v>
      </c>
      <c r="X7718" s="2">
        <f ca="1"/>
        <v>43.276973890750938</v>
      </c>
      <c r="AG7718" s="2">
        <f ca="1"/>
        <v>0.69874809445090746</v>
      </c>
      <c r="AH7718" s="2" t="str">
        <f ca="1"/>
        <v>Bad</v>
      </c>
    </row>
    <row r="7719" spans="2:34" x14ac:dyDescent="0.2">
      <c r="B7719" s="2">
        <f ca="1"/>
        <v>9.0789368021776173E-2</v>
      </c>
      <c r="O7719" s="2">
        <f ca="1"/>
        <v>-0.67754820956770379</v>
      </c>
      <c r="X7719" s="2">
        <f ca="1"/>
        <v>66.310093869151999</v>
      </c>
      <c r="AG7719" s="2">
        <f ca="1"/>
        <v>0.37909382853251894</v>
      </c>
      <c r="AH7719" s="2" t="str">
        <f ca="1"/>
        <v>OK</v>
      </c>
    </row>
    <row r="7720" spans="2:34" x14ac:dyDescent="0.2">
      <c r="B7720" s="2">
        <f ca="1"/>
        <v>0.53193817525552523</v>
      </c>
      <c r="O7720" s="2">
        <f ca="1"/>
        <v>-0.99864075925041917</v>
      </c>
      <c r="X7720" s="2">
        <f ca="1"/>
        <v>70.60727922699644</v>
      </c>
      <c r="AG7720" s="2">
        <f ca="1"/>
        <v>0.6972006863623661</v>
      </c>
      <c r="AH7720" s="2" t="str">
        <f ca="1"/>
        <v>Bad</v>
      </c>
    </row>
    <row r="7721" spans="2:34" x14ac:dyDescent="0.2">
      <c r="B7721" s="2">
        <f ca="1"/>
        <v>0.92856477486595779</v>
      </c>
      <c r="O7721" s="2">
        <f ca="1"/>
        <v>-1.5322799144203403</v>
      </c>
      <c r="X7721" s="2">
        <f ca="1"/>
        <v>30.133044746287716</v>
      </c>
      <c r="AG7721" s="2">
        <f ca="1"/>
        <v>0.96936093093302578</v>
      </c>
      <c r="AH7721" s="2" t="str">
        <f ca="1"/>
        <v>Bad</v>
      </c>
    </row>
    <row r="7722" spans="2:34" x14ac:dyDescent="0.2">
      <c r="B7722" s="2">
        <f ca="1"/>
        <v>5.9505343518259091E-2</v>
      </c>
      <c r="O7722" s="2">
        <f ca="1"/>
        <v>-2.0498048936889512</v>
      </c>
      <c r="X7722" s="2">
        <f ca="1"/>
        <v>70.874413830408173</v>
      </c>
      <c r="AG7722" s="2">
        <f ca="1"/>
        <v>0.10627125464211407</v>
      </c>
      <c r="AH7722" s="2" t="str">
        <f ca="1"/>
        <v>OK</v>
      </c>
    </row>
    <row r="7723" spans="2:34" x14ac:dyDescent="0.2">
      <c r="B7723" s="2">
        <f ca="1"/>
        <v>0.19040554359820838</v>
      </c>
      <c r="O7723" s="2">
        <f ca="1"/>
        <v>1.6688769956423382</v>
      </c>
      <c r="X7723" s="2">
        <f ca="1"/>
        <v>61.64568098126913</v>
      </c>
      <c r="AG7723" s="2">
        <f ca="1"/>
        <v>0.24821257256772977</v>
      </c>
      <c r="AH7723" s="2" t="str">
        <f ca="1"/>
        <v>OK</v>
      </c>
    </row>
    <row r="7724" spans="2:34" x14ac:dyDescent="0.2">
      <c r="B7724" s="2">
        <f ca="1"/>
        <v>4.8807479455864389E-2</v>
      </c>
      <c r="O7724" s="2">
        <f ca="1"/>
        <v>-2.1821216675809305</v>
      </c>
      <c r="X7724" s="2">
        <f ca="1"/>
        <v>27.328867740968875</v>
      </c>
      <c r="AG7724" s="2">
        <f ca="1"/>
        <v>0.20457892703394243</v>
      </c>
      <c r="AH7724" s="2" t="str">
        <f ca="1"/>
        <v>OK</v>
      </c>
    </row>
    <row r="7725" spans="2:34" x14ac:dyDescent="0.2">
      <c r="B7725" s="2">
        <f ca="1"/>
        <v>0.10982695415065913</v>
      </c>
      <c r="O7725" s="2">
        <f ca="1"/>
        <v>-0.29688701479890356</v>
      </c>
      <c r="X7725" s="2">
        <f ca="1"/>
        <v>31.594336728252141</v>
      </c>
      <c r="AG7725" s="2">
        <f ca="1"/>
        <v>0.56954350603669357</v>
      </c>
      <c r="AH7725" s="2" t="str">
        <f ca="1"/>
        <v>Bad</v>
      </c>
    </row>
    <row r="7726" spans="2:34" x14ac:dyDescent="0.2">
      <c r="B7726" s="2">
        <f ca="1"/>
        <v>0.92285707295711572</v>
      </c>
      <c r="O7726" s="2">
        <f ca="1"/>
        <v>-0.3763559235626569</v>
      </c>
      <c r="X7726" s="2">
        <f ca="1"/>
        <v>40.412803253272394</v>
      </c>
      <c r="AG7726" s="2">
        <f ca="1"/>
        <v>0.28225985045173174</v>
      </c>
      <c r="AH7726" s="2" t="str">
        <f ca="1"/>
        <v>OK</v>
      </c>
    </row>
    <row r="7727" spans="2:34" x14ac:dyDescent="0.2">
      <c r="B7727" s="2">
        <f ca="1"/>
        <v>7.8247493994641149E-2</v>
      </c>
      <c r="O7727" s="2">
        <f ca="1"/>
        <v>1.0021003878514185</v>
      </c>
      <c r="X7727" s="2">
        <f ca="1"/>
        <v>69.756337852022256</v>
      </c>
      <c r="AG7727" s="2">
        <f ca="1"/>
        <v>0.65413263963612844</v>
      </c>
      <c r="AH7727" s="2" t="str">
        <f ca="1"/>
        <v>Bad</v>
      </c>
    </row>
    <row r="7728" spans="2:34" x14ac:dyDescent="0.2">
      <c r="B7728" s="2">
        <f ca="1"/>
        <v>0.7931425322051957</v>
      </c>
      <c r="O7728" s="2">
        <f ca="1"/>
        <v>2.1291796384813724</v>
      </c>
      <c r="X7728" s="2">
        <f ca="1"/>
        <v>39.976696325278532</v>
      </c>
      <c r="AG7728" s="2">
        <f ca="1"/>
        <v>0.59654927799999902</v>
      </c>
      <c r="AH7728" s="2" t="str">
        <f ca="1"/>
        <v>Bad</v>
      </c>
    </row>
    <row r="7729" spans="2:34" x14ac:dyDescent="0.2">
      <c r="B7729" s="2">
        <f ca="1"/>
        <v>0.3763950322315377</v>
      </c>
      <c r="O7729" s="2">
        <f ca="1"/>
        <v>-0.56886381070719072</v>
      </c>
      <c r="X7729" s="2">
        <f ca="1"/>
        <v>43.845659726553919</v>
      </c>
      <c r="AG7729" s="2">
        <f ca="1"/>
        <v>0.5904393517741553</v>
      </c>
      <c r="AH7729" s="2" t="str">
        <f ca="1"/>
        <v>Bad</v>
      </c>
    </row>
    <row r="7730" spans="2:34" x14ac:dyDescent="0.2">
      <c r="B7730" s="2">
        <f ca="1"/>
        <v>0.7992714534803449</v>
      </c>
      <c r="O7730" s="2">
        <f ca="1"/>
        <v>0.18206489163251688</v>
      </c>
      <c r="X7730" s="2">
        <f ca="1"/>
        <v>27.86124756921739</v>
      </c>
      <c r="AG7730" s="2">
        <f ca="1"/>
        <v>0.41257118524449621</v>
      </c>
      <c r="AH7730" s="2" t="str">
        <f ca="1"/>
        <v>Bad</v>
      </c>
    </row>
    <row r="7731" spans="2:34" x14ac:dyDescent="0.2">
      <c r="B7731" s="2">
        <f ca="1"/>
        <v>0.73370116930934048</v>
      </c>
      <c r="O7731" s="2">
        <f ca="1"/>
        <v>-2.0233796427914958</v>
      </c>
      <c r="X7731" s="2">
        <f ca="1"/>
        <v>37.850801544935202</v>
      </c>
      <c r="AG7731" s="2">
        <f ca="1"/>
        <v>0.72718858817507948</v>
      </c>
      <c r="AH7731" s="2" t="str">
        <f ca="1"/>
        <v>Bad</v>
      </c>
    </row>
    <row r="7732" spans="2:34" x14ac:dyDescent="0.2">
      <c r="B7732" s="2">
        <f ca="1"/>
        <v>0.27270972533374671</v>
      </c>
      <c r="O7732" s="2">
        <f ca="1"/>
        <v>-2.4591300303682631</v>
      </c>
      <c r="X7732" s="2">
        <f ca="1"/>
        <v>54.646955861340231</v>
      </c>
      <c r="AG7732" s="2">
        <f ca="1"/>
        <v>0.78835386524015361</v>
      </c>
      <c r="AH7732" s="2" t="str">
        <f ca="1"/>
        <v>Bad</v>
      </c>
    </row>
    <row r="7733" spans="2:34" x14ac:dyDescent="0.2">
      <c r="B7733" s="2">
        <f ca="1"/>
        <v>0.54631202028942982</v>
      </c>
      <c r="O7733" s="2">
        <f ca="1"/>
        <v>-0.31914407741147455</v>
      </c>
      <c r="X7733" s="2">
        <f ca="1"/>
        <v>25.563367481814964</v>
      </c>
      <c r="AG7733" s="2">
        <f ca="1"/>
        <v>0.69830510272868929</v>
      </c>
      <c r="AH7733" s="2" t="str">
        <f ca="1"/>
        <v>Bad</v>
      </c>
    </row>
    <row r="7734" spans="2:34" x14ac:dyDescent="0.2">
      <c r="B7734" s="2">
        <f ca="1"/>
        <v>7.0448908515923891E-2</v>
      </c>
      <c r="O7734" s="2">
        <f ca="1"/>
        <v>0.10241066093874657</v>
      </c>
      <c r="X7734" s="2">
        <f ca="1"/>
        <v>31.24862785441082</v>
      </c>
      <c r="AG7734" s="2">
        <f ca="1"/>
        <v>0.78457252444114189</v>
      </c>
      <c r="AH7734" s="2" t="str">
        <f ca="1"/>
        <v>Bad</v>
      </c>
    </row>
    <row r="7735" spans="2:34" x14ac:dyDescent="0.2">
      <c r="B7735" s="2">
        <f ca="1"/>
        <v>0.82182747789413124</v>
      </c>
      <c r="O7735" s="2">
        <f ca="1"/>
        <v>0.30179598656685042</v>
      </c>
      <c r="X7735" s="2">
        <f ca="1"/>
        <v>50.781501998658825</v>
      </c>
      <c r="AG7735" s="2">
        <f ca="1"/>
        <v>0.71626671397240416</v>
      </c>
      <c r="AH7735" s="2" t="str">
        <f ca="1"/>
        <v>Bad</v>
      </c>
    </row>
    <row r="7736" spans="2:34" x14ac:dyDescent="0.2">
      <c r="B7736" s="2">
        <f ca="1"/>
        <v>0.32283143563430627</v>
      </c>
      <c r="O7736" s="2">
        <f ca="1"/>
        <v>0.39866242791167467</v>
      </c>
      <c r="X7736" s="2">
        <f ca="1"/>
        <v>71.220823757050269</v>
      </c>
      <c r="AG7736" s="2">
        <f ca="1"/>
        <v>0.60317220282208983</v>
      </c>
      <c r="AH7736" s="2" t="str">
        <f ca="1"/>
        <v>Bad</v>
      </c>
    </row>
    <row r="7737" spans="2:34" x14ac:dyDescent="0.2">
      <c r="B7737" s="2">
        <f ca="1"/>
        <v>0.42402731449243625</v>
      </c>
      <c r="O7737" s="2">
        <f ca="1"/>
        <v>1.0431683582352544</v>
      </c>
      <c r="X7737" s="2">
        <f ca="1"/>
        <v>35.928357839723617</v>
      </c>
      <c r="AG7737" s="2">
        <f ca="1"/>
        <v>0.3178997155439991</v>
      </c>
      <c r="AH7737" s="2" t="str">
        <f ca="1"/>
        <v>OK</v>
      </c>
    </row>
    <row r="7738" spans="2:34" x14ac:dyDescent="0.2">
      <c r="B7738" s="2">
        <f ca="1"/>
        <v>0.13623207126635273</v>
      </c>
      <c r="O7738" s="2">
        <f ca="1"/>
        <v>1.5706145322856515</v>
      </c>
      <c r="X7738" s="2">
        <f ca="1"/>
        <v>72.80737098750366</v>
      </c>
      <c r="AG7738" s="2">
        <f ca="1"/>
        <v>0.4118416945550063</v>
      </c>
      <c r="AH7738" s="2" t="str">
        <f ca="1"/>
        <v>Bad</v>
      </c>
    </row>
    <row r="7739" spans="2:34" x14ac:dyDescent="0.2">
      <c r="B7739" s="2">
        <f ca="1"/>
        <v>0.44164670638054959</v>
      </c>
      <c r="O7739" s="2">
        <f ca="1"/>
        <v>-0.51381713255576544</v>
      </c>
      <c r="X7739" s="2">
        <f ca="1"/>
        <v>32.559931766731708</v>
      </c>
      <c r="AG7739" s="2">
        <f ca="1"/>
        <v>0.71006457412499335</v>
      </c>
      <c r="AH7739" s="2" t="str">
        <f ca="1"/>
        <v>Bad</v>
      </c>
    </row>
    <row r="7740" spans="2:34" x14ac:dyDescent="0.2">
      <c r="B7740" s="2">
        <f ca="1"/>
        <v>0.50386871977735814</v>
      </c>
      <c r="O7740" s="2">
        <f ca="1"/>
        <v>0.54334336773117631</v>
      </c>
      <c r="X7740" s="2">
        <f ca="1"/>
        <v>34.167112912139082</v>
      </c>
      <c r="AG7740" s="2">
        <f ca="1"/>
        <v>0.15157301385131428</v>
      </c>
      <c r="AH7740" s="2" t="str">
        <f ca="1"/>
        <v>OK</v>
      </c>
    </row>
    <row r="7741" spans="2:34" x14ac:dyDescent="0.2">
      <c r="B7741" s="2">
        <f ca="1"/>
        <v>0.9196112484437573</v>
      </c>
      <c r="O7741" s="2">
        <f ca="1"/>
        <v>0.35838332639449222</v>
      </c>
      <c r="X7741" s="2">
        <f ca="1"/>
        <v>26.861228927623294</v>
      </c>
      <c r="AG7741" s="2">
        <f ca="1"/>
        <v>0.18866174214850817</v>
      </c>
      <c r="AH7741" s="2" t="str">
        <f ca="1"/>
        <v>OK</v>
      </c>
    </row>
    <row r="7742" spans="2:34" x14ac:dyDescent="0.2">
      <c r="B7742" s="2">
        <f ca="1"/>
        <v>0.74815661830763514</v>
      </c>
      <c r="O7742" s="2">
        <f ca="1"/>
        <v>1.0206066803799894</v>
      </c>
      <c r="X7742" s="2">
        <f ca="1"/>
        <v>56.038865783343169</v>
      </c>
      <c r="AG7742" s="2">
        <f ca="1"/>
        <v>0.44256637130555632</v>
      </c>
      <c r="AH7742" s="2" t="str">
        <f ca="1"/>
        <v>Bad</v>
      </c>
    </row>
    <row r="7743" spans="2:34" x14ac:dyDescent="0.2">
      <c r="B7743" s="2">
        <f ca="1"/>
        <v>0.12954401998666576</v>
      </c>
      <c r="O7743" s="2">
        <f ca="1"/>
        <v>-1.3349854604415965</v>
      </c>
      <c r="X7743" s="2">
        <f ca="1"/>
        <v>35.551576017483796</v>
      </c>
      <c r="AG7743" s="2">
        <f ca="1"/>
        <v>0.62548792151887556</v>
      </c>
      <c r="AH7743" s="2" t="str">
        <f ca="1"/>
        <v>Bad</v>
      </c>
    </row>
    <row r="7744" spans="2:34" x14ac:dyDescent="0.2">
      <c r="B7744" s="2">
        <f ca="1"/>
        <v>3.4497670834918504E-2</v>
      </c>
      <c r="O7744" s="2">
        <f ca="1"/>
        <v>-0.99942549921985624</v>
      </c>
      <c r="X7744" s="2">
        <f ca="1"/>
        <v>86.402739222086979</v>
      </c>
      <c r="AG7744" s="2">
        <f ca="1"/>
        <v>0.12961235509297264</v>
      </c>
      <c r="AH7744" s="2" t="str">
        <f ca="1"/>
        <v>OK</v>
      </c>
    </row>
    <row r="7745" spans="2:34" x14ac:dyDescent="0.2">
      <c r="B7745" s="2">
        <f ca="1"/>
        <v>0.71031531440129991</v>
      </c>
      <c r="O7745" s="2">
        <f ca="1"/>
        <v>1.5994219235646074</v>
      </c>
      <c r="X7745" s="2">
        <f ca="1"/>
        <v>59.593975185545276</v>
      </c>
      <c r="AG7745" s="2">
        <f ca="1"/>
        <v>0.25170011179877383</v>
      </c>
      <c r="AH7745" s="2" t="str">
        <f ca="1"/>
        <v>OK</v>
      </c>
    </row>
    <row r="7746" spans="2:34" x14ac:dyDescent="0.2">
      <c r="B7746" s="2">
        <f ca="1"/>
        <v>0.75939850408941845</v>
      </c>
      <c r="O7746" s="2">
        <f ca="1"/>
        <v>1.8921116539048128</v>
      </c>
      <c r="X7746" s="2">
        <f ca="1"/>
        <v>49.694736882861392</v>
      </c>
      <c r="AG7746" s="2">
        <f ca="1"/>
        <v>0.61353382505574094</v>
      </c>
      <c r="AH7746" s="2" t="str">
        <f ca="1"/>
        <v>Bad</v>
      </c>
    </row>
    <row r="7747" spans="2:34" x14ac:dyDescent="0.2">
      <c r="B7747" s="2">
        <f ca="1"/>
        <v>0.81071069331714907</v>
      </c>
      <c r="O7747" s="2">
        <f ca="1"/>
        <v>-0.3634937985497933</v>
      </c>
      <c r="X7747" s="2">
        <f ca="1"/>
        <v>45.289458791597127</v>
      </c>
      <c r="AG7747" s="2">
        <f ca="1"/>
        <v>0.13767183917521209</v>
      </c>
      <c r="AH7747" s="2" t="str">
        <f ca="1"/>
        <v>OK</v>
      </c>
    </row>
    <row r="7748" spans="2:34" x14ac:dyDescent="0.2">
      <c r="B7748" s="2">
        <f ca="1"/>
        <v>0.76241375880843121</v>
      </c>
      <c r="O7748" s="2">
        <f ca="1"/>
        <v>-1.3117066763853991</v>
      </c>
      <c r="X7748" s="2">
        <f ca="1"/>
        <v>37.39044971293977</v>
      </c>
      <c r="AG7748" s="2">
        <f ca="1"/>
        <v>0.20576966893173787</v>
      </c>
      <c r="AH7748" s="2" t="str">
        <f ca="1"/>
        <v>OK</v>
      </c>
    </row>
    <row r="7749" spans="2:34" x14ac:dyDescent="0.2">
      <c r="B7749" s="2">
        <f ca="1"/>
        <v>0.37922359546352236</v>
      </c>
      <c r="O7749" s="2">
        <f ca="1"/>
        <v>1.2767776404628473</v>
      </c>
      <c r="X7749" s="2">
        <f ca="1"/>
        <v>28.191890160050068</v>
      </c>
      <c r="AG7749" s="2">
        <f ca="1"/>
        <v>0.15418133773851439</v>
      </c>
      <c r="AH7749" s="2" t="str">
        <f ca="1"/>
        <v>OK</v>
      </c>
    </row>
    <row r="7750" spans="2:34" x14ac:dyDescent="0.2">
      <c r="B7750" s="2">
        <f ca="1"/>
        <v>0.69791674691688632</v>
      </c>
      <c r="O7750" s="2">
        <f ca="1"/>
        <v>-1.1396224212253456</v>
      </c>
      <c r="X7750" s="2">
        <f ca="1"/>
        <v>50.677092749784045</v>
      </c>
      <c r="AG7750" s="2">
        <f ca="1"/>
        <v>0.96221691045252977</v>
      </c>
      <c r="AH7750" s="2" t="str">
        <f ca="1"/>
        <v>Bad</v>
      </c>
    </row>
    <row r="7751" spans="2:34" x14ac:dyDescent="0.2">
      <c r="B7751" s="2">
        <f ca="1"/>
        <v>0.5217656246796083</v>
      </c>
      <c r="O7751" s="2">
        <f ca="1"/>
        <v>-1.9304573907059541</v>
      </c>
      <c r="X7751" s="2">
        <f ca="1"/>
        <v>58.368454256849816</v>
      </c>
      <c r="AG7751" s="2">
        <f ca="1"/>
        <v>0.1274582660481447</v>
      </c>
      <c r="AH7751" s="2" t="str">
        <f ca="1"/>
        <v>OK</v>
      </c>
    </row>
    <row r="7752" spans="2:34" x14ac:dyDescent="0.2">
      <c r="B7752" s="2">
        <f ca="1"/>
        <v>0.58898726727353301</v>
      </c>
      <c r="O7752" s="2">
        <f ca="1"/>
        <v>0.35517977205547263</v>
      </c>
      <c r="X7752" s="2">
        <f ca="1"/>
        <v>46.768071325623886</v>
      </c>
      <c r="AG7752" s="2">
        <f ca="1"/>
        <v>0.87623923126646996</v>
      </c>
      <c r="AH7752" s="2" t="str">
        <f ca="1"/>
        <v>Bad</v>
      </c>
    </row>
    <row r="7753" spans="2:34" x14ac:dyDescent="0.2">
      <c r="B7753" s="2">
        <f ca="1"/>
        <v>0.75043315999237592</v>
      </c>
      <c r="O7753" s="2">
        <f ca="1"/>
        <v>-0.21374537169462948</v>
      </c>
      <c r="X7753" s="2">
        <f ca="1"/>
        <v>54.022526719888766</v>
      </c>
      <c r="AG7753" s="2">
        <f ca="1"/>
        <v>0.79897388758912524</v>
      </c>
      <c r="AH7753" s="2" t="str">
        <f ca="1"/>
        <v>Bad</v>
      </c>
    </row>
    <row r="7754" spans="2:34" x14ac:dyDescent="0.2">
      <c r="B7754" s="2">
        <f ca="1"/>
        <v>3.0714795779954951E-2</v>
      </c>
      <c r="O7754" s="2">
        <f ca="1"/>
        <v>1.651664274301859</v>
      </c>
      <c r="X7754" s="2">
        <f ca="1"/>
        <v>64.256341581768254</v>
      </c>
      <c r="AG7754" s="2">
        <f ca="1"/>
        <v>7.3286926681709774E-2</v>
      </c>
      <c r="AH7754" s="2" t="str">
        <f ca="1"/>
        <v>OK</v>
      </c>
    </row>
    <row r="7755" spans="2:34" x14ac:dyDescent="0.2">
      <c r="B7755" s="2">
        <f ca="1"/>
        <v>0.45693622936657485</v>
      </c>
      <c r="O7755" s="2">
        <f ca="1"/>
        <v>0.15703160742649816</v>
      </c>
      <c r="X7755" s="2">
        <f ca="1"/>
        <v>47.127914271580025</v>
      </c>
      <c r="AG7755" s="2">
        <f ca="1"/>
        <v>7.6810031313800931E-2</v>
      </c>
      <c r="AH7755" s="2" t="str">
        <f ca="1"/>
        <v>OK</v>
      </c>
    </row>
    <row r="7756" spans="2:34" x14ac:dyDescent="0.2">
      <c r="B7756" s="2">
        <f ca="1"/>
        <v>2.5654206280989467E-3</v>
      </c>
      <c r="O7756" s="2">
        <f ca="1"/>
        <v>1.5141698456522938</v>
      </c>
      <c r="X7756" s="2">
        <f ca="1"/>
        <v>49.837348715280861</v>
      </c>
      <c r="AG7756" s="2">
        <f ca="1"/>
        <v>0.38044509625841583</v>
      </c>
      <c r="AH7756" s="2" t="str">
        <f ca="1"/>
        <v>OK</v>
      </c>
    </row>
    <row r="7757" spans="2:34" x14ac:dyDescent="0.2">
      <c r="B7757" s="2">
        <f ca="1"/>
        <v>0.6223298639028878</v>
      </c>
      <c r="O7757" s="2">
        <f ca="1"/>
        <v>0.33388183177941994</v>
      </c>
      <c r="X7757" s="2">
        <f ca="1"/>
        <v>59.653294164393252</v>
      </c>
      <c r="AG7757" s="2">
        <f ca="1"/>
        <v>0.65209323593275381</v>
      </c>
      <c r="AH7757" s="2" t="str">
        <f ca="1"/>
        <v>Bad</v>
      </c>
    </row>
    <row r="7758" spans="2:34" x14ac:dyDescent="0.2">
      <c r="B7758" s="2">
        <f ca="1"/>
        <v>0.82357692541146821</v>
      </c>
      <c r="O7758" s="2">
        <f ca="1"/>
        <v>0.89998742883217442</v>
      </c>
      <c r="X7758" s="2">
        <f ca="1"/>
        <v>37.989658969790597</v>
      </c>
      <c r="AG7758" s="2">
        <f ca="1"/>
        <v>0.15313234005164644</v>
      </c>
      <c r="AH7758" s="2" t="str">
        <f ca="1"/>
        <v>OK</v>
      </c>
    </row>
    <row r="7759" spans="2:34" x14ac:dyDescent="0.2">
      <c r="B7759" s="2">
        <f ca="1"/>
        <v>0.19272310861860009</v>
      </c>
      <c r="O7759" s="2">
        <f ca="1"/>
        <v>-1.1215005777873632E-2</v>
      </c>
      <c r="X7759" s="2">
        <f ca="1"/>
        <v>59.720669826803189</v>
      </c>
      <c r="AG7759" s="2">
        <f ca="1"/>
        <v>0.90242965619024651</v>
      </c>
      <c r="AH7759" s="2" t="str">
        <f ca="1"/>
        <v>Bad</v>
      </c>
    </row>
    <row r="7760" spans="2:34" x14ac:dyDescent="0.2">
      <c r="B7760" s="2">
        <f ca="1"/>
        <v>0.30729634114755</v>
      </c>
      <c r="O7760" s="2">
        <f ca="1"/>
        <v>-0.24692010627622554</v>
      </c>
      <c r="X7760" s="2">
        <f ca="1"/>
        <v>38.272294956922906</v>
      </c>
      <c r="AG7760" s="2">
        <f ca="1"/>
        <v>0.46755346603399417</v>
      </c>
      <c r="AH7760" s="2" t="str">
        <f ca="1"/>
        <v>Bad</v>
      </c>
    </row>
    <row r="7761" spans="2:34" x14ac:dyDescent="0.2">
      <c r="B7761" s="2">
        <f ca="1"/>
        <v>0.92715479363393238</v>
      </c>
      <c r="O7761" s="2">
        <f ca="1"/>
        <v>3.5400527690854736E-2</v>
      </c>
      <c r="X7761" s="2">
        <f ca="1"/>
        <v>94.609212655736101</v>
      </c>
      <c r="AG7761" s="2">
        <f ca="1"/>
        <v>0.83423570707204853</v>
      </c>
      <c r="AH7761" s="2" t="str">
        <f ca="1"/>
        <v>Bad</v>
      </c>
    </row>
    <row r="7762" spans="2:34" x14ac:dyDescent="0.2">
      <c r="B7762" s="2">
        <f ca="1"/>
        <v>0.41252729063780635</v>
      </c>
      <c r="O7762" s="2">
        <f ca="1"/>
        <v>1.0926357129633386</v>
      </c>
      <c r="X7762" s="2">
        <f ca="1"/>
        <v>50.408877465839694</v>
      </c>
      <c r="AG7762" s="2">
        <f ca="1"/>
        <v>5.6300802079053414E-2</v>
      </c>
      <c r="AH7762" s="2" t="str">
        <f ca="1"/>
        <v>OK</v>
      </c>
    </row>
    <row r="7763" spans="2:34" x14ac:dyDescent="0.2">
      <c r="B7763" s="2">
        <f ca="1"/>
        <v>0.98185493797058121</v>
      </c>
      <c r="O7763" s="2">
        <f ca="1"/>
        <v>-2.1511730269451246E-2</v>
      </c>
      <c r="X7763" s="2">
        <f ca="1"/>
        <v>47.40067035850106</v>
      </c>
      <c r="AG7763" s="2">
        <f ca="1"/>
        <v>0.30037559183124696</v>
      </c>
      <c r="AH7763" s="2" t="str">
        <f ca="1"/>
        <v>OK</v>
      </c>
    </row>
    <row r="7764" spans="2:34" x14ac:dyDescent="0.2">
      <c r="B7764" s="2">
        <f ca="1"/>
        <v>0.93791647211490581</v>
      </c>
      <c r="O7764" s="2">
        <f ca="1"/>
        <v>-0.50184656607886824</v>
      </c>
      <c r="X7764" s="2">
        <f ca="1"/>
        <v>56.946894833750662</v>
      </c>
      <c r="AG7764" s="2">
        <f ca="1"/>
        <v>7.7957821867124188E-2</v>
      </c>
      <c r="AH7764" s="2" t="str">
        <f ca="1"/>
        <v>OK</v>
      </c>
    </row>
    <row r="7765" spans="2:34" x14ac:dyDescent="0.2">
      <c r="B7765" s="2">
        <f ca="1"/>
        <v>0.33177188974115768</v>
      </c>
      <c r="O7765" s="2">
        <f ca="1"/>
        <v>-0.34940990003821037</v>
      </c>
      <c r="X7765" s="2">
        <f ca="1"/>
        <v>52.135617014715045</v>
      </c>
      <c r="AG7765" s="2">
        <f ca="1"/>
        <v>0.11922220583687304</v>
      </c>
      <c r="AH7765" s="2" t="str">
        <f ca="1"/>
        <v>OK</v>
      </c>
    </row>
    <row r="7766" spans="2:34" x14ac:dyDescent="0.2">
      <c r="B7766" s="2">
        <f ca="1"/>
        <v>0.17180662671992097</v>
      </c>
      <c r="O7766" s="2">
        <f ca="1"/>
        <v>-0.95340003234513671</v>
      </c>
      <c r="X7766" s="2">
        <f ca="1"/>
        <v>27.994892888366142</v>
      </c>
      <c r="AG7766" s="2">
        <f ca="1"/>
        <v>0.80993260998296779</v>
      </c>
      <c r="AH7766" s="2" t="str">
        <f ca="1"/>
        <v>Bad</v>
      </c>
    </row>
    <row r="7767" spans="2:34" x14ac:dyDescent="0.2">
      <c r="B7767" s="2">
        <f ca="1"/>
        <v>0.45306326199369917</v>
      </c>
      <c r="O7767" s="2">
        <f ca="1"/>
        <v>-1.3126781753343071</v>
      </c>
      <c r="X7767" s="2">
        <f ca="1"/>
        <v>44.451641412185751</v>
      </c>
      <c r="AG7767" s="2">
        <f ca="1"/>
        <v>0.19162116079272384</v>
      </c>
      <c r="AH7767" s="2" t="str">
        <f ca="1"/>
        <v>OK</v>
      </c>
    </row>
    <row r="7768" spans="2:34" x14ac:dyDescent="0.2">
      <c r="B7768" s="2">
        <f ca="1"/>
        <v>0.63336006172833303</v>
      </c>
      <c r="O7768" s="2">
        <f ca="1"/>
        <v>-1.017125117430792</v>
      </c>
      <c r="X7768" s="2">
        <f ca="1"/>
        <v>27.43933654095818</v>
      </c>
      <c r="AG7768" s="2">
        <f ca="1"/>
        <v>3.663965243936973E-2</v>
      </c>
      <c r="AH7768" s="2" t="str">
        <f ca="1"/>
        <v>Good</v>
      </c>
    </row>
    <row r="7769" spans="2:34" x14ac:dyDescent="0.2">
      <c r="B7769" s="2">
        <f ca="1"/>
        <v>0.20753266081298283</v>
      </c>
      <c r="O7769" s="2">
        <f ca="1"/>
        <v>-1.1176203860552034</v>
      </c>
      <c r="X7769" s="2">
        <f ca="1"/>
        <v>42.454156742997931</v>
      </c>
      <c r="AG7769" s="2">
        <f ca="1"/>
        <v>0.73418609795802592</v>
      </c>
      <c r="AH7769" s="2" t="str">
        <f ca="1"/>
        <v>Bad</v>
      </c>
    </row>
    <row r="7770" spans="2:34" x14ac:dyDescent="0.2">
      <c r="B7770" s="2">
        <f ca="1"/>
        <v>0.53308145857653289</v>
      </c>
      <c r="O7770" s="2">
        <f ca="1"/>
        <v>-0.13518609761194025</v>
      </c>
      <c r="X7770" s="2">
        <f ca="1"/>
        <v>44.509160050954677</v>
      </c>
      <c r="AG7770" s="2">
        <f ca="1"/>
        <v>0.90200104837190676</v>
      </c>
      <c r="AH7770" s="2" t="str">
        <f ca="1"/>
        <v>Bad</v>
      </c>
    </row>
    <row r="7771" spans="2:34" x14ac:dyDescent="0.2">
      <c r="B7771" s="2">
        <f ca="1"/>
        <v>0.60361145924342452</v>
      </c>
      <c r="O7771" s="2">
        <f ca="1"/>
        <v>-0.77636134723108274</v>
      </c>
      <c r="X7771" s="2">
        <f ca="1"/>
        <v>75.527941087471191</v>
      </c>
      <c r="AG7771" s="2">
        <f ca="1"/>
        <v>0.16622096742976877</v>
      </c>
      <c r="AH7771" s="2" t="str">
        <f ca="1"/>
        <v>OK</v>
      </c>
    </row>
    <row r="7772" spans="2:34" x14ac:dyDescent="0.2">
      <c r="B7772" s="2">
        <f ca="1"/>
        <v>0.9839540545795431</v>
      </c>
      <c r="O7772" s="2">
        <f ca="1"/>
        <v>1.4029046872755035E-2</v>
      </c>
      <c r="X7772" s="2">
        <f ca="1"/>
        <v>41.727692342378155</v>
      </c>
      <c r="AG7772" s="2">
        <f ca="1"/>
        <v>0.30541611996762685</v>
      </c>
      <c r="AH7772" s="2" t="str">
        <f ca="1"/>
        <v>OK</v>
      </c>
    </row>
    <row r="7773" spans="2:34" x14ac:dyDescent="0.2">
      <c r="B7773" s="2">
        <f ca="1"/>
        <v>0.91947881434994128</v>
      </c>
      <c r="O7773" s="2">
        <f ca="1"/>
        <v>0.30120166661894648</v>
      </c>
      <c r="X7773" s="2">
        <f ca="1"/>
        <v>64.110456602817663</v>
      </c>
      <c r="AG7773" s="2">
        <f ca="1"/>
        <v>0.47898440664207431</v>
      </c>
      <c r="AH7773" s="2" t="str">
        <f ca="1"/>
        <v>Bad</v>
      </c>
    </row>
    <row r="7774" spans="2:34" x14ac:dyDescent="0.2">
      <c r="B7774" s="2">
        <f ca="1"/>
        <v>0.40092534438910232</v>
      </c>
      <c r="O7774" s="2">
        <f ca="1"/>
        <v>-0.17345908611220479</v>
      </c>
      <c r="X7774" s="2">
        <f ca="1"/>
        <v>36.496040010063552</v>
      </c>
      <c r="AG7774" s="2">
        <f ca="1"/>
        <v>0.50242570171328849</v>
      </c>
      <c r="AH7774" s="2" t="str">
        <f ca="1"/>
        <v>Bad</v>
      </c>
    </row>
    <row r="7775" spans="2:34" x14ac:dyDescent="0.2">
      <c r="B7775" s="2">
        <f ca="1"/>
        <v>0.65236181663690096</v>
      </c>
      <c r="O7775" s="2">
        <f ca="1"/>
        <v>0.76396351080045832</v>
      </c>
      <c r="X7775" s="2">
        <f ca="1"/>
        <v>24.806975281025544</v>
      </c>
      <c r="AG7775" s="2">
        <f ca="1"/>
        <v>0.87346117261993372</v>
      </c>
      <c r="AH7775" s="2" t="str">
        <f ca="1"/>
        <v>Bad</v>
      </c>
    </row>
    <row r="7776" spans="2:34" x14ac:dyDescent="0.2">
      <c r="B7776" s="2">
        <f ca="1"/>
        <v>0.32681538703559898</v>
      </c>
      <c r="O7776" s="2">
        <f ca="1"/>
        <v>1.0906284930975116</v>
      </c>
      <c r="X7776" s="2">
        <f ca="1"/>
        <v>64.594556000042459</v>
      </c>
      <c r="AG7776" s="2">
        <f ca="1"/>
        <v>0.70445458468124178</v>
      </c>
      <c r="AH7776" s="2" t="str">
        <f ca="1"/>
        <v>Bad</v>
      </c>
    </row>
    <row r="7777" spans="2:34" x14ac:dyDescent="0.2">
      <c r="B7777" s="2">
        <f ca="1"/>
        <v>3.4808001205362649E-2</v>
      </c>
      <c r="O7777" s="2">
        <f ca="1"/>
        <v>-0.24435080497786127</v>
      </c>
      <c r="X7777" s="2">
        <f ca="1"/>
        <v>49.390541588140223</v>
      </c>
      <c r="AG7777" s="2">
        <f ca="1"/>
        <v>0.25478512840698819</v>
      </c>
      <c r="AH7777" s="2" t="str">
        <f ca="1"/>
        <v>OK</v>
      </c>
    </row>
    <row r="7778" spans="2:34" x14ac:dyDescent="0.2">
      <c r="B7778" s="2">
        <f ca="1"/>
        <v>0.28842412419823882</v>
      </c>
      <c r="O7778" s="2">
        <f ca="1"/>
        <v>0.62921532316377093</v>
      </c>
      <c r="X7778" s="2">
        <f ca="1"/>
        <v>67.754405514062682</v>
      </c>
      <c r="AG7778" s="2">
        <f ca="1"/>
        <v>0.63347071033335367</v>
      </c>
      <c r="AH7778" s="2" t="str">
        <f ca="1"/>
        <v>Bad</v>
      </c>
    </row>
    <row r="7779" spans="2:34" x14ac:dyDescent="0.2">
      <c r="B7779" s="2">
        <f ca="1"/>
        <v>0.32694688078645417</v>
      </c>
      <c r="O7779" s="2">
        <f ca="1"/>
        <v>-1.083619290860609</v>
      </c>
      <c r="X7779" s="2">
        <f ca="1"/>
        <v>52.17483799653408</v>
      </c>
      <c r="AG7779" s="2">
        <f ca="1"/>
        <v>0.43985306588959006</v>
      </c>
      <c r="AH7779" s="2" t="str">
        <f ca="1"/>
        <v>Bad</v>
      </c>
    </row>
    <row r="7780" spans="2:34" x14ac:dyDescent="0.2">
      <c r="B7780" s="2">
        <f ca="1"/>
        <v>0.75161643436116021</v>
      </c>
      <c r="O7780" s="2">
        <f ca="1"/>
        <v>1.1191941834055639</v>
      </c>
      <c r="X7780" s="2">
        <f ca="1"/>
        <v>40.339901973936833</v>
      </c>
      <c r="AG7780" s="2">
        <f ca="1"/>
        <v>0.55011364668199803</v>
      </c>
      <c r="AH7780" s="2" t="str">
        <f ca="1"/>
        <v>Bad</v>
      </c>
    </row>
    <row r="7781" spans="2:34" x14ac:dyDescent="0.2">
      <c r="B7781" s="2">
        <f ca="1"/>
        <v>0.97171530045753496</v>
      </c>
      <c r="O7781" s="2">
        <f ca="1"/>
        <v>-0.53065878027007984</v>
      </c>
      <c r="X7781" s="2">
        <f ca="1"/>
        <v>38.39488626837948</v>
      </c>
      <c r="AG7781" s="2">
        <f ca="1"/>
        <v>0.85329741666194669</v>
      </c>
      <c r="AH7781" s="2" t="str">
        <f ca="1"/>
        <v>Bad</v>
      </c>
    </row>
    <row r="7782" spans="2:34" x14ac:dyDescent="0.2">
      <c r="B7782" s="2">
        <f ca="1"/>
        <v>0.28161794842060339</v>
      </c>
      <c r="O7782" s="2">
        <f ca="1"/>
        <v>0.57677493901375154</v>
      </c>
      <c r="X7782" s="2">
        <f ca="1"/>
        <v>34.005183021083432</v>
      </c>
      <c r="AG7782" s="2">
        <f ca="1"/>
        <v>0.54663770649048926</v>
      </c>
      <c r="AH7782" s="2" t="str">
        <f ca="1"/>
        <v>Bad</v>
      </c>
    </row>
    <row r="7783" spans="2:34" x14ac:dyDescent="0.2">
      <c r="B7783" s="2">
        <f ca="1"/>
        <v>0.92726594826029474</v>
      </c>
      <c r="O7783" s="2">
        <f ca="1"/>
        <v>1.8094355876554418</v>
      </c>
      <c r="X7783" s="2">
        <f ca="1"/>
        <v>42.795651484541835</v>
      </c>
      <c r="AG7783" s="2">
        <f ca="1"/>
        <v>0.49861790885446577</v>
      </c>
      <c r="AH7783" s="2" t="str">
        <f ca="1"/>
        <v>Bad</v>
      </c>
    </row>
    <row r="7784" spans="2:34" x14ac:dyDescent="0.2">
      <c r="B7784" s="2">
        <f ca="1"/>
        <v>0.88958214269145319</v>
      </c>
      <c r="O7784" s="2">
        <f ca="1"/>
        <v>2.1309735074004084</v>
      </c>
      <c r="X7784" s="2">
        <f ca="1"/>
        <v>65.251486900414278</v>
      </c>
      <c r="AG7784" s="2">
        <f ca="1"/>
        <v>0.10720432975265615</v>
      </c>
      <c r="AH7784" s="2" t="str">
        <f ca="1"/>
        <v>OK</v>
      </c>
    </row>
    <row r="7785" spans="2:34" x14ac:dyDescent="0.2">
      <c r="B7785" s="2">
        <f ca="1"/>
        <v>0.54631796496070817</v>
      </c>
      <c r="O7785" s="2">
        <f ca="1"/>
        <v>0.71364085307610992</v>
      </c>
      <c r="X7785" s="2">
        <f ca="1"/>
        <v>50.500971464390247</v>
      </c>
      <c r="AG7785" s="2">
        <f ca="1"/>
        <v>0.22172909509881356</v>
      </c>
      <c r="AH7785" s="2" t="str">
        <f ca="1"/>
        <v>OK</v>
      </c>
    </row>
    <row r="7786" spans="2:34" x14ac:dyDescent="0.2">
      <c r="B7786" s="2">
        <f ca="1"/>
        <v>0.74618417972941575</v>
      </c>
      <c r="O7786" s="2">
        <f ca="1"/>
        <v>-2.0621335436408534</v>
      </c>
      <c r="X7786" s="2">
        <f ca="1"/>
        <v>45.232274970059336</v>
      </c>
      <c r="AG7786" s="2">
        <f ca="1"/>
        <v>0.81968020930556551</v>
      </c>
      <c r="AH7786" s="2" t="str">
        <f ca="1"/>
        <v>Bad</v>
      </c>
    </row>
    <row r="7787" spans="2:34" x14ac:dyDescent="0.2">
      <c r="B7787" s="2">
        <f ca="1"/>
        <v>0.95907305306515833</v>
      </c>
      <c r="O7787" s="2">
        <f ca="1"/>
        <v>-0.7033607772426147</v>
      </c>
      <c r="X7787" s="2">
        <f ca="1"/>
        <v>39.577149898897048</v>
      </c>
      <c r="AG7787" s="2">
        <f ca="1"/>
        <v>0.56249267676578762</v>
      </c>
      <c r="AH7787" s="2" t="str">
        <f ca="1"/>
        <v>Bad</v>
      </c>
    </row>
    <row r="7788" spans="2:34" x14ac:dyDescent="0.2">
      <c r="B7788" s="2">
        <f ca="1"/>
        <v>0.40449325003348058</v>
      </c>
      <c r="O7788" s="2">
        <f ca="1"/>
        <v>0.8174839270624823</v>
      </c>
      <c r="X7788" s="2">
        <f ca="1"/>
        <v>56.745399312079272</v>
      </c>
      <c r="AG7788" s="2">
        <f ca="1"/>
        <v>0.29279360454791492</v>
      </c>
      <c r="AH7788" s="2" t="str">
        <f ca="1"/>
        <v>OK</v>
      </c>
    </row>
    <row r="7789" spans="2:34" x14ac:dyDescent="0.2">
      <c r="B7789" s="2">
        <f ca="1"/>
        <v>0.41517100539127716</v>
      </c>
      <c r="O7789" s="2">
        <f ca="1"/>
        <v>0.66042888916232034</v>
      </c>
      <c r="X7789" s="2">
        <f ca="1"/>
        <v>100.51080259535944</v>
      </c>
      <c r="AG7789" s="2">
        <f ca="1"/>
        <v>0.94188876676346722</v>
      </c>
      <c r="AH7789" s="2" t="str">
        <f ca="1"/>
        <v>Bad</v>
      </c>
    </row>
    <row r="7790" spans="2:34" x14ac:dyDescent="0.2">
      <c r="B7790" s="2">
        <f ca="1"/>
        <v>0.23318075043421294</v>
      </c>
      <c r="O7790" s="2">
        <f ca="1"/>
        <v>-0.40457633680712407</v>
      </c>
      <c r="X7790" s="2">
        <f ca="1"/>
        <v>65.302179898384182</v>
      </c>
      <c r="AG7790" s="2">
        <f ca="1"/>
        <v>1.329388247049601E-2</v>
      </c>
      <c r="AH7790" s="2" t="str">
        <f ca="1"/>
        <v>Good</v>
      </c>
    </row>
    <row r="7791" spans="2:34" x14ac:dyDescent="0.2">
      <c r="B7791" s="2">
        <f ca="1"/>
        <v>0.66184899198664549</v>
      </c>
      <c r="O7791" s="2">
        <f ca="1"/>
        <v>0.86501609876271712</v>
      </c>
      <c r="X7791" s="2">
        <f ca="1"/>
        <v>65.189383808414661</v>
      </c>
      <c r="AG7791" s="2">
        <f ca="1"/>
        <v>5.3253876124297328E-3</v>
      </c>
      <c r="AH7791" s="2" t="str">
        <f ca="1"/>
        <v>Good</v>
      </c>
    </row>
    <row r="7792" spans="2:34" x14ac:dyDescent="0.2">
      <c r="B7792" s="2">
        <f ca="1"/>
        <v>0.84200738053444191</v>
      </c>
      <c r="O7792" s="2">
        <f ca="1"/>
        <v>6.9213238695800913E-2</v>
      </c>
      <c r="X7792" s="2">
        <f ca="1"/>
        <v>33.048229345731684</v>
      </c>
      <c r="AG7792" s="2">
        <f ca="1"/>
        <v>0.3889630821029717</v>
      </c>
      <c r="AH7792" s="2" t="str">
        <f ca="1"/>
        <v>OK</v>
      </c>
    </row>
    <row r="7793" spans="2:34" x14ac:dyDescent="0.2">
      <c r="B7793" s="2">
        <f ca="1"/>
        <v>0.21021942520302228</v>
      </c>
      <c r="O7793" s="2">
        <f ca="1"/>
        <v>1.4901436838055024</v>
      </c>
      <c r="X7793" s="2">
        <f ca="1"/>
        <v>39.042622518482503</v>
      </c>
      <c r="AG7793" s="2">
        <f ca="1"/>
        <v>0.39667354760486018</v>
      </c>
      <c r="AH7793" s="2" t="str">
        <f ca="1"/>
        <v>OK</v>
      </c>
    </row>
    <row r="7794" spans="2:34" x14ac:dyDescent="0.2">
      <c r="B7794" s="2">
        <f ca="1"/>
        <v>0.49888521643320072</v>
      </c>
      <c r="O7794" s="2">
        <f ca="1"/>
        <v>-0.87482383941390163</v>
      </c>
      <c r="X7794" s="2">
        <f ca="1"/>
        <v>34.03387084798343</v>
      </c>
      <c r="AG7794" s="2">
        <f ca="1"/>
        <v>0.10100115378478636</v>
      </c>
      <c r="AH7794" s="2" t="str">
        <f ca="1"/>
        <v>OK</v>
      </c>
    </row>
    <row r="7795" spans="2:34" x14ac:dyDescent="0.2">
      <c r="B7795" s="2">
        <f ca="1"/>
        <v>9.7962387589155542E-2</v>
      </c>
      <c r="O7795" s="2">
        <f ca="1"/>
        <v>0.44023821916247446</v>
      </c>
      <c r="X7795" s="2">
        <f ca="1"/>
        <v>31.451453974877204</v>
      </c>
      <c r="AG7795" s="2">
        <f ca="1"/>
        <v>0.92495718821860029</v>
      </c>
      <c r="AH7795" s="2" t="str">
        <f ca="1"/>
        <v>Bad</v>
      </c>
    </row>
    <row r="7796" spans="2:34" x14ac:dyDescent="0.2">
      <c r="B7796" s="2">
        <f ca="1"/>
        <v>0.24988851254337785</v>
      </c>
      <c r="O7796" s="2">
        <f ca="1"/>
        <v>-1.6438987311848583</v>
      </c>
      <c r="X7796" s="2">
        <f ca="1"/>
        <v>38.737789503368745</v>
      </c>
      <c r="AG7796" s="2">
        <f ca="1"/>
        <v>0.5483587132656611</v>
      </c>
      <c r="AH7796" s="2" t="str">
        <f ca="1"/>
        <v>Bad</v>
      </c>
    </row>
    <row r="7797" spans="2:34" x14ac:dyDescent="0.2">
      <c r="B7797" s="2">
        <f ca="1"/>
        <v>0.12448687358581934</v>
      </c>
      <c r="O7797" s="2">
        <f ca="1"/>
        <v>-1.0372918593095495</v>
      </c>
      <c r="X7797" s="2">
        <f ca="1"/>
        <v>52.35417479234539</v>
      </c>
      <c r="AG7797" s="2">
        <f ca="1"/>
        <v>0.45853714478092455</v>
      </c>
      <c r="AH7797" s="2" t="str">
        <f ca="1"/>
        <v>Bad</v>
      </c>
    </row>
    <row r="7798" spans="2:34" x14ac:dyDescent="0.2">
      <c r="B7798" s="2">
        <f ca="1"/>
        <v>0.78819903214996989</v>
      </c>
      <c r="O7798" s="2">
        <f ca="1"/>
        <v>-0.10766152197292743</v>
      </c>
      <c r="X7798" s="2">
        <f ca="1"/>
        <v>43.551994771487117</v>
      </c>
      <c r="AG7798" s="2">
        <f ca="1"/>
        <v>0.95242098395036412</v>
      </c>
      <c r="AH7798" s="2" t="str">
        <f ca="1"/>
        <v>Bad</v>
      </c>
    </row>
    <row r="7799" spans="2:34" x14ac:dyDescent="0.2">
      <c r="B7799" s="2">
        <f ca="1"/>
        <v>0.34057404089365373</v>
      </c>
      <c r="O7799" s="2">
        <f ca="1"/>
        <v>1.5710145590930304</v>
      </c>
      <c r="X7799" s="2">
        <f ca="1"/>
        <v>33.743960505820304</v>
      </c>
      <c r="AG7799" s="2">
        <f ca="1"/>
        <v>0.12412985489914297</v>
      </c>
      <c r="AH7799" s="2" t="str">
        <f ca="1"/>
        <v>OK</v>
      </c>
    </row>
    <row r="7800" spans="2:34" x14ac:dyDescent="0.2">
      <c r="B7800" s="2">
        <f ca="1"/>
        <v>0.17263669816780558</v>
      </c>
      <c r="O7800" s="2">
        <f ca="1"/>
        <v>0.15470124220794682</v>
      </c>
      <c r="X7800" s="2">
        <f ca="1"/>
        <v>37.375126051001502</v>
      </c>
      <c r="AG7800" s="2">
        <f ca="1"/>
        <v>0.522839004949887</v>
      </c>
      <c r="AH7800" s="2" t="str">
        <f ca="1"/>
        <v>Bad</v>
      </c>
    </row>
    <row r="7801" spans="2:34" x14ac:dyDescent="0.2">
      <c r="B7801" s="2">
        <f ca="1"/>
        <v>0.53626846649963444</v>
      </c>
      <c r="O7801" s="2">
        <f ca="1"/>
        <v>0.50105344627700166</v>
      </c>
      <c r="X7801" s="2">
        <f ca="1"/>
        <v>55.265221220095498</v>
      </c>
      <c r="AG7801" s="2">
        <f ca="1"/>
        <v>0.93382931341980835</v>
      </c>
      <c r="AH7801" s="2" t="str">
        <f ca="1"/>
        <v>Bad</v>
      </c>
    </row>
    <row r="7802" spans="2:34" x14ac:dyDescent="0.2">
      <c r="B7802" s="2">
        <f ca="1"/>
        <v>0.72315952027956154</v>
      </c>
      <c r="O7802" s="2">
        <f ca="1"/>
        <v>0.27873026854653032</v>
      </c>
      <c r="X7802" s="2">
        <f ca="1"/>
        <v>54.841271189877581</v>
      </c>
      <c r="AG7802" s="2">
        <f ca="1"/>
        <v>0.18038560433729001</v>
      </c>
      <c r="AH7802" s="2" t="str">
        <f ca="1"/>
        <v>OK</v>
      </c>
    </row>
    <row r="7803" spans="2:34" x14ac:dyDescent="0.2">
      <c r="B7803" s="2">
        <f ca="1"/>
        <v>0.34235250018090824</v>
      </c>
      <c r="O7803" s="2">
        <f ca="1"/>
        <v>0.74539865236978409</v>
      </c>
      <c r="X7803" s="2">
        <f ca="1"/>
        <v>58.647007038253129</v>
      </c>
      <c r="AG7803" s="2">
        <f ca="1"/>
        <v>0.46863733455007806</v>
      </c>
      <c r="AH7803" s="2" t="str">
        <f ca="1"/>
        <v>Bad</v>
      </c>
    </row>
    <row r="7804" spans="2:34" x14ac:dyDescent="0.2">
      <c r="B7804" s="2">
        <f ca="1"/>
        <v>0.17228537151807077</v>
      </c>
      <c r="O7804" s="2">
        <f ca="1"/>
        <v>-0.36284556218353553</v>
      </c>
      <c r="X7804" s="2">
        <f ca="1"/>
        <v>67.257616285028874</v>
      </c>
      <c r="AG7804" s="2">
        <f ca="1"/>
        <v>0.79682165439349273</v>
      </c>
      <c r="AH7804" s="2" t="str">
        <f ca="1"/>
        <v>Bad</v>
      </c>
    </row>
    <row r="7805" spans="2:34" x14ac:dyDescent="0.2">
      <c r="B7805" s="2">
        <f ca="1"/>
        <v>0.96891312122010054</v>
      </c>
      <c r="O7805" s="2">
        <f ca="1"/>
        <v>-2.699456108979318E-2</v>
      </c>
      <c r="X7805" s="2">
        <f ca="1"/>
        <v>35.597153743494601</v>
      </c>
      <c r="AG7805" s="2">
        <f ca="1"/>
        <v>0.70434504866832981</v>
      </c>
      <c r="AH7805" s="2" t="str">
        <f ca="1"/>
        <v>Bad</v>
      </c>
    </row>
    <row r="7806" spans="2:34" x14ac:dyDescent="0.2">
      <c r="B7806" s="2">
        <f ca="1"/>
        <v>0.87176633531023295</v>
      </c>
      <c r="O7806" s="2">
        <f ca="1"/>
        <v>1.0161661171889691</v>
      </c>
      <c r="X7806" s="2">
        <f ca="1"/>
        <v>46.625098225170738</v>
      </c>
      <c r="AG7806" s="2">
        <f ca="1"/>
        <v>0.27898639362532562</v>
      </c>
      <c r="AH7806" s="2" t="str">
        <f ca="1"/>
        <v>OK</v>
      </c>
    </row>
    <row r="7807" spans="2:34" x14ac:dyDescent="0.2">
      <c r="B7807" s="2">
        <f ca="1"/>
        <v>0.86994646971119294</v>
      </c>
      <c r="O7807" s="2">
        <f ca="1"/>
        <v>-0.10949349795156166</v>
      </c>
      <c r="X7807" s="2">
        <f ca="1"/>
        <v>37.258150453395317</v>
      </c>
      <c r="AG7807" s="2">
        <f ca="1"/>
        <v>0.61897966418298478</v>
      </c>
      <c r="AH7807" s="2" t="str">
        <f ca="1"/>
        <v>Bad</v>
      </c>
    </row>
    <row r="7808" spans="2:34" x14ac:dyDescent="0.2">
      <c r="B7808" s="2">
        <f ca="1"/>
        <v>0.54190885546088885</v>
      </c>
      <c r="O7808" s="2">
        <f ca="1"/>
        <v>0.11264601735759946</v>
      </c>
      <c r="X7808" s="2">
        <f ca="1"/>
        <v>56.972622912997124</v>
      </c>
      <c r="AG7808" s="2">
        <f ca="1"/>
        <v>0.83326915366823795</v>
      </c>
      <c r="AH7808" s="2" t="str">
        <f ca="1"/>
        <v>Bad</v>
      </c>
    </row>
    <row r="7809" spans="2:34" x14ac:dyDescent="0.2">
      <c r="B7809" s="2">
        <f ca="1"/>
        <v>0.97936951536002415</v>
      </c>
      <c r="O7809" s="2">
        <f ca="1"/>
        <v>-0.25785485879200121</v>
      </c>
      <c r="X7809" s="2">
        <f ca="1"/>
        <v>59.505354928196951</v>
      </c>
      <c r="AG7809" s="2">
        <f ca="1"/>
        <v>0.89559958309694387</v>
      </c>
      <c r="AH7809" s="2" t="str">
        <f ca="1"/>
        <v>Bad</v>
      </c>
    </row>
    <row r="7810" spans="2:34" x14ac:dyDescent="0.2">
      <c r="B7810" s="2">
        <f ca="1"/>
        <v>0.8026138036053454</v>
      </c>
      <c r="O7810" s="2">
        <f ca="1"/>
        <v>-0.15734553376859114</v>
      </c>
      <c r="X7810" s="2">
        <f ca="1"/>
        <v>49.175385841839876</v>
      </c>
      <c r="AG7810" s="2">
        <f ca="1"/>
        <v>0.9955810449748359</v>
      </c>
      <c r="AH7810" s="2" t="str">
        <f ca="1"/>
        <v>Bad</v>
      </c>
    </row>
    <row r="7811" spans="2:34" x14ac:dyDescent="0.2">
      <c r="B7811" s="2">
        <f ca="1"/>
        <v>0.62399936959974256</v>
      </c>
      <c r="O7811" s="2">
        <f ca="1"/>
        <v>-0.31831305417255346</v>
      </c>
      <c r="X7811" s="2">
        <f ca="1"/>
        <v>52.580149102540339</v>
      </c>
      <c r="AG7811" s="2">
        <f ca="1"/>
        <v>9.8692660683550537E-2</v>
      </c>
      <c r="AH7811" s="2" t="str">
        <f ca="1"/>
        <v>OK</v>
      </c>
    </row>
    <row r="7812" spans="2:34" x14ac:dyDescent="0.2">
      <c r="B7812" s="2">
        <f ca="1"/>
        <v>0.56468504251360807</v>
      </c>
      <c r="O7812" s="2">
        <f ca="1"/>
        <v>-0.99658928441541428</v>
      </c>
      <c r="X7812" s="2">
        <f ca="1"/>
        <v>77.989905763333212</v>
      </c>
      <c r="AG7812" s="2">
        <f ca="1"/>
        <v>0.29834878054392178</v>
      </c>
      <c r="AH7812" s="2" t="str">
        <f ca="1"/>
        <v>OK</v>
      </c>
    </row>
    <row r="7813" spans="2:34" x14ac:dyDescent="0.2">
      <c r="B7813" s="2">
        <f ca="1"/>
        <v>0.78071682469611314</v>
      </c>
      <c r="O7813" s="2">
        <f ca="1"/>
        <v>0.20031317647426969</v>
      </c>
      <c r="X7813" s="2">
        <f ca="1"/>
        <v>53.031966579580697</v>
      </c>
      <c r="AG7813" s="2">
        <f ca="1"/>
        <v>0.70273249571470697</v>
      </c>
      <c r="AH7813" s="2" t="str">
        <f ca="1"/>
        <v>Bad</v>
      </c>
    </row>
    <row r="7814" spans="2:34" x14ac:dyDescent="0.2">
      <c r="B7814" s="2">
        <f ca="1"/>
        <v>2.7431631576140036E-2</v>
      </c>
      <c r="O7814" s="2">
        <f ca="1"/>
        <v>-0.71607872971537889</v>
      </c>
      <c r="X7814" s="2">
        <f ca="1"/>
        <v>64.425168744304031</v>
      </c>
      <c r="AG7814" s="2">
        <f ca="1"/>
        <v>0.59793751348653745</v>
      </c>
      <c r="AH7814" s="2" t="str">
        <f ca="1"/>
        <v>Bad</v>
      </c>
    </row>
    <row r="7815" spans="2:34" x14ac:dyDescent="0.2">
      <c r="B7815" s="2">
        <f ca="1"/>
        <v>0.76147898989409835</v>
      </c>
      <c r="O7815" s="2">
        <f ca="1"/>
        <v>-0.81989722526400155</v>
      </c>
      <c r="X7815" s="2">
        <f ca="1"/>
        <v>79.185497432739808</v>
      </c>
      <c r="AG7815" s="2">
        <f ca="1"/>
        <v>0.47349721316245796</v>
      </c>
      <c r="AH7815" s="2" t="str">
        <f ca="1"/>
        <v>Bad</v>
      </c>
    </row>
    <row r="7816" spans="2:34" x14ac:dyDescent="0.2">
      <c r="B7816" s="2">
        <f ca="1"/>
        <v>0.50196594260734662</v>
      </c>
      <c r="O7816" s="2">
        <f ca="1"/>
        <v>-1.1319722892934554</v>
      </c>
      <c r="X7816" s="2">
        <f ca="1"/>
        <v>27.736570030292636</v>
      </c>
      <c r="AG7816" s="2">
        <f ca="1"/>
        <v>0.73890664355326674</v>
      </c>
      <c r="AH7816" s="2" t="str">
        <f ca="1"/>
        <v>Bad</v>
      </c>
    </row>
    <row r="7817" spans="2:34" x14ac:dyDescent="0.2">
      <c r="B7817" s="2">
        <f ca="1"/>
        <v>0.24772299512904583</v>
      </c>
      <c r="O7817" s="2">
        <f ca="1"/>
        <v>-0.20200914699619443</v>
      </c>
      <c r="X7817" s="2">
        <f ca="1"/>
        <v>56.159007939200961</v>
      </c>
      <c r="AG7817" s="2">
        <f ca="1"/>
        <v>2.7843549829152936E-2</v>
      </c>
      <c r="AH7817" s="2" t="str">
        <f ca="1"/>
        <v>Good</v>
      </c>
    </row>
    <row r="7818" spans="2:34" x14ac:dyDescent="0.2">
      <c r="B7818" s="2">
        <f ca="1"/>
        <v>3.5639358568257062E-2</v>
      </c>
      <c r="O7818" s="2">
        <f ca="1"/>
        <v>0.59369550433764651</v>
      </c>
      <c r="X7818" s="2">
        <f ca="1"/>
        <v>39.916334030297939</v>
      </c>
      <c r="AG7818" s="2">
        <f ca="1"/>
        <v>0.34614276416845224</v>
      </c>
      <c r="AH7818" s="2" t="str">
        <f ca="1"/>
        <v>OK</v>
      </c>
    </row>
    <row r="7819" spans="2:34" x14ac:dyDescent="0.2">
      <c r="B7819" s="2">
        <f ca="1"/>
        <v>1.5725468543047016E-2</v>
      </c>
      <c r="O7819" s="2">
        <f ca="1"/>
        <v>0.11849626508973062</v>
      </c>
      <c r="X7819" s="2">
        <f ca="1"/>
        <v>49.906573631105047</v>
      </c>
      <c r="AG7819" s="2">
        <f ca="1"/>
        <v>0.57563165851621312</v>
      </c>
      <c r="AH7819" s="2" t="str">
        <f ca="1"/>
        <v>Bad</v>
      </c>
    </row>
    <row r="7820" spans="2:34" x14ac:dyDescent="0.2">
      <c r="B7820" s="2">
        <f ca="1"/>
        <v>0.13787518490614681</v>
      </c>
      <c r="O7820" s="2">
        <f ca="1"/>
        <v>0.1264499837823953</v>
      </c>
      <c r="X7820" s="2">
        <f ca="1"/>
        <v>31.691788460147883</v>
      </c>
      <c r="AG7820" s="2">
        <f ca="1"/>
        <v>0.83719838146902426</v>
      </c>
      <c r="AH7820" s="2" t="str">
        <f ca="1"/>
        <v>Bad</v>
      </c>
    </row>
    <row r="7821" spans="2:34" x14ac:dyDescent="0.2">
      <c r="B7821" s="2">
        <f ca="1"/>
        <v>2.7193626316801556E-3</v>
      </c>
      <c r="O7821" s="2">
        <f ca="1"/>
        <v>-0.55913637710993935</v>
      </c>
      <c r="X7821" s="2">
        <f ca="1"/>
        <v>68.494196815232556</v>
      </c>
      <c r="AG7821" s="2">
        <f ca="1"/>
        <v>0.88501439290064043</v>
      </c>
      <c r="AH7821" s="2" t="str">
        <f ca="1"/>
        <v>Bad</v>
      </c>
    </row>
    <row r="7822" spans="2:34" x14ac:dyDescent="0.2">
      <c r="B7822" s="2">
        <f ca="1"/>
        <v>0.599778514743327</v>
      </c>
      <c r="O7822" s="2">
        <f ca="1"/>
        <v>1.6023974521069442</v>
      </c>
      <c r="X7822" s="2">
        <f ca="1"/>
        <v>30.670882716602748</v>
      </c>
      <c r="AG7822" s="2">
        <f ca="1"/>
        <v>0.75174480527724752</v>
      </c>
      <c r="AH7822" s="2" t="str">
        <f ca="1"/>
        <v>Bad</v>
      </c>
    </row>
    <row r="7823" spans="2:34" x14ac:dyDescent="0.2">
      <c r="B7823" s="2">
        <f ca="1"/>
        <v>0.3453212274421098</v>
      </c>
      <c r="O7823" s="2">
        <f ca="1"/>
        <v>0.67465440076071326</v>
      </c>
      <c r="X7823" s="2">
        <f ca="1"/>
        <v>49.367495536057781</v>
      </c>
      <c r="AG7823" s="2">
        <f ca="1"/>
        <v>0.23635230774595328</v>
      </c>
      <c r="AH7823" s="2" t="str">
        <f ca="1"/>
        <v>OK</v>
      </c>
    </row>
    <row r="7824" spans="2:34" x14ac:dyDescent="0.2">
      <c r="B7824" s="2">
        <f ca="1"/>
        <v>0.67064510885066375</v>
      </c>
      <c r="O7824" s="2">
        <f ca="1"/>
        <v>-0.72470823660074857</v>
      </c>
      <c r="X7824" s="2">
        <f ca="1"/>
        <v>48.983745916770339</v>
      </c>
      <c r="AG7824" s="2">
        <f ca="1"/>
        <v>0.80247523030345147</v>
      </c>
      <c r="AH7824" s="2" t="str">
        <f ca="1"/>
        <v>Bad</v>
      </c>
    </row>
    <row r="7825" spans="2:34" x14ac:dyDescent="0.2">
      <c r="B7825" s="2">
        <f ca="1"/>
        <v>0.59584179504144741</v>
      </c>
      <c r="O7825" s="2">
        <f ca="1"/>
        <v>-0.5868898458501014</v>
      </c>
      <c r="X7825" s="2">
        <f ca="1"/>
        <v>50.645387256860502</v>
      </c>
      <c r="AG7825" s="2">
        <f ca="1"/>
        <v>0.41901542181345408</v>
      </c>
      <c r="AH7825" s="2" t="str">
        <f ca="1"/>
        <v>Bad</v>
      </c>
    </row>
    <row r="7826" spans="2:34" x14ac:dyDescent="0.2">
      <c r="B7826" s="2">
        <f ca="1"/>
        <v>0.10884835126075743</v>
      </c>
      <c r="O7826" s="2">
        <f ca="1"/>
        <v>0.71572103078374272</v>
      </c>
      <c r="X7826" s="2">
        <f ca="1"/>
        <v>36.172705771390163</v>
      </c>
      <c r="AG7826" s="2">
        <f ca="1"/>
        <v>0.456160754711187</v>
      </c>
      <c r="AH7826" s="2" t="str">
        <f ca="1"/>
        <v>Bad</v>
      </c>
    </row>
    <row r="7827" spans="2:34" x14ac:dyDescent="0.2">
      <c r="B7827" s="2">
        <f ca="1"/>
        <v>5.2004465816279488E-2</v>
      </c>
      <c r="O7827" s="2">
        <f ca="1"/>
        <v>-1.2357415975862314</v>
      </c>
      <c r="X7827" s="2">
        <f ca="1"/>
        <v>38.104351182845448</v>
      </c>
      <c r="AG7827" s="2">
        <f ca="1"/>
        <v>0.40163392693252598</v>
      </c>
      <c r="AH7827" s="2" t="str">
        <f ca="1"/>
        <v>Bad</v>
      </c>
    </row>
    <row r="7828" spans="2:34" x14ac:dyDescent="0.2">
      <c r="B7828" s="2">
        <f ca="1"/>
        <v>0.21113398653453985</v>
      </c>
      <c r="O7828" s="2">
        <f ca="1"/>
        <v>1.1635358472904018</v>
      </c>
      <c r="X7828" s="2">
        <f ca="1"/>
        <v>94.16891519025755</v>
      </c>
      <c r="AG7828" s="2">
        <f ca="1"/>
        <v>0.1408944710013762</v>
      </c>
      <c r="AH7828" s="2" t="str">
        <f ca="1"/>
        <v>OK</v>
      </c>
    </row>
    <row r="7829" spans="2:34" x14ac:dyDescent="0.2">
      <c r="B7829" s="2">
        <f ca="1"/>
        <v>0.99617801518428517</v>
      </c>
      <c r="O7829" s="2">
        <f ca="1"/>
        <v>0.31094213998891979</v>
      </c>
      <c r="X7829" s="2">
        <f ca="1"/>
        <v>47.024061544409513</v>
      </c>
      <c r="AG7829" s="2">
        <f ca="1"/>
        <v>7.8965169771813226E-2</v>
      </c>
      <c r="AH7829" s="2" t="str">
        <f ca="1"/>
        <v>OK</v>
      </c>
    </row>
    <row r="7830" spans="2:34" x14ac:dyDescent="0.2">
      <c r="B7830" s="2">
        <f ca="1"/>
        <v>0.86022361711015116</v>
      </c>
      <c r="O7830" s="2">
        <f ca="1"/>
        <v>1.4482208679965822</v>
      </c>
      <c r="X7830" s="2">
        <f ca="1"/>
        <v>24.042778639186942</v>
      </c>
      <c r="AG7830" s="2">
        <f ca="1"/>
        <v>0.84270865889421342</v>
      </c>
      <c r="AH7830" s="2" t="str">
        <f ca="1"/>
        <v>Bad</v>
      </c>
    </row>
    <row r="7831" spans="2:34" x14ac:dyDescent="0.2">
      <c r="B7831" s="2">
        <f ca="1"/>
        <v>0.52972177982961588</v>
      </c>
      <c r="O7831" s="2">
        <f ca="1"/>
        <v>0.84892121534578291</v>
      </c>
      <c r="X7831" s="2">
        <f ca="1"/>
        <v>77.168974551543215</v>
      </c>
      <c r="AG7831" s="2">
        <f ca="1"/>
        <v>1.8077130163816513E-2</v>
      </c>
      <c r="AH7831" s="2" t="str">
        <f ca="1"/>
        <v>Good</v>
      </c>
    </row>
    <row r="7832" spans="2:34" x14ac:dyDescent="0.2">
      <c r="B7832" s="2">
        <f ca="1"/>
        <v>0.74034452639667747</v>
      </c>
      <c r="O7832" s="2">
        <f ca="1"/>
        <v>-1.7783430245426242</v>
      </c>
      <c r="X7832" s="2">
        <f ca="1"/>
        <v>30.47420582674696</v>
      </c>
      <c r="AG7832" s="2">
        <f ca="1"/>
        <v>0.8477489727741252</v>
      </c>
      <c r="AH7832" s="2" t="str">
        <f ca="1"/>
        <v>Bad</v>
      </c>
    </row>
    <row r="7833" spans="2:34" x14ac:dyDescent="0.2">
      <c r="B7833" s="2">
        <f ca="1"/>
        <v>0.32982587145109443</v>
      </c>
      <c r="O7833" s="2">
        <f ca="1"/>
        <v>0.3291136950429025</v>
      </c>
      <c r="X7833" s="2">
        <f ca="1"/>
        <v>59.159511301641103</v>
      </c>
      <c r="AG7833" s="2">
        <f ca="1"/>
        <v>0.84315596213639532</v>
      </c>
      <c r="AH7833" s="2" t="str">
        <f ca="1"/>
        <v>Bad</v>
      </c>
    </row>
    <row r="7834" spans="2:34" x14ac:dyDescent="0.2">
      <c r="B7834" s="2">
        <f ca="1"/>
        <v>0.85253949659353023</v>
      </c>
      <c r="O7834" s="2">
        <f ca="1"/>
        <v>-0.15899961894586173</v>
      </c>
      <c r="X7834" s="2">
        <f ca="1"/>
        <v>60.778706196687764</v>
      </c>
      <c r="AG7834" s="2">
        <f ca="1"/>
        <v>0.38012815519368659</v>
      </c>
      <c r="AH7834" s="2" t="str">
        <f ca="1"/>
        <v>OK</v>
      </c>
    </row>
    <row r="7835" spans="2:34" x14ac:dyDescent="0.2">
      <c r="B7835" s="2">
        <f ca="1"/>
        <v>0.12343512659144107</v>
      </c>
      <c r="O7835" s="2">
        <f ca="1"/>
        <v>-0.55089225979547396</v>
      </c>
      <c r="X7835" s="2">
        <f ca="1"/>
        <v>58.952290171380952</v>
      </c>
      <c r="AG7835" s="2">
        <f ca="1"/>
        <v>0.25778317666137163</v>
      </c>
      <c r="AH7835" s="2" t="str">
        <f ca="1"/>
        <v>OK</v>
      </c>
    </row>
    <row r="7836" spans="2:34" x14ac:dyDescent="0.2">
      <c r="B7836" s="2">
        <f ca="1"/>
        <v>0.78741246256285069</v>
      </c>
      <c r="O7836" s="2">
        <f ca="1"/>
        <v>-0.11324132019798971</v>
      </c>
      <c r="X7836" s="2">
        <f ca="1"/>
        <v>69.742410387531081</v>
      </c>
      <c r="AG7836" s="2">
        <f ca="1"/>
        <v>0.5890283372423728</v>
      </c>
      <c r="AH7836" s="2" t="str">
        <f ca="1"/>
        <v>Bad</v>
      </c>
    </row>
    <row r="7837" spans="2:34" x14ac:dyDescent="0.2">
      <c r="B7837" s="2">
        <f ca="1"/>
        <v>0.60893118394176615</v>
      </c>
      <c r="O7837" s="2">
        <f ca="1"/>
        <v>-1.5892065405434335</v>
      </c>
      <c r="X7837" s="2">
        <f ca="1"/>
        <v>39.715270110869767</v>
      </c>
      <c r="AG7837" s="2">
        <f ca="1"/>
        <v>0.84016376010957794</v>
      </c>
      <c r="AH7837" s="2" t="str">
        <f ca="1"/>
        <v>Bad</v>
      </c>
    </row>
    <row r="7838" spans="2:34" x14ac:dyDescent="0.2">
      <c r="B7838" s="2">
        <f ca="1"/>
        <v>0.99588416219529474</v>
      </c>
      <c r="O7838" s="2">
        <f ca="1"/>
        <v>0.385679512828909</v>
      </c>
      <c r="X7838" s="2">
        <f ca="1"/>
        <v>30.864227849106495</v>
      </c>
      <c r="AG7838" s="2">
        <f ca="1"/>
        <v>0.55841430538163395</v>
      </c>
      <c r="AH7838" s="2" t="str">
        <f ca="1"/>
        <v>Bad</v>
      </c>
    </row>
    <row r="7839" spans="2:34" x14ac:dyDescent="0.2">
      <c r="B7839" s="2">
        <f ca="1"/>
        <v>0.91517331108274047</v>
      </c>
      <c r="O7839" s="2">
        <f ca="1"/>
        <v>-0.13573026446945319</v>
      </c>
      <c r="X7839" s="2">
        <f ca="1"/>
        <v>91.535725187031119</v>
      </c>
      <c r="AG7839" s="2">
        <f ca="1"/>
        <v>0.59939827637332899</v>
      </c>
      <c r="AH7839" s="2" t="str">
        <f ca="1"/>
        <v>Bad</v>
      </c>
    </row>
    <row r="7840" spans="2:34" x14ac:dyDescent="0.2">
      <c r="B7840" s="2">
        <f ca="1"/>
        <v>6.1207737241626869E-2</v>
      </c>
      <c r="O7840" s="2">
        <f ca="1"/>
        <v>2.349336018636675</v>
      </c>
      <c r="X7840" s="2">
        <f ca="1"/>
        <v>43.115559645235024</v>
      </c>
      <c r="AG7840" s="2">
        <f ca="1"/>
        <v>0.44237031114102998</v>
      </c>
      <c r="AH7840" s="2" t="str">
        <f ca="1"/>
        <v>Bad</v>
      </c>
    </row>
    <row r="7841" spans="2:34" x14ac:dyDescent="0.2">
      <c r="B7841" s="2">
        <f ca="1"/>
        <v>0.17538762503313632</v>
      </c>
      <c r="O7841" s="2">
        <f ca="1"/>
        <v>0.78227520474084877</v>
      </c>
      <c r="X7841" s="2">
        <f ca="1"/>
        <v>62.799718177473274</v>
      </c>
      <c r="AG7841" s="2">
        <f ca="1"/>
        <v>0.17343713294452523</v>
      </c>
      <c r="AH7841" s="2" t="str">
        <f ca="1"/>
        <v>OK</v>
      </c>
    </row>
    <row r="7842" spans="2:34" x14ac:dyDescent="0.2">
      <c r="B7842" s="2">
        <f ca="1"/>
        <v>0.38867963092293945</v>
      </c>
      <c r="O7842" s="2">
        <f ca="1"/>
        <v>0.58136028383654481</v>
      </c>
      <c r="X7842" s="2">
        <f ca="1"/>
        <v>39.748117296890619</v>
      </c>
      <c r="AG7842" s="2">
        <f ca="1"/>
        <v>0.77892342237197099</v>
      </c>
      <c r="AH7842" s="2" t="str">
        <f ca="1"/>
        <v>Bad</v>
      </c>
    </row>
    <row r="7843" spans="2:34" x14ac:dyDescent="0.2">
      <c r="B7843" s="2">
        <f ca="1"/>
        <v>0.28829321554163734</v>
      </c>
      <c r="O7843" s="2">
        <f ca="1"/>
        <v>0.87568566948794158</v>
      </c>
      <c r="X7843" s="2">
        <f ca="1"/>
        <v>53.377283661933006</v>
      </c>
      <c r="AG7843" s="2">
        <f ca="1"/>
        <v>4.9752365666629661E-2</v>
      </c>
      <c r="AH7843" s="2" t="str">
        <f ca="1"/>
        <v>Good</v>
      </c>
    </row>
    <row r="7844" spans="2:34" x14ac:dyDescent="0.2">
      <c r="B7844" s="2">
        <f ca="1"/>
        <v>0.9495989588703595</v>
      </c>
      <c r="O7844" s="2">
        <f ca="1"/>
        <v>-0.65016431448842782</v>
      </c>
      <c r="X7844" s="2">
        <f ca="1"/>
        <v>45.589340681960579</v>
      </c>
      <c r="AG7844" s="2">
        <f ca="1"/>
        <v>0.9228045503719533</v>
      </c>
      <c r="AH7844" s="2" t="str">
        <f ca="1"/>
        <v>Bad</v>
      </c>
    </row>
    <row r="7845" spans="2:34" x14ac:dyDescent="0.2">
      <c r="B7845" s="2">
        <f ca="1"/>
        <v>0.91321303995434233</v>
      </c>
      <c r="O7845" s="2">
        <f ca="1"/>
        <v>-0.49342973681905</v>
      </c>
      <c r="X7845" s="2">
        <f ca="1"/>
        <v>76.900004790106266</v>
      </c>
      <c r="AG7845" s="2">
        <f ca="1"/>
        <v>0.68288526483449608</v>
      </c>
      <c r="AH7845" s="2" t="str">
        <f ca="1"/>
        <v>Bad</v>
      </c>
    </row>
    <row r="7846" spans="2:34" x14ac:dyDescent="0.2">
      <c r="B7846" s="2">
        <f ca="1"/>
        <v>0.94718439738064775</v>
      </c>
      <c r="O7846" s="2">
        <f ca="1"/>
        <v>0.25997006857528371</v>
      </c>
      <c r="X7846" s="2">
        <f ca="1"/>
        <v>63.28418640176853</v>
      </c>
      <c r="AG7846" s="2">
        <f ca="1"/>
        <v>0.74033857764788924</v>
      </c>
      <c r="AH7846" s="2" t="str">
        <f ca="1"/>
        <v>Bad</v>
      </c>
    </row>
    <row r="7847" spans="2:34" x14ac:dyDescent="0.2">
      <c r="B7847" s="2">
        <f ca="1"/>
        <v>0.31505084140333794</v>
      </c>
      <c r="O7847" s="2">
        <f ca="1"/>
        <v>4.0188079914836868E-2</v>
      </c>
      <c r="X7847" s="2">
        <f ca="1"/>
        <v>60.761911410800607</v>
      </c>
      <c r="AG7847" s="2">
        <f ca="1"/>
        <v>0.37553376544450678</v>
      </c>
      <c r="AH7847" s="2" t="str">
        <f ca="1"/>
        <v>OK</v>
      </c>
    </row>
    <row r="7848" spans="2:34" x14ac:dyDescent="0.2">
      <c r="B7848" s="2">
        <f ca="1"/>
        <v>0.67885979918155992</v>
      </c>
      <c r="O7848" s="2">
        <f ca="1"/>
        <v>0.42279302498532545</v>
      </c>
      <c r="X7848" s="2">
        <f ca="1"/>
        <v>73.268668792340691</v>
      </c>
      <c r="AG7848" s="2">
        <f ca="1"/>
        <v>0.19600371198223332</v>
      </c>
      <c r="AH7848" s="2" t="str">
        <f ca="1"/>
        <v>OK</v>
      </c>
    </row>
    <row r="7849" spans="2:34" x14ac:dyDescent="0.2">
      <c r="B7849" s="2">
        <f ca="1"/>
        <v>0.32699073458361338</v>
      </c>
      <c r="O7849" s="2">
        <f ca="1"/>
        <v>0.63755089751497063</v>
      </c>
      <c r="X7849" s="2">
        <f ca="1"/>
        <v>40.263106582736995</v>
      </c>
      <c r="AG7849" s="2">
        <f ca="1"/>
        <v>0.28050011130033625</v>
      </c>
      <c r="AH7849" s="2" t="str">
        <f ca="1"/>
        <v>OK</v>
      </c>
    </row>
    <row r="7850" spans="2:34" x14ac:dyDescent="0.2">
      <c r="B7850" s="2">
        <f ca="1"/>
        <v>0.88465282442831539</v>
      </c>
      <c r="O7850" s="2">
        <f ca="1"/>
        <v>-0.62083131131740577</v>
      </c>
      <c r="X7850" s="2">
        <f ca="1"/>
        <v>47.831749170260203</v>
      </c>
      <c r="AG7850" s="2">
        <f ca="1"/>
        <v>0.11405211435133955</v>
      </c>
      <c r="AH7850" s="2" t="str">
        <f ca="1"/>
        <v>OK</v>
      </c>
    </row>
    <row r="7851" spans="2:34" x14ac:dyDescent="0.2">
      <c r="B7851" s="2">
        <f ca="1"/>
        <v>0.29604280787189019</v>
      </c>
      <c r="O7851" s="2">
        <f ca="1"/>
        <v>-0.44483011580293985</v>
      </c>
      <c r="X7851" s="2">
        <f ca="1"/>
        <v>35.705870237191057</v>
      </c>
      <c r="AG7851" s="2">
        <f ca="1"/>
        <v>0.79907448804283665</v>
      </c>
      <c r="AH7851" s="2" t="str">
        <f ca="1"/>
        <v>Bad</v>
      </c>
    </row>
    <row r="7852" spans="2:34" x14ac:dyDescent="0.2">
      <c r="B7852" s="2">
        <f ca="1"/>
        <v>0.95874071798573346</v>
      </c>
      <c r="O7852" s="2">
        <f ca="1"/>
        <v>-0.99555024417268123</v>
      </c>
      <c r="X7852" s="2">
        <f ca="1"/>
        <v>56.932688663047003</v>
      </c>
      <c r="AG7852" s="2">
        <f ca="1"/>
        <v>0.26692880726813728</v>
      </c>
      <c r="AH7852" s="2" t="str">
        <f ca="1"/>
        <v>OK</v>
      </c>
    </row>
    <row r="7853" spans="2:34" x14ac:dyDescent="0.2">
      <c r="B7853" s="2">
        <f ca="1"/>
        <v>5.9482620933751784E-2</v>
      </c>
      <c r="O7853" s="2">
        <f ca="1"/>
        <v>-0.17789125329542205</v>
      </c>
      <c r="X7853" s="2">
        <f ca="1"/>
        <v>62.273164595979367</v>
      </c>
      <c r="AG7853" s="2">
        <f ca="1"/>
        <v>0.67224997635751049</v>
      </c>
      <c r="AH7853" s="2" t="str">
        <f ca="1"/>
        <v>Bad</v>
      </c>
    </row>
    <row r="7854" spans="2:34" x14ac:dyDescent="0.2">
      <c r="B7854" s="2">
        <f ca="1"/>
        <v>0.96980681791351109</v>
      </c>
      <c r="O7854" s="2">
        <f ca="1"/>
        <v>-0.2416931765862749</v>
      </c>
      <c r="X7854" s="2">
        <f ca="1"/>
        <v>86.446620288334287</v>
      </c>
      <c r="AG7854" s="2">
        <f ca="1"/>
        <v>0.78712939625447742</v>
      </c>
      <c r="AH7854" s="2" t="str">
        <f ca="1"/>
        <v>Bad</v>
      </c>
    </row>
    <row r="7855" spans="2:34" x14ac:dyDescent="0.2">
      <c r="B7855" s="2">
        <f ca="1"/>
        <v>0.34691121244184719</v>
      </c>
      <c r="O7855" s="2">
        <f ca="1"/>
        <v>-0.10178268388153242</v>
      </c>
      <c r="X7855" s="2">
        <f ca="1"/>
        <v>54.723442499840829</v>
      </c>
      <c r="AG7855" s="2">
        <f ca="1"/>
        <v>1.0293806054118448E-2</v>
      </c>
      <c r="AH7855" s="2" t="str">
        <f ca="1"/>
        <v>Good</v>
      </c>
    </row>
    <row r="7856" spans="2:34" x14ac:dyDescent="0.2">
      <c r="B7856" s="2">
        <f ca="1"/>
        <v>0.94214864080335681</v>
      </c>
      <c r="O7856" s="2">
        <f ca="1"/>
        <v>-2.1914071970568383</v>
      </c>
      <c r="X7856" s="2">
        <f ca="1"/>
        <v>58.734282627242166</v>
      </c>
      <c r="AG7856" s="2">
        <f ca="1"/>
        <v>0.25191069581989489</v>
      </c>
      <c r="AH7856" s="2" t="str">
        <f ca="1"/>
        <v>OK</v>
      </c>
    </row>
    <row r="7857" spans="2:34" x14ac:dyDescent="0.2">
      <c r="B7857" s="2">
        <f ca="1"/>
        <v>0.9908269643054628</v>
      </c>
      <c r="O7857" s="2">
        <f ca="1"/>
        <v>0.14122495768094126</v>
      </c>
      <c r="X7857" s="2">
        <f ca="1"/>
        <v>113.0860947752839</v>
      </c>
      <c r="AG7857" s="2">
        <f ca="1"/>
        <v>0.39240822600612724</v>
      </c>
      <c r="AH7857" s="2" t="str">
        <f ca="1"/>
        <v>OK</v>
      </c>
    </row>
    <row r="7858" spans="2:34" x14ac:dyDescent="0.2">
      <c r="B7858" s="2">
        <f ca="1"/>
        <v>0.18706163417766364</v>
      </c>
      <c r="O7858" s="2">
        <f ca="1"/>
        <v>9.1634928170620505E-3</v>
      </c>
      <c r="X7858" s="2">
        <f ca="1"/>
        <v>55.030531585150058</v>
      </c>
      <c r="AG7858" s="2">
        <f ca="1"/>
        <v>1.2074347143939956E-3</v>
      </c>
      <c r="AH7858" s="2" t="str">
        <f ca="1"/>
        <v>Good</v>
      </c>
    </row>
    <row r="7859" spans="2:34" x14ac:dyDescent="0.2">
      <c r="B7859" s="2">
        <f ca="1"/>
        <v>0.72032395219914247</v>
      </c>
      <c r="O7859" s="2">
        <f ca="1"/>
        <v>-0.1854711313100505</v>
      </c>
      <c r="X7859" s="2">
        <f ca="1"/>
        <v>64.217794753375742</v>
      </c>
      <c r="AG7859" s="2">
        <f ca="1"/>
        <v>0.58039150228538428</v>
      </c>
      <c r="AH7859" s="2" t="str">
        <f ca="1"/>
        <v>Bad</v>
      </c>
    </row>
    <row r="7860" spans="2:34" x14ac:dyDescent="0.2">
      <c r="B7860" s="2">
        <f ca="1"/>
        <v>0.81409001418312843</v>
      </c>
      <c r="O7860" s="2">
        <f ca="1"/>
        <v>-0.98490465563707141</v>
      </c>
      <c r="X7860" s="2">
        <f ca="1"/>
        <v>38.369508014924463</v>
      </c>
      <c r="AG7860" s="2">
        <f ca="1"/>
        <v>0.22174228536586615</v>
      </c>
      <c r="AH7860" s="2" t="str">
        <f ca="1"/>
        <v>OK</v>
      </c>
    </row>
    <row r="7861" spans="2:34" x14ac:dyDescent="0.2">
      <c r="B7861" s="2">
        <f ca="1"/>
        <v>0.86447629336620935</v>
      </c>
      <c r="O7861" s="2">
        <f ca="1"/>
        <v>0.78046947346018702</v>
      </c>
      <c r="X7861" s="2">
        <f ca="1"/>
        <v>37.458724581452032</v>
      </c>
      <c r="AG7861" s="2">
        <f ca="1"/>
        <v>0.52079100549705237</v>
      </c>
      <c r="AH7861" s="2" t="str">
        <f ca="1"/>
        <v>Bad</v>
      </c>
    </row>
    <row r="7862" spans="2:34" x14ac:dyDescent="0.2">
      <c r="B7862" s="2">
        <f ca="1"/>
        <v>0.61012557596149408</v>
      </c>
      <c r="O7862" s="2">
        <f ca="1"/>
        <v>0.73466180704912398</v>
      </c>
      <c r="X7862" s="2">
        <f ca="1"/>
        <v>41.316062740497664</v>
      </c>
      <c r="AG7862" s="2">
        <f ca="1"/>
        <v>0.20549178564097637</v>
      </c>
      <c r="AH7862" s="2" t="str">
        <f ca="1"/>
        <v>OK</v>
      </c>
    </row>
    <row r="7863" spans="2:34" x14ac:dyDescent="0.2">
      <c r="B7863" s="2">
        <f ca="1"/>
        <v>0.86471488599170265</v>
      </c>
      <c r="O7863" s="2">
        <f ca="1"/>
        <v>0.11141472083527042</v>
      </c>
      <c r="X7863" s="2">
        <f ca="1"/>
        <v>38.539321007974664</v>
      </c>
      <c r="AG7863" s="2">
        <f ca="1"/>
        <v>0.29102373141566318</v>
      </c>
      <c r="AH7863" s="2" t="str">
        <f ca="1"/>
        <v>OK</v>
      </c>
    </row>
    <row r="7864" spans="2:34" x14ac:dyDescent="0.2">
      <c r="B7864" s="2">
        <f ca="1"/>
        <v>0.36026431473756082</v>
      </c>
      <c r="O7864" s="2">
        <f ca="1"/>
        <v>1.2287456356864608</v>
      </c>
      <c r="X7864" s="2">
        <f ca="1"/>
        <v>71.848690698680443</v>
      </c>
      <c r="AG7864" s="2">
        <f ca="1"/>
        <v>0.83696594784893574</v>
      </c>
      <c r="AH7864" s="2" t="str">
        <f ca="1"/>
        <v>Bad</v>
      </c>
    </row>
    <row r="7865" spans="2:34" x14ac:dyDescent="0.2">
      <c r="B7865" s="2">
        <f ca="1"/>
        <v>0.34473575618708385</v>
      </c>
      <c r="O7865" s="2">
        <f ca="1"/>
        <v>-6.175892512938215E-2</v>
      </c>
      <c r="X7865" s="2">
        <f ca="1"/>
        <v>37.034172712448083</v>
      </c>
      <c r="AG7865" s="2">
        <f ca="1"/>
        <v>0.96372703302424712</v>
      </c>
      <c r="AH7865" s="2" t="str">
        <f ca="1"/>
        <v>Bad</v>
      </c>
    </row>
    <row r="7866" spans="2:34" x14ac:dyDescent="0.2">
      <c r="B7866" s="2">
        <f ca="1"/>
        <v>0.96574567210256701</v>
      </c>
      <c r="O7866" s="2">
        <f ca="1"/>
        <v>-2.5500859261561187E-2</v>
      </c>
      <c r="X7866" s="2">
        <f ca="1"/>
        <v>96.227869818796066</v>
      </c>
      <c r="AG7866" s="2">
        <f ca="1"/>
        <v>0.15206175589666149</v>
      </c>
      <c r="AH7866" s="2" t="str">
        <f ca="1"/>
        <v>OK</v>
      </c>
    </row>
    <row r="7867" spans="2:34" x14ac:dyDescent="0.2">
      <c r="B7867" s="2">
        <f ca="1"/>
        <v>0.85948003928841943</v>
      </c>
      <c r="O7867" s="2">
        <f ca="1"/>
        <v>-2.1355330980556237</v>
      </c>
      <c r="X7867" s="2">
        <f ca="1"/>
        <v>48.041196814871078</v>
      </c>
      <c r="AG7867" s="2">
        <f ca="1"/>
        <v>0.62269230047124635</v>
      </c>
      <c r="AH7867" s="2" t="str">
        <f ca="1"/>
        <v>Bad</v>
      </c>
    </row>
    <row r="7868" spans="2:34" x14ac:dyDescent="0.2">
      <c r="B7868" s="2">
        <f ca="1"/>
        <v>0.14004286090933293</v>
      </c>
      <c r="O7868" s="2">
        <f ca="1"/>
        <v>-0.90899149695440873</v>
      </c>
      <c r="X7868" s="2">
        <f ca="1"/>
        <v>36.277881670112976</v>
      </c>
      <c r="AG7868" s="2">
        <f ca="1"/>
        <v>0.87069218514883917</v>
      </c>
      <c r="AH7868" s="2" t="str">
        <f ca="1"/>
        <v>Bad</v>
      </c>
    </row>
    <row r="7869" spans="2:34" x14ac:dyDescent="0.2">
      <c r="B7869" s="2">
        <f ca="1"/>
        <v>0.56072349635383634</v>
      </c>
      <c r="O7869" s="2">
        <f ca="1"/>
        <v>1.3343429572836021</v>
      </c>
      <c r="X7869" s="2">
        <f ca="1"/>
        <v>33.368175046507929</v>
      </c>
      <c r="AG7869" s="2">
        <f ca="1"/>
        <v>0.87762628180414803</v>
      </c>
      <c r="AH7869" s="2" t="str">
        <f ca="1"/>
        <v>Bad</v>
      </c>
    </row>
    <row r="7870" spans="2:34" x14ac:dyDescent="0.2">
      <c r="B7870" s="2">
        <f ca="1"/>
        <v>0.46474159797566927</v>
      </c>
      <c r="O7870" s="2">
        <f ca="1"/>
        <v>0.1744032740051818</v>
      </c>
      <c r="X7870" s="2">
        <f ca="1"/>
        <v>57.033005954195836</v>
      </c>
      <c r="AG7870" s="2">
        <f ca="1"/>
        <v>0.54999593627544918</v>
      </c>
      <c r="AH7870" s="2" t="str">
        <f ca="1"/>
        <v>Bad</v>
      </c>
    </row>
    <row r="7871" spans="2:34" x14ac:dyDescent="0.2">
      <c r="B7871" s="2">
        <f ca="1"/>
        <v>0.13499742957448335</v>
      </c>
      <c r="O7871" s="2">
        <f ca="1"/>
        <v>0.51739592367874965</v>
      </c>
      <c r="X7871" s="2">
        <f ca="1"/>
        <v>36.992503057579277</v>
      </c>
      <c r="AG7871" s="2">
        <f ca="1"/>
        <v>0.8613847958355787</v>
      </c>
      <c r="AH7871" s="2" t="str">
        <f ca="1"/>
        <v>Bad</v>
      </c>
    </row>
    <row r="7872" spans="2:34" x14ac:dyDescent="0.2">
      <c r="B7872" s="2">
        <f ca="1"/>
        <v>0.17062893755051012</v>
      </c>
      <c r="O7872" s="2">
        <f ca="1"/>
        <v>-0.253271537950777</v>
      </c>
      <c r="X7872" s="2">
        <f ca="1"/>
        <v>70.015022525889762</v>
      </c>
      <c r="AG7872" s="2">
        <f ca="1"/>
        <v>0.38434618360313699</v>
      </c>
      <c r="AH7872" s="2" t="str">
        <f ca="1"/>
        <v>OK</v>
      </c>
    </row>
    <row r="7873" spans="2:34" x14ac:dyDescent="0.2">
      <c r="B7873" s="2">
        <f ca="1"/>
        <v>0.42464039016249089</v>
      </c>
      <c r="O7873" s="2">
        <f ca="1"/>
        <v>0.31458857305793553</v>
      </c>
      <c r="X7873" s="2">
        <f ca="1"/>
        <v>70.311372585057342</v>
      </c>
      <c r="AG7873" s="2">
        <f ca="1"/>
        <v>0.68812508965709673</v>
      </c>
      <c r="AH7873" s="2" t="str">
        <f ca="1"/>
        <v>Bad</v>
      </c>
    </row>
    <row r="7874" spans="2:34" x14ac:dyDescent="0.2">
      <c r="B7874" s="2">
        <f ca="1"/>
        <v>0.28089410270247872</v>
      </c>
      <c r="O7874" s="2">
        <f ca="1"/>
        <v>0.9101228323038475</v>
      </c>
      <c r="X7874" s="2">
        <f ca="1"/>
        <v>44.046919429663149</v>
      </c>
      <c r="AG7874" s="2">
        <f ca="1"/>
        <v>3.2205596464465636E-2</v>
      </c>
      <c r="AH7874" s="2" t="str">
        <f ca="1"/>
        <v>Good</v>
      </c>
    </row>
    <row r="7875" spans="2:34" x14ac:dyDescent="0.2">
      <c r="B7875" s="2">
        <f ca="1"/>
        <v>0.94393071211430457</v>
      </c>
      <c r="O7875" s="2">
        <f ca="1"/>
        <v>-1.3366017272099584</v>
      </c>
      <c r="X7875" s="2">
        <f ca="1"/>
        <v>54.97720623931184</v>
      </c>
      <c r="AG7875" s="2">
        <f ca="1"/>
        <v>0.49404616188206441</v>
      </c>
      <c r="AH7875" s="2" t="str">
        <f ca="1"/>
        <v>Bad</v>
      </c>
    </row>
    <row r="7876" spans="2:34" x14ac:dyDescent="0.2">
      <c r="B7876" s="2">
        <f ca="1"/>
        <v>0.69372862404725533</v>
      </c>
      <c r="O7876" s="2">
        <f ca="1"/>
        <v>1.1623243224166326</v>
      </c>
      <c r="X7876" s="2">
        <f ca="1"/>
        <v>58.92172573537934</v>
      </c>
      <c r="AG7876" s="2">
        <f ca="1"/>
        <v>0.29629660921383083</v>
      </c>
      <c r="AH7876" s="2" t="str">
        <f ca="1"/>
        <v>OK</v>
      </c>
    </row>
    <row r="7877" spans="2:34" x14ac:dyDescent="0.2">
      <c r="B7877" s="2">
        <f ca="1"/>
        <v>0.26298340685550148</v>
      </c>
      <c r="O7877" s="2">
        <f ca="1"/>
        <v>-2.291884325755162</v>
      </c>
      <c r="X7877" s="2">
        <f ca="1"/>
        <v>39.956670661991978</v>
      </c>
      <c r="AG7877" s="2">
        <f ca="1"/>
        <v>0.18152801310501432</v>
      </c>
      <c r="AH7877" s="2" t="str">
        <f ca="1"/>
        <v>OK</v>
      </c>
    </row>
    <row r="7878" spans="2:34" x14ac:dyDescent="0.2">
      <c r="B7878" s="2">
        <f ca="1"/>
        <v>0.13188116717565612</v>
      </c>
      <c r="O7878" s="2">
        <f ca="1"/>
        <v>-0.19673620379108961</v>
      </c>
      <c r="X7878" s="2">
        <f ca="1"/>
        <v>27.551715351845594</v>
      </c>
      <c r="AG7878" s="2">
        <f ca="1"/>
        <v>0.35457524941025031</v>
      </c>
      <c r="AH7878" s="2" t="str">
        <f ca="1"/>
        <v>OK</v>
      </c>
    </row>
    <row r="7879" spans="2:34" x14ac:dyDescent="0.2">
      <c r="B7879" s="2">
        <f ca="1"/>
        <v>0.89817517664629398</v>
      </c>
      <c r="O7879" s="2">
        <f ca="1"/>
        <v>-1.5960710819761914</v>
      </c>
      <c r="X7879" s="2">
        <f ca="1"/>
        <v>23.985404277263449</v>
      </c>
      <c r="AG7879" s="2">
        <f ca="1"/>
        <v>0.20001826936669942</v>
      </c>
      <c r="AH7879" s="2" t="str">
        <f ca="1"/>
        <v>OK</v>
      </c>
    </row>
    <row r="7880" spans="2:34" x14ac:dyDescent="0.2">
      <c r="B7880" s="2">
        <f ca="1"/>
        <v>0.27171281632461985</v>
      </c>
      <c r="O7880" s="2">
        <f ca="1"/>
        <v>-0.44875046492889969</v>
      </c>
      <c r="X7880" s="2">
        <f ca="1"/>
        <v>37.185419025483576</v>
      </c>
      <c r="AG7880" s="2">
        <f ca="1"/>
        <v>0.68559922874051149</v>
      </c>
      <c r="AH7880" s="2" t="str">
        <f ca="1"/>
        <v>Bad</v>
      </c>
    </row>
    <row r="7881" spans="2:34" x14ac:dyDescent="0.2">
      <c r="B7881" s="2">
        <f ca="1"/>
        <v>0.18053137810137443</v>
      </c>
      <c r="O7881" s="2">
        <f ca="1"/>
        <v>0.40585547585801335</v>
      </c>
      <c r="X7881" s="2">
        <f ca="1"/>
        <v>31.328382788901767</v>
      </c>
      <c r="AG7881" s="2">
        <f ca="1"/>
        <v>0.33323026354069096</v>
      </c>
      <c r="AH7881" s="2" t="str">
        <f ca="1"/>
        <v>OK</v>
      </c>
    </row>
    <row r="7882" spans="2:34" x14ac:dyDescent="0.2">
      <c r="B7882" s="2">
        <f ca="1"/>
        <v>1.0066031324091673E-2</v>
      </c>
      <c r="O7882" s="2">
        <f ca="1"/>
        <v>-0.54605004008337121</v>
      </c>
      <c r="X7882" s="2">
        <f ca="1"/>
        <v>51.352808690608938</v>
      </c>
      <c r="AG7882" s="2">
        <f ca="1"/>
        <v>0.77819368072719164</v>
      </c>
      <c r="AH7882" s="2" t="str">
        <f ca="1"/>
        <v>Bad</v>
      </c>
    </row>
    <row r="7883" spans="2:34" x14ac:dyDescent="0.2">
      <c r="B7883" s="2">
        <f ca="1"/>
        <v>0.13969952969416499</v>
      </c>
      <c r="O7883" s="2">
        <f ca="1"/>
        <v>0.78140011386070929</v>
      </c>
      <c r="X7883" s="2">
        <f ca="1"/>
        <v>40.786751329685401</v>
      </c>
      <c r="AG7883" s="2">
        <f ca="1"/>
        <v>0.80288165704758896</v>
      </c>
      <c r="AH7883" s="2" t="str">
        <f ca="1"/>
        <v>Bad</v>
      </c>
    </row>
    <row r="7884" spans="2:34" x14ac:dyDescent="0.2">
      <c r="B7884" s="2">
        <f ca="1"/>
        <v>9.9759682390685889E-2</v>
      </c>
      <c r="O7884" s="2">
        <f ca="1"/>
        <v>7.5201202526430311E-2</v>
      </c>
      <c r="X7884" s="2">
        <f ca="1"/>
        <v>78.97227063215314</v>
      </c>
      <c r="AG7884" s="2">
        <f ca="1"/>
        <v>0.72044244919615763</v>
      </c>
      <c r="AH7884" s="2" t="str">
        <f ca="1"/>
        <v>Bad</v>
      </c>
    </row>
    <row r="7885" spans="2:34" x14ac:dyDescent="0.2">
      <c r="B7885" s="2">
        <f ca="1"/>
        <v>0.97895117918959418</v>
      </c>
      <c r="O7885" s="2">
        <f ca="1"/>
        <v>1.363409807005836</v>
      </c>
      <c r="X7885" s="2">
        <f ca="1"/>
        <v>40.216429552273418</v>
      </c>
      <c r="AG7885" s="2">
        <f ca="1"/>
        <v>0.81118071839050399</v>
      </c>
      <c r="AH7885" s="2" t="str">
        <f ca="1"/>
        <v>Bad</v>
      </c>
    </row>
    <row r="7886" spans="2:34" x14ac:dyDescent="0.2">
      <c r="B7886" s="2">
        <f ca="1"/>
        <v>0.70294098261806059</v>
      </c>
      <c r="O7886" s="2">
        <f ca="1"/>
        <v>-1.2616518976852642</v>
      </c>
      <c r="X7886" s="2">
        <f ca="1"/>
        <v>44.856661285620135</v>
      </c>
      <c r="AG7886" s="2">
        <f ca="1"/>
        <v>0.45970506787239729</v>
      </c>
      <c r="AH7886" s="2" t="str">
        <f ca="1"/>
        <v>Bad</v>
      </c>
    </row>
    <row r="7887" spans="2:34" x14ac:dyDescent="0.2">
      <c r="B7887" s="2">
        <f ca="1"/>
        <v>8.5835231177609161E-2</v>
      </c>
      <c r="O7887" s="2">
        <f ca="1"/>
        <v>0.44903300211522107</v>
      </c>
      <c r="X7887" s="2">
        <f ca="1"/>
        <v>47.82381959776405</v>
      </c>
      <c r="AG7887" s="2">
        <f ca="1"/>
        <v>0.75735549741724983</v>
      </c>
      <c r="AH7887" s="2" t="str">
        <f ca="1"/>
        <v>Bad</v>
      </c>
    </row>
    <row r="7888" spans="2:34" x14ac:dyDescent="0.2">
      <c r="B7888" s="2">
        <f ca="1"/>
        <v>0.63989553444376046</v>
      </c>
      <c r="O7888" s="2">
        <f ca="1"/>
        <v>-1.643175196766133</v>
      </c>
      <c r="X7888" s="2">
        <f ca="1"/>
        <v>44.336196508382457</v>
      </c>
      <c r="AG7888" s="2">
        <f ca="1"/>
        <v>0.82132972756565126</v>
      </c>
      <c r="AH7888" s="2" t="str">
        <f ca="1"/>
        <v>Bad</v>
      </c>
    </row>
    <row r="7889" spans="2:34" x14ac:dyDescent="0.2">
      <c r="B7889" s="2">
        <f ca="1"/>
        <v>0.86012732969425554</v>
      </c>
      <c r="O7889" s="2">
        <f ca="1"/>
        <v>0.20702884455661813</v>
      </c>
      <c r="X7889" s="2">
        <f ca="1"/>
        <v>56.249222443071389</v>
      </c>
      <c r="AG7889" s="2">
        <f ca="1"/>
        <v>0.10542206587254532</v>
      </c>
      <c r="AH7889" s="2" t="str">
        <f ca="1"/>
        <v>OK</v>
      </c>
    </row>
    <row r="7890" spans="2:34" x14ac:dyDescent="0.2">
      <c r="B7890" s="2">
        <f ca="1"/>
        <v>0.34913307769632285</v>
      </c>
      <c r="O7890" s="2">
        <f ca="1"/>
        <v>7.7218210223937267E-2</v>
      </c>
      <c r="X7890" s="2">
        <f ca="1"/>
        <v>83.92598177151433</v>
      </c>
      <c r="AG7890" s="2">
        <f ca="1"/>
        <v>0.55142758338930409</v>
      </c>
      <c r="AH7890" s="2" t="str">
        <f ca="1"/>
        <v>Bad</v>
      </c>
    </row>
    <row r="7891" spans="2:34" x14ac:dyDescent="0.2">
      <c r="B7891" s="2">
        <f ca="1"/>
        <v>0.12481046111959948</v>
      </c>
      <c r="O7891" s="2">
        <f ca="1"/>
        <v>1.7601589768569337</v>
      </c>
      <c r="X7891" s="2">
        <f ca="1"/>
        <v>36.615548863878672</v>
      </c>
      <c r="AG7891" s="2">
        <f ca="1"/>
        <v>8.1850508286268164E-2</v>
      </c>
      <c r="AH7891" s="2" t="str">
        <f ca="1"/>
        <v>OK</v>
      </c>
    </row>
    <row r="7892" spans="2:34" x14ac:dyDescent="0.2">
      <c r="B7892" s="2">
        <f ca="1"/>
        <v>0.46781773556680917</v>
      </c>
      <c r="O7892" s="2">
        <f ca="1"/>
        <v>1.040639121005636</v>
      </c>
      <c r="X7892" s="2">
        <f ca="1"/>
        <v>52.038080489777045</v>
      </c>
      <c r="AG7892" s="2">
        <f ca="1"/>
        <v>0.32898179208177036</v>
      </c>
      <c r="AH7892" s="2" t="str">
        <f ca="1"/>
        <v>OK</v>
      </c>
    </row>
    <row r="7893" spans="2:34" x14ac:dyDescent="0.2">
      <c r="B7893" s="2">
        <f ca="1"/>
        <v>0.21063308935169789</v>
      </c>
      <c r="O7893" s="2">
        <f ca="1"/>
        <v>1.3120073747492442</v>
      </c>
      <c r="X7893" s="2">
        <f ca="1"/>
        <v>32.571926224782331</v>
      </c>
      <c r="AG7893" s="2">
        <f ca="1"/>
        <v>0.3764988705248451</v>
      </c>
      <c r="AH7893" s="2" t="str">
        <f ca="1"/>
        <v>OK</v>
      </c>
    </row>
    <row r="7894" spans="2:34" x14ac:dyDescent="0.2">
      <c r="B7894" s="2">
        <f ca="1"/>
        <v>0.9792254772234017</v>
      </c>
      <c r="O7894" s="2">
        <f ca="1"/>
        <v>-0.69748634899800788</v>
      </c>
      <c r="X7894" s="2">
        <f ca="1"/>
        <v>42.674802117506523</v>
      </c>
      <c r="AG7894" s="2">
        <f ca="1"/>
        <v>0.81465108515041007</v>
      </c>
      <c r="AH7894" s="2" t="str">
        <f ca="1"/>
        <v>Bad</v>
      </c>
    </row>
    <row r="7895" spans="2:34" x14ac:dyDescent="0.2">
      <c r="B7895" s="2">
        <f ca="1"/>
        <v>0.99863101681958288</v>
      </c>
      <c r="O7895" s="2">
        <f ca="1"/>
        <v>1.1063025361827197</v>
      </c>
      <c r="X7895" s="2">
        <f ca="1"/>
        <v>38.323550387184888</v>
      </c>
      <c r="AG7895" s="2">
        <f ca="1"/>
        <v>0.16766674363723566</v>
      </c>
      <c r="AH7895" s="2" t="str">
        <f ca="1"/>
        <v>OK</v>
      </c>
    </row>
    <row r="7896" spans="2:34" x14ac:dyDescent="0.2">
      <c r="B7896" s="2">
        <f ca="1"/>
        <v>0.15054981423058655</v>
      </c>
      <c r="O7896" s="2">
        <f ca="1"/>
        <v>1.4162001872281003</v>
      </c>
      <c r="X7896" s="2">
        <f ca="1"/>
        <v>37.304158903309037</v>
      </c>
      <c r="AG7896" s="2">
        <f ca="1"/>
        <v>0.15376746475843439</v>
      </c>
      <c r="AH7896" s="2" t="str">
        <f ca="1"/>
        <v>OK</v>
      </c>
    </row>
    <row r="7897" spans="2:34" x14ac:dyDescent="0.2">
      <c r="B7897" s="2">
        <f ca="1"/>
        <v>5.8657286401712305E-2</v>
      </c>
      <c r="O7897" s="2">
        <f ca="1"/>
        <v>0.15225299222456151</v>
      </c>
      <c r="X7897" s="2">
        <f ca="1"/>
        <v>68.574706296853577</v>
      </c>
      <c r="AG7897" s="2">
        <f ca="1"/>
        <v>0.16547866300132452</v>
      </c>
      <c r="AH7897" s="2" t="str">
        <f ca="1"/>
        <v>OK</v>
      </c>
    </row>
    <row r="7898" spans="2:34" x14ac:dyDescent="0.2">
      <c r="B7898" s="2">
        <f ca="1"/>
        <v>0.16331489857252657</v>
      </c>
      <c r="O7898" s="2">
        <f ca="1"/>
        <v>0.20079509897192807</v>
      </c>
      <c r="X7898" s="2">
        <f ca="1"/>
        <v>48.871118111360524</v>
      </c>
      <c r="AG7898" s="2">
        <f ca="1"/>
        <v>0.32248651016728136</v>
      </c>
      <c r="AH7898" s="2" t="str">
        <f ca="1"/>
        <v>OK</v>
      </c>
    </row>
    <row r="7899" spans="2:34" x14ac:dyDescent="0.2">
      <c r="B7899" s="2">
        <f ca="1"/>
        <v>0.13218903692028494</v>
      </c>
      <c r="O7899" s="2">
        <f ca="1"/>
        <v>-1.4056524427003276</v>
      </c>
      <c r="X7899" s="2">
        <f ca="1"/>
        <v>49.455676640366406</v>
      </c>
      <c r="AG7899" s="2">
        <f ca="1"/>
        <v>0.61604706830550215</v>
      </c>
      <c r="AH7899" s="2" t="str">
        <f ca="1"/>
        <v>Bad</v>
      </c>
    </row>
    <row r="7900" spans="2:34" x14ac:dyDescent="0.2">
      <c r="B7900" s="2">
        <f ca="1"/>
        <v>0.28898800350603593</v>
      </c>
      <c r="O7900" s="2">
        <f ca="1"/>
        <v>-0.52672502786497355</v>
      </c>
      <c r="X7900" s="2">
        <f ca="1"/>
        <v>67.332053502185786</v>
      </c>
      <c r="AG7900" s="2">
        <f ca="1"/>
        <v>0.84305520517113397</v>
      </c>
      <c r="AH7900" s="2" t="str">
        <f ca="1"/>
        <v>Bad</v>
      </c>
    </row>
    <row r="7901" spans="2:34" x14ac:dyDescent="0.2">
      <c r="B7901" s="2">
        <f ca="1"/>
        <v>0.14740720001762253</v>
      </c>
      <c r="O7901" s="2">
        <f ca="1"/>
        <v>0.130619950093954</v>
      </c>
      <c r="X7901" s="2">
        <f ca="1"/>
        <v>37.369089067203809</v>
      </c>
      <c r="AG7901" s="2">
        <f ca="1"/>
        <v>0.80219921532943572</v>
      </c>
      <c r="AH7901" s="2" t="str">
        <f ca="1"/>
        <v>Bad</v>
      </c>
    </row>
    <row r="7902" spans="2:34" x14ac:dyDescent="0.2">
      <c r="B7902" s="2">
        <f ca="1"/>
        <v>0.47595066826123911</v>
      </c>
      <c r="O7902" s="2">
        <f ca="1"/>
        <v>-4.715551403093074E-2</v>
      </c>
      <c r="X7902" s="2">
        <f ca="1"/>
        <v>58.368277737341032</v>
      </c>
      <c r="AG7902" s="2">
        <f ca="1"/>
        <v>0.7467147287339555</v>
      </c>
      <c r="AH7902" s="2" t="str">
        <f ca="1"/>
        <v>Bad</v>
      </c>
    </row>
    <row r="7903" spans="2:34" x14ac:dyDescent="0.2">
      <c r="B7903" s="2">
        <f ca="1"/>
        <v>0.50003272582139369</v>
      </c>
      <c r="O7903" s="2">
        <f ca="1"/>
        <v>-1.8384066691107026</v>
      </c>
      <c r="X7903" s="2">
        <f ca="1"/>
        <v>36.87259962961339</v>
      </c>
      <c r="AG7903" s="2">
        <f ca="1"/>
        <v>0.24403281044933789</v>
      </c>
      <c r="AH7903" s="2" t="str">
        <f ca="1"/>
        <v>OK</v>
      </c>
    </row>
    <row r="7904" spans="2:34" x14ac:dyDescent="0.2">
      <c r="B7904" s="2">
        <f ca="1"/>
        <v>3.0669634476185426E-2</v>
      </c>
      <c r="O7904" s="2">
        <f ca="1"/>
        <v>1.0935135298800056</v>
      </c>
      <c r="X7904" s="2">
        <f ca="1"/>
        <v>53.916307761055862</v>
      </c>
      <c r="AG7904" s="2">
        <f ca="1"/>
        <v>0.18920797670801881</v>
      </c>
      <c r="AH7904" s="2" t="str">
        <f ca="1"/>
        <v>OK</v>
      </c>
    </row>
    <row r="7905" spans="2:34" x14ac:dyDescent="0.2">
      <c r="B7905" s="2">
        <f ca="1"/>
        <v>0.71465153163606665</v>
      </c>
      <c r="O7905" s="2">
        <f ca="1"/>
        <v>-0.79561924434163556</v>
      </c>
      <c r="X7905" s="2">
        <f ca="1"/>
        <v>43.413799247514511</v>
      </c>
      <c r="AG7905" s="2">
        <f ca="1"/>
        <v>0.4055621543447423</v>
      </c>
      <c r="AH7905" s="2" t="str">
        <f ca="1"/>
        <v>Bad</v>
      </c>
    </row>
    <row r="7906" spans="2:34" x14ac:dyDescent="0.2">
      <c r="B7906" s="2">
        <f ca="1"/>
        <v>0.72427791042385881</v>
      </c>
      <c r="O7906" s="2">
        <f ca="1"/>
        <v>0.57861923714504304</v>
      </c>
      <c r="X7906" s="2">
        <f ca="1"/>
        <v>64.907371561236388</v>
      </c>
      <c r="AG7906" s="2">
        <f ca="1"/>
        <v>0.44495610825248044</v>
      </c>
      <c r="AH7906" s="2" t="str">
        <f ca="1"/>
        <v>Bad</v>
      </c>
    </row>
    <row r="7907" spans="2:34" x14ac:dyDescent="0.2">
      <c r="B7907" s="2">
        <f ca="1"/>
        <v>0.85615433303602639</v>
      </c>
      <c r="O7907" s="2">
        <f ca="1"/>
        <v>-0.40390092149269324</v>
      </c>
      <c r="X7907" s="2">
        <f ca="1"/>
        <v>43.389453412680226</v>
      </c>
      <c r="AG7907" s="2">
        <f ca="1"/>
        <v>0.78654998375763796</v>
      </c>
      <c r="AH7907" s="2" t="str">
        <f ca="1"/>
        <v>Bad</v>
      </c>
    </row>
    <row r="7908" spans="2:34" x14ac:dyDescent="0.2">
      <c r="B7908" s="2">
        <f ca="1"/>
        <v>0.36202286119121019</v>
      </c>
      <c r="O7908" s="2">
        <f ca="1"/>
        <v>0.54104521035813036</v>
      </c>
      <c r="X7908" s="2">
        <f ca="1"/>
        <v>68.322606939262599</v>
      </c>
      <c r="AG7908" s="2">
        <f ca="1"/>
        <v>0.25725845855332241</v>
      </c>
      <c r="AH7908" s="2" t="str">
        <f ca="1"/>
        <v>OK</v>
      </c>
    </row>
    <row r="7909" spans="2:34" x14ac:dyDescent="0.2">
      <c r="B7909" s="2">
        <f ca="1"/>
        <v>7.7371148753352159E-2</v>
      </c>
      <c r="O7909" s="2">
        <f ca="1"/>
        <v>-0.12704982224139486</v>
      </c>
      <c r="X7909" s="2">
        <f ca="1"/>
        <v>65.404912825895622</v>
      </c>
      <c r="AG7909" s="2">
        <f ca="1"/>
        <v>0.71877514662445763</v>
      </c>
      <c r="AH7909" s="2" t="str">
        <f ca="1"/>
        <v>Bad</v>
      </c>
    </row>
    <row r="7910" spans="2:34" x14ac:dyDescent="0.2">
      <c r="B7910" s="2">
        <f ca="1"/>
        <v>0.25433008117788214</v>
      </c>
      <c r="O7910" s="2">
        <f ca="1"/>
        <v>0.89497796083041947</v>
      </c>
      <c r="X7910" s="2">
        <f ca="1"/>
        <v>34.788099597406095</v>
      </c>
      <c r="AG7910" s="2">
        <f ca="1"/>
        <v>0.8817383614526435</v>
      </c>
      <c r="AH7910" s="2" t="str">
        <f ca="1"/>
        <v>Bad</v>
      </c>
    </row>
    <row r="7911" spans="2:34" x14ac:dyDescent="0.2">
      <c r="B7911" s="2">
        <f ca="1"/>
        <v>0.68229498508750952</v>
      </c>
      <c r="O7911" s="2">
        <f ca="1"/>
        <v>-6.2220329338987745E-2</v>
      </c>
      <c r="X7911" s="2">
        <f ca="1"/>
        <v>30.466456572982914</v>
      </c>
      <c r="AG7911" s="2">
        <f ca="1"/>
        <v>0.34653403302784169</v>
      </c>
      <c r="AH7911" s="2" t="str">
        <f ca="1"/>
        <v>OK</v>
      </c>
    </row>
    <row r="7912" spans="2:34" x14ac:dyDescent="0.2">
      <c r="B7912" s="2">
        <f ca="1"/>
        <v>0.89245486320022827</v>
      </c>
      <c r="O7912" s="2">
        <f ca="1"/>
        <v>-0.93689817994936064</v>
      </c>
      <c r="X7912" s="2">
        <f ca="1"/>
        <v>56.441229386330903</v>
      </c>
      <c r="AG7912" s="2">
        <f ca="1"/>
        <v>0.56190721338120841</v>
      </c>
      <c r="AH7912" s="2" t="str">
        <f ca="1"/>
        <v>Bad</v>
      </c>
    </row>
    <row r="7913" spans="2:34" x14ac:dyDescent="0.2">
      <c r="B7913" s="2">
        <f ca="1"/>
        <v>0.44096927556136767</v>
      </c>
      <c r="O7913" s="2">
        <f ca="1"/>
        <v>0.36119402148273744</v>
      </c>
      <c r="X7913" s="2">
        <f ca="1"/>
        <v>70.632559369172867</v>
      </c>
      <c r="AG7913" s="2">
        <f ca="1"/>
        <v>0.75810504423951475</v>
      </c>
      <c r="AH7913" s="2" t="str">
        <f ca="1"/>
        <v>Bad</v>
      </c>
    </row>
    <row r="7914" spans="2:34" x14ac:dyDescent="0.2">
      <c r="B7914" s="2">
        <f ca="1"/>
        <v>0.41288990040597895</v>
      </c>
      <c r="O7914" s="2">
        <f ca="1"/>
        <v>0.15938699875087278</v>
      </c>
      <c r="X7914" s="2">
        <f ca="1"/>
        <v>52.30768440150154</v>
      </c>
      <c r="AG7914" s="2">
        <f ca="1"/>
        <v>1.810229403563568E-2</v>
      </c>
      <c r="AH7914" s="2" t="str">
        <f ca="1"/>
        <v>Good</v>
      </c>
    </row>
    <row r="7915" spans="2:34" x14ac:dyDescent="0.2">
      <c r="B7915" s="2">
        <f ca="1"/>
        <v>0.70408360950174953</v>
      </c>
      <c r="O7915" s="2">
        <f ca="1"/>
        <v>0.79301161371601048</v>
      </c>
      <c r="X7915" s="2">
        <f ca="1"/>
        <v>34.105879841068422</v>
      </c>
      <c r="AG7915" s="2">
        <f ca="1"/>
        <v>0.74418374255009567</v>
      </c>
      <c r="AH7915" s="2" t="str">
        <f ca="1"/>
        <v>Bad</v>
      </c>
    </row>
    <row r="7916" spans="2:34" x14ac:dyDescent="0.2">
      <c r="B7916" s="2">
        <f ca="1"/>
        <v>0.40077020502662486</v>
      </c>
      <c r="O7916" s="2">
        <f ca="1"/>
        <v>1.8812042817182808</v>
      </c>
      <c r="X7916" s="2">
        <f ca="1"/>
        <v>28.558756589267045</v>
      </c>
      <c r="AG7916" s="2">
        <f ca="1"/>
        <v>0.17702050754247245</v>
      </c>
      <c r="AH7916" s="2" t="str">
        <f ca="1"/>
        <v>OK</v>
      </c>
    </row>
    <row r="7917" spans="2:34" x14ac:dyDescent="0.2">
      <c r="B7917" s="2">
        <f ca="1"/>
        <v>0.95423787112913527</v>
      </c>
      <c r="O7917" s="2">
        <f ca="1"/>
        <v>-0.14527117946112447</v>
      </c>
      <c r="X7917" s="2">
        <f ca="1"/>
        <v>45.79154942641884</v>
      </c>
      <c r="AG7917" s="2">
        <f ca="1"/>
        <v>0.31965973311183582</v>
      </c>
      <c r="AH7917" s="2" t="str">
        <f ca="1"/>
        <v>OK</v>
      </c>
    </row>
    <row r="7918" spans="2:34" x14ac:dyDescent="0.2">
      <c r="B7918" s="2">
        <f ca="1"/>
        <v>0.10653616325469084</v>
      </c>
      <c r="O7918" s="2">
        <f ca="1"/>
        <v>0.93492081600065369</v>
      </c>
      <c r="X7918" s="2">
        <f ca="1"/>
        <v>47.104980491566209</v>
      </c>
      <c r="AG7918" s="2">
        <f ca="1"/>
        <v>0.33672032961269016</v>
      </c>
      <c r="AH7918" s="2" t="str">
        <f ca="1"/>
        <v>OK</v>
      </c>
    </row>
    <row r="7919" spans="2:34" x14ac:dyDescent="0.2">
      <c r="B7919" s="2">
        <f ca="1"/>
        <v>0.35288492496437085</v>
      </c>
      <c r="O7919" s="2">
        <f ca="1"/>
        <v>0.35134548305980456</v>
      </c>
      <c r="X7919" s="2">
        <f ca="1"/>
        <v>55.370892369142211</v>
      </c>
      <c r="AG7919" s="2">
        <f ca="1"/>
        <v>0.71595601285218291</v>
      </c>
      <c r="AH7919" s="2" t="str">
        <f ca="1"/>
        <v>Bad</v>
      </c>
    </row>
    <row r="7920" spans="2:34" x14ac:dyDescent="0.2">
      <c r="B7920" s="2">
        <f ca="1"/>
        <v>0.12833623535806082</v>
      </c>
      <c r="O7920" s="2">
        <f ca="1"/>
        <v>-0.99930942533785949</v>
      </c>
      <c r="X7920" s="2">
        <f ca="1"/>
        <v>46.32762041600099</v>
      </c>
      <c r="AG7920" s="2">
        <f ca="1"/>
        <v>0.35619688897308088</v>
      </c>
      <c r="AH7920" s="2" t="str">
        <f ca="1"/>
        <v>OK</v>
      </c>
    </row>
    <row r="7921" spans="2:34" x14ac:dyDescent="0.2">
      <c r="B7921" s="2">
        <f ca="1"/>
        <v>0.17091973948997263</v>
      </c>
      <c r="O7921" s="2">
        <f ca="1"/>
        <v>0.38379636826678154</v>
      </c>
      <c r="X7921" s="2">
        <f ca="1"/>
        <v>45.71356509703736</v>
      </c>
      <c r="AG7921" s="2">
        <f ca="1"/>
        <v>0.48372382961607996</v>
      </c>
      <c r="AH7921" s="2" t="str">
        <f ca="1"/>
        <v>Bad</v>
      </c>
    </row>
    <row r="7922" spans="2:34" x14ac:dyDescent="0.2">
      <c r="B7922" s="2">
        <f ca="1"/>
        <v>0.14616559352071867</v>
      </c>
      <c r="O7922" s="2">
        <f ca="1"/>
        <v>-1.8432832655150806</v>
      </c>
      <c r="X7922" s="2">
        <f ca="1"/>
        <v>78.000601681353615</v>
      </c>
      <c r="AG7922" s="2">
        <f ca="1"/>
        <v>0.6457746329641878</v>
      </c>
      <c r="AH7922" s="2" t="str">
        <f ca="1"/>
        <v>Bad</v>
      </c>
    </row>
    <row r="7923" spans="2:34" x14ac:dyDescent="0.2">
      <c r="B7923" s="2">
        <f ca="1"/>
        <v>0.41812044864720188</v>
      </c>
      <c r="O7923" s="2">
        <f ca="1"/>
        <v>-0.60322607358929736</v>
      </c>
      <c r="X7923" s="2">
        <f ca="1"/>
        <v>49.516626264027693</v>
      </c>
      <c r="AG7923" s="2">
        <f ca="1"/>
        <v>0.36584875213935431</v>
      </c>
      <c r="AH7923" s="2" t="str">
        <f ca="1"/>
        <v>OK</v>
      </c>
    </row>
    <row r="7924" spans="2:34" x14ac:dyDescent="0.2">
      <c r="B7924" s="2">
        <f ca="1"/>
        <v>0.77719373813768056</v>
      </c>
      <c r="O7924" s="2">
        <f ca="1"/>
        <v>1.1279242394986584</v>
      </c>
      <c r="X7924" s="2">
        <f ca="1"/>
        <v>51.188333952590312</v>
      </c>
      <c r="AG7924" s="2">
        <f ca="1"/>
        <v>0.1846555472427851</v>
      </c>
      <c r="AH7924" s="2" t="str">
        <f ca="1"/>
        <v>OK</v>
      </c>
    </row>
    <row r="7925" spans="2:34" x14ac:dyDescent="0.2">
      <c r="B7925" s="2">
        <f ca="1"/>
        <v>0.18326016023441016</v>
      </c>
      <c r="O7925" s="2">
        <f ca="1"/>
        <v>-0.71462388846689473</v>
      </c>
      <c r="X7925" s="2">
        <f ca="1"/>
        <v>45.372361626211543</v>
      </c>
      <c r="AG7925" s="2">
        <f ca="1"/>
        <v>0.39902189936940524</v>
      </c>
      <c r="AH7925" s="2" t="str">
        <f ca="1"/>
        <v>OK</v>
      </c>
    </row>
    <row r="7926" spans="2:34" x14ac:dyDescent="0.2">
      <c r="B7926" s="2">
        <f ca="1"/>
        <v>0.82900533444732827</v>
      </c>
      <c r="O7926" s="2">
        <f ca="1"/>
        <v>-0.27376512638850259</v>
      </c>
      <c r="X7926" s="2">
        <f ca="1"/>
        <v>49.236556533876517</v>
      </c>
      <c r="AG7926" s="2">
        <f ca="1"/>
        <v>0.23046281167699822</v>
      </c>
      <c r="AH7926" s="2" t="str">
        <f ca="1"/>
        <v>OK</v>
      </c>
    </row>
    <row r="7927" spans="2:34" x14ac:dyDescent="0.2">
      <c r="B7927" s="2">
        <f ca="1"/>
        <v>0.94044279492477667</v>
      </c>
      <c r="O7927" s="2">
        <f ca="1"/>
        <v>0.47903950827676767</v>
      </c>
      <c r="X7927" s="2">
        <f ca="1"/>
        <v>26.668189365884984</v>
      </c>
      <c r="AG7927" s="2">
        <f ca="1"/>
        <v>0.85705245882416503</v>
      </c>
      <c r="AH7927" s="2" t="str">
        <f ca="1"/>
        <v>Bad</v>
      </c>
    </row>
    <row r="7928" spans="2:34" x14ac:dyDescent="0.2">
      <c r="B7928" s="2">
        <f ca="1"/>
        <v>0.69435516225096117</v>
      </c>
      <c r="O7928" s="2">
        <f ca="1"/>
        <v>-0.58708564562034882</v>
      </c>
      <c r="X7928" s="2">
        <f ca="1"/>
        <v>24.245092817787949</v>
      </c>
      <c r="AG7928" s="2">
        <f ca="1"/>
        <v>0.75206919374821646</v>
      </c>
      <c r="AH7928" s="2" t="str">
        <f ca="1"/>
        <v>Bad</v>
      </c>
    </row>
    <row r="7929" spans="2:34" x14ac:dyDescent="0.2">
      <c r="B7929" s="2">
        <f ca="1"/>
        <v>0.39145016783097075</v>
      </c>
      <c r="O7929" s="2">
        <f ca="1"/>
        <v>0.85533570534970882</v>
      </c>
      <c r="X7929" s="2">
        <f ca="1"/>
        <v>60.345814359090127</v>
      </c>
      <c r="AG7929" s="2">
        <f ca="1"/>
        <v>0.86748113488236989</v>
      </c>
      <c r="AH7929" s="2" t="str">
        <f ca="1"/>
        <v>Bad</v>
      </c>
    </row>
    <row r="7930" spans="2:34" x14ac:dyDescent="0.2">
      <c r="B7930" s="2">
        <f ca="1"/>
        <v>0.34182634246776655</v>
      </c>
      <c r="O7930" s="2">
        <f ca="1"/>
        <v>-0.99958564919262216</v>
      </c>
      <c r="X7930" s="2">
        <f ca="1"/>
        <v>53.786485281748242</v>
      </c>
      <c r="AG7930" s="2">
        <f ca="1"/>
        <v>0.34017847751174757</v>
      </c>
      <c r="AH7930" s="2" t="str">
        <f ca="1"/>
        <v>OK</v>
      </c>
    </row>
    <row r="7931" spans="2:34" x14ac:dyDescent="0.2">
      <c r="B7931" s="2">
        <f ca="1"/>
        <v>0.19910580607515116</v>
      </c>
      <c r="O7931" s="2">
        <f ca="1"/>
        <v>-0.57005796773670148</v>
      </c>
      <c r="X7931" s="2">
        <f ca="1"/>
        <v>65.754464698310684</v>
      </c>
      <c r="AG7931" s="2">
        <f ca="1"/>
        <v>0.82338822271628076</v>
      </c>
      <c r="AH7931" s="2" t="str">
        <f ca="1"/>
        <v>Bad</v>
      </c>
    </row>
    <row r="7932" spans="2:34" x14ac:dyDescent="0.2">
      <c r="B7932" s="2">
        <f ca="1"/>
        <v>0.65143105725698081</v>
      </c>
      <c r="O7932" s="2">
        <f ca="1"/>
        <v>0.38077735021857945</v>
      </c>
      <c r="X7932" s="2">
        <f ca="1"/>
        <v>27.590388347590192</v>
      </c>
      <c r="AG7932" s="2">
        <f ca="1"/>
        <v>0.83460690549001404</v>
      </c>
      <c r="AH7932" s="2" t="str">
        <f ca="1"/>
        <v>Bad</v>
      </c>
    </row>
    <row r="7933" spans="2:34" x14ac:dyDescent="0.2">
      <c r="B7933" s="2">
        <f ca="1"/>
        <v>0.73276191016892467</v>
      </c>
      <c r="O7933" s="2">
        <f ca="1"/>
        <v>0.20800985621609344</v>
      </c>
      <c r="X7933" s="2">
        <f ca="1"/>
        <v>43.519370948478922</v>
      </c>
      <c r="AG7933" s="2">
        <f ca="1"/>
        <v>0.8608191294151506</v>
      </c>
      <c r="AH7933" s="2" t="str">
        <f ca="1"/>
        <v>Bad</v>
      </c>
    </row>
    <row r="7934" spans="2:34" x14ac:dyDescent="0.2">
      <c r="B7934" s="2">
        <f ca="1"/>
        <v>0.46579555785886684</v>
      </c>
      <c r="O7934" s="2">
        <f ca="1"/>
        <v>0.48236500328061571</v>
      </c>
      <c r="X7934" s="2">
        <f ca="1"/>
        <v>51.683069275743392</v>
      </c>
      <c r="AG7934" s="2">
        <f ca="1"/>
        <v>0.34301082596338972</v>
      </c>
      <c r="AH7934" s="2" t="str">
        <f ca="1"/>
        <v>OK</v>
      </c>
    </row>
    <row r="7935" spans="2:34" x14ac:dyDescent="0.2">
      <c r="B7935" s="2">
        <f ca="1"/>
        <v>0.68371042439152552</v>
      </c>
      <c r="O7935" s="2">
        <f ca="1"/>
        <v>-1.1612703568692524</v>
      </c>
      <c r="X7935" s="2">
        <f ca="1"/>
        <v>72.027499525100453</v>
      </c>
      <c r="AG7935" s="2">
        <f ca="1"/>
        <v>0.65086705403189993</v>
      </c>
      <c r="AH7935" s="2" t="str">
        <f ca="1"/>
        <v>Bad</v>
      </c>
    </row>
    <row r="7936" spans="2:34" x14ac:dyDescent="0.2">
      <c r="B7936" s="2">
        <f ca="1"/>
        <v>0.73563289474233251</v>
      </c>
      <c r="O7936" s="2">
        <f ca="1"/>
        <v>-1.0122990867725563</v>
      </c>
      <c r="X7936" s="2">
        <f ca="1"/>
        <v>28.273396086081494</v>
      </c>
      <c r="AG7936" s="2">
        <f ca="1"/>
        <v>0.26666821753291936</v>
      </c>
      <c r="AH7936" s="2" t="str">
        <f ca="1"/>
        <v>OK</v>
      </c>
    </row>
    <row r="7937" spans="2:34" x14ac:dyDescent="0.2">
      <c r="B7937" s="2">
        <f ca="1"/>
        <v>0.72569000456332344</v>
      </c>
      <c r="O7937" s="2">
        <f ca="1"/>
        <v>0.99307819845771195</v>
      </c>
      <c r="X7937" s="2">
        <f ca="1"/>
        <v>45.477531396104155</v>
      </c>
      <c r="AG7937" s="2">
        <f ca="1"/>
        <v>0.70199651453394174</v>
      </c>
      <c r="AH7937" s="2" t="str">
        <f ca="1"/>
        <v>Bad</v>
      </c>
    </row>
    <row r="7938" spans="2:34" x14ac:dyDescent="0.2">
      <c r="B7938" s="2">
        <f ca="1"/>
        <v>0.41973946913094928</v>
      </c>
      <c r="O7938" s="2">
        <f ca="1"/>
        <v>0.92598963836856241</v>
      </c>
      <c r="X7938" s="2">
        <f ca="1"/>
        <v>31.066790830504026</v>
      </c>
      <c r="AG7938" s="2">
        <f ca="1"/>
        <v>0.71810037335080001</v>
      </c>
      <c r="AH7938" s="2" t="str">
        <f ca="1"/>
        <v>Bad</v>
      </c>
    </row>
    <row r="7939" spans="2:34" x14ac:dyDescent="0.2">
      <c r="B7939" s="2">
        <f ca="1"/>
        <v>0.24119408105184048</v>
      </c>
      <c r="O7939" s="2">
        <f ca="1"/>
        <v>2.3490811107729306E-3</v>
      </c>
      <c r="X7939" s="2">
        <f ca="1"/>
        <v>30.488159715834495</v>
      </c>
      <c r="AG7939" s="2">
        <f ca="1"/>
        <v>0.70373157836850231</v>
      </c>
      <c r="AH7939" s="2" t="str">
        <f ca="1"/>
        <v>Bad</v>
      </c>
    </row>
    <row r="7940" spans="2:34" x14ac:dyDescent="0.2">
      <c r="B7940" s="2">
        <f ca="1"/>
        <v>0.24709021111632312</v>
      </c>
      <c r="O7940" s="2">
        <f ca="1"/>
        <v>-2.3551867757100697</v>
      </c>
      <c r="X7940" s="2">
        <f ca="1"/>
        <v>72.557377940254312</v>
      </c>
      <c r="AG7940" s="2">
        <f ca="1"/>
        <v>0.71027332553890643</v>
      </c>
      <c r="AH7940" s="2" t="str">
        <f ca="1"/>
        <v>Bad</v>
      </c>
    </row>
    <row r="7941" spans="2:34" x14ac:dyDescent="0.2">
      <c r="B7941" s="2">
        <f ca="1"/>
        <v>0.2629508912181735</v>
      </c>
      <c r="O7941" s="2">
        <f ca="1"/>
        <v>-1.477341775451956</v>
      </c>
      <c r="X7941" s="2">
        <f ca="1"/>
        <v>53.466021971760057</v>
      </c>
      <c r="AG7941" s="2">
        <f ca="1"/>
        <v>5.3664473944891267E-2</v>
      </c>
      <c r="AH7941" s="2" t="str">
        <f ca="1"/>
        <v>OK</v>
      </c>
    </row>
    <row r="7942" spans="2:34" x14ac:dyDescent="0.2">
      <c r="B7942" s="2">
        <f ca="1"/>
        <v>0.94629089624199114</v>
      </c>
      <c r="O7942" s="2">
        <f ca="1"/>
        <v>0.51466475762254849</v>
      </c>
      <c r="X7942" s="2">
        <f ca="1"/>
        <v>56.679512225665725</v>
      </c>
      <c r="AG7942" s="2">
        <f ca="1"/>
        <v>0.25644210858377381</v>
      </c>
      <c r="AH7942" s="2" t="str">
        <f ca="1"/>
        <v>OK</v>
      </c>
    </row>
    <row r="7943" spans="2:34" x14ac:dyDescent="0.2">
      <c r="B7943" s="2">
        <f ca="1"/>
        <v>0.80445406187658364</v>
      </c>
      <c r="O7943" s="2">
        <f ca="1"/>
        <v>-2.0169586040416951</v>
      </c>
      <c r="X7943" s="2">
        <f ca="1"/>
        <v>45.981320923555259</v>
      </c>
      <c r="AG7943" s="2">
        <f ca="1"/>
        <v>1.4449137914964716E-2</v>
      </c>
      <c r="AH7943" s="2" t="str">
        <f ca="1"/>
        <v>Good</v>
      </c>
    </row>
    <row r="7944" spans="2:34" x14ac:dyDescent="0.2">
      <c r="B7944" s="2">
        <f ca="1"/>
        <v>0.92975387894037076</v>
      </c>
      <c r="O7944" s="2">
        <f ca="1"/>
        <v>1.0906959551410464</v>
      </c>
      <c r="X7944" s="2">
        <f ca="1"/>
        <v>38.332948927222532</v>
      </c>
      <c r="AG7944" s="2">
        <f ca="1"/>
        <v>7.5075480292298602E-2</v>
      </c>
      <c r="AH7944" s="2" t="str">
        <f ca="1"/>
        <v>OK</v>
      </c>
    </row>
    <row r="7945" spans="2:34" x14ac:dyDescent="0.2">
      <c r="B7945" s="2">
        <f ca="1"/>
        <v>0.37206739407367251</v>
      </c>
      <c r="O7945" s="2">
        <f ca="1"/>
        <v>1.3834048664726422</v>
      </c>
      <c r="X7945" s="2">
        <f ca="1"/>
        <v>68.423455262245028</v>
      </c>
      <c r="AG7945" s="2">
        <f ca="1"/>
        <v>3.6660557632905988E-2</v>
      </c>
      <c r="AH7945" s="2" t="str">
        <f ca="1"/>
        <v>Good</v>
      </c>
    </row>
    <row r="7946" spans="2:34" x14ac:dyDescent="0.2">
      <c r="B7946" s="2">
        <f ca="1"/>
        <v>7.5980771193639107E-2</v>
      </c>
      <c r="O7946" s="2">
        <f ca="1"/>
        <v>0.55975974044724575</v>
      </c>
      <c r="X7946" s="2">
        <f ca="1"/>
        <v>57.669642671581713</v>
      </c>
      <c r="AG7946" s="2">
        <f ca="1"/>
        <v>0.45114929062888987</v>
      </c>
      <c r="AH7946" s="2" t="str">
        <f ca="1"/>
        <v>Bad</v>
      </c>
    </row>
    <row r="7947" spans="2:34" x14ac:dyDescent="0.2">
      <c r="B7947" s="2">
        <f ca="1"/>
        <v>0.4790793655125889</v>
      </c>
      <c r="O7947" s="2">
        <f ca="1"/>
        <v>-1.1528031569774329</v>
      </c>
      <c r="X7947" s="2">
        <f ca="1"/>
        <v>30.511751426218545</v>
      </c>
      <c r="AG7947" s="2">
        <f ca="1"/>
        <v>0.90121910284941209</v>
      </c>
      <c r="AH7947" s="2" t="str">
        <f ca="1"/>
        <v>Bad</v>
      </c>
    </row>
    <row r="7948" spans="2:34" x14ac:dyDescent="0.2">
      <c r="B7948" s="2">
        <f ca="1"/>
        <v>8.6186359760118902E-2</v>
      </c>
      <c r="O7948" s="2">
        <f ca="1"/>
        <v>0.18799914281784294</v>
      </c>
      <c r="X7948" s="2">
        <f ca="1"/>
        <v>67.573381940704408</v>
      </c>
      <c r="AG7948" s="2">
        <f ca="1"/>
        <v>7.696977851425868E-2</v>
      </c>
      <c r="AH7948" s="2" t="str">
        <f ca="1"/>
        <v>OK</v>
      </c>
    </row>
    <row r="7949" spans="2:34" x14ac:dyDescent="0.2">
      <c r="B7949" s="2">
        <f ca="1"/>
        <v>0.62211263361415425</v>
      </c>
      <c r="O7949" s="2">
        <f ca="1"/>
        <v>-0.74362810062256146</v>
      </c>
      <c r="X7949" s="2">
        <f ca="1"/>
        <v>54.658709705976094</v>
      </c>
      <c r="AG7949" s="2">
        <f ca="1"/>
        <v>0.64313921751527992</v>
      </c>
      <c r="AH7949" s="2" t="str">
        <f ca="1"/>
        <v>Bad</v>
      </c>
    </row>
    <row r="7950" spans="2:34" x14ac:dyDescent="0.2">
      <c r="B7950" s="2">
        <f ca="1"/>
        <v>0.98434849022904758</v>
      </c>
      <c r="O7950" s="2">
        <f ca="1"/>
        <v>-6.862278490805207E-2</v>
      </c>
      <c r="X7950" s="2">
        <f ca="1"/>
        <v>73.514301218634529</v>
      </c>
      <c r="AG7950" s="2">
        <f ca="1"/>
        <v>0.26777211332987849</v>
      </c>
      <c r="AH7950" s="2" t="str">
        <f ca="1"/>
        <v>OK</v>
      </c>
    </row>
    <row r="7951" spans="2:34" x14ac:dyDescent="0.2">
      <c r="B7951" s="2">
        <f ca="1"/>
        <v>0.87128132256961832</v>
      </c>
      <c r="O7951" s="2">
        <f ca="1"/>
        <v>-0.9699584106625907</v>
      </c>
      <c r="X7951" s="2">
        <f ca="1"/>
        <v>76.343676942221805</v>
      </c>
      <c r="AG7951" s="2">
        <f ca="1"/>
        <v>0.44942381329928316</v>
      </c>
      <c r="AH7951" s="2" t="str">
        <f ca="1"/>
        <v>Bad</v>
      </c>
    </row>
    <row r="7952" spans="2:34" x14ac:dyDescent="0.2">
      <c r="B7952" s="2">
        <f ca="1"/>
        <v>0.59455500982046194</v>
      </c>
      <c r="O7952" s="2">
        <f ca="1"/>
        <v>-0.39099690515282176</v>
      </c>
      <c r="X7952" s="2">
        <f ca="1"/>
        <v>64.403577593597774</v>
      </c>
      <c r="AG7952" s="2">
        <f ca="1"/>
        <v>0.9860596778494406</v>
      </c>
      <c r="AH7952" s="2" t="str">
        <f ca="1"/>
        <v>Bad</v>
      </c>
    </row>
    <row r="7953" spans="2:34" x14ac:dyDescent="0.2">
      <c r="B7953" s="2">
        <f ca="1"/>
        <v>0.8209977969904152</v>
      </c>
      <c r="O7953" s="2">
        <f ca="1"/>
        <v>-0.32160291513788691</v>
      </c>
      <c r="X7953" s="2">
        <f ca="1"/>
        <v>55.246446347408607</v>
      </c>
      <c r="AG7953" s="2">
        <f ca="1"/>
        <v>0.33951212485650362</v>
      </c>
      <c r="AH7953" s="2" t="str">
        <f ca="1"/>
        <v>OK</v>
      </c>
    </row>
    <row r="7954" spans="2:34" x14ac:dyDescent="0.2">
      <c r="B7954" s="2">
        <f ca="1"/>
        <v>0.70570452694585373</v>
      </c>
      <c r="O7954" s="2">
        <f ca="1"/>
        <v>1.9824447076459017</v>
      </c>
      <c r="X7954" s="2">
        <f ca="1"/>
        <v>36.729438292613025</v>
      </c>
      <c r="AG7954" s="2">
        <f ca="1"/>
        <v>0.46379806420115122</v>
      </c>
      <c r="AH7954" s="2" t="str">
        <f ca="1"/>
        <v>Bad</v>
      </c>
    </row>
    <row r="7955" spans="2:34" x14ac:dyDescent="0.2">
      <c r="B7955" s="2">
        <f ca="1"/>
        <v>0.4725269455187231</v>
      </c>
      <c r="O7955" s="2">
        <f ca="1"/>
        <v>-2.611456249654768</v>
      </c>
      <c r="X7955" s="2">
        <f ca="1"/>
        <v>31.848180269482171</v>
      </c>
      <c r="AG7955" s="2">
        <f ca="1"/>
        <v>0.28300489866622125</v>
      </c>
      <c r="AH7955" s="2" t="str">
        <f ca="1"/>
        <v>OK</v>
      </c>
    </row>
    <row r="7956" spans="2:34" x14ac:dyDescent="0.2">
      <c r="B7956" s="2">
        <f ca="1"/>
        <v>0.34688143772356872</v>
      </c>
      <c r="O7956" s="2">
        <f ca="1"/>
        <v>0.67795975149197119</v>
      </c>
      <c r="X7956" s="2">
        <f ca="1"/>
        <v>64.248115842726662</v>
      </c>
      <c r="AG7956" s="2">
        <f ca="1"/>
        <v>1.4194013530167249E-2</v>
      </c>
      <c r="AH7956" s="2" t="str">
        <f ca="1"/>
        <v>Good</v>
      </c>
    </row>
    <row r="7957" spans="2:34" x14ac:dyDescent="0.2">
      <c r="B7957" s="2">
        <f ca="1"/>
        <v>0.8365407281845858</v>
      </c>
      <c r="O7957" s="2">
        <f ca="1"/>
        <v>1.1759176612823654</v>
      </c>
      <c r="X7957" s="2">
        <f ca="1"/>
        <v>41.695839560621629</v>
      </c>
      <c r="AG7957" s="2">
        <f ca="1"/>
        <v>0.63570209811377132</v>
      </c>
      <c r="AH7957" s="2" t="str">
        <f ca="1"/>
        <v>Bad</v>
      </c>
    </row>
    <row r="7958" spans="2:34" x14ac:dyDescent="0.2">
      <c r="B7958" s="2">
        <f ca="1"/>
        <v>0.85565117586109118</v>
      </c>
      <c r="O7958" s="2">
        <f ca="1"/>
        <v>0.7678786402445108</v>
      </c>
      <c r="X7958" s="2">
        <f ca="1"/>
        <v>64.094830779158031</v>
      </c>
      <c r="AG7958" s="2">
        <f ca="1"/>
        <v>0.35442250947203435</v>
      </c>
      <c r="AH7958" s="2" t="str">
        <f ca="1"/>
        <v>OK</v>
      </c>
    </row>
    <row r="7959" spans="2:34" x14ac:dyDescent="0.2">
      <c r="B7959" s="2">
        <f ca="1"/>
        <v>0.81411128275819</v>
      </c>
      <c r="O7959" s="2">
        <f ca="1"/>
        <v>0.2047622675461726</v>
      </c>
      <c r="X7959" s="2">
        <f ca="1"/>
        <v>75.778043342326058</v>
      </c>
      <c r="AG7959" s="2">
        <f ca="1"/>
        <v>0.12780213693834175</v>
      </c>
      <c r="AH7959" s="2" t="str">
        <f ca="1"/>
        <v>OK</v>
      </c>
    </row>
    <row r="7960" spans="2:34" x14ac:dyDescent="0.2">
      <c r="B7960" s="2">
        <f ca="1"/>
        <v>0.83902193493984289</v>
      </c>
      <c r="O7960" s="2">
        <f ca="1"/>
        <v>-0.57482676791245479</v>
      </c>
      <c r="X7960" s="2">
        <f ca="1"/>
        <v>52.592032283248159</v>
      </c>
      <c r="AG7960" s="2">
        <f ca="1"/>
        <v>5.5878896272909984E-2</v>
      </c>
      <c r="AH7960" s="2" t="str">
        <f ca="1"/>
        <v>OK</v>
      </c>
    </row>
    <row r="7961" spans="2:34" x14ac:dyDescent="0.2">
      <c r="B7961" s="2">
        <f ca="1"/>
        <v>0.88942341959820248</v>
      </c>
      <c r="O7961" s="2">
        <f ca="1"/>
        <v>0.45343302550922238</v>
      </c>
      <c r="X7961" s="2">
        <f ca="1"/>
        <v>54.645696122641397</v>
      </c>
      <c r="AG7961" s="2">
        <f ca="1"/>
        <v>0.85744212998672231</v>
      </c>
      <c r="AH7961" s="2" t="str">
        <f ca="1"/>
        <v>Bad</v>
      </c>
    </row>
    <row r="7962" spans="2:34" x14ac:dyDescent="0.2">
      <c r="B7962" s="2">
        <f ca="1"/>
        <v>0.80733372687846705</v>
      </c>
      <c r="O7962" s="2">
        <f ca="1"/>
        <v>1.1159813723361531</v>
      </c>
      <c r="X7962" s="2">
        <f ca="1"/>
        <v>19.289761386360137</v>
      </c>
      <c r="AG7962" s="2">
        <f ca="1"/>
        <v>0.17503673783485763</v>
      </c>
      <c r="AH7962" s="2" t="str">
        <f ca="1"/>
        <v>OK</v>
      </c>
    </row>
    <row r="7963" spans="2:34" x14ac:dyDescent="0.2">
      <c r="B7963" s="2">
        <f ca="1"/>
        <v>0.2971823945635117</v>
      </c>
      <c r="O7963" s="2">
        <f ca="1"/>
        <v>-1.3877343665022033</v>
      </c>
      <c r="X7963" s="2">
        <f ca="1"/>
        <v>35.357707107572772</v>
      </c>
      <c r="AG7963" s="2">
        <f ca="1"/>
        <v>0.51716988089408322</v>
      </c>
      <c r="AH7963" s="2" t="str">
        <f ca="1"/>
        <v>Bad</v>
      </c>
    </row>
    <row r="7964" spans="2:34" x14ac:dyDescent="0.2">
      <c r="B7964" s="2">
        <f ca="1"/>
        <v>0.75063502017736239</v>
      </c>
      <c r="O7964" s="2">
        <f ca="1"/>
        <v>2.7013676368655224</v>
      </c>
      <c r="X7964" s="2">
        <f ca="1"/>
        <v>45.378730235679761</v>
      </c>
      <c r="AG7964" s="2">
        <f ca="1"/>
        <v>0.40747023940424643</v>
      </c>
      <c r="AH7964" s="2" t="str">
        <f ca="1"/>
        <v>Bad</v>
      </c>
    </row>
    <row r="7965" spans="2:34" x14ac:dyDescent="0.2">
      <c r="B7965" s="2">
        <f ca="1"/>
        <v>0.2886477320567542</v>
      </c>
      <c r="O7965" s="2">
        <f ca="1"/>
        <v>1.3305244966858549</v>
      </c>
      <c r="X7965" s="2">
        <f ca="1"/>
        <v>62.962972910105549</v>
      </c>
      <c r="AG7965" s="2">
        <f ca="1"/>
        <v>0.12284622585519211</v>
      </c>
      <c r="AH7965" s="2" t="str">
        <f ca="1"/>
        <v>OK</v>
      </c>
    </row>
    <row r="7966" spans="2:34" x14ac:dyDescent="0.2">
      <c r="B7966" s="2">
        <f ca="1"/>
        <v>1.5469816197311692E-2</v>
      </c>
      <c r="O7966" s="2">
        <f ca="1"/>
        <v>1.0645972764174807</v>
      </c>
      <c r="X7966" s="2">
        <f ca="1"/>
        <v>41.649154819772001</v>
      </c>
      <c r="AG7966" s="2">
        <f ca="1"/>
        <v>0.2168688472320992</v>
      </c>
      <c r="AH7966" s="2" t="str">
        <f ca="1"/>
        <v>OK</v>
      </c>
    </row>
    <row r="7967" spans="2:34" x14ac:dyDescent="0.2">
      <c r="B7967" s="2">
        <f ca="1"/>
        <v>0.28068521406952152</v>
      </c>
      <c r="O7967" s="2">
        <f ca="1"/>
        <v>0.75085465178212363</v>
      </c>
      <c r="X7967" s="2">
        <f ca="1"/>
        <v>42.780570519978831</v>
      </c>
      <c r="AG7967" s="2">
        <f ca="1"/>
        <v>0.10310724268247329</v>
      </c>
      <c r="AH7967" s="2" t="str">
        <f ca="1"/>
        <v>OK</v>
      </c>
    </row>
    <row r="7968" spans="2:34" x14ac:dyDescent="0.2">
      <c r="B7968" s="2">
        <f ca="1"/>
        <v>0.37825875802506759</v>
      </c>
      <c r="O7968" s="2">
        <f ca="1"/>
        <v>1.1339854299399235</v>
      </c>
      <c r="X7968" s="2">
        <f ca="1"/>
        <v>34.355141625105283</v>
      </c>
      <c r="AG7968" s="2">
        <f ca="1"/>
        <v>0.62273369645737264</v>
      </c>
      <c r="AH7968" s="2" t="str">
        <f ca="1"/>
        <v>Bad</v>
      </c>
    </row>
    <row r="7969" spans="2:34" x14ac:dyDescent="0.2">
      <c r="B7969" s="2">
        <f ca="1"/>
        <v>0.89766451337298792</v>
      </c>
      <c r="O7969" s="2">
        <f ca="1"/>
        <v>0.23417761470370449</v>
      </c>
      <c r="X7969" s="2">
        <f ca="1"/>
        <v>62.927411150378568</v>
      </c>
      <c r="AG7969" s="2">
        <f ca="1"/>
        <v>0.2383150243815324</v>
      </c>
      <c r="AH7969" s="2" t="str">
        <f ca="1"/>
        <v>OK</v>
      </c>
    </row>
    <row r="7970" spans="2:34" x14ac:dyDescent="0.2">
      <c r="B7970" s="2">
        <f ca="1"/>
        <v>0.88284989252091362</v>
      </c>
      <c r="O7970" s="2">
        <f ca="1"/>
        <v>-5.9631939480735578E-2</v>
      </c>
      <c r="X7970" s="2">
        <f ca="1"/>
        <v>34.209563206700054</v>
      </c>
      <c r="AG7970" s="2">
        <f ca="1"/>
        <v>0.93521938106234037</v>
      </c>
      <c r="AH7970" s="2" t="str">
        <f ca="1"/>
        <v>Bad</v>
      </c>
    </row>
    <row r="7971" spans="2:34" x14ac:dyDescent="0.2">
      <c r="B7971" s="2">
        <f ca="1"/>
        <v>0.9303709929300954</v>
      </c>
      <c r="O7971" s="2">
        <f ca="1"/>
        <v>-0.30443387830027396</v>
      </c>
      <c r="X7971" s="2">
        <f ca="1"/>
        <v>63.769829366894719</v>
      </c>
      <c r="AG7971" s="2">
        <f ca="1"/>
        <v>0.58423953639679405</v>
      </c>
      <c r="AH7971" s="2" t="str">
        <f ca="1"/>
        <v>Bad</v>
      </c>
    </row>
    <row r="7972" spans="2:34" x14ac:dyDescent="0.2">
      <c r="B7972" s="2">
        <f ca="1"/>
        <v>0.66631247606790822</v>
      </c>
      <c r="O7972" s="2">
        <f ca="1"/>
        <v>-0.8129859120634727</v>
      </c>
      <c r="X7972" s="2">
        <f ca="1"/>
        <v>47.054937233512597</v>
      </c>
      <c r="AG7972" s="2">
        <f ca="1"/>
        <v>0.13532672409342816</v>
      </c>
      <c r="AH7972" s="2" t="str">
        <f ca="1"/>
        <v>OK</v>
      </c>
    </row>
    <row r="7973" spans="2:34" x14ac:dyDescent="0.2">
      <c r="B7973" s="2">
        <f ca="1"/>
        <v>0.50277739098541541</v>
      </c>
      <c r="O7973" s="2">
        <f ca="1"/>
        <v>-3.5656638382916288</v>
      </c>
      <c r="X7973" s="2">
        <f ca="1"/>
        <v>50.856192884819137</v>
      </c>
      <c r="AG7973" s="2">
        <f ca="1"/>
        <v>0.90556728876010073</v>
      </c>
      <c r="AH7973" s="2" t="str">
        <f ca="1"/>
        <v>Bad</v>
      </c>
    </row>
    <row r="7974" spans="2:34" x14ac:dyDescent="0.2">
      <c r="B7974" s="2">
        <f ca="1"/>
        <v>0.13924026046636162</v>
      </c>
      <c r="O7974" s="2">
        <f ca="1"/>
        <v>0.25017066341316219</v>
      </c>
      <c r="X7974" s="2">
        <f ca="1"/>
        <v>34.466415924718433</v>
      </c>
      <c r="AG7974" s="2">
        <f ca="1"/>
        <v>0.3922453937425221</v>
      </c>
      <c r="AH7974" s="2" t="str">
        <f ca="1"/>
        <v>OK</v>
      </c>
    </row>
    <row r="7975" spans="2:34" x14ac:dyDescent="0.2">
      <c r="B7975" s="2">
        <f ca="1"/>
        <v>0.95232879882992982</v>
      </c>
      <c r="O7975" s="2">
        <f ca="1"/>
        <v>-1.1447290194655189</v>
      </c>
      <c r="X7975" s="2">
        <f ca="1"/>
        <v>57.598971877402775</v>
      </c>
      <c r="AG7975" s="2">
        <f ca="1"/>
        <v>3.0122492580668236E-2</v>
      </c>
      <c r="AH7975" s="2" t="str">
        <f ca="1"/>
        <v>Good</v>
      </c>
    </row>
    <row r="7976" spans="2:34" x14ac:dyDescent="0.2">
      <c r="B7976" s="2">
        <f ca="1"/>
        <v>0.7446240075193753</v>
      </c>
      <c r="O7976" s="2">
        <f ca="1"/>
        <v>1.1506014612954565</v>
      </c>
      <c r="X7976" s="2">
        <f ca="1"/>
        <v>95.877479216408958</v>
      </c>
      <c r="AG7976" s="2">
        <f ca="1"/>
        <v>0.56250441868482404</v>
      </c>
      <c r="AH7976" s="2" t="str">
        <f ca="1"/>
        <v>Bad</v>
      </c>
    </row>
    <row r="7977" spans="2:34" x14ac:dyDescent="0.2">
      <c r="B7977" s="2">
        <f ca="1"/>
        <v>1.7042146979389106E-2</v>
      </c>
      <c r="O7977" s="2">
        <f ca="1"/>
        <v>1.0493431966711606</v>
      </c>
      <c r="X7977" s="2">
        <f ca="1"/>
        <v>44.207564769186206</v>
      </c>
      <c r="AG7977" s="2">
        <f ca="1"/>
        <v>0.77345946325350434</v>
      </c>
      <c r="AH7977" s="2" t="str">
        <f ca="1"/>
        <v>Bad</v>
      </c>
    </row>
    <row r="7978" spans="2:34" x14ac:dyDescent="0.2">
      <c r="B7978" s="2">
        <f ca="1"/>
        <v>9.3757068365883489E-2</v>
      </c>
      <c r="O7978" s="2">
        <f ca="1"/>
        <v>0.49315175591829391</v>
      </c>
      <c r="X7978" s="2">
        <f ca="1"/>
        <v>18.041023851842382</v>
      </c>
      <c r="AG7978" s="2">
        <f ca="1"/>
        <v>0.7703716750560381</v>
      </c>
      <c r="AH7978" s="2" t="str">
        <f ca="1"/>
        <v>Bad</v>
      </c>
    </row>
    <row r="7979" spans="2:34" x14ac:dyDescent="0.2">
      <c r="B7979" s="2">
        <f ca="1"/>
        <v>0.22137280268345738</v>
      </c>
      <c r="O7979" s="2">
        <f ca="1"/>
        <v>-0.3896578119038922</v>
      </c>
      <c r="X7979" s="2">
        <f ca="1"/>
        <v>56.878924690355632</v>
      </c>
      <c r="AG7979" s="2">
        <f ca="1"/>
        <v>0.27653399049807059</v>
      </c>
      <c r="AH7979" s="2" t="str">
        <f ca="1"/>
        <v>OK</v>
      </c>
    </row>
    <row r="7980" spans="2:34" x14ac:dyDescent="0.2">
      <c r="B7980" s="2">
        <f ca="1"/>
        <v>0.60647885550084979</v>
      </c>
      <c r="O7980" s="2">
        <f ca="1"/>
        <v>-0.15014908274201469</v>
      </c>
      <c r="X7980" s="2">
        <f ca="1"/>
        <v>57.448573000226311</v>
      </c>
      <c r="AG7980" s="2">
        <f ca="1"/>
        <v>0.38891162796529932</v>
      </c>
      <c r="AH7980" s="2" t="str">
        <f ca="1"/>
        <v>OK</v>
      </c>
    </row>
    <row r="7981" spans="2:34" x14ac:dyDescent="0.2">
      <c r="B7981" s="2">
        <f ca="1"/>
        <v>0.16618564432046279</v>
      </c>
      <c r="O7981" s="2">
        <f ca="1"/>
        <v>0.7631429561838835</v>
      </c>
      <c r="X7981" s="2">
        <f ca="1"/>
        <v>43.914961957387163</v>
      </c>
      <c r="AG7981" s="2">
        <f ca="1"/>
        <v>0.14465905171589366</v>
      </c>
      <c r="AH7981" s="2" t="str">
        <f ca="1"/>
        <v>OK</v>
      </c>
    </row>
    <row r="7982" spans="2:34" x14ac:dyDescent="0.2">
      <c r="B7982" s="2">
        <f ca="1"/>
        <v>0.41366255512501904</v>
      </c>
      <c r="O7982" s="2">
        <f ca="1"/>
        <v>-1.3636536975578484</v>
      </c>
      <c r="X7982" s="2">
        <f ca="1"/>
        <v>77.806197786776522</v>
      </c>
      <c r="AG7982" s="2">
        <f ca="1"/>
        <v>0.54432357491245242</v>
      </c>
      <c r="AH7982" s="2" t="str">
        <f ca="1"/>
        <v>Bad</v>
      </c>
    </row>
    <row r="7983" spans="2:34" x14ac:dyDescent="0.2">
      <c r="B7983" s="2">
        <f ca="1"/>
        <v>0.19346820129976616</v>
      </c>
      <c r="O7983" s="2">
        <f ca="1"/>
        <v>-0.3831335949170292</v>
      </c>
      <c r="X7983" s="2">
        <f ca="1"/>
        <v>62.918832917825107</v>
      </c>
      <c r="AG7983" s="2">
        <f ca="1"/>
        <v>0.21745521734526174</v>
      </c>
      <c r="AH7983" s="2" t="str">
        <f ca="1"/>
        <v>OK</v>
      </c>
    </row>
    <row r="7984" spans="2:34" x14ac:dyDescent="0.2">
      <c r="B7984" s="2">
        <f ca="1"/>
        <v>0.91627702263216704</v>
      </c>
      <c r="O7984" s="2">
        <f ca="1"/>
        <v>-0.91826694995925728</v>
      </c>
      <c r="X7984" s="2">
        <f ca="1"/>
        <v>31.182085442637177</v>
      </c>
      <c r="AG7984" s="2">
        <f ca="1"/>
        <v>0.20000955653073027</v>
      </c>
      <c r="AH7984" s="2" t="str">
        <f ca="1"/>
        <v>OK</v>
      </c>
    </row>
    <row r="7985" spans="2:34" x14ac:dyDescent="0.2">
      <c r="B7985" s="2">
        <f ca="1"/>
        <v>8.4421923545616062E-2</v>
      </c>
      <c r="O7985" s="2">
        <f ca="1"/>
        <v>0.1189043810038543</v>
      </c>
      <c r="X7985" s="2">
        <f ca="1"/>
        <v>39.779006891123004</v>
      </c>
      <c r="AG7985" s="2">
        <f ca="1"/>
        <v>0.69553290591307237</v>
      </c>
      <c r="AH7985" s="2" t="str">
        <f ca="1"/>
        <v>Bad</v>
      </c>
    </row>
    <row r="7986" spans="2:34" x14ac:dyDescent="0.2">
      <c r="B7986" s="2">
        <f ca="1"/>
        <v>5.7544253222114428E-2</v>
      </c>
      <c r="O7986" s="2">
        <f ca="1"/>
        <v>1.8922281110962029</v>
      </c>
      <c r="X7986" s="2">
        <f ca="1"/>
        <v>75.717089851200285</v>
      </c>
      <c r="AG7986" s="2">
        <f ca="1"/>
        <v>0.79406251747332335</v>
      </c>
      <c r="AH7986" s="2" t="str">
        <f ca="1"/>
        <v>Bad</v>
      </c>
    </row>
    <row r="7987" spans="2:34" x14ac:dyDescent="0.2">
      <c r="B7987" s="2">
        <f ca="1"/>
        <v>0.21804623687943958</v>
      </c>
      <c r="O7987" s="2">
        <f ca="1"/>
        <v>6.6369779764559739E-2</v>
      </c>
      <c r="X7987" s="2">
        <f ca="1"/>
        <v>41.876007634139818</v>
      </c>
      <c r="AG7987" s="2">
        <f ca="1"/>
        <v>0.85050351299089444</v>
      </c>
      <c r="AH7987" s="2" t="str">
        <f ca="1"/>
        <v>Bad</v>
      </c>
    </row>
    <row r="7988" spans="2:34" x14ac:dyDescent="0.2">
      <c r="B7988" s="2">
        <f ca="1"/>
        <v>0.49374015765920887</v>
      </c>
      <c r="O7988" s="2">
        <f ca="1"/>
        <v>0.31044855903317659</v>
      </c>
      <c r="X7988" s="2">
        <f ca="1"/>
        <v>70.125697580845582</v>
      </c>
      <c r="AG7988" s="2">
        <f ca="1"/>
        <v>2.9505272986825926E-2</v>
      </c>
      <c r="AH7988" s="2" t="str">
        <f ca="1"/>
        <v>Good</v>
      </c>
    </row>
    <row r="7989" spans="2:34" x14ac:dyDescent="0.2">
      <c r="B7989" s="2">
        <f ca="1"/>
        <v>0.89699352398207655</v>
      </c>
      <c r="O7989" s="2">
        <f ca="1"/>
        <v>-0.21003938625537832</v>
      </c>
      <c r="X7989" s="2">
        <f ca="1"/>
        <v>72.253271567219684</v>
      </c>
      <c r="AG7989" s="2">
        <f ca="1"/>
        <v>0.3635872743252464</v>
      </c>
      <c r="AH7989" s="2" t="str">
        <f ca="1"/>
        <v>OK</v>
      </c>
    </row>
    <row r="7990" spans="2:34" x14ac:dyDescent="0.2">
      <c r="B7990" s="2">
        <f ca="1"/>
        <v>0.5698616770607221</v>
      </c>
      <c r="O7990" s="2">
        <f ca="1"/>
        <v>-0.94354001681320432</v>
      </c>
      <c r="X7990" s="2">
        <f ca="1"/>
        <v>55.551977139907571</v>
      </c>
      <c r="AG7990" s="2">
        <f ca="1"/>
        <v>0.91369447131409665</v>
      </c>
      <c r="AH7990" s="2" t="str">
        <f ca="1"/>
        <v>Bad</v>
      </c>
    </row>
    <row r="7991" spans="2:34" x14ac:dyDescent="0.2">
      <c r="B7991" s="2">
        <f ca="1"/>
        <v>0.31216980345666534</v>
      </c>
      <c r="O7991" s="2">
        <f ca="1"/>
        <v>-1.5694884657099684</v>
      </c>
      <c r="X7991" s="2">
        <f ca="1"/>
        <v>32.255462661777649</v>
      </c>
      <c r="AG7991" s="2">
        <f ca="1"/>
        <v>0.65200376786026948</v>
      </c>
      <c r="AH7991" s="2" t="str">
        <f ca="1"/>
        <v>Bad</v>
      </c>
    </row>
    <row r="7992" spans="2:34" x14ac:dyDescent="0.2">
      <c r="B7992" s="2">
        <f ca="1"/>
        <v>0.46619453946325917</v>
      </c>
      <c r="O7992" s="2">
        <f ca="1"/>
        <v>-0.21287005817620036</v>
      </c>
      <c r="X7992" s="2">
        <f ca="1"/>
        <v>49.783681225077778</v>
      </c>
      <c r="AG7992" s="2">
        <f ca="1"/>
        <v>0.31279910037015779</v>
      </c>
      <c r="AH7992" s="2" t="str">
        <f ca="1"/>
        <v>OK</v>
      </c>
    </row>
    <row r="7993" spans="2:34" x14ac:dyDescent="0.2">
      <c r="B7993" s="2">
        <f ca="1"/>
        <v>2.6053468038900185E-4</v>
      </c>
      <c r="O7993" s="2">
        <f ca="1"/>
        <v>0.3763865561854951</v>
      </c>
      <c r="X7993" s="2">
        <f ca="1"/>
        <v>47.089719371472867</v>
      </c>
      <c r="AG7993" s="2">
        <f ca="1"/>
        <v>0.38370303647321813</v>
      </c>
      <c r="AH7993" s="2" t="str">
        <f ca="1"/>
        <v>OK</v>
      </c>
    </row>
    <row r="7994" spans="2:34" x14ac:dyDescent="0.2">
      <c r="B7994" s="2">
        <f ca="1"/>
        <v>0.54446146143825391</v>
      </c>
      <c r="O7994" s="2">
        <f ca="1"/>
        <v>0.37462562820377432</v>
      </c>
      <c r="X7994" s="2">
        <f ca="1"/>
        <v>71.326992569528841</v>
      </c>
      <c r="AG7994" s="2">
        <f ca="1"/>
        <v>0.68329989617023346</v>
      </c>
      <c r="AH7994" s="2" t="str">
        <f ca="1"/>
        <v>Bad</v>
      </c>
    </row>
    <row r="7995" spans="2:34" x14ac:dyDescent="0.2">
      <c r="B7995" s="2">
        <f ca="1"/>
        <v>0.97910332141745959</v>
      </c>
      <c r="O7995" s="2">
        <f ca="1"/>
        <v>-0.70712819857025999</v>
      </c>
      <c r="X7995" s="2">
        <f ca="1"/>
        <v>56.452870393521991</v>
      </c>
      <c r="AG7995" s="2">
        <f ca="1"/>
        <v>8.5101319340777026E-2</v>
      </c>
      <c r="AH7995" s="2" t="str">
        <f ca="1"/>
        <v>OK</v>
      </c>
    </row>
    <row r="7996" spans="2:34" x14ac:dyDescent="0.2">
      <c r="B7996" s="2">
        <f ca="1"/>
        <v>0.81464318574846306</v>
      </c>
      <c r="O7996" s="2">
        <f ca="1"/>
        <v>0.62933215455883607</v>
      </c>
      <c r="X7996" s="2">
        <f ca="1"/>
        <v>21.434966950746535</v>
      </c>
      <c r="AG7996" s="2">
        <f ca="1"/>
        <v>0.71641744706702126</v>
      </c>
      <c r="AH7996" s="2" t="str">
        <f ca="1"/>
        <v>Bad</v>
      </c>
    </row>
    <row r="7997" spans="2:34" x14ac:dyDescent="0.2">
      <c r="B7997" s="2">
        <f ca="1"/>
        <v>0.31195991039118209</v>
      </c>
      <c r="O7997" s="2">
        <f ca="1"/>
        <v>0.39568586859807353</v>
      </c>
      <c r="X7997" s="2">
        <f ca="1"/>
        <v>66.433863088894469</v>
      </c>
      <c r="AG7997" s="2">
        <f ca="1"/>
        <v>0.91466381944060493</v>
      </c>
      <c r="AH7997" s="2" t="str">
        <f ca="1"/>
        <v>Bad</v>
      </c>
    </row>
    <row r="7998" spans="2:34" x14ac:dyDescent="0.2">
      <c r="B7998" s="2">
        <f ca="1"/>
        <v>0.56295146524812201</v>
      </c>
      <c r="O7998" s="2">
        <f ca="1"/>
        <v>-0.84507374038661665</v>
      </c>
      <c r="X7998" s="2">
        <f ca="1"/>
        <v>83.700333462618616</v>
      </c>
      <c r="AG7998" s="2">
        <f ca="1"/>
        <v>0.13782608639380789</v>
      </c>
      <c r="AH7998" s="2" t="str">
        <f ca="1"/>
        <v>OK</v>
      </c>
    </row>
    <row r="7999" spans="2:34" x14ac:dyDescent="0.2">
      <c r="B7999" s="2">
        <f ca="1"/>
        <v>0.43674920264668238</v>
      </c>
      <c r="O7999" s="2">
        <f ca="1"/>
        <v>-0.4664952175532403</v>
      </c>
      <c r="X7999" s="2">
        <f ca="1"/>
        <v>54.614209218693986</v>
      </c>
      <c r="AG7999" s="2">
        <f ca="1"/>
        <v>1.1316267664433388E-2</v>
      </c>
      <c r="AH7999" s="2" t="str">
        <f ca="1"/>
        <v>Good</v>
      </c>
    </row>
    <row r="8000" spans="2:34" x14ac:dyDescent="0.2">
      <c r="B8000" s="2">
        <f ca="1"/>
        <v>0.93465887667676495</v>
      </c>
      <c r="O8000" s="2">
        <f ca="1"/>
        <v>1.2051543469724593</v>
      </c>
      <c r="X8000" s="2">
        <f ca="1"/>
        <v>86.550253678668057</v>
      </c>
      <c r="AG8000" s="2">
        <f ca="1"/>
        <v>0.20010079890159993</v>
      </c>
      <c r="AH8000" s="2" t="str">
        <f ca="1"/>
        <v>OK</v>
      </c>
    </row>
    <row r="8001" spans="2:34" x14ac:dyDescent="0.2">
      <c r="B8001" s="2">
        <f ca="1"/>
        <v>0.82645647848230208</v>
      </c>
      <c r="O8001" s="2">
        <f ca="1"/>
        <v>-1.2933518569639355</v>
      </c>
      <c r="X8001" s="2">
        <f ca="1"/>
        <v>39.877404698191455</v>
      </c>
      <c r="AG8001" s="2">
        <f ca="1"/>
        <v>8.9262973200786133E-2</v>
      </c>
      <c r="AH8001" s="2" t="str">
        <f ca="1"/>
        <v>OK</v>
      </c>
    </row>
    <row r="8002" spans="2:34" x14ac:dyDescent="0.2">
      <c r="B8002" s="2">
        <f ca="1"/>
        <v>0.67500965547875191</v>
      </c>
      <c r="O8002" s="2">
        <f ca="1"/>
        <v>0.4374744128008623</v>
      </c>
      <c r="X8002" s="2">
        <f ca="1"/>
        <v>42.561546366810354</v>
      </c>
      <c r="AG8002" s="2">
        <f ca="1"/>
        <v>0.10605404018972764</v>
      </c>
      <c r="AH8002" s="2" t="str">
        <f ca="1"/>
        <v>OK</v>
      </c>
    </row>
    <row r="8003" spans="2:34" x14ac:dyDescent="0.2">
      <c r="B8003" s="2">
        <f ca="1"/>
        <v>0.48198849954497702</v>
      </c>
      <c r="O8003" s="2">
        <f ca="1"/>
        <v>-0.51921597467436387</v>
      </c>
      <c r="X8003" s="2">
        <f ca="1"/>
        <v>36.120867666237032</v>
      </c>
      <c r="AG8003" s="2">
        <f ca="1"/>
        <v>0.63761333229237138</v>
      </c>
      <c r="AH8003" s="2" t="str">
        <f ca="1"/>
        <v>Bad</v>
      </c>
    </row>
    <row r="8004" spans="2:34" x14ac:dyDescent="0.2">
      <c r="B8004" s="2">
        <f ca="1"/>
        <v>0.75712277665258276</v>
      </c>
      <c r="O8004" s="2">
        <f ca="1"/>
        <v>-0.6117771307946428</v>
      </c>
      <c r="X8004" s="2">
        <f ca="1"/>
        <v>71.112501023748919</v>
      </c>
      <c r="AG8004" s="2">
        <f ca="1"/>
        <v>0.10491341440181667</v>
      </c>
      <c r="AH8004" s="2" t="str">
        <f ca="1"/>
        <v>OK</v>
      </c>
    </row>
    <row r="8005" spans="2:34" x14ac:dyDescent="0.2">
      <c r="B8005" s="2">
        <f ca="1"/>
        <v>1.3369968621564698E-2</v>
      </c>
      <c r="O8005" s="2">
        <f ca="1"/>
        <v>0.96363339574157836</v>
      </c>
      <c r="X8005" s="2">
        <f ca="1"/>
        <v>60.627331823982757</v>
      </c>
      <c r="AG8005" s="2">
        <f ca="1"/>
        <v>0.77105226859695741</v>
      </c>
      <c r="AH8005" s="2" t="str">
        <f ca="1"/>
        <v>Bad</v>
      </c>
    </row>
    <row r="8006" spans="2:34" x14ac:dyDescent="0.2">
      <c r="B8006" s="2">
        <f ca="1"/>
        <v>0.67017347788021397</v>
      </c>
      <c r="O8006" s="2">
        <f ca="1"/>
        <v>-0.91344135571806251</v>
      </c>
      <c r="X8006" s="2">
        <f ca="1"/>
        <v>89.593033275723855</v>
      </c>
      <c r="AG8006" s="2">
        <f ca="1"/>
        <v>6.9546248647170961E-2</v>
      </c>
      <c r="AH8006" s="2" t="str">
        <f ca="1"/>
        <v>OK</v>
      </c>
    </row>
    <row r="8007" spans="2:34" x14ac:dyDescent="0.2">
      <c r="B8007" s="2">
        <f ca="1"/>
        <v>0.73097258214077443</v>
      </c>
      <c r="O8007" s="2">
        <f ca="1"/>
        <v>-0.18272386493958964</v>
      </c>
      <c r="X8007" s="2">
        <f ca="1"/>
        <v>18.320284861321102</v>
      </c>
      <c r="AG8007" s="2">
        <f ca="1"/>
        <v>0.97196154332010942</v>
      </c>
      <c r="AH8007" s="2" t="str">
        <f ca="1"/>
        <v>Bad</v>
      </c>
    </row>
    <row r="8008" spans="2:34" x14ac:dyDescent="0.2">
      <c r="B8008" s="2">
        <f ca="1"/>
        <v>0.69549386004050606</v>
      </c>
      <c r="O8008" s="2">
        <f ca="1"/>
        <v>0.31231327100218548</v>
      </c>
      <c r="X8008" s="2">
        <f ca="1"/>
        <v>27.927914351179037</v>
      </c>
      <c r="AG8008" s="2">
        <f ca="1"/>
        <v>0.74042335564420703</v>
      </c>
      <c r="AH8008" s="2" t="str">
        <f ca="1"/>
        <v>Bad</v>
      </c>
    </row>
    <row r="8009" spans="2:34" x14ac:dyDescent="0.2">
      <c r="B8009" s="2">
        <f ca="1"/>
        <v>0.44228252217041053</v>
      </c>
      <c r="O8009" s="2">
        <f ca="1"/>
        <v>1.4847020142049794</v>
      </c>
      <c r="X8009" s="2">
        <f ca="1"/>
        <v>56.27814395693953</v>
      </c>
      <c r="AG8009" s="2">
        <f ca="1"/>
        <v>0.22728217918108928</v>
      </c>
      <c r="AH8009" s="2" t="str">
        <f ca="1"/>
        <v>OK</v>
      </c>
    </row>
    <row r="8010" spans="2:34" x14ac:dyDescent="0.2">
      <c r="B8010" s="2">
        <f ca="1"/>
        <v>0.42397555497388306</v>
      </c>
      <c r="O8010" s="2">
        <f ca="1"/>
        <v>-0.19619548702548942</v>
      </c>
      <c r="X8010" s="2">
        <f ca="1"/>
        <v>63.398162966088272</v>
      </c>
      <c r="AG8010" s="2">
        <f ca="1"/>
        <v>4.5828866882487773E-2</v>
      </c>
      <c r="AH8010" s="2" t="str">
        <f ca="1"/>
        <v>Good</v>
      </c>
    </row>
    <row r="8011" spans="2:34" x14ac:dyDescent="0.2">
      <c r="B8011" s="2">
        <f ca="1"/>
        <v>0.33105382785511561</v>
      </c>
      <c r="O8011" s="2">
        <f ca="1"/>
        <v>-0.25031262980295632</v>
      </c>
      <c r="X8011" s="2">
        <f ca="1"/>
        <v>73.109906168843082</v>
      </c>
      <c r="AG8011" s="2">
        <f ca="1"/>
        <v>0.31103375305636138</v>
      </c>
      <c r="AH8011" s="2" t="str">
        <f ca="1"/>
        <v>OK</v>
      </c>
    </row>
    <row r="8012" spans="2:34" x14ac:dyDescent="0.2">
      <c r="B8012" s="2">
        <f ca="1"/>
        <v>0.80178339566375101</v>
      </c>
      <c r="O8012" s="2">
        <f ca="1"/>
        <v>-0.21464024108445004</v>
      </c>
      <c r="X8012" s="2">
        <f ca="1"/>
        <v>39.604458108774239</v>
      </c>
      <c r="AG8012" s="2">
        <f ca="1"/>
        <v>0.35057120913982032</v>
      </c>
      <c r="AH8012" s="2" t="str">
        <f ca="1"/>
        <v>OK</v>
      </c>
    </row>
    <row r="8013" spans="2:34" x14ac:dyDescent="0.2">
      <c r="B8013" s="2">
        <f ca="1"/>
        <v>2.2719041512346161E-2</v>
      </c>
      <c r="O8013" s="2">
        <f ca="1"/>
        <v>-0.98681641752859584</v>
      </c>
      <c r="X8013" s="2">
        <f ca="1"/>
        <v>65.977967602327098</v>
      </c>
      <c r="AG8013" s="2">
        <f ca="1"/>
        <v>0.88653959904674062</v>
      </c>
      <c r="AH8013" s="2" t="str">
        <f ca="1"/>
        <v>Bad</v>
      </c>
    </row>
    <row r="8014" spans="2:34" x14ac:dyDescent="0.2">
      <c r="B8014" s="2">
        <f ca="1"/>
        <v>0.29954966779600878</v>
      </c>
      <c r="O8014" s="2">
        <f ca="1"/>
        <v>0.29600611935665222</v>
      </c>
      <c r="X8014" s="2">
        <f ca="1"/>
        <v>34.234889053391541</v>
      </c>
      <c r="AG8014" s="2">
        <f ca="1"/>
        <v>0.10921017044772263</v>
      </c>
      <c r="AH8014" s="2" t="str">
        <f ca="1"/>
        <v>OK</v>
      </c>
    </row>
    <row r="8015" spans="2:34" x14ac:dyDescent="0.2">
      <c r="B8015" s="2">
        <f ca="1"/>
        <v>0.62794104944756701</v>
      </c>
      <c r="O8015" s="2">
        <f ca="1"/>
        <v>1.1112687189192998</v>
      </c>
      <c r="X8015" s="2">
        <f ca="1"/>
        <v>63.558220149379245</v>
      </c>
      <c r="AG8015" s="2">
        <f ca="1"/>
        <v>0.74791163564334884</v>
      </c>
      <c r="AH8015" s="2" t="str">
        <f ca="1"/>
        <v>Bad</v>
      </c>
    </row>
    <row r="8016" spans="2:34" x14ac:dyDescent="0.2">
      <c r="B8016" s="2">
        <f ca="1"/>
        <v>0.195879376273697</v>
      </c>
      <c r="O8016" s="2">
        <f ca="1"/>
        <v>0.60469033960470087</v>
      </c>
      <c r="X8016" s="2">
        <f ca="1"/>
        <v>29.307689908730289</v>
      </c>
      <c r="AG8016" s="2">
        <f ca="1"/>
        <v>0.27413207284408214</v>
      </c>
      <c r="AH8016" s="2" t="str">
        <f ca="1"/>
        <v>OK</v>
      </c>
    </row>
    <row r="8017" spans="2:34" x14ac:dyDescent="0.2">
      <c r="B8017" s="2">
        <f ca="1"/>
        <v>0.77260406373498958</v>
      </c>
      <c r="O8017" s="2">
        <f ca="1"/>
        <v>0.33477739507373316</v>
      </c>
      <c r="X8017" s="2">
        <f ca="1"/>
        <v>35.843869481918375</v>
      </c>
      <c r="AG8017" s="2">
        <f ca="1"/>
        <v>0.12646886928533174</v>
      </c>
      <c r="AH8017" s="2" t="str">
        <f ca="1"/>
        <v>OK</v>
      </c>
    </row>
    <row r="8018" spans="2:34" x14ac:dyDescent="0.2">
      <c r="B8018" s="2">
        <f ca="1"/>
        <v>0.46394805595375188</v>
      </c>
      <c r="O8018" s="2">
        <f ca="1"/>
        <v>-0.10621204223340605</v>
      </c>
      <c r="X8018" s="2">
        <f ca="1"/>
        <v>68.266879928016593</v>
      </c>
      <c r="AG8018" s="2">
        <f ca="1"/>
        <v>0.58910721064212734</v>
      </c>
      <c r="AH8018" s="2" t="str">
        <f ca="1"/>
        <v>Bad</v>
      </c>
    </row>
    <row r="8019" spans="2:34" x14ac:dyDescent="0.2">
      <c r="B8019" s="2">
        <f ca="1"/>
        <v>0.87337461698431418</v>
      </c>
      <c r="O8019" s="2">
        <f ca="1"/>
        <v>1.4015019343653794</v>
      </c>
      <c r="X8019" s="2">
        <f ca="1"/>
        <v>37.244859853632221</v>
      </c>
      <c r="AG8019" s="2">
        <f ca="1"/>
        <v>0.98535074802510048</v>
      </c>
      <c r="AH8019" s="2" t="str">
        <f ca="1"/>
        <v>Bad</v>
      </c>
    </row>
    <row r="8020" spans="2:34" x14ac:dyDescent="0.2">
      <c r="B8020" s="2">
        <f ca="1"/>
        <v>0.44762368085301385</v>
      </c>
      <c r="O8020" s="2">
        <f ca="1"/>
        <v>0.33651593058228024</v>
      </c>
      <c r="X8020" s="2">
        <f ca="1"/>
        <v>28.30172227712751</v>
      </c>
      <c r="AG8020" s="2">
        <f ca="1"/>
        <v>0.56757786481831696</v>
      </c>
      <c r="AH8020" s="2" t="str">
        <f ca="1"/>
        <v>Bad</v>
      </c>
    </row>
    <row r="8021" spans="2:34" x14ac:dyDescent="0.2">
      <c r="B8021" s="2">
        <f ca="1"/>
        <v>0.56184792812454343</v>
      </c>
      <c r="O8021" s="2">
        <f ca="1"/>
        <v>8.7960016662876978E-2</v>
      </c>
      <c r="X8021" s="2">
        <f ca="1"/>
        <v>70.779281875547483</v>
      </c>
      <c r="AG8021" s="2">
        <f ca="1"/>
        <v>0.95800506584218947</v>
      </c>
      <c r="AH8021" s="2" t="str">
        <f ca="1"/>
        <v>Bad</v>
      </c>
    </row>
    <row r="8022" spans="2:34" x14ac:dyDescent="0.2">
      <c r="B8022" s="2">
        <f ca="1"/>
        <v>0.25690376489564737</v>
      </c>
      <c r="O8022" s="2">
        <f ca="1"/>
        <v>-8.4558885252621299E-2</v>
      </c>
      <c r="X8022" s="2">
        <f ca="1"/>
        <v>61.27512574182721</v>
      </c>
      <c r="AG8022" s="2">
        <f ca="1"/>
        <v>0.98551617794545576</v>
      </c>
      <c r="AH8022" s="2" t="str">
        <f ca="1"/>
        <v>Bad</v>
      </c>
    </row>
    <row r="8023" spans="2:34" x14ac:dyDescent="0.2">
      <c r="B8023" s="2">
        <f ca="1"/>
        <v>0.10069146954266284</v>
      </c>
      <c r="O8023" s="2">
        <f ca="1"/>
        <v>-0.35573626863483715</v>
      </c>
      <c r="X8023" s="2">
        <f ca="1"/>
        <v>74.288813799199417</v>
      </c>
      <c r="AG8023" s="2">
        <f ca="1"/>
        <v>0.27258299234367889</v>
      </c>
      <c r="AH8023" s="2" t="str">
        <f ca="1"/>
        <v>OK</v>
      </c>
    </row>
    <row r="8024" spans="2:34" x14ac:dyDescent="0.2">
      <c r="B8024" s="2">
        <f ca="1"/>
        <v>0.10901429642760285</v>
      </c>
      <c r="O8024" s="2">
        <f ca="1"/>
        <v>-0.12170029973183469</v>
      </c>
      <c r="X8024" s="2">
        <f ca="1"/>
        <v>77.884221592559697</v>
      </c>
      <c r="AG8024" s="2">
        <f ca="1"/>
        <v>1.5486813827554569E-2</v>
      </c>
      <c r="AH8024" s="2" t="str">
        <f ca="1"/>
        <v>Good</v>
      </c>
    </row>
    <row r="8025" spans="2:34" x14ac:dyDescent="0.2">
      <c r="B8025" s="2">
        <f ca="1"/>
        <v>0.39971641622576493</v>
      </c>
      <c r="O8025" s="2">
        <f ca="1"/>
        <v>0.95143627108491269</v>
      </c>
      <c r="X8025" s="2">
        <f ca="1"/>
        <v>35.440834037363004</v>
      </c>
      <c r="AG8025" s="2">
        <f ca="1"/>
        <v>8.2389769360020626E-3</v>
      </c>
      <c r="AH8025" s="2" t="str">
        <f ca="1"/>
        <v>Good</v>
      </c>
    </row>
    <row r="8026" spans="2:34" x14ac:dyDescent="0.2">
      <c r="B8026" s="2">
        <f ca="1"/>
        <v>0.92994626617647791</v>
      </c>
      <c r="O8026" s="2">
        <f ca="1"/>
        <v>-1.2244078925121187</v>
      </c>
      <c r="X8026" s="2">
        <f ca="1"/>
        <v>29.129630717813981</v>
      </c>
      <c r="AG8026" s="2">
        <f ca="1"/>
        <v>0.13935122858904192</v>
      </c>
      <c r="AH8026" s="2" t="str">
        <f ca="1"/>
        <v>OK</v>
      </c>
    </row>
    <row r="8027" spans="2:34" x14ac:dyDescent="0.2">
      <c r="B8027" s="2">
        <f ca="1"/>
        <v>0.59475470539202147</v>
      </c>
      <c r="O8027" s="2">
        <f ca="1"/>
        <v>6.2622810844743873E-2</v>
      </c>
      <c r="X8027" s="2">
        <f ca="1"/>
        <v>66.095768995690989</v>
      </c>
      <c r="AG8027" s="2">
        <f ca="1"/>
        <v>0.68421731978562272</v>
      </c>
      <c r="AH8027" s="2" t="str">
        <f ca="1"/>
        <v>Bad</v>
      </c>
    </row>
    <row r="8028" spans="2:34" x14ac:dyDescent="0.2">
      <c r="B8028" s="2">
        <f ca="1"/>
        <v>0.22542036510809593</v>
      </c>
      <c r="O8028" s="2">
        <f ca="1"/>
        <v>-1.5451253493765986</v>
      </c>
      <c r="X8028" s="2">
        <f ca="1"/>
        <v>47.478404761248058</v>
      </c>
      <c r="AG8028" s="2">
        <f ca="1"/>
        <v>0.30952298271630552</v>
      </c>
      <c r="AH8028" s="2" t="str">
        <f ca="1"/>
        <v>OK</v>
      </c>
    </row>
    <row r="8029" spans="2:34" x14ac:dyDescent="0.2">
      <c r="B8029" s="2">
        <f ca="1"/>
        <v>0.68032646324606239</v>
      </c>
      <c r="O8029" s="2">
        <f ca="1"/>
        <v>-0.88539750936603712</v>
      </c>
      <c r="X8029" s="2">
        <f ca="1"/>
        <v>21.936034771556901</v>
      </c>
      <c r="AG8029" s="2">
        <f ca="1"/>
        <v>0.62324886655421641</v>
      </c>
      <c r="AH8029" s="2" t="str">
        <f ca="1"/>
        <v>Bad</v>
      </c>
    </row>
    <row r="8030" spans="2:34" x14ac:dyDescent="0.2">
      <c r="B8030" s="2">
        <f ca="1"/>
        <v>0.37550100869836012</v>
      </c>
      <c r="O8030" s="2">
        <f ca="1"/>
        <v>-0.96794057509595466</v>
      </c>
      <c r="X8030" s="2">
        <f ca="1"/>
        <v>46.625378897970805</v>
      </c>
      <c r="AG8030" s="2">
        <f ca="1"/>
        <v>0.16785572797335901</v>
      </c>
      <c r="AH8030" s="2" t="str">
        <f ca="1"/>
        <v>OK</v>
      </c>
    </row>
    <row r="8031" spans="2:34" x14ac:dyDescent="0.2">
      <c r="B8031" s="2">
        <f ca="1"/>
        <v>0.3025051294203247</v>
      </c>
      <c r="O8031" s="2">
        <f ca="1"/>
        <v>0.2606609771525002</v>
      </c>
      <c r="X8031" s="2">
        <f ca="1"/>
        <v>63.298984779897999</v>
      </c>
      <c r="AG8031" s="2">
        <f ca="1"/>
        <v>0.33210363069940496</v>
      </c>
      <c r="AH8031" s="2" t="str">
        <f ca="1"/>
        <v>OK</v>
      </c>
    </row>
    <row r="8032" spans="2:34" x14ac:dyDescent="0.2">
      <c r="B8032" s="2">
        <f ca="1"/>
        <v>2.558226636081562E-2</v>
      </c>
      <c r="O8032" s="2">
        <f ca="1"/>
        <v>-1.6320070624008567</v>
      </c>
      <c r="X8032" s="2">
        <f ca="1"/>
        <v>34.084877169066175</v>
      </c>
      <c r="AG8032" s="2">
        <f ca="1"/>
        <v>0.17734560196111726</v>
      </c>
      <c r="AH8032" s="2" t="str">
        <f ca="1"/>
        <v>OK</v>
      </c>
    </row>
    <row r="8033" spans="2:34" x14ac:dyDescent="0.2">
      <c r="B8033" s="2">
        <f ca="1"/>
        <v>0.44723172965622093</v>
      </c>
      <c r="O8033" s="2">
        <f ca="1"/>
        <v>0.28268153972873827</v>
      </c>
      <c r="X8033" s="2">
        <f ca="1"/>
        <v>41.017734693385165</v>
      </c>
      <c r="AG8033" s="2">
        <f ca="1"/>
        <v>0.4165689559588226</v>
      </c>
      <c r="AH8033" s="2" t="str">
        <f ca="1"/>
        <v>Bad</v>
      </c>
    </row>
    <row r="8034" spans="2:34" x14ac:dyDescent="0.2">
      <c r="B8034" s="2">
        <f ca="1"/>
        <v>0.14358878476089387</v>
      </c>
      <c r="O8034" s="2">
        <f ca="1"/>
        <v>1.8013682937127813</v>
      </c>
      <c r="X8034" s="2">
        <f ca="1"/>
        <v>50.786635228671685</v>
      </c>
      <c r="AG8034" s="2">
        <f ca="1"/>
        <v>0.20444365921395713</v>
      </c>
      <c r="AH8034" s="2" t="str">
        <f ca="1"/>
        <v>OK</v>
      </c>
    </row>
    <row r="8035" spans="2:34" x14ac:dyDescent="0.2">
      <c r="B8035" s="2">
        <f ca="1"/>
        <v>0.63884337975362171</v>
      </c>
      <c r="O8035" s="2">
        <f ca="1"/>
        <v>2.3263417704727098</v>
      </c>
      <c r="X8035" s="2">
        <f ca="1"/>
        <v>93.956605705951475</v>
      </c>
      <c r="AG8035" s="2">
        <f ca="1"/>
        <v>0.78201777970622532</v>
      </c>
      <c r="AH8035" s="2" t="str">
        <f ca="1"/>
        <v>Bad</v>
      </c>
    </row>
    <row r="8036" spans="2:34" x14ac:dyDescent="0.2">
      <c r="B8036" s="2">
        <f ca="1"/>
        <v>0.64613541569157351</v>
      </c>
      <c r="O8036" s="2">
        <f ca="1"/>
        <v>-0.42537522162455549</v>
      </c>
      <c r="X8036" s="2">
        <f ca="1"/>
        <v>39.365933315828855</v>
      </c>
      <c r="AG8036" s="2">
        <f ca="1"/>
        <v>0.78643502395650855</v>
      </c>
      <c r="AH8036" s="2" t="str">
        <f ca="1"/>
        <v>Bad</v>
      </c>
    </row>
    <row r="8037" spans="2:34" x14ac:dyDescent="0.2">
      <c r="B8037" s="2">
        <f ca="1"/>
        <v>0.80596350240499803</v>
      </c>
      <c r="O8037" s="2">
        <f ca="1"/>
        <v>1.7129075594017504</v>
      </c>
      <c r="X8037" s="2">
        <f ca="1"/>
        <v>36.232572505763137</v>
      </c>
      <c r="AG8037" s="2">
        <f ca="1"/>
        <v>0.83843227266287723</v>
      </c>
      <c r="AH8037" s="2" t="str">
        <f ca="1"/>
        <v>Bad</v>
      </c>
    </row>
    <row r="8038" spans="2:34" x14ac:dyDescent="0.2">
      <c r="B8038" s="2">
        <f ca="1"/>
        <v>0.62671957125372924</v>
      </c>
      <c r="O8038" s="2">
        <f ca="1"/>
        <v>0.35908479409722727</v>
      </c>
      <c r="X8038" s="2">
        <f ca="1"/>
        <v>54.74241498218737</v>
      </c>
      <c r="AG8038" s="2">
        <f ca="1"/>
        <v>0.29554828358668184</v>
      </c>
      <c r="AH8038" s="2" t="str">
        <f ca="1"/>
        <v>OK</v>
      </c>
    </row>
    <row r="8039" spans="2:34" x14ac:dyDescent="0.2">
      <c r="B8039" s="2">
        <f ca="1"/>
        <v>0.74648057228835718</v>
      </c>
      <c r="O8039" s="2">
        <f ca="1"/>
        <v>-0.66257276475171867</v>
      </c>
      <c r="X8039" s="2">
        <f ca="1"/>
        <v>53.043524559540344</v>
      </c>
      <c r="AG8039" s="2">
        <f ca="1"/>
        <v>0.87744542761586364</v>
      </c>
      <c r="AH8039" s="2" t="str">
        <f ca="1"/>
        <v>Bad</v>
      </c>
    </row>
    <row r="8040" spans="2:34" x14ac:dyDescent="0.2">
      <c r="B8040" s="2">
        <f ca="1"/>
        <v>0.8684190088595789</v>
      </c>
      <c r="O8040" s="2">
        <f ca="1"/>
        <v>-0.67646098543130118</v>
      </c>
      <c r="X8040" s="2">
        <f ca="1"/>
        <v>50.009795543597725</v>
      </c>
      <c r="AG8040" s="2">
        <f ca="1"/>
        <v>0.69752656110417899</v>
      </c>
      <c r="AH8040" s="2" t="str">
        <f ca="1"/>
        <v>Bad</v>
      </c>
    </row>
    <row r="8041" spans="2:34" x14ac:dyDescent="0.2">
      <c r="B8041" s="2">
        <f ca="1"/>
        <v>0.48144092728887289</v>
      </c>
      <c r="O8041" s="2">
        <f ca="1"/>
        <v>-1.2319523826069494</v>
      </c>
      <c r="X8041" s="2">
        <f ca="1"/>
        <v>15.875789578707487</v>
      </c>
      <c r="AG8041" s="2">
        <f ca="1"/>
        <v>0.44957521404683076</v>
      </c>
      <c r="AH8041" s="2" t="str">
        <f ca="1"/>
        <v>Bad</v>
      </c>
    </row>
    <row r="8042" spans="2:34" x14ac:dyDescent="0.2">
      <c r="B8042" s="2">
        <f ca="1"/>
        <v>0.95794803187520605</v>
      </c>
      <c r="O8042" s="2">
        <f ca="1"/>
        <v>1.59282919455716</v>
      </c>
      <c r="X8042" s="2">
        <f ca="1"/>
        <v>51.194652185410625</v>
      </c>
      <c r="AG8042" s="2">
        <f ca="1"/>
        <v>0.89540507265014302</v>
      </c>
      <c r="AH8042" s="2" t="str">
        <f ca="1"/>
        <v>Bad</v>
      </c>
    </row>
    <row r="8043" spans="2:34" x14ac:dyDescent="0.2">
      <c r="B8043" s="2">
        <f ca="1"/>
        <v>0.98221710113037641</v>
      </c>
      <c r="O8043" s="2">
        <f ca="1"/>
        <v>0.57635938776764739</v>
      </c>
      <c r="X8043" s="2">
        <f ca="1"/>
        <v>41.115903785756849</v>
      </c>
      <c r="AG8043" s="2">
        <f ca="1"/>
        <v>0.32351773582588406</v>
      </c>
      <c r="AH8043" s="2" t="str">
        <f ca="1"/>
        <v>OK</v>
      </c>
    </row>
    <row r="8044" spans="2:34" x14ac:dyDescent="0.2">
      <c r="B8044" s="2">
        <f ca="1"/>
        <v>0.34214366933812057</v>
      </c>
      <c r="O8044" s="2">
        <f ca="1"/>
        <v>1.2861504036271654</v>
      </c>
      <c r="X8044" s="2">
        <f ca="1"/>
        <v>91.881427787357794</v>
      </c>
      <c r="AG8044" s="2">
        <f ca="1"/>
        <v>8.0765847116375244E-2</v>
      </c>
      <c r="AH8044" s="2" t="str">
        <f ca="1"/>
        <v>OK</v>
      </c>
    </row>
    <row r="8045" spans="2:34" x14ac:dyDescent="0.2">
      <c r="B8045" s="2">
        <f ca="1"/>
        <v>0.84990319176717199</v>
      </c>
      <c r="O8045" s="2">
        <f ca="1"/>
        <v>-4.6072535619089527E-2</v>
      </c>
      <c r="X8045" s="2">
        <f ca="1"/>
        <v>62.853891156521833</v>
      </c>
      <c r="AG8045" s="2">
        <f ca="1"/>
        <v>0.40000247169649161</v>
      </c>
      <c r="AH8045" s="2" t="str">
        <f ca="1"/>
        <v>Bad</v>
      </c>
    </row>
    <row r="8046" spans="2:34" x14ac:dyDescent="0.2">
      <c r="B8046" s="2">
        <f ca="1"/>
        <v>0.24227754120993361</v>
      </c>
      <c r="O8046" s="2">
        <f ca="1"/>
        <v>0.92355390104265389</v>
      </c>
      <c r="X8046" s="2">
        <f ca="1"/>
        <v>48.5140302253862</v>
      </c>
      <c r="AG8046" s="2">
        <f ca="1"/>
        <v>0.78182694267087749</v>
      </c>
      <c r="AH8046" s="2" t="str">
        <f ca="1"/>
        <v>Bad</v>
      </c>
    </row>
    <row r="8047" spans="2:34" x14ac:dyDescent="0.2">
      <c r="B8047" s="2">
        <f ca="1"/>
        <v>0.41923483496308633</v>
      </c>
      <c r="O8047" s="2">
        <f ca="1"/>
        <v>-2.7280675858403665E-2</v>
      </c>
      <c r="X8047" s="2">
        <f ca="1"/>
        <v>53.587208971563086</v>
      </c>
      <c r="AG8047" s="2">
        <f ca="1"/>
        <v>0.6516264266298446</v>
      </c>
      <c r="AH8047" s="2" t="str">
        <f ca="1"/>
        <v>Bad</v>
      </c>
    </row>
    <row r="8048" spans="2:34" x14ac:dyDescent="0.2">
      <c r="B8048" s="2">
        <f ca="1"/>
        <v>0.87791661929891074</v>
      </c>
      <c r="O8048" s="2">
        <f ca="1"/>
        <v>-0.3690049297661363</v>
      </c>
      <c r="X8048" s="2">
        <f ca="1"/>
        <v>49.777227372366681</v>
      </c>
      <c r="AG8048" s="2">
        <f ca="1"/>
        <v>0.46711359937021868</v>
      </c>
      <c r="AH8048" s="2" t="str">
        <f ca="1"/>
        <v>Bad</v>
      </c>
    </row>
    <row r="8049" spans="2:34" x14ac:dyDescent="0.2">
      <c r="B8049" s="2">
        <f ca="1"/>
        <v>0.72222670125260668</v>
      </c>
      <c r="O8049" s="2">
        <f ca="1"/>
        <v>0.19053555359184912</v>
      </c>
      <c r="X8049" s="2">
        <f ca="1"/>
        <v>35.192228937072393</v>
      </c>
      <c r="AG8049" s="2">
        <f ca="1"/>
        <v>0.40493114424038024</v>
      </c>
      <c r="AH8049" s="2" t="str">
        <f ca="1"/>
        <v>Bad</v>
      </c>
    </row>
    <row r="8050" spans="2:34" x14ac:dyDescent="0.2">
      <c r="B8050" s="2">
        <f ca="1"/>
        <v>0.59819173939900594</v>
      </c>
      <c r="O8050" s="2">
        <f ca="1"/>
        <v>1.950672044018674</v>
      </c>
      <c r="X8050" s="2">
        <f ca="1"/>
        <v>38.137112247669592</v>
      </c>
      <c r="AG8050" s="2">
        <f ca="1"/>
        <v>3.074670143055469E-2</v>
      </c>
      <c r="AH8050" s="2" t="str">
        <f ca="1"/>
        <v>Good</v>
      </c>
    </row>
    <row r="8051" spans="2:34" x14ac:dyDescent="0.2">
      <c r="B8051" s="2">
        <f ca="1"/>
        <v>0.61258691846523838</v>
      </c>
      <c r="O8051" s="2">
        <f ca="1"/>
        <v>-9.3647707648175413E-2</v>
      </c>
      <c r="X8051" s="2">
        <f ca="1"/>
        <v>47.231732328159346</v>
      </c>
      <c r="AG8051" s="2">
        <f ca="1"/>
        <v>0.23025174140441229</v>
      </c>
      <c r="AH8051" s="2" t="str">
        <f ca="1"/>
        <v>OK</v>
      </c>
    </row>
    <row r="8052" spans="2:34" x14ac:dyDescent="0.2">
      <c r="B8052" s="2">
        <f ca="1"/>
        <v>0.71372376390415293</v>
      </c>
      <c r="O8052" s="2">
        <f ca="1"/>
        <v>-1.1637239538213906</v>
      </c>
      <c r="X8052" s="2">
        <f ca="1"/>
        <v>36.998469539280904</v>
      </c>
      <c r="AG8052" s="2">
        <f ca="1"/>
        <v>0.98932833051408431</v>
      </c>
      <c r="AH8052" s="2" t="str">
        <f ca="1"/>
        <v>Bad</v>
      </c>
    </row>
    <row r="8053" spans="2:34" x14ac:dyDescent="0.2">
      <c r="B8053" s="2">
        <f ca="1"/>
        <v>0.47279899984041807</v>
      </c>
      <c r="O8053" s="2">
        <f ca="1"/>
        <v>0.22600897958235613</v>
      </c>
      <c r="X8053" s="2">
        <f ca="1"/>
        <v>60.158197427329618</v>
      </c>
      <c r="AG8053" s="2">
        <f ca="1"/>
        <v>0.91740002284193234</v>
      </c>
      <c r="AH8053" s="2" t="str">
        <f ca="1"/>
        <v>Bad</v>
      </c>
    </row>
    <row r="8054" spans="2:34" x14ac:dyDescent="0.2">
      <c r="B8054" s="2">
        <f ca="1"/>
        <v>5.4788081623508234E-2</v>
      </c>
      <c r="O8054" s="2">
        <f ca="1"/>
        <v>1.0594684727095802</v>
      </c>
      <c r="X8054" s="2">
        <f ca="1"/>
        <v>29.9970915989913</v>
      </c>
      <c r="AG8054" s="2">
        <f ca="1"/>
        <v>0.78227099060247052</v>
      </c>
      <c r="AH8054" s="2" t="str">
        <f ca="1"/>
        <v>Bad</v>
      </c>
    </row>
    <row r="8055" spans="2:34" x14ac:dyDescent="0.2">
      <c r="B8055" s="2">
        <f ca="1"/>
        <v>0.48009010418835074</v>
      </c>
      <c r="O8055" s="2">
        <f ca="1"/>
        <v>-1.3361274043165257</v>
      </c>
      <c r="X8055" s="2">
        <f ca="1"/>
        <v>61.385689785261086</v>
      </c>
      <c r="AG8055" s="2">
        <f ca="1"/>
        <v>0.50159427127836276</v>
      </c>
      <c r="AH8055" s="2" t="str">
        <f ca="1"/>
        <v>Bad</v>
      </c>
    </row>
    <row r="8056" spans="2:34" x14ac:dyDescent="0.2">
      <c r="B8056" s="2">
        <f ca="1"/>
        <v>0.4439928811649827</v>
      </c>
      <c r="O8056" s="2">
        <f ca="1"/>
        <v>0.67658334775069306</v>
      </c>
      <c r="X8056" s="2">
        <f ca="1"/>
        <v>56.53274321690192</v>
      </c>
      <c r="AG8056" s="2">
        <f ca="1"/>
        <v>0.78880993435877778</v>
      </c>
      <c r="AH8056" s="2" t="str">
        <f ca="1"/>
        <v>Bad</v>
      </c>
    </row>
    <row r="8057" spans="2:34" x14ac:dyDescent="0.2">
      <c r="B8057" s="2">
        <f ca="1"/>
        <v>0.66503131120034809</v>
      </c>
      <c r="O8057" s="2">
        <f ca="1"/>
        <v>-0.88306432116941169</v>
      </c>
      <c r="X8057" s="2">
        <f ca="1"/>
        <v>56.089898708848487</v>
      </c>
      <c r="AG8057" s="2">
        <f ca="1"/>
        <v>0.98196808760711018</v>
      </c>
      <c r="AH8057" s="2" t="str">
        <f ca="1"/>
        <v>Bad</v>
      </c>
    </row>
    <row r="8058" spans="2:34" x14ac:dyDescent="0.2">
      <c r="B8058" s="2">
        <f ca="1"/>
        <v>9.2492700358674629E-2</v>
      </c>
      <c r="O8058" s="2">
        <f ca="1"/>
        <v>0.16841868158051437</v>
      </c>
      <c r="X8058" s="2">
        <f ca="1"/>
        <v>61.190717426445225</v>
      </c>
      <c r="AG8058" s="2">
        <f ca="1"/>
        <v>0.59768837909372952</v>
      </c>
      <c r="AH8058" s="2" t="str">
        <f ca="1"/>
        <v>Bad</v>
      </c>
    </row>
    <row r="8059" spans="2:34" x14ac:dyDescent="0.2">
      <c r="B8059" s="2">
        <f ca="1"/>
        <v>0.4995988215682432</v>
      </c>
      <c r="O8059" s="2">
        <f ca="1"/>
        <v>-0.65138477869811584</v>
      </c>
      <c r="X8059" s="2">
        <f ca="1"/>
        <v>36.756455666661324</v>
      </c>
      <c r="AG8059" s="2">
        <f ca="1"/>
        <v>0.87558742574530446</v>
      </c>
      <c r="AH8059" s="2" t="str">
        <f ca="1"/>
        <v>Bad</v>
      </c>
    </row>
    <row r="8060" spans="2:34" x14ac:dyDescent="0.2">
      <c r="B8060" s="2">
        <f ca="1"/>
        <v>0.12352139823343644</v>
      </c>
      <c r="O8060" s="2">
        <f ca="1"/>
        <v>1.805180438346321E-2</v>
      </c>
      <c r="X8060" s="2">
        <f ca="1"/>
        <v>31.211021958205961</v>
      </c>
      <c r="AG8060" s="2">
        <f ca="1"/>
        <v>0.41486627945080579</v>
      </c>
      <c r="AH8060" s="2" t="str">
        <f ca="1"/>
        <v>Bad</v>
      </c>
    </row>
    <row r="8061" spans="2:34" x14ac:dyDescent="0.2">
      <c r="B8061" s="2">
        <f ca="1"/>
        <v>0.79524557466028112</v>
      </c>
      <c r="O8061" s="2">
        <f ca="1"/>
        <v>0.35034424047896862</v>
      </c>
      <c r="X8061" s="2">
        <f ca="1"/>
        <v>53.054899534031193</v>
      </c>
      <c r="AG8061" s="2">
        <f ca="1"/>
        <v>0.73701017504861666</v>
      </c>
      <c r="AH8061" s="2" t="str">
        <f ca="1"/>
        <v>Bad</v>
      </c>
    </row>
    <row r="8062" spans="2:34" x14ac:dyDescent="0.2">
      <c r="B8062" s="2">
        <f ca="1"/>
        <v>0.51724093606395583</v>
      </c>
      <c r="O8062" s="2">
        <f ca="1"/>
        <v>-1.4985070148143314</v>
      </c>
      <c r="X8062" s="2">
        <f ca="1"/>
        <v>57.831754232574042</v>
      </c>
      <c r="AG8062" s="2">
        <f ca="1"/>
        <v>0.26792876960951473</v>
      </c>
      <c r="AH8062" s="2" t="str">
        <f ca="1"/>
        <v>OK</v>
      </c>
    </row>
    <row r="8063" spans="2:34" x14ac:dyDescent="0.2">
      <c r="B8063" s="2">
        <f ca="1"/>
        <v>0.87755090995039953</v>
      </c>
      <c r="O8063" s="2">
        <f ca="1"/>
        <v>-0.447183083673523</v>
      </c>
      <c r="X8063" s="2">
        <f ca="1"/>
        <v>45.292986301050931</v>
      </c>
      <c r="AG8063" s="2">
        <f ca="1"/>
        <v>0.9172585402256177</v>
      </c>
      <c r="AH8063" s="2" t="str">
        <f ca="1"/>
        <v>Bad</v>
      </c>
    </row>
    <row r="8064" spans="2:34" x14ac:dyDescent="0.2">
      <c r="B8064" s="2">
        <f ca="1"/>
        <v>0.31575250573782188</v>
      </c>
      <c r="O8064" s="2">
        <f ca="1"/>
        <v>1.9660054158260281</v>
      </c>
      <c r="X8064" s="2">
        <f ca="1"/>
        <v>57.319234889996771</v>
      </c>
      <c r="AG8064" s="2">
        <f ca="1"/>
        <v>0.29268249075385522</v>
      </c>
      <c r="AH8064" s="2" t="str">
        <f ca="1"/>
        <v>OK</v>
      </c>
    </row>
    <row r="8065" spans="2:34" x14ac:dyDescent="0.2">
      <c r="B8065" s="2">
        <f ca="1"/>
        <v>3.7483505439383169E-2</v>
      </c>
      <c r="O8065" s="2">
        <f ca="1"/>
        <v>1.4463437201664118</v>
      </c>
      <c r="X8065" s="2">
        <f ca="1"/>
        <v>74.125222788386807</v>
      </c>
      <c r="AG8065" s="2">
        <f ca="1"/>
        <v>0.67280108317783061</v>
      </c>
      <c r="AH8065" s="2" t="str">
        <f ca="1"/>
        <v>Bad</v>
      </c>
    </row>
    <row r="8066" spans="2:34" x14ac:dyDescent="0.2">
      <c r="B8066" s="2">
        <f ca="1"/>
        <v>0.62465374143843322</v>
      </c>
      <c r="O8066" s="2">
        <f ca="1"/>
        <v>-1.3545516296801021</v>
      </c>
      <c r="X8066" s="2">
        <f ca="1"/>
        <v>26.740178085861217</v>
      </c>
      <c r="AG8066" s="2">
        <f ca="1"/>
        <v>0.40739020063070086</v>
      </c>
      <c r="AH8066" s="2" t="str">
        <f ca="1"/>
        <v>Bad</v>
      </c>
    </row>
    <row r="8067" spans="2:34" x14ac:dyDescent="0.2">
      <c r="B8067" s="2">
        <f ca="1"/>
        <v>0.20299809615864062</v>
      </c>
      <c r="O8067" s="2">
        <f ca="1"/>
        <v>0.54707547012292002</v>
      </c>
      <c r="X8067" s="2">
        <f ca="1"/>
        <v>45.097298425425038</v>
      </c>
      <c r="AG8067" s="2">
        <f ca="1"/>
        <v>0.70635697428293609</v>
      </c>
      <c r="AH8067" s="2" t="str">
        <f ca="1"/>
        <v>Bad</v>
      </c>
    </row>
    <row r="8068" spans="2:34" x14ac:dyDescent="0.2">
      <c r="B8068" s="2">
        <f ca="1"/>
        <v>0.76895372365398629</v>
      </c>
      <c r="O8068" s="2">
        <f ca="1"/>
        <v>-0.33169203453134277</v>
      </c>
      <c r="X8068" s="2">
        <f ca="1"/>
        <v>51.303651174864697</v>
      </c>
      <c r="AG8068" s="2">
        <f ca="1"/>
        <v>0.75157605677195605</v>
      </c>
      <c r="AH8068" s="2" t="str">
        <f ca="1"/>
        <v>Bad</v>
      </c>
    </row>
    <row r="8069" spans="2:34" x14ac:dyDescent="0.2">
      <c r="B8069" s="2">
        <f ca="1"/>
        <v>0.65951877668816206</v>
      </c>
      <c r="O8069" s="2">
        <f ca="1"/>
        <v>0.22231676714487481</v>
      </c>
      <c r="X8069" s="2">
        <f ca="1"/>
        <v>93.325050730874679</v>
      </c>
      <c r="AG8069" s="2">
        <f ca="1"/>
        <v>0.34724942201732656</v>
      </c>
      <c r="AH8069" s="2" t="str">
        <f ca="1"/>
        <v>OK</v>
      </c>
    </row>
    <row r="8070" spans="2:34" x14ac:dyDescent="0.2">
      <c r="B8070" s="2">
        <f ca="1"/>
        <v>0.21813658277110681</v>
      </c>
      <c r="O8070" s="2">
        <f ca="1"/>
        <v>-0.85360200532921926</v>
      </c>
      <c r="X8070" s="2">
        <f ca="1"/>
        <v>32.106248770360814</v>
      </c>
      <c r="AG8070" s="2">
        <f ca="1"/>
        <v>0.40780768783786203</v>
      </c>
      <c r="AH8070" s="2" t="str">
        <f ca="1"/>
        <v>Bad</v>
      </c>
    </row>
    <row r="8071" spans="2:34" x14ac:dyDescent="0.2">
      <c r="B8071" s="2">
        <f ca="1"/>
        <v>0.80099053206409976</v>
      </c>
      <c r="O8071" s="2">
        <f ca="1"/>
        <v>-0.70181564669865559</v>
      </c>
      <c r="X8071" s="2">
        <f ca="1"/>
        <v>63.681002511129762</v>
      </c>
      <c r="AG8071" s="2">
        <f ca="1"/>
        <v>0.58039294583158929</v>
      </c>
      <c r="AH8071" s="2" t="str">
        <f ca="1"/>
        <v>Bad</v>
      </c>
    </row>
    <row r="8072" spans="2:34" x14ac:dyDescent="0.2">
      <c r="B8072" s="2">
        <f ca="1"/>
        <v>0.12910786236476701</v>
      </c>
      <c r="O8072" s="2">
        <f ca="1"/>
        <v>0.95753859508155292</v>
      </c>
      <c r="X8072" s="2">
        <f ca="1"/>
        <v>55.900389073358845</v>
      </c>
      <c r="AG8072" s="2">
        <f ca="1"/>
        <v>0.54911668189543783</v>
      </c>
      <c r="AH8072" s="2" t="str">
        <f ca="1"/>
        <v>Bad</v>
      </c>
    </row>
    <row r="8073" spans="2:34" x14ac:dyDescent="0.2">
      <c r="B8073" s="2">
        <f ca="1"/>
        <v>0.2646694794801796</v>
      </c>
      <c r="O8073" s="2">
        <f ca="1"/>
        <v>0.9988901194513673</v>
      </c>
      <c r="X8073" s="2">
        <f ca="1"/>
        <v>44.610599592356913</v>
      </c>
      <c r="AG8073" s="2">
        <f ca="1"/>
        <v>0.80596873231441579</v>
      </c>
      <c r="AH8073" s="2" t="str">
        <f ca="1"/>
        <v>Bad</v>
      </c>
    </row>
    <row r="8074" spans="2:34" x14ac:dyDescent="0.2">
      <c r="B8074" s="2">
        <f ca="1"/>
        <v>0.37132324807809414</v>
      </c>
      <c r="O8074" s="2">
        <f ca="1"/>
        <v>-0.20658474561984044</v>
      </c>
      <c r="X8074" s="2">
        <f ca="1"/>
        <v>34.765964705388853</v>
      </c>
      <c r="AG8074" s="2">
        <f ca="1"/>
        <v>0.70910256839157704</v>
      </c>
      <c r="AH8074" s="2" t="str">
        <f ca="1"/>
        <v>Bad</v>
      </c>
    </row>
    <row r="8075" spans="2:34" x14ac:dyDescent="0.2">
      <c r="B8075" s="2">
        <f ca="1"/>
        <v>0.5147748201659097</v>
      </c>
      <c r="O8075" s="2">
        <f ca="1"/>
        <v>-0.1946063493019955</v>
      </c>
      <c r="X8075" s="2">
        <f ca="1"/>
        <v>48.252228373472178</v>
      </c>
      <c r="AG8075" s="2">
        <f ca="1"/>
        <v>0.93015389195753251</v>
      </c>
      <c r="AH8075" s="2" t="str">
        <f ca="1"/>
        <v>Bad</v>
      </c>
    </row>
    <row r="8076" spans="2:34" x14ac:dyDescent="0.2">
      <c r="B8076" s="2">
        <f ca="1"/>
        <v>0.16671391504627797</v>
      </c>
      <c r="O8076" s="2">
        <f ca="1"/>
        <v>-6.9495662324929749E-2</v>
      </c>
      <c r="X8076" s="2">
        <f ca="1"/>
        <v>46.257344894060061</v>
      </c>
      <c r="AG8076" s="2">
        <f ca="1"/>
        <v>0.18832638347833242</v>
      </c>
      <c r="AH8076" s="2" t="str">
        <f ca="1"/>
        <v>OK</v>
      </c>
    </row>
    <row r="8077" spans="2:34" x14ac:dyDescent="0.2">
      <c r="B8077" s="2">
        <f ca="1"/>
        <v>0.25241621989582641</v>
      </c>
      <c r="O8077" s="2">
        <f ca="1"/>
        <v>-0.27334789718019065</v>
      </c>
      <c r="X8077" s="2">
        <f ca="1"/>
        <v>33.548491603839778</v>
      </c>
      <c r="AG8077" s="2">
        <f ca="1"/>
        <v>0.18975210322844971</v>
      </c>
      <c r="AH8077" s="2" t="str">
        <f ca="1"/>
        <v>OK</v>
      </c>
    </row>
    <row r="8078" spans="2:34" x14ac:dyDescent="0.2">
      <c r="B8078" s="2">
        <f ca="1"/>
        <v>0.37463033424737113</v>
      </c>
      <c r="O8078" s="2">
        <f ca="1"/>
        <v>0.15193724752721019</v>
      </c>
      <c r="X8078" s="2">
        <f ca="1"/>
        <v>69.980402051257656</v>
      </c>
      <c r="AG8078" s="2">
        <f ca="1"/>
        <v>0.65288856251136473</v>
      </c>
      <c r="AH8078" s="2" t="str">
        <f ca="1"/>
        <v>Bad</v>
      </c>
    </row>
    <row r="8079" spans="2:34" x14ac:dyDescent="0.2">
      <c r="B8079" s="2">
        <f ca="1"/>
        <v>0.54546497708384645</v>
      </c>
      <c r="O8079" s="2">
        <f ca="1"/>
        <v>-1.012550643846073</v>
      </c>
      <c r="X8079" s="2">
        <f ca="1"/>
        <v>43.963128094065702</v>
      </c>
      <c r="AG8079" s="2">
        <f ca="1"/>
        <v>0.36589043194030513</v>
      </c>
      <c r="AH8079" s="2" t="str">
        <f ca="1"/>
        <v>OK</v>
      </c>
    </row>
    <row r="8080" spans="2:34" x14ac:dyDescent="0.2">
      <c r="B8080" s="2">
        <f ca="1"/>
        <v>0.34502654896969198</v>
      </c>
      <c r="O8080" s="2">
        <f ca="1"/>
        <v>-0.12956892772502621</v>
      </c>
      <c r="X8080" s="2">
        <f ca="1"/>
        <v>34.850444026382675</v>
      </c>
      <c r="AG8080" s="2">
        <f ca="1"/>
        <v>0.87331108407828051</v>
      </c>
      <c r="AH8080" s="2" t="str">
        <f ca="1"/>
        <v>Bad</v>
      </c>
    </row>
    <row r="8081" spans="2:34" x14ac:dyDescent="0.2">
      <c r="B8081" s="2">
        <f ca="1"/>
        <v>0.75102964848923182</v>
      </c>
      <c r="O8081" s="2">
        <f ca="1"/>
        <v>-1.4453957417482368</v>
      </c>
      <c r="X8081" s="2">
        <f ca="1"/>
        <v>33.287535869580424</v>
      </c>
      <c r="AG8081" s="2">
        <f ca="1"/>
        <v>0.15150268874191375</v>
      </c>
      <c r="AH8081" s="2" t="str">
        <f ca="1"/>
        <v>OK</v>
      </c>
    </row>
    <row r="8082" spans="2:34" x14ac:dyDescent="0.2">
      <c r="B8082" s="2">
        <f ca="1"/>
        <v>0.44920886649719449</v>
      </c>
      <c r="O8082" s="2">
        <f ca="1"/>
        <v>-3.1932521546662151E-2</v>
      </c>
      <c r="X8082" s="2">
        <f ca="1"/>
        <v>46.605545328480808</v>
      </c>
      <c r="AG8082" s="2">
        <f ca="1"/>
        <v>0.84552533669850227</v>
      </c>
      <c r="AH8082" s="2" t="str">
        <f ca="1"/>
        <v>Bad</v>
      </c>
    </row>
    <row r="8083" spans="2:34" x14ac:dyDescent="0.2">
      <c r="B8083" s="2">
        <f ca="1"/>
        <v>0.18619133078496874</v>
      </c>
      <c r="O8083" s="2">
        <f ca="1"/>
        <v>1.3986111165782242</v>
      </c>
      <c r="X8083" s="2">
        <f ca="1"/>
        <v>64.087276491166605</v>
      </c>
      <c r="AG8083" s="2">
        <f ca="1"/>
        <v>0.33572221052671614</v>
      </c>
      <c r="AH8083" s="2" t="str">
        <f ca="1"/>
        <v>OK</v>
      </c>
    </row>
    <row r="8084" spans="2:34" x14ac:dyDescent="0.2">
      <c r="B8084" s="2">
        <f ca="1"/>
        <v>0.49903494346796373</v>
      </c>
      <c r="O8084" s="2">
        <f ca="1"/>
        <v>1.9657177927700065</v>
      </c>
      <c r="X8084" s="2">
        <f ca="1"/>
        <v>51.280849628803715</v>
      </c>
      <c r="AG8084" s="2">
        <f ca="1"/>
        <v>0.43800587713718619</v>
      </c>
      <c r="AH8084" s="2" t="str">
        <f ca="1"/>
        <v>Bad</v>
      </c>
    </row>
    <row r="8085" spans="2:34" x14ac:dyDescent="0.2">
      <c r="B8085" s="2">
        <f ca="1"/>
        <v>0.41750336334213856</v>
      </c>
      <c r="O8085" s="2">
        <f ca="1"/>
        <v>1.0511771424107317</v>
      </c>
      <c r="X8085" s="2">
        <f ca="1"/>
        <v>61.31435510134537</v>
      </c>
      <c r="AG8085" s="2">
        <f ca="1"/>
        <v>0.24766260556806841</v>
      </c>
      <c r="AH8085" s="2" t="str">
        <f ca="1"/>
        <v>OK</v>
      </c>
    </row>
    <row r="8086" spans="2:34" x14ac:dyDescent="0.2">
      <c r="B8086" s="2">
        <f ca="1"/>
        <v>0.89982283325363266</v>
      </c>
      <c r="O8086" s="2">
        <f ca="1"/>
        <v>0.34590211191124109</v>
      </c>
      <c r="X8086" s="2">
        <f ca="1"/>
        <v>67.687126514907462</v>
      </c>
      <c r="AG8086" s="2">
        <f ca="1"/>
        <v>0.94735831669073867</v>
      </c>
      <c r="AH8086" s="2" t="str">
        <f ca="1"/>
        <v>Bad</v>
      </c>
    </row>
    <row r="8087" spans="2:34" x14ac:dyDescent="0.2">
      <c r="B8087" s="2">
        <f ca="1"/>
        <v>0.78979629491748748</v>
      </c>
      <c r="O8087" s="2">
        <f ca="1"/>
        <v>0.86520889685941027</v>
      </c>
      <c r="X8087" s="2">
        <f ca="1"/>
        <v>33.01002307586031</v>
      </c>
      <c r="AG8087" s="2">
        <f ca="1"/>
        <v>5.3976490999085192E-2</v>
      </c>
      <c r="AH8087" s="2" t="str">
        <f ca="1"/>
        <v>OK</v>
      </c>
    </row>
    <row r="8088" spans="2:34" x14ac:dyDescent="0.2">
      <c r="B8088" s="2">
        <f ca="1"/>
        <v>0.62003368344772714</v>
      </c>
      <c r="O8088" s="2">
        <f ca="1"/>
        <v>-0.94060154946985264</v>
      </c>
      <c r="X8088" s="2">
        <f ca="1"/>
        <v>68.803044626901467</v>
      </c>
      <c r="AG8088" s="2">
        <f ca="1"/>
        <v>0.63352988665527876</v>
      </c>
      <c r="AH8088" s="2" t="str">
        <f ca="1"/>
        <v>Bad</v>
      </c>
    </row>
    <row r="8089" spans="2:34" x14ac:dyDescent="0.2">
      <c r="B8089" s="2">
        <f ca="1"/>
        <v>0.22964892164201722</v>
      </c>
      <c r="O8089" s="2">
        <f ca="1"/>
        <v>-0.41602223914798964</v>
      </c>
      <c r="X8089" s="2">
        <f ca="1"/>
        <v>40.282426196027913</v>
      </c>
      <c r="AG8089" s="2">
        <f ca="1"/>
        <v>0.31724421434973071</v>
      </c>
      <c r="AH8089" s="2" t="str">
        <f ca="1"/>
        <v>OK</v>
      </c>
    </row>
    <row r="8090" spans="2:34" x14ac:dyDescent="0.2">
      <c r="B8090" s="2">
        <f ca="1"/>
        <v>0.26920919498681184</v>
      </c>
      <c r="O8090" s="2">
        <f ca="1"/>
        <v>0.8444282722567249</v>
      </c>
      <c r="X8090" s="2">
        <f ca="1"/>
        <v>53.548258395049515</v>
      </c>
      <c r="AG8090" s="2">
        <f ca="1"/>
        <v>0.73201967769391652</v>
      </c>
      <c r="AH8090" s="2" t="str">
        <f ca="1"/>
        <v>Bad</v>
      </c>
    </row>
    <row r="8091" spans="2:34" x14ac:dyDescent="0.2">
      <c r="B8091" s="2">
        <f ca="1"/>
        <v>0.33047553395821394</v>
      </c>
      <c r="O8091" s="2">
        <f ca="1"/>
        <v>2.3417018997377537</v>
      </c>
      <c r="X8091" s="2">
        <f ca="1"/>
        <v>60.044116756809444</v>
      </c>
      <c r="AG8091" s="2">
        <f ca="1"/>
        <v>0.53622057300463855</v>
      </c>
      <c r="AH8091" s="2" t="str">
        <f ca="1"/>
        <v>Bad</v>
      </c>
    </row>
    <row r="8092" spans="2:34" x14ac:dyDescent="0.2">
      <c r="B8092" s="2">
        <f ca="1"/>
        <v>0.54057135171475346</v>
      </c>
      <c r="O8092" s="2">
        <f ca="1"/>
        <v>1.1801466986220175</v>
      </c>
      <c r="X8092" s="2">
        <f ca="1"/>
        <v>62.759324041492505</v>
      </c>
      <c r="AG8092" s="2">
        <f ca="1"/>
        <v>4.8923644144605705E-2</v>
      </c>
      <c r="AH8092" s="2" t="str">
        <f ca="1"/>
        <v>Good</v>
      </c>
    </row>
    <row r="8093" spans="2:34" x14ac:dyDescent="0.2">
      <c r="B8093" s="2">
        <f ca="1"/>
        <v>0.23705797218052727</v>
      </c>
      <c r="O8093" s="2">
        <f ca="1"/>
        <v>-0.42765437484393903</v>
      </c>
      <c r="X8093" s="2">
        <f ca="1"/>
        <v>49.161031351587923</v>
      </c>
      <c r="AG8093" s="2">
        <f ca="1"/>
        <v>0.46927310706870329</v>
      </c>
      <c r="AH8093" s="2" t="str">
        <f ca="1"/>
        <v>Bad</v>
      </c>
    </row>
    <row r="8094" spans="2:34" x14ac:dyDescent="0.2">
      <c r="B8094" s="2">
        <f ca="1"/>
        <v>0.39389867467429895</v>
      </c>
      <c r="O8094" s="2">
        <f ca="1"/>
        <v>0.56264055707889427</v>
      </c>
      <c r="X8094" s="2">
        <f ca="1"/>
        <v>37.135237956722385</v>
      </c>
      <c r="AG8094" s="2">
        <f ca="1"/>
        <v>0.19712462258207242</v>
      </c>
      <c r="AH8094" s="2" t="str">
        <f ca="1"/>
        <v>OK</v>
      </c>
    </row>
    <row r="8095" spans="2:34" x14ac:dyDescent="0.2">
      <c r="B8095" s="2">
        <f ca="1"/>
        <v>0.53967587654979421</v>
      </c>
      <c r="O8095" s="2">
        <f ca="1"/>
        <v>0.45610302867297614</v>
      </c>
      <c r="X8095" s="2">
        <f ca="1"/>
        <v>68.201965703279669</v>
      </c>
      <c r="AG8095" s="2">
        <f ca="1"/>
        <v>0.470600643380513</v>
      </c>
      <c r="AH8095" s="2" t="str">
        <f ca="1"/>
        <v>Bad</v>
      </c>
    </row>
    <row r="8096" spans="2:34" x14ac:dyDescent="0.2">
      <c r="B8096" s="2">
        <f ca="1"/>
        <v>0.94045993665297911</v>
      </c>
      <c r="O8096" s="2">
        <f ca="1"/>
        <v>-0.31925535708965108</v>
      </c>
      <c r="X8096" s="2">
        <f ca="1"/>
        <v>24.368102652188281</v>
      </c>
      <c r="AG8096" s="2">
        <f ca="1"/>
        <v>0.75120562417169578</v>
      </c>
      <c r="AH8096" s="2" t="str">
        <f ca="1"/>
        <v>Bad</v>
      </c>
    </row>
    <row r="8097" spans="2:34" x14ac:dyDescent="0.2">
      <c r="B8097" s="2">
        <f ca="1"/>
        <v>0.11605154896943848</v>
      </c>
      <c r="O8097" s="2">
        <f ca="1"/>
        <v>0.75727903328897306</v>
      </c>
      <c r="X8097" s="2">
        <f ca="1"/>
        <v>41.315383534093101</v>
      </c>
      <c r="AG8097" s="2">
        <f ca="1"/>
        <v>0.61192002486589381</v>
      </c>
      <c r="AH8097" s="2" t="str">
        <f ca="1"/>
        <v>Bad</v>
      </c>
    </row>
    <row r="8098" spans="2:34" x14ac:dyDescent="0.2">
      <c r="B8098" s="2">
        <f ca="1"/>
        <v>0.91889019657946558</v>
      </c>
      <c r="O8098" s="2">
        <f ca="1"/>
        <v>0.37338729778237478</v>
      </c>
      <c r="X8098" s="2">
        <f ca="1"/>
        <v>35.491109491017447</v>
      </c>
      <c r="AG8098" s="2">
        <f ca="1"/>
        <v>7.1577662736358905E-2</v>
      </c>
      <c r="AH8098" s="2" t="str">
        <f ca="1"/>
        <v>OK</v>
      </c>
    </row>
    <row r="8099" spans="2:34" x14ac:dyDescent="0.2">
      <c r="B8099" s="2">
        <f ca="1"/>
        <v>0.76246757319662883</v>
      </c>
      <c r="O8099" s="2">
        <f ca="1"/>
        <v>0.22030816390943223</v>
      </c>
      <c r="X8099" s="2">
        <f ca="1"/>
        <v>71.35599016616753</v>
      </c>
      <c r="AG8099" s="2">
        <f ca="1"/>
        <v>0.70527846372576319</v>
      </c>
      <c r="AH8099" s="2" t="str">
        <f ca="1"/>
        <v>Bad</v>
      </c>
    </row>
    <row r="8100" spans="2:34" x14ac:dyDescent="0.2">
      <c r="B8100" s="2">
        <f ca="1"/>
        <v>0.46733250379371727</v>
      </c>
      <c r="O8100" s="2">
        <f ca="1"/>
        <v>-1.362679563019326</v>
      </c>
      <c r="X8100" s="2">
        <f ca="1"/>
        <v>62.757550074730084</v>
      </c>
      <c r="AG8100" s="2">
        <f ca="1"/>
        <v>0.83609479228563965</v>
      </c>
      <c r="AH8100" s="2" t="str">
        <f ca="1"/>
        <v>Bad</v>
      </c>
    </row>
    <row r="8101" spans="2:34" x14ac:dyDescent="0.2">
      <c r="B8101" s="2">
        <f ca="1"/>
        <v>3.2399214485743899E-2</v>
      </c>
      <c r="O8101" s="2">
        <f ca="1"/>
        <v>-0.99537829639253217</v>
      </c>
      <c r="X8101" s="2">
        <f ca="1"/>
        <v>67.265489027996651</v>
      </c>
      <c r="AG8101" s="2">
        <f ca="1"/>
        <v>0.19052148596116458</v>
      </c>
      <c r="AH8101" s="2" t="str">
        <f ca="1"/>
        <v>OK</v>
      </c>
    </row>
    <row r="8102" spans="2:34" x14ac:dyDescent="0.2">
      <c r="B8102" s="2">
        <f ca="1"/>
        <v>5.5723233355248203E-2</v>
      </c>
      <c r="O8102" s="2">
        <f ca="1"/>
        <v>-0.68169558378595596</v>
      </c>
      <c r="X8102" s="2">
        <f ca="1"/>
        <v>20.662908322235111</v>
      </c>
      <c r="AG8102" s="2">
        <f ca="1"/>
        <v>0.14381005828848537</v>
      </c>
      <c r="AH8102" s="2" t="str">
        <f ca="1"/>
        <v>OK</v>
      </c>
    </row>
    <row r="8103" spans="2:34" x14ac:dyDescent="0.2">
      <c r="B8103" s="2">
        <f ca="1"/>
        <v>0.5528986032433858</v>
      </c>
      <c r="O8103" s="2">
        <f ca="1"/>
        <v>-1.0445067768174495E-3</v>
      </c>
      <c r="X8103" s="2">
        <f ca="1"/>
        <v>55.018429633948401</v>
      </c>
      <c r="AG8103" s="2">
        <f ca="1"/>
        <v>0.35582405652177118</v>
      </c>
      <c r="AH8103" s="2" t="str">
        <f ca="1"/>
        <v>OK</v>
      </c>
    </row>
    <row r="8104" spans="2:34" x14ac:dyDescent="0.2">
      <c r="B8104" s="2">
        <f ca="1"/>
        <v>0.99254155417283019</v>
      </c>
      <c r="O8104" s="2">
        <f ca="1"/>
        <v>0.51845488492062874</v>
      </c>
      <c r="X8104" s="2">
        <f ca="1"/>
        <v>53.616695360648762</v>
      </c>
      <c r="AG8104" s="2">
        <f ca="1"/>
        <v>0.71238530831452529</v>
      </c>
      <c r="AH8104" s="2" t="str">
        <f ca="1"/>
        <v>Bad</v>
      </c>
    </row>
    <row r="8105" spans="2:34" x14ac:dyDescent="0.2">
      <c r="B8105" s="2">
        <f ca="1"/>
        <v>0.45097853790104803</v>
      </c>
      <c r="O8105" s="2">
        <f ca="1"/>
        <v>0.38052581427227283</v>
      </c>
      <c r="X8105" s="2">
        <f ca="1"/>
        <v>56.394753411039673</v>
      </c>
      <c r="AG8105" s="2">
        <f ca="1"/>
        <v>0.99490725211189579</v>
      </c>
      <c r="AH8105" s="2" t="str">
        <f ca="1"/>
        <v>Bad</v>
      </c>
    </row>
    <row r="8106" spans="2:34" x14ac:dyDescent="0.2">
      <c r="B8106" s="2">
        <f ca="1"/>
        <v>0.57811227892109285</v>
      </c>
      <c r="O8106" s="2">
        <f ca="1"/>
        <v>0.31684450829770122</v>
      </c>
      <c r="X8106" s="2">
        <f ca="1"/>
        <v>47.521088689564877</v>
      </c>
      <c r="AG8106" s="2">
        <f ca="1"/>
        <v>0.93572106459347704</v>
      </c>
      <c r="AH8106" s="2" t="str">
        <f ca="1"/>
        <v>Bad</v>
      </c>
    </row>
    <row r="8107" spans="2:34" x14ac:dyDescent="0.2">
      <c r="B8107" s="2">
        <f ca="1"/>
        <v>0.70652793450205276</v>
      </c>
      <c r="O8107" s="2">
        <f ca="1"/>
        <v>-1.4624905017169314</v>
      </c>
      <c r="X8107" s="2">
        <f ca="1"/>
        <v>33.832998520126928</v>
      </c>
      <c r="AG8107" s="2">
        <f ca="1"/>
        <v>0.95248150719828772</v>
      </c>
      <c r="AH8107" s="2" t="str">
        <f ca="1"/>
        <v>Bad</v>
      </c>
    </row>
    <row r="8108" spans="2:34" x14ac:dyDescent="0.2">
      <c r="B8108" s="2">
        <f ca="1"/>
        <v>0.77807794649947515</v>
      </c>
      <c r="O8108" s="2">
        <f ca="1"/>
        <v>1.9074600827820283</v>
      </c>
      <c r="X8108" s="2">
        <f ca="1"/>
        <v>31.857643722505081</v>
      </c>
      <c r="AG8108" s="2">
        <f ca="1"/>
        <v>0.460593674474014</v>
      </c>
      <c r="AH8108" s="2" t="str">
        <f ca="1"/>
        <v>Bad</v>
      </c>
    </row>
    <row r="8109" spans="2:34" x14ac:dyDescent="0.2">
      <c r="B8109" s="2">
        <f ca="1"/>
        <v>0.48852879012460138</v>
      </c>
      <c r="O8109" s="2">
        <f ca="1"/>
        <v>0.46481259976119865</v>
      </c>
      <c r="X8109" s="2">
        <f ca="1"/>
        <v>49.124574411094414</v>
      </c>
      <c r="AG8109" s="2">
        <f ca="1"/>
        <v>0.45449621615087898</v>
      </c>
      <c r="AH8109" s="2" t="str">
        <f ca="1"/>
        <v>Bad</v>
      </c>
    </row>
    <row r="8110" spans="2:34" x14ac:dyDescent="0.2">
      <c r="B8110" s="2">
        <f ca="1"/>
        <v>0.11043564982289311</v>
      </c>
      <c r="O8110" s="2">
        <f ca="1"/>
        <v>-2.3986309773760905</v>
      </c>
      <c r="X8110" s="2">
        <f ca="1"/>
        <v>47.92931558365089</v>
      </c>
      <c r="AG8110" s="2">
        <f ca="1"/>
        <v>0.67517609930993272</v>
      </c>
      <c r="AH8110" s="2" t="str">
        <f ca="1"/>
        <v>Bad</v>
      </c>
    </row>
    <row r="8111" spans="2:34" x14ac:dyDescent="0.2">
      <c r="B8111" s="2">
        <f ca="1"/>
        <v>0.50048347084686551</v>
      </c>
      <c r="O8111" s="2">
        <f ca="1"/>
        <v>-0.82530889854796008</v>
      </c>
      <c r="X8111" s="2">
        <f ca="1"/>
        <v>38.312029571211639</v>
      </c>
      <c r="AG8111" s="2">
        <f ca="1"/>
        <v>0.50683364162836009</v>
      </c>
      <c r="AH8111" s="2" t="str">
        <f ca="1"/>
        <v>Bad</v>
      </c>
    </row>
    <row r="8112" spans="2:34" x14ac:dyDescent="0.2">
      <c r="B8112" s="2">
        <f ca="1"/>
        <v>0.3389802082661233</v>
      </c>
      <c r="O8112" s="2">
        <f ca="1"/>
        <v>2.5401449942190638E-2</v>
      </c>
      <c r="X8112" s="2">
        <f ca="1"/>
        <v>35.599364483796407</v>
      </c>
      <c r="AG8112" s="2">
        <f ca="1"/>
        <v>0.61368809827538828</v>
      </c>
      <c r="AH8112" s="2" t="str">
        <f ca="1"/>
        <v>Bad</v>
      </c>
    </row>
    <row r="8113" spans="2:34" x14ac:dyDescent="0.2">
      <c r="B8113" s="2">
        <f ca="1"/>
        <v>0.17112921684596238</v>
      </c>
      <c r="O8113" s="2">
        <f ca="1"/>
        <v>0.12052547997734685</v>
      </c>
      <c r="X8113" s="2">
        <f ca="1"/>
        <v>37.998538216157705</v>
      </c>
      <c r="AG8113" s="2">
        <f ca="1"/>
        <v>0.28936114166599514</v>
      </c>
      <c r="AH8113" s="2" t="str">
        <f ca="1"/>
        <v>OK</v>
      </c>
    </row>
    <row r="8114" spans="2:34" x14ac:dyDescent="0.2">
      <c r="B8114" s="2">
        <f ca="1"/>
        <v>0.46211386085821515</v>
      </c>
      <c r="O8114" s="2">
        <f ca="1"/>
        <v>-0.63231441483611472</v>
      </c>
      <c r="X8114" s="2">
        <f ca="1"/>
        <v>70.007839489664491</v>
      </c>
      <c r="AG8114" s="2">
        <f ca="1"/>
        <v>0.89288885302173426</v>
      </c>
      <c r="AH8114" s="2" t="str">
        <f ca="1"/>
        <v>Bad</v>
      </c>
    </row>
    <row r="8115" spans="2:34" x14ac:dyDescent="0.2">
      <c r="B8115" s="2">
        <f ca="1"/>
        <v>0.4957742865441026</v>
      </c>
      <c r="O8115" s="2">
        <f ca="1"/>
        <v>1.9090382674648907</v>
      </c>
      <c r="X8115" s="2">
        <f ca="1"/>
        <v>36.637542617623325</v>
      </c>
      <c r="AG8115" s="2">
        <f ca="1"/>
        <v>2.3150615073788128E-3</v>
      </c>
      <c r="AH8115" s="2" t="str">
        <f ca="1"/>
        <v>Good</v>
      </c>
    </row>
    <row r="8116" spans="2:34" x14ac:dyDescent="0.2">
      <c r="B8116" s="2">
        <f ca="1"/>
        <v>0.16975358148876252</v>
      </c>
      <c r="O8116" s="2">
        <f ca="1"/>
        <v>-0.23170439166537005</v>
      </c>
      <c r="X8116" s="2">
        <f ca="1"/>
        <v>51.781615096370359</v>
      </c>
      <c r="AG8116" s="2">
        <f ca="1"/>
        <v>0.44741575823687141</v>
      </c>
      <c r="AH8116" s="2" t="str">
        <f ca="1"/>
        <v>Bad</v>
      </c>
    </row>
    <row r="8117" spans="2:34" x14ac:dyDescent="0.2">
      <c r="B8117" s="2">
        <f ca="1"/>
        <v>5.9799222805596353E-2</v>
      </c>
      <c r="O8117" s="2">
        <f ca="1"/>
        <v>7.6149393815666848E-3</v>
      </c>
      <c r="X8117" s="2">
        <f ca="1"/>
        <v>21.400410146954325</v>
      </c>
      <c r="AG8117" s="2">
        <f ca="1"/>
        <v>0.40397650115494876</v>
      </c>
      <c r="AH8117" s="2" t="str">
        <f ca="1"/>
        <v>Bad</v>
      </c>
    </row>
    <row r="8118" spans="2:34" x14ac:dyDescent="0.2">
      <c r="B8118" s="2">
        <f ca="1"/>
        <v>0.90620217998866037</v>
      </c>
      <c r="O8118" s="2">
        <f ca="1"/>
        <v>-0.40151371405007524</v>
      </c>
      <c r="X8118" s="2">
        <f ca="1"/>
        <v>65.101251754313068</v>
      </c>
      <c r="AG8118" s="2">
        <f ca="1"/>
        <v>0.68313360626701081</v>
      </c>
      <c r="AH8118" s="2" t="str">
        <f ca="1"/>
        <v>Bad</v>
      </c>
    </row>
    <row r="8119" spans="2:34" x14ac:dyDescent="0.2">
      <c r="B8119" s="2">
        <f ca="1"/>
        <v>0.18199271298271857</v>
      </c>
      <c r="O8119" s="2">
        <f ca="1"/>
        <v>0.45941854481492966</v>
      </c>
      <c r="X8119" s="2">
        <f ca="1"/>
        <v>35.866265801158896</v>
      </c>
      <c r="AG8119" s="2">
        <f ca="1"/>
        <v>0.13722445445487241</v>
      </c>
      <c r="AH8119" s="2" t="str">
        <f ca="1"/>
        <v>OK</v>
      </c>
    </row>
    <row r="8120" spans="2:34" x14ac:dyDescent="0.2">
      <c r="B8120" s="2">
        <f ca="1"/>
        <v>0.85715664796173252</v>
      </c>
      <c r="O8120" s="2">
        <f ca="1"/>
        <v>-1.0187520385097575</v>
      </c>
      <c r="X8120" s="2">
        <f ca="1"/>
        <v>55.103861709911975</v>
      </c>
      <c r="AG8120" s="2">
        <f ca="1"/>
        <v>0.9362907087879988</v>
      </c>
      <c r="AH8120" s="2" t="str">
        <f ca="1"/>
        <v>Bad</v>
      </c>
    </row>
    <row r="8121" spans="2:34" x14ac:dyDescent="0.2">
      <c r="B8121" s="2">
        <f ca="1"/>
        <v>0.8656484175607797</v>
      </c>
      <c r="O8121" s="2">
        <f ca="1"/>
        <v>-0.69565544319240324</v>
      </c>
      <c r="X8121" s="2">
        <f ca="1"/>
        <v>44.625495036466006</v>
      </c>
      <c r="AG8121" s="2">
        <f ca="1"/>
        <v>0.37945978288637239</v>
      </c>
      <c r="AH8121" s="2" t="str">
        <f ca="1"/>
        <v>OK</v>
      </c>
    </row>
    <row r="8122" spans="2:34" x14ac:dyDescent="0.2">
      <c r="B8122" s="2">
        <f ca="1"/>
        <v>6.106042356366026E-2</v>
      </c>
      <c r="O8122" s="2">
        <f ca="1"/>
        <v>-0.4401722340016902</v>
      </c>
      <c r="X8122" s="2">
        <f ca="1"/>
        <v>24.149122200918683</v>
      </c>
      <c r="AG8122" s="2">
        <f ca="1"/>
        <v>0.25000053928335264</v>
      </c>
      <c r="AH8122" s="2" t="str">
        <f ca="1"/>
        <v>OK</v>
      </c>
    </row>
    <row r="8123" spans="2:34" x14ac:dyDescent="0.2">
      <c r="B8123" s="2">
        <f ca="1"/>
        <v>0.49975621329910869</v>
      </c>
      <c r="O8123" s="2">
        <f ca="1"/>
        <v>0.72414648931670844</v>
      </c>
      <c r="X8123" s="2">
        <f ca="1"/>
        <v>57.55193736556447</v>
      </c>
      <c r="AG8123" s="2">
        <f ca="1"/>
        <v>0.15695808703334424</v>
      </c>
      <c r="AH8123" s="2" t="str">
        <f ca="1"/>
        <v>OK</v>
      </c>
    </row>
    <row r="8124" spans="2:34" x14ac:dyDescent="0.2">
      <c r="B8124" s="2">
        <f ca="1"/>
        <v>0.10003774488892381</v>
      </c>
      <c r="O8124" s="2">
        <f ca="1"/>
        <v>-0.14579579364335871</v>
      </c>
      <c r="X8124" s="2">
        <f ca="1"/>
        <v>44.922863594078912</v>
      </c>
      <c r="AG8124" s="2">
        <f ca="1"/>
        <v>0.67946730627942009</v>
      </c>
      <c r="AH8124" s="2" t="str">
        <f ca="1"/>
        <v>Bad</v>
      </c>
    </row>
    <row r="8125" spans="2:34" x14ac:dyDescent="0.2">
      <c r="B8125" s="2">
        <f ca="1"/>
        <v>0.28136209945503254</v>
      </c>
      <c r="O8125" s="2">
        <f ca="1"/>
        <v>-0.26675159286941386</v>
      </c>
      <c r="X8125" s="2">
        <f ca="1"/>
        <v>46.228555794222942</v>
      </c>
      <c r="AG8125" s="2">
        <f ca="1"/>
        <v>0.98317983667206388</v>
      </c>
      <c r="AH8125" s="2" t="str">
        <f ca="1"/>
        <v>Bad</v>
      </c>
    </row>
    <row r="8126" spans="2:34" x14ac:dyDescent="0.2">
      <c r="B8126" s="2">
        <f ca="1"/>
        <v>0.52805902089754109</v>
      </c>
      <c r="O8126" s="2">
        <f ca="1"/>
        <v>0.16884978437619894</v>
      </c>
      <c r="X8126" s="2">
        <f ca="1"/>
        <v>62.21180289065969</v>
      </c>
      <c r="AG8126" s="2">
        <f ca="1"/>
        <v>0.49236775976970071</v>
      </c>
      <c r="AH8126" s="2" t="str">
        <f ca="1"/>
        <v>Bad</v>
      </c>
    </row>
    <row r="8127" spans="2:34" x14ac:dyDescent="0.2">
      <c r="B8127" s="2">
        <f ca="1"/>
        <v>0.70561781493071596</v>
      </c>
      <c r="O8127" s="2">
        <f ca="1"/>
        <v>6.9607078200748639E-3</v>
      </c>
      <c r="X8127" s="2">
        <f ca="1"/>
        <v>51.540102089394324</v>
      </c>
      <c r="AG8127" s="2">
        <f ca="1"/>
        <v>0.5774668184789935</v>
      </c>
      <c r="AH8127" s="2" t="str">
        <f ca="1"/>
        <v>Bad</v>
      </c>
    </row>
    <row r="8128" spans="2:34" x14ac:dyDescent="0.2">
      <c r="B8128" s="2">
        <f ca="1"/>
        <v>0.53902263060298017</v>
      </c>
      <c r="O8128" s="2">
        <f ca="1"/>
        <v>-0.44519927733303705</v>
      </c>
      <c r="X8128" s="2">
        <f ca="1"/>
        <v>34.094390615546679</v>
      </c>
      <c r="AG8128" s="2">
        <f ca="1"/>
        <v>0.55204341338754381</v>
      </c>
      <c r="AH8128" s="2" t="str">
        <f ca="1"/>
        <v>Bad</v>
      </c>
    </row>
    <row r="8129" spans="2:34" x14ac:dyDescent="0.2">
      <c r="B8129" s="2">
        <f ca="1"/>
        <v>6.120599043167041E-2</v>
      </c>
      <c r="O8129" s="2">
        <f ca="1"/>
        <v>1.052382172226608</v>
      </c>
      <c r="X8129" s="2">
        <f ca="1"/>
        <v>58.843034839583453</v>
      </c>
      <c r="AG8129" s="2">
        <f ca="1"/>
        <v>9.9150428716822336E-2</v>
      </c>
      <c r="AH8129" s="2" t="str">
        <f ca="1"/>
        <v>OK</v>
      </c>
    </row>
    <row r="8130" spans="2:34" x14ac:dyDescent="0.2">
      <c r="B8130" s="2">
        <f ca="1"/>
        <v>0.29836644199437257</v>
      </c>
      <c r="O8130" s="2">
        <f ca="1"/>
        <v>-0.21042072769231801</v>
      </c>
      <c r="X8130" s="2">
        <f ca="1"/>
        <v>38.522169125838786</v>
      </c>
      <c r="AG8130" s="2">
        <f ca="1"/>
        <v>0.51783382490335961</v>
      </c>
      <c r="AH8130" s="2" t="str">
        <f ca="1"/>
        <v>Bad</v>
      </c>
    </row>
    <row r="8131" spans="2:34" x14ac:dyDescent="0.2">
      <c r="B8131" s="2">
        <f ca="1"/>
        <v>0.43481264188588686</v>
      </c>
      <c r="O8131" s="2">
        <f ca="1"/>
        <v>-0.86254563843953946</v>
      </c>
      <c r="X8131" s="2">
        <f ca="1"/>
        <v>70.751113176296499</v>
      </c>
      <c r="AG8131" s="2">
        <f ca="1"/>
        <v>0.22057925019459401</v>
      </c>
      <c r="AH8131" s="2" t="str">
        <f ca="1"/>
        <v>OK</v>
      </c>
    </row>
    <row r="8132" spans="2:34" x14ac:dyDescent="0.2">
      <c r="B8132" s="2">
        <f ca="1"/>
        <v>0.52206659413064416</v>
      </c>
      <c r="O8132" s="2">
        <f ca="1"/>
        <v>-0.55426898207414388</v>
      </c>
      <c r="X8132" s="2">
        <f ca="1"/>
        <v>46.14079475364008</v>
      </c>
      <c r="AG8132" s="2">
        <f ca="1"/>
        <v>5.5837970655719049E-2</v>
      </c>
      <c r="AH8132" s="2" t="str">
        <f ca="1"/>
        <v>OK</v>
      </c>
    </row>
    <row r="8133" spans="2:34" x14ac:dyDescent="0.2">
      <c r="B8133" s="2">
        <f ca="1"/>
        <v>0.89527959267506652</v>
      </c>
      <c r="O8133" s="2">
        <f ca="1"/>
        <v>2.4425922274821636</v>
      </c>
      <c r="X8133" s="2">
        <f ca="1"/>
        <v>34.942653356189915</v>
      </c>
      <c r="AG8133" s="2">
        <f ca="1"/>
        <v>0.50221340445419771</v>
      </c>
      <c r="AH8133" s="2" t="str">
        <f ca="1"/>
        <v>Bad</v>
      </c>
    </row>
    <row r="8134" spans="2:34" x14ac:dyDescent="0.2">
      <c r="B8134" s="2">
        <f ca="1"/>
        <v>0.38796244420042525</v>
      </c>
      <c r="O8134" s="2">
        <f ca="1"/>
        <v>-1.6854295357300257</v>
      </c>
      <c r="X8134" s="2">
        <f ca="1"/>
        <v>58.094398580178478</v>
      </c>
      <c r="AG8134" s="2">
        <f ca="1"/>
        <v>0.23186175891336136</v>
      </c>
      <c r="AH8134" s="2" t="str">
        <f ca="1"/>
        <v>OK</v>
      </c>
    </row>
    <row r="8135" spans="2:34" x14ac:dyDescent="0.2">
      <c r="B8135" s="2">
        <f ca="1"/>
        <v>0.5865108545675688</v>
      </c>
      <c r="O8135" s="2">
        <f ca="1"/>
        <v>0.97554304953771387</v>
      </c>
      <c r="X8135" s="2">
        <f ca="1"/>
        <v>51.502823894005061</v>
      </c>
      <c r="AG8135" s="2">
        <f ca="1"/>
        <v>0.51904857616685707</v>
      </c>
      <c r="AH8135" s="2" t="str">
        <f ca="1"/>
        <v>Bad</v>
      </c>
    </row>
    <row r="8136" spans="2:34" x14ac:dyDescent="0.2">
      <c r="B8136" s="2">
        <f ca="1"/>
        <v>0.79425442921990941</v>
      </c>
      <c r="O8136" s="2">
        <f ca="1"/>
        <v>0.44774132932162769</v>
      </c>
      <c r="X8136" s="2">
        <f ca="1"/>
        <v>27.013136124508691</v>
      </c>
      <c r="AG8136" s="2">
        <f ca="1"/>
        <v>0.51524405836330156</v>
      </c>
      <c r="AH8136" s="2" t="str">
        <f ca="1"/>
        <v>Bad</v>
      </c>
    </row>
    <row r="8137" spans="2:34" x14ac:dyDescent="0.2">
      <c r="B8137" s="2">
        <f ca="1"/>
        <v>4.1959914601550352E-3</v>
      </c>
      <c r="O8137" s="2">
        <f ca="1"/>
        <v>-2.8185118238323397</v>
      </c>
      <c r="X8137" s="2">
        <f ca="1"/>
        <v>21.070741079911972</v>
      </c>
      <c r="AG8137" s="2">
        <f ca="1"/>
        <v>0.24542050925012804</v>
      </c>
      <c r="AH8137" s="2" t="str">
        <f ca="1"/>
        <v>OK</v>
      </c>
    </row>
    <row r="8138" spans="2:34" x14ac:dyDescent="0.2">
      <c r="B8138" s="2">
        <f ca="1"/>
        <v>3.6495521116250096E-2</v>
      </c>
      <c r="O8138" s="2">
        <f ca="1"/>
        <v>-0.79609010196491481</v>
      </c>
      <c r="X8138" s="2">
        <f ca="1"/>
        <v>42.550647411448637</v>
      </c>
      <c r="AG8138" s="2">
        <f ca="1"/>
        <v>0.25243647880595765</v>
      </c>
      <c r="AH8138" s="2" t="str">
        <f ca="1"/>
        <v>OK</v>
      </c>
    </row>
    <row r="8139" spans="2:34" x14ac:dyDescent="0.2">
      <c r="B8139" s="2">
        <f ca="1"/>
        <v>0.79434092258017874</v>
      </c>
      <c r="O8139" s="2">
        <f ca="1"/>
        <v>-0.49003874999382013</v>
      </c>
      <c r="X8139" s="2">
        <f ca="1"/>
        <v>73.201542883754556</v>
      </c>
      <c r="AG8139" s="2">
        <f ca="1"/>
        <v>0.5587028762787396</v>
      </c>
      <c r="AH8139" s="2" t="str">
        <f ca="1"/>
        <v>Bad</v>
      </c>
    </row>
    <row r="8140" spans="2:34" x14ac:dyDescent="0.2">
      <c r="B8140" s="2">
        <f ca="1"/>
        <v>0.69835808633009977</v>
      </c>
      <c r="O8140" s="2">
        <f ca="1"/>
        <v>-0.79996759696796749</v>
      </c>
      <c r="X8140" s="2">
        <f ca="1"/>
        <v>58.306800562006593</v>
      </c>
      <c r="AG8140" s="2">
        <f ca="1"/>
        <v>0.98532950800192443</v>
      </c>
      <c r="AH8140" s="2" t="str">
        <f ca="1"/>
        <v>Bad</v>
      </c>
    </row>
    <row r="8141" spans="2:34" x14ac:dyDescent="0.2">
      <c r="B8141" s="2">
        <f ca="1"/>
        <v>0.10344474454645192</v>
      </c>
      <c r="O8141" s="2">
        <f ca="1"/>
        <v>-0.18270109751575103</v>
      </c>
      <c r="X8141" s="2">
        <f ca="1"/>
        <v>43.036200473784703</v>
      </c>
      <c r="AG8141" s="2">
        <f ca="1"/>
        <v>8.3790983028897648E-2</v>
      </c>
      <c r="AH8141" s="2" t="str">
        <f ca="1"/>
        <v>OK</v>
      </c>
    </row>
    <row r="8142" spans="2:34" x14ac:dyDescent="0.2">
      <c r="B8142" s="2">
        <f ca="1"/>
        <v>0.15087260619169429</v>
      </c>
      <c r="O8142" s="2">
        <f ca="1"/>
        <v>-0.96139071213942484</v>
      </c>
      <c r="X8142" s="2">
        <f ca="1"/>
        <v>43.969864091822245</v>
      </c>
      <c r="AG8142" s="2">
        <f ca="1"/>
        <v>0.85586635371382491</v>
      </c>
      <c r="AH8142" s="2" t="str">
        <f ca="1"/>
        <v>Bad</v>
      </c>
    </row>
    <row r="8143" spans="2:34" x14ac:dyDescent="0.2">
      <c r="B8143" s="2">
        <f ca="1"/>
        <v>0.25666996177805812</v>
      </c>
      <c r="O8143" s="2">
        <f ca="1"/>
        <v>-0.14697164939660004</v>
      </c>
      <c r="X8143" s="2">
        <f ca="1"/>
        <v>58.443896957884007</v>
      </c>
      <c r="AG8143" s="2">
        <f ca="1"/>
        <v>0.68731063934645098</v>
      </c>
      <c r="AH8143" s="2" t="str">
        <f ca="1"/>
        <v>Bad</v>
      </c>
    </row>
    <row r="8144" spans="2:34" x14ac:dyDescent="0.2">
      <c r="B8144" s="2">
        <f ca="1"/>
        <v>0.54303086904168563</v>
      </c>
      <c r="O8144" s="2">
        <f ca="1"/>
        <v>0.43380303485137756</v>
      </c>
      <c r="X8144" s="2">
        <f ca="1"/>
        <v>68.400987618569388</v>
      </c>
      <c r="AG8144" s="2">
        <f ca="1"/>
        <v>0.51863932828777903</v>
      </c>
      <c r="AH8144" s="2" t="str">
        <f ca="1"/>
        <v>Bad</v>
      </c>
    </row>
    <row r="8145" spans="2:34" x14ac:dyDescent="0.2">
      <c r="B8145" s="2">
        <f ca="1"/>
        <v>0.255062775929491</v>
      </c>
      <c r="O8145" s="2">
        <f ca="1"/>
        <v>-0.56767748800770057</v>
      </c>
      <c r="X8145" s="2">
        <f ca="1"/>
        <v>41.822983209058066</v>
      </c>
      <c r="AG8145" s="2">
        <f ca="1"/>
        <v>0.67170056382687293</v>
      </c>
      <c r="AH8145" s="2" t="str">
        <f ca="1"/>
        <v>Bad</v>
      </c>
    </row>
    <row r="8146" spans="2:34" x14ac:dyDescent="0.2">
      <c r="B8146" s="2">
        <f ca="1"/>
        <v>0.82060443998848376</v>
      </c>
      <c r="O8146" s="2">
        <f ca="1"/>
        <v>3.6717105376609396E-2</v>
      </c>
      <c r="X8146" s="2">
        <f ca="1"/>
        <v>56.171273286018447</v>
      </c>
      <c r="AG8146" s="2">
        <f ca="1"/>
        <v>0.33810477221691015</v>
      </c>
      <c r="AH8146" s="2" t="str">
        <f ca="1"/>
        <v>OK</v>
      </c>
    </row>
    <row r="8147" spans="2:34" x14ac:dyDescent="0.2">
      <c r="B8147" s="2">
        <f ca="1"/>
        <v>0.47589562908213945</v>
      </c>
      <c r="O8147" s="2">
        <f ca="1"/>
        <v>-0.1388603739182033</v>
      </c>
      <c r="X8147" s="2">
        <f ca="1"/>
        <v>43.773536609153503</v>
      </c>
      <c r="AG8147" s="2">
        <f ca="1"/>
        <v>0.6937926675293633</v>
      </c>
      <c r="AH8147" s="2" t="str">
        <f ca="1"/>
        <v>Bad</v>
      </c>
    </row>
    <row r="8148" spans="2:34" x14ac:dyDescent="0.2">
      <c r="B8148" s="2">
        <f ca="1"/>
        <v>0.22459214480328349</v>
      </c>
      <c r="O8148" s="2">
        <f ca="1"/>
        <v>1.4686973555994562</v>
      </c>
      <c r="X8148" s="2">
        <f ca="1"/>
        <v>77.851302541205598</v>
      </c>
      <c r="AG8148" s="2">
        <f ca="1"/>
        <v>0.74753021826809163</v>
      </c>
      <c r="AH8148" s="2" t="str">
        <f ca="1"/>
        <v>Bad</v>
      </c>
    </row>
    <row r="8149" spans="2:34" x14ac:dyDescent="0.2">
      <c r="B8149" s="2">
        <f ca="1"/>
        <v>0.44505161001503812</v>
      </c>
      <c r="O8149" s="2">
        <f ca="1"/>
        <v>-2.2271279326045605</v>
      </c>
      <c r="X8149" s="2">
        <f ca="1"/>
        <v>32.017067498942694</v>
      </c>
      <c r="AG8149" s="2">
        <f ca="1"/>
        <v>0.50718618816662198</v>
      </c>
      <c r="AH8149" s="2" t="str">
        <f ca="1"/>
        <v>Bad</v>
      </c>
    </row>
    <row r="8150" spans="2:34" x14ac:dyDescent="0.2">
      <c r="B8150" s="2">
        <f ca="1"/>
        <v>0.6001444653298964</v>
      </c>
      <c r="O8150" s="2">
        <f ca="1"/>
        <v>-0.77861085356269721</v>
      </c>
      <c r="X8150" s="2">
        <f ca="1"/>
        <v>81.658348845193132</v>
      </c>
      <c r="AG8150" s="2">
        <f ca="1"/>
        <v>0.52071096083575585</v>
      </c>
      <c r="AH8150" s="2" t="str">
        <f ca="1"/>
        <v>Bad</v>
      </c>
    </row>
    <row r="8151" spans="2:34" x14ac:dyDescent="0.2">
      <c r="B8151" s="2">
        <f ca="1"/>
        <v>0.5539077691863481</v>
      </c>
      <c r="O8151" s="2">
        <f ca="1"/>
        <v>-0.52699691587798825</v>
      </c>
      <c r="X8151" s="2">
        <f ca="1"/>
        <v>38.73984392503656</v>
      </c>
      <c r="AG8151" s="2">
        <f ca="1"/>
        <v>0.62204675932973741</v>
      </c>
      <c r="AH8151" s="2" t="str">
        <f ca="1"/>
        <v>Bad</v>
      </c>
    </row>
    <row r="8152" spans="2:34" x14ac:dyDescent="0.2">
      <c r="B8152" s="2">
        <f ca="1"/>
        <v>0.14166773150712375</v>
      </c>
      <c r="O8152" s="2">
        <f ca="1"/>
        <v>1.1002599599175513</v>
      </c>
      <c r="X8152" s="2">
        <f ca="1"/>
        <v>38.622712552502556</v>
      </c>
      <c r="AG8152" s="2">
        <f ca="1"/>
        <v>0.59502987969955901</v>
      </c>
      <c r="AH8152" s="2" t="str">
        <f ca="1"/>
        <v>Bad</v>
      </c>
    </row>
    <row r="8153" spans="2:34" x14ac:dyDescent="0.2">
      <c r="B8153" s="2">
        <f ca="1"/>
        <v>0.40910211872562452</v>
      </c>
      <c r="O8153" s="2">
        <f ca="1"/>
        <v>0.73361850757294245</v>
      </c>
      <c r="X8153" s="2">
        <f ca="1"/>
        <v>49.673951391080699</v>
      </c>
      <c r="AG8153" s="2">
        <f ca="1"/>
        <v>0.92491656862296323</v>
      </c>
      <c r="AH8153" s="2" t="str">
        <f ca="1"/>
        <v>Bad</v>
      </c>
    </row>
    <row r="8154" spans="2:34" x14ac:dyDescent="0.2">
      <c r="B8154" s="2">
        <f ca="1"/>
        <v>2.3549790423944783E-2</v>
      </c>
      <c r="O8154" s="2">
        <f ca="1"/>
        <v>-0.17577308975723277</v>
      </c>
      <c r="X8154" s="2">
        <f ca="1"/>
        <v>51.776546415766013</v>
      </c>
      <c r="AG8154" s="2">
        <f ca="1"/>
        <v>0.44389405124696113</v>
      </c>
      <c r="AH8154" s="2" t="str">
        <f ca="1"/>
        <v>Bad</v>
      </c>
    </row>
    <row r="8155" spans="2:34" x14ac:dyDescent="0.2">
      <c r="B8155" s="2">
        <f ca="1"/>
        <v>0.74514808943084598</v>
      </c>
      <c r="O8155" s="2">
        <f ca="1"/>
        <v>-0.50132433160045531</v>
      </c>
      <c r="X8155" s="2">
        <f ca="1"/>
        <v>47.651093477122814</v>
      </c>
      <c r="AG8155" s="2">
        <f ca="1"/>
        <v>0.1273162400680603</v>
      </c>
      <c r="AH8155" s="2" t="str">
        <f ca="1"/>
        <v>OK</v>
      </c>
    </row>
    <row r="8156" spans="2:34" x14ac:dyDescent="0.2">
      <c r="B8156" s="2">
        <f ca="1"/>
        <v>0.44841567340446242</v>
      </c>
      <c r="O8156" s="2">
        <f ca="1"/>
        <v>0.95987087366290635</v>
      </c>
      <c r="X8156" s="2">
        <f ca="1"/>
        <v>61.980929068101879</v>
      </c>
      <c r="AG8156" s="2">
        <f ca="1"/>
        <v>0.74171207563495534</v>
      </c>
      <c r="AH8156" s="2" t="str">
        <f ca="1"/>
        <v>Bad</v>
      </c>
    </row>
    <row r="8157" spans="2:34" x14ac:dyDescent="0.2">
      <c r="B8157" s="2">
        <f ca="1"/>
        <v>0.32535769652288282</v>
      </c>
      <c r="O8157" s="2">
        <f ca="1"/>
        <v>-0.59375595897452649</v>
      </c>
      <c r="X8157" s="2">
        <f ca="1"/>
        <v>39.991353709424232</v>
      </c>
      <c r="AG8157" s="2">
        <f ca="1"/>
        <v>5.7624713208509926E-2</v>
      </c>
      <c r="AH8157" s="2" t="str">
        <f ca="1"/>
        <v>OK</v>
      </c>
    </row>
    <row r="8158" spans="2:34" x14ac:dyDescent="0.2">
      <c r="B8158" s="2">
        <f ca="1"/>
        <v>5.5597354222524986E-2</v>
      </c>
      <c r="O8158" s="2">
        <f ca="1"/>
        <v>1.5877612045187492E-2</v>
      </c>
      <c r="X8158" s="2">
        <f ca="1"/>
        <v>77.299716778553929</v>
      </c>
      <c r="AG8158" s="2">
        <f ca="1"/>
        <v>0.48327864131474407</v>
      </c>
      <c r="AH8158" s="2" t="str">
        <f ca="1"/>
        <v>Bad</v>
      </c>
    </row>
    <row r="8159" spans="2:34" x14ac:dyDescent="0.2">
      <c r="B8159" s="2">
        <f ca="1"/>
        <v>0.56978565915693213</v>
      </c>
      <c r="O8159" s="2">
        <f ca="1"/>
        <v>0.42043569573396739</v>
      </c>
      <c r="X8159" s="2">
        <f ca="1"/>
        <v>54.191392185612663</v>
      </c>
      <c r="AG8159" s="2">
        <f ca="1"/>
        <v>0.23756675456652276</v>
      </c>
      <c r="AH8159" s="2" t="str">
        <f ca="1"/>
        <v>OK</v>
      </c>
    </row>
    <row r="8160" spans="2:34" x14ac:dyDescent="0.2">
      <c r="B8160" s="2">
        <f ca="1"/>
        <v>0.83045924103969782</v>
      </c>
      <c r="O8160" s="2">
        <f ca="1"/>
        <v>-0.85482375019582624</v>
      </c>
      <c r="X8160" s="2">
        <f ca="1"/>
        <v>50.239205188546009</v>
      </c>
      <c r="AG8160" s="2">
        <f ca="1"/>
        <v>0.28454154075037286</v>
      </c>
      <c r="AH8160" s="2" t="str">
        <f ca="1"/>
        <v>OK</v>
      </c>
    </row>
    <row r="8161" spans="2:34" x14ac:dyDescent="0.2">
      <c r="B8161" s="2">
        <f ca="1"/>
        <v>0.71581536608136997</v>
      </c>
      <c r="O8161" s="2">
        <f ca="1"/>
        <v>1.3777569313549765</v>
      </c>
      <c r="X8161" s="2">
        <f ca="1"/>
        <v>40.139059711630729</v>
      </c>
      <c r="AG8161" s="2">
        <f ca="1"/>
        <v>0.22367753198840434</v>
      </c>
      <c r="AH8161" s="2" t="str">
        <f ca="1"/>
        <v>OK</v>
      </c>
    </row>
    <row r="8162" spans="2:34" x14ac:dyDescent="0.2">
      <c r="B8162" s="2">
        <f ca="1"/>
        <v>0.41198648397859561</v>
      </c>
      <c r="O8162" s="2">
        <f ca="1"/>
        <v>-0.64403563957119647</v>
      </c>
      <c r="X8162" s="2">
        <f ca="1"/>
        <v>53.124804260346409</v>
      </c>
      <c r="AG8162" s="2">
        <f ca="1"/>
        <v>0.76582145491837905</v>
      </c>
      <c r="AH8162" s="2" t="str">
        <f ca="1"/>
        <v>Bad</v>
      </c>
    </row>
    <row r="8163" spans="2:34" x14ac:dyDescent="0.2">
      <c r="B8163" s="2">
        <f ca="1"/>
        <v>0.35876633512088629</v>
      </c>
      <c r="O8163" s="2">
        <f ca="1"/>
        <v>2.1140304889520779E-2</v>
      </c>
      <c r="X8163" s="2">
        <f ca="1"/>
        <v>57.301988958526415</v>
      </c>
      <c r="AG8163" s="2">
        <f ca="1"/>
        <v>0.25720004026359056</v>
      </c>
      <c r="AH8163" s="2" t="str">
        <f ca="1"/>
        <v>OK</v>
      </c>
    </row>
    <row r="8164" spans="2:34" x14ac:dyDescent="0.2">
      <c r="B8164" s="2">
        <f ca="1"/>
        <v>0.37394505466915717</v>
      </c>
      <c r="O8164" s="2">
        <f ca="1"/>
        <v>0.80589648528330105</v>
      </c>
      <c r="X8164" s="2">
        <f ca="1"/>
        <v>53.379080607541447</v>
      </c>
      <c r="AG8164" s="2">
        <f ca="1"/>
        <v>6.3613379051868701E-2</v>
      </c>
      <c r="AH8164" s="2" t="str">
        <f ca="1"/>
        <v>OK</v>
      </c>
    </row>
    <row r="8165" spans="2:34" x14ac:dyDescent="0.2">
      <c r="B8165" s="2">
        <f ca="1"/>
        <v>0.60016570595332053</v>
      </c>
      <c r="O8165" s="2">
        <f ca="1"/>
        <v>1.0290230934697631</v>
      </c>
      <c r="X8165" s="2">
        <f ca="1"/>
        <v>69.83779767020512</v>
      </c>
      <c r="AG8165" s="2">
        <f ca="1"/>
        <v>0.44225818934210825</v>
      </c>
      <c r="AH8165" s="2" t="str">
        <f ca="1"/>
        <v>Bad</v>
      </c>
    </row>
    <row r="8166" spans="2:34" x14ac:dyDescent="0.2">
      <c r="B8166" s="2">
        <f ca="1"/>
        <v>0.84028814188805945</v>
      </c>
      <c r="O8166" s="2">
        <f ca="1"/>
        <v>0.25949616324000174</v>
      </c>
      <c r="X8166" s="2">
        <f ca="1"/>
        <v>43.891792196728119</v>
      </c>
      <c r="AG8166" s="2">
        <f ca="1"/>
        <v>0.27855550420670427</v>
      </c>
      <c r="AH8166" s="2" t="str">
        <f ca="1"/>
        <v>OK</v>
      </c>
    </row>
    <row r="8167" spans="2:34" x14ac:dyDescent="0.2">
      <c r="B8167" s="2">
        <f ca="1"/>
        <v>0.92791934759401729</v>
      </c>
      <c r="O8167" s="2">
        <f ca="1"/>
        <v>0.40141689999292418</v>
      </c>
      <c r="X8167" s="2">
        <f ca="1"/>
        <v>42.135364207053016</v>
      </c>
      <c r="AG8167" s="2">
        <f ca="1"/>
        <v>0.26381665919887132</v>
      </c>
      <c r="AH8167" s="2" t="str">
        <f ca="1"/>
        <v>OK</v>
      </c>
    </row>
    <row r="8168" spans="2:34" x14ac:dyDescent="0.2">
      <c r="B8168" s="2">
        <f ca="1"/>
        <v>0.23009783696034192</v>
      </c>
      <c r="O8168" s="2">
        <f ca="1"/>
        <v>1.9546295861640175</v>
      </c>
      <c r="X8168" s="2">
        <f ca="1"/>
        <v>32.549536686461735</v>
      </c>
      <c r="AG8168" s="2">
        <f ca="1"/>
        <v>1.8089454837030727E-2</v>
      </c>
      <c r="AH8168" s="2" t="str">
        <f ca="1"/>
        <v>Good</v>
      </c>
    </row>
    <row r="8169" spans="2:34" x14ac:dyDescent="0.2">
      <c r="B8169" s="2">
        <f ca="1"/>
        <v>1.1691985472941147E-2</v>
      </c>
      <c r="O8169" s="2">
        <f ca="1"/>
        <v>-0.7417950953191127</v>
      </c>
      <c r="X8169" s="2">
        <f ca="1"/>
        <v>61.366676775780313</v>
      </c>
      <c r="AG8169" s="2">
        <f ca="1"/>
        <v>0.88655500755398942</v>
      </c>
      <c r="AH8169" s="2" t="str">
        <f ca="1"/>
        <v>Bad</v>
      </c>
    </row>
    <row r="8170" spans="2:34" x14ac:dyDescent="0.2">
      <c r="B8170" s="2">
        <f ca="1"/>
        <v>0.78499931955431967</v>
      </c>
      <c r="O8170" s="2">
        <f ca="1"/>
        <v>0.38433030454500916</v>
      </c>
      <c r="X8170" s="2">
        <f ca="1"/>
        <v>82.623562941086249</v>
      </c>
      <c r="AG8170" s="2">
        <f ca="1"/>
        <v>0.71450679113275295</v>
      </c>
      <c r="AH8170" s="2" t="str">
        <f ca="1"/>
        <v>Bad</v>
      </c>
    </row>
    <row r="8171" spans="2:34" x14ac:dyDescent="0.2">
      <c r="B8171" s="2">
        <f ca="1"/>
        <v>0.24046569056651079</v>
      </c>
      <c r="O8171" s="2">
        <f ca="1"/>
        <v>1.8326948811359112</v>
      </c>
      <c r="X8171" s="2">
        <f ca="1"/>
        <v>75.716468192634665</v>
      </c>
      <c r="AG8171" s="2">
        <f ca="1"/>
        <v>6.3851525349589044E-2</v>
      </c>
      <c r="AH8171" s="2" t="str">
        <f ca="1"/>
        <v>OK</v>
      </c>
    </row>
    <row r="8172" spans="2:34" x14ac:dyDescent="0.2">
      <c r="B8172" s="2">
        <f ca="1"/>
        <v>0.95145393060233907</v>
      </c>
      <c r="O8172" s="2">
        <f ca="1"/>
        <v>0.34439801929219188</v>
      </c>
      <c r="X8172" s="2">
        <f ca="1"/>
        <v>105.52304248838473</v>
      </c>
      <c r="AG8172" s="2">
        <f ca="1"/>
        <v>0.97913910560479045</v>
      </c>
      <c r="AH8172" s="2" t="str">
        <f ca="1"/>
        <v>Bad</v>
      </c>
    </row>
    <row r="8173" spans="2:34" x14ac:dyDescent="0.2">
      <c r="B8173" s="2">
        <f ca="1"/>
        <v>4.2846083740874397E-2</v>
      </c>
      <c r="O8173" s="2">
        <f ca="1"/>
        <v>2.2612046868953031</v>
      </c>
      <c r="X8173" s="2">
        <f ca="1"/>
        <v>67.926495211653531</v>
      </c>
      <c r="AG8173" s="2">
        <f ca="1"/>
        <v>0.78250581350391912</v>
      </c>
      <c r="AH8173" s="2" t="str">
        <f ca="1"/>
        <v>Bad</v>
      </c>
    </row>
    <row r="8174" spans="2:34" x14ac:dyDescent="0.2">
      <c r="B8174" s="2">
        <f ca="1"/>
        <v>0.90545141405777207</v>
      </c>
      <c r="O8174" s="2">
        <f ca="1"/>
        <v>-0.85080744305232781</v>
      </c>
      <c r="X8174" s="2">
        <f ca="1"/>
        <v>83.56343586352321</v>
      </c>
      <c r="AG8174" s="2">
        <f ca="1"/>
        <v>0.75111235467855053</v>
      </c>
      <c r="AH8174" s="2" t="str">
        <f ca="1"/>
        <v>Bad</v>
      </c>
    </row>
    <row r="8175" spans="2:34" x14ac:dyDescent="0.2">
      <c r="B8175" s="2">
        <f ca="1"/>
        <v>0.19410394908847817</v>
      </c>
      <c r="O8175" s="2">
        <f ca="1"/>
        <v>0.62541100211311484</v>
      </c>
      <c r="X8175" s="2">
        <f ca="1"/>
        <v>59.929822788865543</v>
      </c>
      <c r="AG8175" s="2">
        <f ca="1"/>
        <v>6.2231447245288507E-2</v>
      </c>
      <c r="AH8175" s="2" t="str">
        <f ca="1"/>
        <v>OK</v>
      </c>
    </row>
    <row r="8176" spans="2:34" x14ac:dyDescent="0.2">
      <c r="B8176" s="2">
        <f ca="1"/>
        <v>6.3331071941635342E-2</v>
      </c>
      <c r="O8176" s="2">
        <f ca="1"/>
        <v>1.6370261279807672</v>
      </c>
      <c r="X8176" s="2">
        <f ca="1"/>
        <v>32.092017310383312</v>
      </c>
      <c r="AG8176" s="2">
        <f ca="1"/>
        <v>0.40046183788547851</v>
      </c>
      <c r="AH8176" s="2" t="str">
        <f ca="1"/>
        <v>Bad</v>
      </c>
    </row>
    <row r="8177" spans="2:34" x14ac:dyDescent="0.2">
      <c r="B8177" s="2">
        <f ca="1"/>
        <v>0.67138214261047491</v>
      </c>
      <c r="O8177" s="2">
        <f ca="1"/>
        <v>1.4234003311395509</v>
      </c>
      <c r="X8177" s="2">
        <f ca="1"/>
        <v>36.81666185358705</v>
      </c>
      <c r="AG8177" s="2">
        <f ca="1"/>
        <v>0.53521803943544644</v>
      </c>
      <c r="AH8177" s="2" t="str">
        <f ca="1"/>
        <v>Bad</v>
      </c>
    </row>
    <row r="8178" spans="2:34" x14ac:dyDescent="0.2">
      <c r="B8178" s="2">
        <f ca="1"/>
        <v>0.1495194032121383</v>
      </c>
      <c r="O8178" s="2">
        <f ca="1"/>
        <v>1.4398588267449191</v>
      </c>
      <c r="X8178" s="2">
        <f ca="1"/>
        <v>80.160753218150106</v>
      </c>
      <c r="AG8178" s="2">
        <f ca="1"/>
        <v>0.95294353071345994</v>
      </c>
      <c r="AH8178" s="2" t="str">
        <f ca="1"/>
        <v>Bad</v>
      </c>
    </row>
    <row r="8179" spans="2:34" x14ac:dyDescent="0.2">
      <c r="B8179" s="2">
        <f ca="1"/>
        <v>0.81606466888485363</v>
      </c>
      <c r="O8179" s="2">
        <f ca="1"/>
        <v>0.21804233603157286</v>
      </c>
      <c r="X8179" s="2">
        <f ca="1"/>
        <v>49.938825322503611</v>
      </c>
      <c r="AG8179" s="2">
        <f ca="1"/>
        <v>0.40011697821764258</v>
      </c>
      <c r="AH8179" s="2" t="str">
        <f ca="1"/>
        <v>Bad</v>
      </c>
    </row>
    <row r="8180" spans="2:34" x14ac:dyDescent="0.2">
      <c r="B8180" s="2">
        <f ca="1"/>
        <v>1.3492397853063443E-2</v>
      </c>
      <c r="O8180" s="2">
        <f ca="1"/>
        <v>0.74230657385046805</v>
      </c>
      <c r="X8180" s="2">
        <f ca="1"/>
        <v>67.026783386586587</v>
      </c>
      <c r="AG8180" s="2">
        <f ca="1"/>
        <v>0.89936422897775969</v>
      </c>
      <c r="AH8180" s="2" t="str">
        <f ca="1"/>
        <v>Bad</v>
      </c>
    </row>
    <row r="8181" spans="2:34" x14ac:dyDescent="0.2">
      <c r="B8181" s="2">
        <f ca="1"/>
        <v>7.274008916603214E-2</v>
      </c>
      <c r="O8181" s="2">
        <f ca="1"/>
        <v>1.0134002113851919</v>
      </c>
      <c r="X8181" s="2">
        <f ca="1"/>
        <v>72.948626564097779</v>
      </c>
      <c r="AG8181" s="2">
        <f ca="1"/>
        <v>0.72050108552095082</v>
      </c>
      <c r="AH8181" s="2" t="str">
        <f ca="1"/>
        <v>Bad</v>
      </c>
    </row>
    <row r="8182" spans="2:34" x14ac:dyDescent="0.2">
      <c r="B8182" s="2">
        <f ca="1"/>
        <v>0.37926994148938564</v>
      </c>
      <c r="O8182" s="2">
        <f ca="1"/>
        <v>0.60935143063983965</v>
      </c>
      <c r="X8182" s="2">
        <f ca="1"/>
        <v>77.154287224532595</v>
      </c>
      <c r="AG8182" s="2">
        <f ca="1"/>
        <v>0.9729353162672072</v>
      </c>
      <c r="AH8182" s="2" t="str">
        <f ca="1"/>
        <v>Bad</v>
      </c>
    </row>
    <row r="8183" spans="2:34" x14ac:dyDescent="0.2">
      <c r="B8183" s="2">
        <f ca="1"/>
        <v>0.5300058904710907</v>
      </c>
      <c r="O8183" s="2">
        <f ca="1"/>
        <v>1.214198508537625</v>
      </c>
      <c r="X8183" s="2">
        <f ca="1"/>
        <v>27.717367366809302</v>
      </c>
      <c r="AG8183" s="2">
        <f ca="1"/>
        <v>0.34937977968727019</v>
      </c>
      <c r="AH8183" s="2" t="str">
        <f ca="1"/>
        <v>OK</v>
      </c>
    </row>
    <row r="8184" spans="2:34" x14ac:dyDescent="0.2">
      <c r="B8184" s="2">
        <f ca="1"/>
        <v>0.26500509347043866</v>
      </c>
      <c r="O8184" s="2">
        <f ca="1"/>
        <v>-0.68546474089532361</v>
      </c>
      <c r="X8184" s="2">
        <f ca="1"/>
        <v>54.988771894285399</v>
      </c>
      <c r="AG8184" s="2">
        <f ca="1"/>
        <v>0.89300233331032342</v>
      </c>
      <c r="AH8184" s="2" t="str">
        <f ca="1"/>
        <v>Bad</v>
      </c>
    </row>
    <row r="8185" spans="2:34" x14ac:dyDescent="0.2">
      <c r="B8185" s="2">
        <f ca="1"/>
        <v>0.21097464915084907</v>
      </c>
      <c r="O8185" s="2">
        <f ca="1"/>
        <v>-1.1310008384424479</v>
      </c>
      <c r="X8185" s="2">
        <f ca="1"/>
        <v>59.636739591983925</v>
      </c>
      <c r="AG8185" s="2">
        <f ca="1"/>
        <v>0.8946667057934985</v>
      </c>
      <c r="AH8185" s="2" t="str">
        <f ca="1"/>
        <v>Bad</v>
      </c>
    </row>
    <row r="8186" spans="2:34" x14ac:dyDescent="0.2">
      <c r="B8186" s="2">
        <f ca="1"/>
        <v>0.71357187788175569</v>
      </c>
      <c r="O8186" s="2">
        <f ca="1"/>
        <v>-1.9402729654736639</v>
      </c>
      <c r="X8186" s="2">
        <f ca="1"/>
        <v>74.282156257158817</v>
      </c>
      <c r="AG8186" s="2">
        <f ca="1"/>
        <v>0.56890288752760654</v>
      </c>
      <c r="AH8186" s="2" t="str">
        <f ca="1"/>
        <v>Bad</v>
      </c>
    </row>
    <row r="8187" spans="2:34" x14ac:dyDescent="0.2">
      <c r="B8187" s="2">
        <f ca="1"/>
        <v>0.32718291564701385</v>
      </c>
      <c r="O8187" s="2">
        <f ca="1"/>
        <v>1.3299099655504727</v>
      </c>
      <c r="X8187" s="2">
        <f ca="1"/>
        <v>82.758032381522909</v>
      </c>
      <c r="AG8187" s="2">
        <f ca="1"/>
        <v>0.59202191211494282</v>
      </c>
      <c r="AH8187" s="2" t="str">
        <f ca="1"/>
        <v>Bad</v>
      </c>
    </row>
    <row r="8188" spans="2:34" x14ac:dyDescent="0.2">
      <c r="B8188" s="2">
        <f ca="1"/>
        <v>0.59964217578507628</v>
      </c>
      <c r="O8188" s="2">
        <f ca="1"/>
        <v>-0.28608902459347374</v>
      </c>
      <c r="X8188" s="2">
        <f ca="1"/>
        <v>23.125463491506647</v>
      </c>
      <c r="AG8188" s="2">
        <f ca="1"/>
        <v>0.20366488839384567</v>
      </c>
      <c r="AH8188" s="2" t="str">
        <f ca="1"/>
        <v>OK</v>
      </c>
    </row>
    <row r="8189" spans="2:34" x14ac:dyDescent="0.2">
      <c r="B8189" s="2">
        <f ca="1"/>
        <v>0.44894039300801802</v>
      </c>
      <c r="O8189" s="2">
        <f ca="1"/>
        <v>-0.55814637054226768</v>
      </c>
      <c r="X8189" s="2">
        <f ca="1"/>
        <v>54.215370893348656</v>
      </c>
      <c r="AG8189" s="2">
        <f ca="1"/>
        <v>0.46185096354771304</v>
      </c>
      <c r="AH8189" s="2" t="str">
        <f ca="1"/>
        <v>Bad</v>
      </c>
    </row>
    <row r="8190" spans="2:34" x14ac:dyDescent="0.2">
      <c r="B8190" s="2">
        <f ca="1"/>
        <v>0.82613260813735612</v>
      </c>
      <c r="O8190" s="2">
        <f ca="1"/>
        <v>0.41075804967421059</v>
      </c>
      <c r="X8190" s="2">
        <f ca="1"/>
        <v>55.180287837022007</v>
      </c>
      <c r="AG8190" s="2">
        <f ca="1"/>
        <v>0.54131681375276908</v>
      </c>
      <c r="AH8190" s="2" t="str">
        <f ca="1"/>
        <v>Bad</v>
      </c>
    </row>
    <row r="8191" spans="2:34" x14ac:dyDescent="0.2">
      <c r="B8191" s="2">
        <f ca="1"/>
        <v>0.44160362963805988</v>
      </c>
      <c r="O8191" s="2">
        <f ca="1"/>
        <v>-0.49277360114903523</v>
      </c>
      <c r="X8191" s="2">
        <f ca="1"/>
        <v>34.425663615323508</v>
      </c>
      <c r="AG8191" s="2">
        <f ca="1"/>
        <v>0.32991563667025181</v>
      </c>
      <c r="AH8191" s="2" t="str">
        <f ca="1"/>
        <v>OK</v>
      </c>
    </row>
    <row r="8192" spans="2:34" x14ac:dyDescent="0.2">
      <c r="B8192" s="2">
        <f ca="1"/>
        <v>0.47898268450925885</v>
      </c>
      <c r="O8192" s="2">
        <f ca="1"/>
        <v>-0.54476372085793612</v>
      </c>
      <c r="X8192" s="2">
        <f ca="1"/>
        <v>24.25360197842987</v>
      </c>
      <c r="AG8192" s="2">
        <f ca="1"/>
        <v>0.46967832526942344</v>
      </c>
      <c r="AH8192" s="2" t="str">
        <f ca="1"/>
        <v>Bad</v>
      </c>
    </row>
    <row r="8193" spans="2:34" x14ac:dyDescent="0.2">
      <c r="B8193" s="2">
        <f ca="1"/>
        <v>0.86714539005526636</v>
      </c>
      <c r="O8193" s="2">
        <f ca="1"/>
        <v>2.0218243200818828</v>
      </c>
      <c r="X8193" s="2">
        <f ca="1"/>
        <v>29.209797526165659</v>
      </c>
      <c r="AG8193" s="2">
        <f ca="1"/>
        <v>0.49880415706380532</v>
      </c>
      <c r="AH8193" s="2" t="str">
        <f ca="1"/>
        <v>Bad</v>
      </c>
    </row>
    <row r="8194" spans="2:34" x14ac:dyDescent="0.2">
      <c r="B8194" s="2">
        <f ca="1"/>
        <v>0.73315551716627914</v>
      </c>
      <c r="O8194" s="2">
        <f ca="1"/>
        <v>-3.4794291906523445E-2</v>
      </c>
      <c r="X8194" s="2">
        <f ca="1"/>
        <v>73.404686571991164</v>
      </c>
      <c r="AG8194" s="2">
        <f ca="1"/>
        <v>2.2663383044114527E-2</v>
      </c>
      <c r="AH8194" s="2" t="str">
        <f ca="1"/>
        <v>Good</v>
      </c>
    </row>
    <row r="8195" spans="2:34" x14ac:dyDescent="0.2">
      <c r="B8195" s="2">
        <f ca="1"/>
        <v>0.1032560685901438</v>
      </c>
      <c r="O8195" s="2">
        <f ca="1"/>
        <v>-0.12279763293348532</v>
      </c>
      <c r="X8195" s="2">
        <f ca="1"/>
        <v>41.038585942673777</v>
      </c>
      <c r="AG8195" s="2">
        <f ca="1"/>
        <v>0.20120667721657681</v>
      </c>
      <c r="AH8195" s="2" t="str">
        <f ca="1"/>
        <v>OK</v>
      </c>
    </row>
    <row r="8196" spans="2:34" x14ac:dyDescent="0.2">
      <c r="B8196" s="2">
        <f ca="1"/>
        <v>8.2373136029167515E-2</v>
      </c>
      <c r="O8196" s="2">
        <f ca="1"/>
        <v>-0.62860944593560475</v>
      </c>
      <c r="X8196" s="2">
        <f ca="1"/>
        <v>88.843646067265382</v>
      </c>
      <c r="AG8196" s="2">
        <f ca="1"/>
        <v>0.13251003023269248</v>
      </c>
      <c r="AH8196" s="2" t="str">
        <f ca="1"/>
        <v>OK</v>
      </c>
    </row>
    <row r="8197" spans="2:34" x14ac:dyDescent="0.2">
      <c r="B8197" s="2">
        <f ca="1"/>
        <v>0.28167774618466046</v>
      </c>
      <c r="O8197" s="2">
        <f ca="1"/>
        <v>0.79018232446464398</v>
      </c>
      <c r="X8197" s="2">
        <f ca="1"/>
        <v>38.935265186271678</v>
      </c>
      <c r="AG8197" s="2">
        <f ca="1"/>
        <v>4.1805404099478638E-2</v>
      </c>
      <c r="AH8197" s="2" t="str">
        <f ca="1"/>
        <v>Good</v>
      </c>
    </row>
    <row r="8198" spans="2:34" x14ac:dyDescent="0.2">
      <c r="B8198" s="2">
        <f ca="1"/>
        <v>0.32201425546975204</v>
      </c>
      <c r="O8198" s="2">
        <f ca="1"/>
        <v>0.5898185451719532</v>
      </c>
      <c r="X8198" s="2">
        <f ca="1"/>
        <v>49.10298948735246</v>
      </c>
      <c r="AG8198" s="2">
        <f ca="1"/>
        <v>0.2894581219969643</v>
      </c>
      <c r="AH8198" s="2" t="str">
        <f ca="1"/>
        <v>OK</v>
      </c>
    </row>
    <row r="8199" spans="2:34" x14ac:dyDescent="0.2">
      <c r="B8199" s="2">
        <f ca="1"/>
        <v>0.47926410198603042</v>
      </c>
      <c r="O8199" s="2">
        <f ca="1"/>
        <v>-0.67036034456873073</v>
      </c>
      <c r="X8199" s="2">
        <f ca="1"/>
        <v>99.421383868137383</v>
      </c>
      <c r="AG8199" s="2">
        <f ca="1"/>
        <v>0.77636009077543489</v>
      </c>
      <c r="AH8199" s="2" t="str">
        <f ca="1"/>
        <v>Bad</v>
      </c>
    </row>
    <row r="8200" spans="2:34" x14ac:dyDescent="0.2">
      <c r="B8200" s="2">
        <f ca="1"/>
        <v>0.76401259931016474</v>
      </c>
      <c r="O8200" s="2">
        <f ca="1"/>
        <v>-0.73125335690872917</v>
      </c>
      <c r="X8200" s="2">
        <f ca="1"/>
        <v>26.783082194406912</v>
      </c>
      <c r="AG8200" s="2">
        <f ca="1"/>
        <v>0.51884277472325757</v>
      </c>
      <c r="AH8200" s="2" t="str">
        <f ca="1"/>
        <v>Bad</v>
      </c>
    </row>
    <row r="8201" spans="2:34" x14ac:dyDescent="0.2">
      <c r="B8201" s="2">
        <f ca="1"/>
        <v>0.24641676862583428</v>
      </c>
      <c r="O8201" s="2">
        <f ca="1"/>
        <v>0.69879106996590645</v>
      </c>
      <c r="X8201" s="2">
        <f ca="1"/>
        <v>43.101231854043895</v>
      </c>
      <c r="AG8201" s="2">
        <f ca="1"/>
        <v>0.86812359917930215</v>
      </c>
      <c r="AH8201" s="2" t="str">
        <f ca="1"/>
        <v>Bad</v>
      </c>
    </row>
    <row r="8202" spans="2:34" x14ac:dyDescent="0.2">
      <c r="B8202" s="2">
        <f ca="1"/>
        <v>0.12346715993295798</v>
      </c>
      <c r="O8202" s="2">
        <f ca="1"/>
        <v>-0.31890504765737759</v>
      </c>
      <c r="X8202" s="2">
        <f ca="1"/>
        <v>42.67560559576809</v>
      </c>
      <c r="AG8202" s="2">
        <f ca="1"/>
        <v>0.97627857648276795</v>
      </c>
      <c r="AH8202" s="2" t="str">
        <f ca="1"/>
        <v>Bad</v>
      </c>
    </row>
    <row r="8203" spans="2:34" x14ac:dyDescent="0.2">
      <c r="B8203" s="2">
        <f ca="1"/>
        <v>0.19834475838412358</v>
      </c>
      <c r="O8203" s="2">
        <f ca="1"/>
        <v>1.2359262224915479</v>
      </c>
      <c r="X8203" s="2">
        <f ca="1"/>
        <v>55.338024963675252</v>
      </c>
      <c r="AG8203" s="2">
        <f ca="1"/>
        <v>0.81077185498943893</v>
      </c>
      <c r="AH8203" s="2" t="str">
        <f ca="1"/>
        <v>Bad</v>
      </c>
    </row>
    <row r="8204" spans="2:34" x14ac:dyDescent="0.2">
      <c r="B8204" s="2">
        <f ca="1"/>
        <v>0.97261873939028654</v>
      </c>
      <c r="O8204" s="2">
        <f ca="1"/>
        <v>-0.79436772718286774</v>
      </c>
      <c r="X8204" s="2">
        <f ca="1"/>
        <v>37.312869812738057</v>
      </c>
      <c r="AG8204" s="2">
        <f ca="1"/>
        <v>0.11218472722951267</v>
      </c>
      <c r="AH8204" s="2" t="str">
        <f ca="1"/>
        <v>OK</v>
      </c>
    </row>
    <row r="8205" spans="2:34" x14ac:dyDescent="0.2">
      <c r="B8205" s="2">
        <f ca="1"/>
        <v>0.59151556745401823</v>
      </c>
      <c r="O8205" s="2">
        <f ca="1"/>
        <v>-0.66165532593151366</v>
      </c>
      <c r="X8205" s="2">
        <f ca="1"/>
        <v>63.9600966936936</v>
      </c>
      <c r="AG8205" s="2">
        <f ca="1"/>
        <v>0.3733309357677892</v>
      </c>
      <c r="AH8205" s="2" t="str">
        <f ca="1"/>
        <v>OK</v>
      </c>
    </row>
    <row r="8206" spans="2:34" x14ac:dyDescent="0.2">
      <c r="B8206" s="2">
        <f ca="1"/>
        <v>0.80274536649379735</v>
      </c>
      <c r="O8206" s="2">
        <f ca="1"/>
        <v>0.14513961511023232</v>
      </c>
      <c r="X8206" s="2">
        <f ca="1"/>
        <v>46.586928117837729</v>
      </c>
      <c r="AG8206" s="2">
        <f ca="1"/>
        <v>0.81441988393798304</v>
      </c>
      <c r="AH8206" s="2" t="str">
        <f ca="1"/>
        <v>Bad</v>
      </c>
    </row>
    <row r="8207" spans="2:34" x14ac:dyDescent="0.2">
      <c r="B8207" s="2">
        <f ca="1"/>
        <v>0.39571508658805987</v>
      </c>
      <c r="O8207" s="2">
        <f ca="1"/>
        <v>1.19336779105885</v>
      </c>
      <c r="X8207" s="2">
        <f ca="1"/>
        <v>32.294133250976643</v>
      </c>
      <c r="AG8207" s="2">
        <f ca="1"/>
        <v>0.34664979011851749</v>
      </c>
      <c r="AH8207" s="2" t="str">
        <f ca="1"/>
        <v>OK</v>
      </c>
    </row>
    <row r="8208" spans="2:34" x14ac:dyDescent="0.2">
      <c r="B8208" s="2">
        <f ca="1"/>
        <v>0.53840883220946978</v>
      </c>
      <c r="O8208" s="2">
        <f ca="1"/>
        <v>-0.52919273615864604</v>
      </c>
      <c r="X8208" s="2">
        <f ca="1"/>
        <v>31.895723812041481</v>
      </c>
      <c r="AG8208" s="2">
        <f ca="1"/>
        <v>0.93475712597890759</v>
      </c>
      <c r="AH8208" s="2" t="str">
        <f ca="1"/>
        <v>Bad</v>
      </c>
    </row>
    <row r="8209" spans="2:34" x14ac:dyDescent="0.2">
      <c r="B8209" s="2">
        <f ca="1"/>
        <v>0.42405446421354687</v>
      </c>
      <c r="O8209" s="2">
        <f ca="1"/>
        <v>-0.16708305669451004</v>
      </c>
      <c r="X8209" s="2">
        <f ca="1"/>
        <v>71.504042208621385</v>
      </c>
      <c r="AG8209" s="2">
        <f ca="1"/>
        <v>0.34879802153238759</v>
      </c>
      <c r="AH8209" s="2" t="str">
        <f ca="1"/>
        <v>OK</v>
      </c>
    </row>
    <row r="8210" spans="2:34" x14ac:dyDescent="0.2">
      <c r="B8210" s="2">
        <f ca="1"/>
        <v>0.66819471579092782</v>
      </c>
      <c r="O8210" s="2">
        <f ca="1"/>
        <v>1.1146033746900543</v>
      </c>
      <c r="X8210" s="2">
        <f ca="1"/>
        <v>37.394649131564634</v>
      </c>
      <c r="AG8210" s="2">
        <f ca="1"/>
        <v>0.43834334811414188</v>
      </c>
      <c r="AH8210" s="2" t="str">
        <f ca="1"/>
        <v>Bad</v>
      </c>
    </row>
    <row r="8211" spans="2:34" x14ac:dyDescent="0.2">
      <c r="B8211" s="2">
        <f ca="1"/>
        <v>0.1789408406881321</v>
      </c>
      <c r="O8211" s="2">
        <f ca="1"/>
        <v>0.89464174609143621</v>
      </c>
      <c r="X8211" s="2">
        <f ca="1"/>
        <v>47.674341937095129</v>
      </c>
      <c r="AG8211" s="2">
        <f ca="1"/>
        <v>0.28456586869038447</v>
      </c>
      <c r="AH8211" s="2" t="str">
        <f ca="1"/>
        <v>OK</v>
      </c>
    </row>
    <row r="8212" spans="2:34" x14ac:dyDescent="0.2">
      <c r="B8212" s="2">
        <f ca="1"/>
        <v>0.34409022554702529</v>
      </c>
      <c r="O8212" s="2">
        <f ca="1"/>
        <v>-2.3029995049082141</v>
      </c>
      <c r="X8212" s="2">
        <f ca="1"/>
        <v>85.581620990934312</v>
      </c>
      <c r="AG8212" s="2">
        <f ca="1"/>
        <v>0.28389126907987805</v>
      </c>
      <c r="AH8212" s="2" t="str">
        <f ca="1"/>
        <v>OK</v>
      </c>
    </row>
    <row r="8213" spans="2:34" x14ac:dyDescent="0.2">
      <c r="B8213" s="2">
        <f ca="1"/>
        <v>0.83397110929555662</v>
      </c>
      <c r="O8213" s="2">
        <f ca="1"/>
        <v>-0.62725759017932803</v>
      </c>
      <c r="X8213" s="2">
        <f ca="1"/>
        <v>37.014535770548108</v>
      </c>
      <c r="AG8213" s="2">
        <f ca="1"/>
        <v>0.33426603113711839</v>
      </c>
      <c r="AH8213" s="2" t="str">
        <f ca="1"/>
        <v>OK</v>
      </c>
    </row>
    <row r="8214" spans="2:34" x14ac:dyDescent="0.2">
      <c r="B8214" s="2">
        <f ca="1"/>
        <v>0.79327537374110313</v>
      </c>
      <c r="O8214" s="2">
        <f ca="1"/>
        <v>-0.47248733751208938</v>
      </c>
      <c r="X8214" s="2">
        <f ca="1"/>
        <v>49.790411661250396</v>
      </c>
      <c r="AG8214" s="2">
        <f ca="1"/>
        <v>6.0055046006881385E-2</v>
      </c>
      <c r="AH8214" s="2" t="str">
        <f ca="1"/>
        <v>OK</v>
      </c>
    </row>
    <row r="8215" spans="2:34" x14ac:dyDescent="0.2">
      <c r="B8215" s="2">
        <f ca="1"/>
        <v>6.5146579945733807E-2</v>
      </c>
      <c r="O8215" s="2">
        <f ca="1"/>
        <v>1.449369555327563</v>
      </c>
      <c r="X8215" s="2">
        <f ca="1"/>
        <v>82.441487589573683</v>
      </c>
      <c r="AG8215" s="2">
        <f ca="1"/>
        <v>0.6826409238306026</v>
      </c>
      <c r="AH8215" s="2" t="str">
        <f ca="1"/>
        <v>Bad</v>
      </c>
    </row>
    <row r="8216" spans="2:34" x14ac:dyDescent="0.2">
      <c r="B8216" s="2">
        <f ca="1"/>
        <v>0.40470833378313387</v>
      </c>
      <c r="O8216" s="2">
        <f ca="1"/>
        <v>0.50426990409121353</v>
      </c>
      <c r="X8216" s="2">
        <f ca="1"/>
        <v>51.573280064557053</v>
      </c>
      <c r="AG8216" s="2">
        <f ca="1"/>
        <v>0.82289079746610327</v>
      </c>
      <c r="AH8216" s="2" t="str">
        <f ca="1"/>
        <v>Bad</v>
      </c>
    </row>
    <row r="8217" spans="2:34" x14ac:dyDescent="0.2">
      <c r="B8217" s="2">
        <f ca="1"/>
        <v>0.9021635269721</v>
      </c>
      <c r="O8217" s="2">
        <f ca="1"/>
        <v>0.58834134698506113</v>
      </c>
      <c r="X8217" s="2">
        <f ca="1"/>
        <v>52.151446595325112</v>
      </c>
      <c r="AG8217" s="2">
        <f ca="1"/>
        <v>0.11213931671060018</v>
      </c>
      <c r="AH8217" s="2" t="str">
        <f ca="1"/>
        <v>OK</v>
      </c>
    </row>
    <row r="8218" spans="2:34" x14ac:dyDescent="0.2">
      <c r="B8218" s="2">
        <f ca="1"/>
        <v>6.0970646403438966E-2</v>
      </c>
      <c r="O8218" s="2">
        <f ca="1"/>
        <v>0.7877753975429086</v>
      </c>
      <c r="X8218" s="2">
        <f ca="1"/>
        <v>62.725827740641293</v>
      </c>
      <c r="AG8218" s="2">
        <f ca="1"/>
        <v>0.82558451698681234</v>
      </c>
      <c r="AH8218" s="2" t="str">
        <f ca="1"/>
        <v>Bad</v>
      </c>
    </row>
    <row r="8219" spans="2:34" x14ac:dyDescent="0.2">
      <c r="B8219" s="2">
        <f ca="1"/>
        <v>0.39611328828316683</v>
      </c>
      <c r="O8219" s="2">
        <f ca="1"/>
        <v>-1.6582832369041844</v>
      </c>
      <c r="X8219" s="2">
        <f ca="1"/>
        <v>50.515171113352338</v>
      </c>
      <c r="AG8219" s="2">
        <f ca="1"/>
        <v>0.67397977461994496</v>
      </c>
      <c r="AH8219" s="2" t="str">
        <f ca="1"/>
        <v>Bad</v>
      </c>
    </row>
    <row r="8220" spans="2:34" x14ac:dyDescent="0.2">
      <c r="B8220" s="2">
        <f ca="1"/>
        <v>0.56557405751192946</v>
      </c>
      <c r="O8220" s="2">
        <f ca="1"/>
        <v>0.18530213179960789</v>
      </c>
      <c r="X8220" s="2">
        <f ca="1"/>
        <v>35.819805620942752</v>
      </c>
      <c r="AG8220" s="2">
        <f ca="1"/>
        <v>4.8270198104004347E-2</v>
      </c>
      <c r="AH8220" s="2" t="str">
        <f ca="1"/>
        <v>Good</v>
      </c>
    </row>
    <row r="8221" spans="2:34" x14ac:dyDescent="0.2">
      <c r="B8221" s="2">
        <f ca="1"/>
        <v>0.25272826577349461</v>
      </c>
      <c r="O8221" s="2">
        <f ca="1"/>
        <v>-0.58362537149032967</v>
      </c>
      <c r="X8221" s="2">
        <f ca="1"/>
        <v>51.084680868196628</v>
      </c>
      <c r="AG8221" s="2">
        <f ca="1"/>
        <v>0.35018285658899817</v>
      </c>
      <c r="AH8221" s="2" t="str">
        <f ca="1"/>
        <v>OK</v>
      </c>
    </row>
    <row r="8222" spans="2:34" x14ac:dyDescent="0.2">
      <c r="B8222" s="2">
        <f ca="1"/>
        <v>0.98065247408309952</v>
      </c>
      <c r="O8222" s="2">
        <f ca="1"/>
        <v>0.13959166604382534</v>
      </c>
      <c r="X8222" s="2">
        <f ca="1"/>
        <v>22.614825536497158</v>
      </c>
      <c r="AG8222" s="2">
        <f ca="1"/>
        <v>0.31249607625983566</v>
      </c>
      <c r="AH8222" s="2" t="str">
        <f ca="1"/>
        <v>OK</v>
      </c>
    </row>
    <row r="8223" spans="2:34" x14ac:dyDescent="0.2">
      <c r="B8223" s="2">
        <f ca="1"/>
        <v>0.4464744658568931</v>
      </c>
      <c r="O8223" s="2">
        <f ca="1"/>
        <v>-1.294724705305794</v>
      </c>
      <c r="X8223" s="2">
        <f ca="1"/>
        <v>48.123667754282387</v>
      </c>
      <c r="AG8223" s="2">
        <f ca="1"/>
        <v>0.83296703155214202</v>
      </c>
      <c r="AH8223" s="2" t="str">
        <f ca="1"/>
        <v>Bad</v>
      </c>
    </row>
    <row r="8224" spans="2:34" x14ac:dyDescent="0.2">
      <c r="B8224" s="2">
        <f ca="1"/>
        <v>0.1654778123972358</v>
      </c>
      <c r="O8224" s="2">
        <f ca="1"/>
        <v>-1.2398823265019399</v>
      </c>
      <c r="X8224" s="2">
        <f ca="1"/>
        <v>57.171549841761845</v>
      </c>
      <c r="AG8224" s="2">
        <f ca="1"/>
        <v>0.92292481607491794</v>
      </c>
      <c r="AH8224" s="2" t="str">
        <f ca="1"/>
        <v>Bad</v>
      </c>
    </row>
    <row r="8225" spans="2:34" x14ac:dyDescent="0.2">
      <c r="B8225" s="2">
        <f ca="1"/>
        <v>0.39085430395039822</v>
      </c>
      <c r="O8225" s="2">
        <f ca="1"/>
        <v>-0.89875966180284028</v>
      </c>
      <c r="X8225" s="2">
        <f ca="1"/>
        <v>89.190884879558197</v>
      </c>
      <c r="AG8225" s="2">
        <f ca="1"/>
        <v>0.88970742261350799</v>
      </c>
      <c r="AH8225" s="2" t="str">
        <f ca="1"/>
        <v>Bad</v>
      </c>
    </row>
    <row r="8226" spans="2:34" x14ac:dyDescent="0.2">
      <c r="B8226" s="2">
        <f ca="1"/>
        <v>1.3648977371683024E-3</v>
      </c>
      <c r="O8226" s="2">
        <f ca="1"/>
        <v>-0.20906729173127123</v>
      </c>
      <c r="X8226" s="2">
        <f ca="1"/>
        <v>43.30529953743504</v>
      </c>
      <c r="AG8226" s="2">
        <f ca="1"/>
        <v>0.46191955426988129</v>
      </c>
      <c r="AH8226" s="2" t="str">
        <f ca="1"/>
        <v>Bad</v>
      </c>
    </row>
    <row r="8227" spans="2:34" x14ac:dyDescent="0.2">
      <c r="B8227" s="2">
        <f ca="1"/>
        <v>0.26372261710135603</v>
      </c>
      <c r="O8227" s="2">
        <f ca="1"/>
        <v>2.2958367785309641</v>
      </c>
      <c r="X8227" s="2">
        <f ca="1"/>
        <v>46.780849190592726</v>
      </c>
      <c r="AG8227" s="2">
        <f ca="1"/>
        <v>0.8348942156700605</v>
      </c>
      <c r="AH8227" s="2" t="str">
        <f ca="1"/>
        <v>Bad</v>
      </c>
    </row>
    <row r="8228" spans="2:34" x14ac:dyDescent="0.2">
      <c r="B8228" s="2">
        <f ca="1"/>
        <v>0.66117805133552077</v>
      </c>
      <c r="O8228" s="2">
        <f ca="1"/>
        <v>-0.19216109445889804</v>
      </c>
      <c r="X8228" s="2">
        <f ca="1"/>
        <v>59.184848785458925</v>
      </c>
      <c r="AG8228" s="2">
        <f ca="1"/>
        <v>0.68161733362619858</v>
      </c>
      <c r="AH8228" s="2" t="str">
        <f ca="1"/>
        <v>Bad</v>
      </c>
    </row>
    <row r="8229" spans="2:34" x14ac:dyDescent="0.2">
      <c r="B8229" s="2">
        <f ca="1"/>
        <v>0.37417243187321092</v>
      </c>
      <c r="O8229" s="2">
        <f ca="1"/>
        <v>0.17905174975043123</v>
      </c>
      <c r="X8229" s="2">
        <f ca="1"/>
        <v>52.338774579022513</v>
      </c>
      <c r="AG8229" s="2">
        <f ca="1"/>
        <v>0.77364101297940402</v>
      </c>
      <c r="AH8229" s="2" t="str">
        <f ca="1"/>
        <v>Bad</v>
      </c>
    </row>
    <row r="8230" spans="2:34" x14ac:dyDescent="0.2">
      <c r="B8230" s="2">
        <f ca="1"/>
        <v>0.15111643589147072</v>
      </c>
      <c r="O8230" s="2">
        <f ca="1"/>
        <v>0.91264661189454588</v>
      </c>
      <c r="X8230" s="2">
        <f ca="1"/>
        <v>43.1104636178733</v>
      </c>
      <c r="AG8230" s="2">
        <f ca="1"/>
        <v>0.80914224259140743</v>
      </c>
      <c r="AH8230" s="2" t="str">
        <f ca="1"/>
        <v>Bad</v>
      </c>
    </row>
    <row r="8231" spans="2:34" x14ac:dyDescent="0.2">
      <c r="B8231" s="2">
        <f ca="1"/>
        <v>1.3128469549728017E-4</v>
      </c>
      <c r="O8231" s="2">
        <f ca="1"/>
        <v>-0.94393410197341654</v>
      </c>
      <c r="X8231" s="2">
        <f ca="1"/>
        <v>62.318735259288019</v>
      </c>
      <c r="AG8231" s="2">
        <f ca="1"/>
        <v>0.69853071533342592</v>
      </c>
      <c r="AH8231" s="2" t="str">
        <f ca="1"/>
        <v>Bad</v>
      </c>
    </row>
    <row r="8232" spans="2:34" x14ac:dyDescent="0.2">
      <c r="B8232" s="2">
        <f ca="1"/>
        <v>0.40931878354029472</v>
      </c>
      <c r="O8232" s="2">
        <f ca="1"/>
        <v>-1.4591218247777247</v>
      </c>
      <c r="X8232" s="2">
        <f ca="1"/>
        <v>43.274080340645853</v>
      </c>
      <c r="AG8232" s="2">
        <f ca="1"/>
        <v>0.93652179048341622</v>
      </c>
      <c r="AH8232" s="2" t="str">
        <f ca="1"/>
        <v>Bad</v>
      </c>
    </row>
    <row r="8233" spans="2:34" x14ac:dyDescent="0.2">
      <c r="B8233" s="2">
        <f ca="1"/>
        <v>0.34690086508712947</v>
      </c>
      <c r="O8233" s="2">
        <f ca="1"/>
        <v>0.7103456630238435</v>
      </c>
      <c r="X8233" s="2">
        <f ca="1"/>
        <v>49.275716373691971</v>
      </c>
      <c r="AG8233" s="2">
        <f ca="1"/>
        <v>0.68179229768282945</v>
      </c>
      <c r="AH8233" s="2" t="str">
        <f ca="1"/>
        <v>Bad</v>
      </c>
    </row>
    <row r="8234" spans="2:34" x14ac:dyDescent="0.2">
      <c r="B8234" s="2">
        <f ca="1"/>
        <v>0.50083349174467551</v>
      </c>
      <c r="O8234" s="2">
        <f ca="1"/>
        <v>0.32941472661080118</v>
      </c>
      <c r="X8234" s="2">
        <f ca="1"/>
        <v>86.408122630537306</v>
      </c>
      <c r="AG8234" s="2">
        <f ca="1"/>
        <v>0.22468490952495346</v>
      </c>
      <c r="AH8234" s="2" t="str">
        <f ca="1"/>
        <v>OK</v>
      </c>
    </row>
    <row r="8235" spans="2:34" x14ac:dyDescent="0.2">
      <c r="B8235" s="2">
        <f ca="1"/>
        <v>0.40766656085365804</v>
      </c>
      <c r="O8235" s="2">
        <f ca="1"/>
        <v>-0.38816775520594876</v>
      </c>
      <c r="X8235" s="2">
        <f ca="1"/>
        <v>93.740699413036438</v>
      </c>
      <c r="AG8235" s="2">
        <f ca="1"/>
        <v>6.2840968922316609E-2</v>
      </c>
      <c r="AH8235" s="2" t="str">
        <f ca="1"/>
        <v>OK</v>
      </c>
    </row>
    <row r="8236" spans="2:34" x14ac:dyDescent="0.2">
      <c r="B8236" s="2">
        <f ca="1"/>
        <v>0.72011434943748287</v>
      </c>
      <c r="O8236" s="2">
        <f ca="1"/>
        <v>-1.504848394338689</v>
      </c>
      <c r="X8236" s="2">
        <f ca="1"/>
        <v>19.977895648325582</v>
      </c>
      <c r="AG8236" s="2">
        <f ca="1"/>
        <v>0.17983331826213478</v>
      </c>
      <c r="AH8236" s="2" t="str">
        <f ca="1"/>
        <v>OK</v>
      </c>
    </row>
    <row r="8237" spans="2:34" x14ac:dyDescent="0.2">
      <c r="B8237" s="2">
        <f ca="1"/>
        <v>1.1413982419014923E-2</v>
      </c>
      <c r="O8237" s="2">
        <f ca="1"/>
        <v>-1.3113856573459288</v>
      </c>
      <c r="X8237" s="2">
        <f ca="1"/>
        <v>69.888352969089411</v>
      </c>
      <c r="AG8237" s="2">
        <f ca="1"/>
        <v>0.99078011872308558</v>
      </c>
      <c r="AH8237" s="2" t="str">
        <f ca="1"/>
        <v>Bad</v>
      </c>
    </row>
    <row r="8238" spans="2:34" x14ac:dyDescent="0.2">
      <c r="B8238" s="2">
        <f ca="1"/>
        <v>0.48392243819423642</v>
      </c>
      <c r="O8238" s="2">
        <f ca="1"/>
        <v>-1.1682703933214302</v>
      </c>
      <c r="X8238" s="2">
        <f ca="1"/>
        <v>31.197709893842863</v>
      </c>
      <c r="AG8238" s="2">
        <f ca="1"/>
        <v>0.98182709090217424</v>
      </c>
      <c r="AH8238" s="2" t="str">
        <f ca="1"/>
        <v>Bad</v>
      </c>
    </row>
    <row r="8239" spans="2:34" x14ac:dyDescent="0.2">
      <c r="B8239" s="2">
        <f ca="1"/>
        <v>0.75247408027613738</v>
      </c>
      <c r="O8239" s="2">
        <f ca="1"/>
        <v>-0.78023599003695954</v>
      </c>
      <c r="X8239" s="2">
        <f ca="1"/>
        <v>51.475461541476193</v>
      </c>
      <c r="AG8239" s="2">
        <f ca="1"/>
        <v>0.14566684881687064</v>
      </c>
      <c r="AH8239" s="2" t="str">
        <f ca="1"/>
        <v>OK</v>
      </c>
    </row>
    <row r="8240" spans="2:34" x14ac:dyDescent="0.2">
      <c r="B8240" s="2">
        <f ca="1"/>
        <v>0.65041940243483332</v>
      </c>
      <c r="O8240" s="2">
        <f ca="1"/>
        <v>0.15905949574655848</v>
      </c>
      <c r="X8240" s="2">
        <f ca="1"/>
        <v>41.677119961827458</v>
      </c>
      <c r="AG8240" s="2">
        <f ca="1"/>
        <v>0.13704995865741765</v>
      </c>
      <c r="AH8240" s="2" t="str">
        <f ca="1"/>
        <v>OK</v>
      </c>
    </row>
    <row r="8241" spans="2:34" x14ac:dyDescent="0.2">
      <c r="B8241" s="2">
        <f ca="1"/>
        <v>0.2308807079601185</v>
      </c>
      <c r="O8241" s="2">
        <f ca="1"/>
        <v>-0.32071600058857719</v>
      </c>
      <c r="X8241" s="2">
        <f ca="1"/>
        <v>44.457142990070544</v>
      </c>
      <c r="AG8241" s="2">
        <f ca="1"/>
        <v>0.66275236087573397</v>
      </c>
      <c r="AH8241" s="2" t="str">
        <f ca="1"/>
        <v>Bad</v>
      </c>
    </row>
    <row r="8242" spans="2:34" x14ac:dyDescent="0.2">
      <c r="B8242" s="2">
        <f ca="1"/>
        <v>0.41200546159181317</v>
      </c>
      <c r="O8242" s="2">
        <f ca="1"/>
        <v>0.9175357221915359</v>
      </c>
      <c r="X8242" s="2">
        <f ca="1"/>
        <v>54.540535746307562</v>
      </c>
      <c r="AG8242" s="2">
        <f ca="1"/>
        <v>0.38524725692260819</v>
      </c>
      <c r="AH8242" s="2" t="str">
        <f ca="1"/>
        <v>OK</v>
      </c>
    </row>
    <row r="8243" spans="2:34" x14ac:dyDescent="0.2">
      <c r="B8243" s="2">
        <f ca="1"/>
        <v>0.79972640953608143</v>
      </c>
      <c r="O8243" s="2">
        <f ca="1"/>
        <v>-0.42400695523831955</v>
      </c>
      <c r="X8243" s="2">
        <f ca="1"/>
        <v>60.752012977456289</v>
      </c>
      <c r="AG8243" s="2">
        <f ca="1"/>
        <v>0.88896863951378036</v>
      </c>
      <c r="AH8243" s="2" t="str">
        <f ca="1"/>
        <v>Bad</v>
      </c>
    </row>
    <row r="8244" spans="2:34" x14ac:dyDescent="0.2">
      <c r="B8244" s="2">
        <f ca="1"/>
        <v>0.74451518340039446</v>
      </c>
      <c r="O8244" s="2">
        <f ca="1"/>
        <v>-9.6629266510769141E-2</v>
      </c>
      <c r="X8244" s="2">
        <f ca="1"/>
        <v>78.708392270962591</v>
      </c>
      <c r="AG8244" s="2">
        <f ca="1"/>
        <v>0.1776410035991185</v>
      </c>
      <c r="AH8244" s="2" t="str">
        <f ca="1"/>
        <v>OK</v>
      </c>
    </row>
    <row r="8245" spans="2:34" x14ac:dyDescent="0.2">
      <c r="B8245" s="2">
        <f ca="1"/>
        <v>0.89361695666124596</v>
      </c>
      <c r="O8245" s="2">
        <f ca="1"/>
        <v>1.3173785275211869</v>
      </c>
      <c r="X8245" s="2">
        <f ca="1"/>
        <v>31.186746089867405</v>
      </c>
      <c r="AG8245" s="2">
        <f ca="1"/>
        <v>0.68517910773196244</v>
      </c>
      <c r="AH8245" s="2" t="str">
        <f ca="1"/>
        <v>Bad</v>
      </c>
    </row>
    <row r="8246" spans="2:34" x14ac:dyDescent="0.2">
      <c r="B8246" s="2">
        <f ca="1"/>
        <v>0.12605817710009926</v>
      </c>
      <c r="O8246" s="2">
        <f ca="1"/>
        <v>-0.18382195471050725</v>
      </c>
      <c r="X8246" s="2">
        <f ca="1"/>
        <v>71.747155560453123</v>
      </c>
      <c r="AG8246" s="2">
        <f ca="1"/>
        <v>0.55253623179957234</v>
      </c>
      <c r="AH8246" s="2" t="str">
        <f ca="1"/>
        <v>Bad</v>
      </c>
    </row>
    <row r="8247" spans="2:34" x14ac:dyDescent="0.2">
      <c r="B8247" s="2">
        <f ca="1"/>
        <v>0.53169823515026926</v>
      </c>
      <c r="O8247" s="2">
        <f ca="1"/>
        <v>-0.5619712955337246</v>
      </c>
      <c r="X8247" s="2">
        <f ca="1"/>
        <v>69.200187685497383</v>
      </c>
      <c r="AG8247" s="2">
        <f ca="1"/>
        <v>0.76380266040937683</v>
      </c>
      <c r="AH8247" s="2" t="str">
        <f ca="1"/>
        <v>Bad</v>
      </c>
    </row>
    <row r="8248" spans="2:34" x14ac:dyDescent="0.2">
      <c r="B8248" s="2">
        <f ca="1"/>
        <v>0.63379885390381374</v>
      </c>
      <c r="O8248" s="2">
        <f ca="1"/>
        <v>1.4845790546373889</v>
      </c>
      <c r="X8248" s="2">
        <f ca="1"/>
        <v>36.040065731621567</v>
      </c>
      <c r="AG8248" s="2">
        <f ca="1"/>
        <v>0.14752842926464305</v>
      </c>
      <c r="AH8248" s="2" t="str">
        <f ca="1"/>
        <v>OK</v>
      </c>
    </row>
    <row r="8249" spans="2:34" x14ac:dyDescent="0.2">
      <c r="B8249" s="2">
        <f ca="1"/>
        <v>0.5582091643896625</v>
      </c>
      <c r="O8249" s="2">
        <f ca="1"/>
        <v>-0.65033130162211539</v>
      </c>
      <c r="X8249" s="2">
        <f ca="1"/>
        <v>39.803591746815698</v>
      </c>
      <c r="AG8249" s="2">
        <f ca="1"/>
        <v>0.93504970483940242</v>
      </c>
      <c r="AH8249" s="2" t="str">
        <f ca="1"/>
        <v>Bad</v>
      </c>
    </row>
    <row r="8250" spans="2:34" x14ac:dyDescent="0.2">
      <c r="B8250" s="2">
        <f ca="1"/>
        <v>0.5107971000447491</v>
      </c>
      <c r="O8250" s="2">
        <f ca="1"/>
        <v>2.2654506424923402</v>
      </c>
      <c r="X8250" s="2">
        <f ca="1"/>
        <v>60.310570987356925</v>
      </c>
      <c r="AG8250" s="2">
        <f ca="1"/>
        <v>3.3770506667399003E-2</v>
      </c>
      <c r="AH8250" s="2" t="str">
        <f ca="1"/>
        <v>Good</v>
      </c>
    </row>
    <row r="8251" spans="2:34" x14ac:dyDescent="0.2">
      <c r="B8251" s="2">
        <f ca="1"/>
        <v>0.5201741260665167</v>
      </c>
      <c r="O8251" s="2">
        <f ca="1"/>
        <v>0.89910001092366554</v>
      </c>
      <c r="X8251" s="2">
        <f ca="1"/>
        <v>85.902004778057915</v>
      </c>
      <c r="AG8251" s="2">
        <f ca="1"/>
        <v>0.82055841647946215</v>
      </c>
      <c r="AH8251" s="2" t="str">
        <f ca="1"/>
        <v>Bad</v>
      </c>
    </row>
    <row r="8252" spans="2:34" x14ac:dyDescent="0.2">
      <c r="B8252" s="2">
        <f ca="1"/>
        <v>0.10097908615887796</v>
      </c>
      <c r="O8252" s="2">
        <f ca="1"/>
        <v>0.34415277788832138</v>
      </c>
      <c r="X8252" s="2">
        <f ca="1"/>
        <v>50.821860359329598</v>
      </c>
      <c r="AG8252" s="2">
        <f ca="1"/>
        <v>0.49913098629469999</v>
      </c>
      <c r="AH8252" s="2" t="str">
        <f ca="1"/>
        <v>Bad</v>
      </c>
    </row>
    <row r="8253" spans="2:34" x14ac:dyDescent="0.2">
      <c r="B8253" s="2">
        <f ca="1"/>
        <v>0.72031306771348524</v>
      </c>
      <c r="O8253" s="2">
        <f ca="1"/>
        <v>1.9253135272620399</v>
      </c>
      <c r="X8253" s="2">
        <f ca="1"/>
        <v>52.554012299977522</v>
      </c>
      <c r="AG8253" s="2">
        <f ca="1"/>
        <v>0.94189974801606602</v>
      </c>
      <c r="AH8253" s="2" t="str">
        <f ca="1"/>
        <v>Bad</v>
      </c>
    </row>
    <row r="8254" spans="2:34" x14ac:dyDescent="0.2">
      <c r="B8254" s="2">
        <f ca="1"/>
        <v>0.44963677412229797</v>
      </c>
      <c r="O8254" s="2">
        <f ca="1"/>
        <v>-1.643525102105768</v>
      </c>
      <c r="X8254" s="2">
        <f ca="1"/>
        <v>53.87926877239353</v>
      </c>
      <c r="AG8254" s="2">
        <f ca="1"/>
        <v>0.898396733301001</v>
      </c>
      <c r="AH8254" s="2" t="str">
        <f ca="1"/>
        <v>Bad</v>
      </c>
    </row>
    <row r="8255" spans="2:34" x14ac:dyDescent="0.2">
      <c r="B8255" s="2">
        <f ca="1"/>
        <v>0.84627180956086701</v>
      </c>
      <c r="O8255" s="2">
        <f ca="1"/>
        <v>1.7081961217339552</v>
      </c>
      <c r="X8255" s="2">
        <f ca="1"/>
        <v>35.967048767278513</v>
      </c>
      <c r="AG8255" s="2">
        <f ca="1"/>
        <v>0.47762729794418624</v>
      </c>
      <c r="AH8255" s="2" t="str">
        <f ca="1"/>
        <v>Bad</v>
      </c>
    </row>
    <row r="8256" spans="2:34" x14ac:dyDescent="0.2">
      <c r="B8256" s="2">
        <f ca="1"/>
        <v>0.56443629560092834</v>
      </c>
      <c r="O8256" s="2">
        <f ca="1"/>
        <v>-0.24698170233729477</v>
      </c>
      <c r="X8256" s="2">
        <f ca="1"/>
        <v>72.377318837822727</v>
      </c>
      <c r="AG8256" s="2">
        <f ca="1"/>
        <v>0.16301014058008079</v>
      </c>
      <c r="AH8256" s="2" t="str">
        <f ca="1"/>
        <v>OK</v>
      </c>
    </row>
    <row r="8257" spans="2:34" x14ac:dyDescent="0.2">
      <c r="B8257" s="2">
        <f ca="1"/>
        <v>0.83210188241361904</v>
      </c>
      <c r="O8257" s="2">
        <f ca="1"/>
        <v>1.5791708130602216</v>
      </c>
      <c r="X8257" s="2">
        <f ca="1"/>
        <v>52.721943039060989</v>
      </c>
      <c r="AG8257" s="2">
        <f ca="1"/>
        <v>0.32434631322172036</v>
      </c>
      <c r="AH8257" s="2" t="str">
        <f ca="1"/>
        <v>OK</v>
      </c>
    </row>
    <row r="8258" spans="2:34" x14ac:dyDescent="0.2">
      <c r="B8258" s="2">
        <f ca="1"/>
        <v>0.65523743785571797</v>
      </c>
      <c r="O8258" s="2">
        <f ca="1"/>
        <v>-1.4250689489888582</v>
      </c>
      <c r="X8258" s="2">
        <f ca="1"/>
        <v>57.325422058664621</v>
      </c>
      <c r="AG8258" s="2">
        <f ca="1"/>
        <v>0.64262831732596704</v>
      </c>
      <c r="AH8258" s="2" t="str">
        <f ca="1"/>
        <v>Bad</v>
      </c>
    </row>
    <row r="8259" spans="2:34" x14ac:dyDescent="0.2">
      <c r="B8259" s="2">
        <f ca="1"/>
        <v>0.4423310431827121</v>
      </c>
      <c r="O8259" s="2">
        <f ca="1"/>
        <v>0.18453565469751904</v>
      </c>
      <c r="X8259" s="2">
        <f ca="1"/>
        <v>32.40479249865411</v>
      </c>
      <c r="AG8259" s="2">
        <f ca="1"/>
        <v>0.20459175482546743</v>
      </c>
      <c r="AH8259" s="2" t="str">
        <f ca="1"/>
        <v>OK</v>
      </c>
    </row>
    <row r="8260" spans="2:34" x14ac:dyDescent="0.2">
      <c r="B8260" s="2">
        <f ca="1"/>
        <v>0.78159481623412463</v>
      </c>
      <c r="O8260" s="2">
        <f ca="1"/>
        <v>-1.8433246116525417</v>
      </c>
      <c r="X8260" s="2">
        <f ca="1"/>
        <v>58.659677262710858</v>
      </c>
      <c r="AG8260" s="2">
        <f ca="1"/>
        <v>0.94658499409610952</v>
      </c>
      <c r="AH8260" s="2" t="str">
        <f ca="1"/>
        <v>Bad</v>
      </c>
    </row>
    <row r="8261" spans="2:34" x14ac:dyDescent="0.2">
      <c r="B8261" s="2">
        <f ca="1"/>
        <v>0.72920901517324732</v>
      </c>
      <c r="O8261" s="2">
        <f ca="1"/>
        <v>-0.87818308514167553</v>
      </c>
      <c r="X8261" s="2">
        <f ca="1"/>
        <v>62.62083614317654</v>
      </c>
      <c r="AG8261" s="2">
        <f ca="1"/>
        <v>0.54681344810380272</v>
      </c>
      <c r="AH8261" s="2" t="str">
        <f ca="1"/>
        <v>Bad</v>
      </c>
    </row>
    <row r="8262" spans="2:34" x14ac:dyDescent="0.2">
      <c r="B8262" s="2">
        <f ca="1"/>
        <v>0.75637067533517266</v>
      </c>
      <c r="O8262" s="2">
        <f ca="1"/>
        <v>0.35010140947651081</v>
      </c>
      <c r="X8262" s="2">
        <f ca="1"/>
        <v>57.243087428334498</v>
      </c>
      <c r="AG8262" s="2">
        <f ca="1"/>
        <v>0.94387145322672628</v>
      </c>
      <c r="AH8262" s="2" t="str">
        <f ca="1"/>
        <v>Bad</v>
      </c>
    </row>
    <row r="8263" spans="2:34" x14ac:dyDescent="0.2">
      <c r="B8263" s="2">
        <f ca="1"/>
        <v>0.96293144301579581</v>
      </c>
      <c r="O8263" s="2">
        <f ca="1"/>
        <v>0.48022401904581713</v>
      </c>
      <c r="X8263" s="2">
        <f ca="1"/>
        <v>36.925146325913424</v>
      </c>
      <c r="AG8263" s="2">
        <f ca="1"/>
        <v>0.65303652737789131</v>
      </c>
      <c r="AH8263" s="2" t="str">
        <f ca="1"/>
        <v>Bad</v>
      </c>
    </row>
    <row r="8264" spans="2:34" x14ac:dyDescent="0.2">
      <c r="B8264" s="2">
        <f ca="1"/>
        <v>6.2239756746119701E-2</v>
      </c>
      <c r="O8264" s="2">
        <f ca="1"/>
        <v>1.3010465107734215</v>
      </c>
      <c r="X8264" s="2">
        <f ca="1"/>
        <v>52.028418131020644</v>
      </c>
      <c r="AG8264" s="2">
        <f ca="1"/>
        <v>0.42804394662476186</v>
      </c>
      <c r="AH8264" s="2" t="str">
        <f ca="1"/>
        <v>Bad</v>
      </c>
    </row>
    <row r="8265" spans="2:34" x14ac:dyDescent="0.2">
      <c r="B8265" s="2">
        <f ca="1"/>
        <v>0.98537117468333979</v>
      </c>
      <c r="O8265" s="2">
        <f ca="1"/>
        <v>-0.91291296893768248</v>
      </c>
      <c r="X8265" s="2">
        <f ca="1"/>
        <v>65.508222634180754</v>
      </c>
      <c r="AG8265" s="2">
        <f ca="1"/>
        <v>0.9325904505876097</v>
      </c>
      <c r="AH8265" s="2" t="str">
        <f ca="1"/>
        <v>Bad</v>
      </c>
    </row>
    <row r="8266" spans="2:34" x14ac:dyDescent="0.2">
      <c r="B8266" s="2">
        <f ca="1"/>
        <v>0.3183588780095099</v>
      </c>
      <c r="O8266" s="2">
        <f ca="1"/>
        <v>0.11070952679676682</v>
      </c>
      <c r="X8266" s="2">
        <f ca="1"/>
        <v>27.523258289817328</v>
      </c>
      <c r="AG8266" s="2">
        <f ca="1"/>
        <v>0.68566360505470625</v>
      </c>
      <c r="AH8266" s="2" t="str">
        <f ca="1"/>
        <v>Bad</v>
      </c>
    </row>
    <row r="8267" spans="2:34" x14ac:dyDescent="0.2">
      <c r="B8267" s="2">
        <f ca="1"/>
        <v>0.94766795597050835</v>
      </c>
      <c r="O8267" s="2">
        <f ca="1"/>
        <v>-0.58100553286166234</v>
      </c>
      <c r="X8267" s="2">
        <f ca="1"/>
        <v>50.55461089117167</v>
      </c>
      <c r="AG8267" s="2">
        <f ca="1"/>
        <v>0.86454914101200209</v>
      </c>
      <c r="AH8267" s="2" t="str">
        <f ca="1"/>
        <v>Bad</v>
      </c>
    </row>
    <row r="8268" spans="2:34" x14ac:dyDescent="0.2">
      <c r="B8268" s="2">
        <f ca="1"/>
        <v>4.2613573631599788E-2</v>
      </c>
      <c r="O8268" s="2">
        <f ca="1"/>
        <v>0.34234201430953087</v>
      </c>
      <c r="X8268" s="2">
        <f ca="1"/>
        <v>35.781213749892167</v>
      </c>
      <c r="AG8268" s="2">
        <f ca="1"/>
        <v>0.10657511311008139</v>
      </c>
      <c r="AH8268" s="2" t="str">
        <f ca="1"/>
        <v>OK</v>
      </c>
    </row>
    <row r="8269" spans="2:34" x14ac:dyDescent="0.2">
      <c r="B8269" s="2">
        <f ca="1"/>
        <v>0.81370905022614748</v>
      </c>
      <c r="O8269" s="2">
        <f ca="1"/>
        <v>-1.0567630729136037</v>
      </c>
      <c r="X8269" s="2">
        <f ca="1"/>
        <v>41.24808268992097</v>
      </c>
      <c r="AG8269" s="2">
        <f ca="1"/>
        <v>0.76020199710900793</v>
      </c>
      <c r="AH8269" s="2" t="str">
        <f ca="1"/>
        <v>Bad</v>
      </c>
    </row>
    <row r="8270" spans="2:34" x14ac:dyDescent="0.2">
      <c r="B8270" s="2">
        <f ca="1"/>
        <v>0.10353119855789861</v>
      </c>
      <c r="O8270" s="2">
        <f ca="1"/>
        <v>0.49117798050108524</v>
      </c>
      <c r="X8270" s="2">
        <f ca="1"/>
        <v>37.572803322342139</v>
      </c>
      <c r="AG8270" s="2">
        <f ca="1"/>
        <v>0.47984412570753188</v>
      </c>
      <c r="AH8270" s="2" t="str">
        <f ca="1"/>
        <v>Bad</v>
      </c>
    </row>
    <row r="8271" spans="2:34" x14ac:dyDescent="0.2">
      <c r="B8271" s="2">
        <f ca="1"/>
        <v>8.9571357499784732E-3</v>
      </c>
      <c r="O8271" s="2">
        <f ca="1"/>
        <v>2.1607787963761095E-2</v>
      </c>
      <c r="X8271" s="2">
        <f ca="1"/>
        <v>71.211054296260016</v>
      </c>
      <c r="AG8271" s="2">
        <f ca="1"/>
        <v>0.69052419511310026</v>
      </c>
      <c r="AH8271" s="2" t="str">
        <f ca="1"/>
        <v>Bad</v>
      </c>
    </row>
    <row r="8272" spans="2:34" x14ac:dyDescent="0.2">
      <c r="B8272" s="2">
        <f ca="1"/>
        <v>0.72029346845973108</v>
      </c>
      <c r="O8272" s="2">
        <f ca="1"/>
        <v>0.34355915768305811</v>
      </c>
      <c r="X8272" s="2">
        <f ca="1"/>
        <v>67.031032526547094</v>
      </c>
      <c r="AG8272" s="2">
        <f ca="1"/>
        <v>0.20259908827935513</v>
      </c>
      <c r="AH8272" s="2" t="str">
        <f ca="1"/>
        <v>OK</v>
      </c>
    </row>
    <row r="8273" spans="2:34" x14ac:dyDescent="0.2">
      <c r="B8273" s="2">
        <f ca="1"/>
        <v>0.56738135511367638</v>
      </c>
      <c r="O8273" s="2">
        <f ca="1"/>
        <v>0.97126625928139199</v>
      </c>
      <c r="X8273" s="2">
        <f ca="1"/>
        <v>60.261645471968102</v>
      </c>
      <c r="AG8273" s="2">
        <f ca="1"/>
        <v>0.50569262896086165</v>
      </c>
      <c r="AH8273" s="2" t="str">
        <f ca="1"/>
        <v>Bad</v>
      </c>
    </row>
    <row r="8274" spans="2:34" x14ac:dyDescent="0.2">
      <c r="B8274" s="2">
        <f ca="1"/>
        <v>0.60741013727796922</v>
      </c>
      <c r="O8274" s="2">
        <f ca="1"/>
        <v>1.5000946757549145</v>
      </c>
      <c r="X8274" s="2">
        <f ca="1"/>
        <v>60.58184385429562</v>
      </c>
      <c r="AG8274" s="2">
        <f ca="1"/>
        <v>0.90443579979027522</v>
      </c>
      <c r="AH8274" s="2" t="str">
        <f ca="1"/>
        <v>Bad</v>
      </c>
    </row>
    <row r="8275" spans="2:34" x14ac:dyDescent="0.2">
      <c r="B8275" s="2">
        <f ca="1"/>
        <v>0.68683405896172522</v>
      </c>
      <c r="O8275" s="2">
        <f ca="1"/>
        <v>-1.737204471046929</v>
      </c>
      <c r="X8275" s="2">
        <f ca="1"/>
        <v>20.663522765446729</v>
      </c>
      <c r="AG8275" s="2">
        <f ca="1"/>
        <v>0.2250246794877262</v>
      </c>
      <c r="AH8275" s="2" t="str">
        <f ca="1"/>
        <v>OK</v>
      </c>
    </row>
    <row r="8276" spans="2:34" x14ac:dyDescent="0.2">
      <c r="B8276" s="2">
        <f ca="1"/>
        <v>0.56825458861341693</v>
      </c>
      <c r="O8276" s="2">
        <f ca="1"/>
        <v>1.9277396628921258E-2</v>
      </c>
      <c r="X8276" s="2">
        <f ca="1"/>
        <v>78.90278592342645</v>
      </c>
      <c r="AG8276" s="2">
        <f ca="1"/>
        <v>0.78944466068408548</v>
      </c>
      <c r="AH8276" s="2" t="str">
        <f ca="1"/>
        <v>Bad</v>
      </c>
    </row>
    <row r="8277" spans="2:34" x14ac:dyDescent="0.2">
      <c r="B8277" s="2">
        <f ca="1"/>
        <v>0.32925749599432663</v>
      </c>
      <c r="O8277" s="2">
        <f ca="1"/>
        <v>2.4968825980436264</v>
      </c>
      <c r="X8277" s="2">
        <f ca="1"/>
        <v>82.918648829620238</v>
      </c>
      <c r="AG8277" s="2">
        <f ca="1"/>
        <v>0.88127278089521233</v>
      </c>
      <c r="AH8277" s="2" t="str">
        <f ca="1"/>
        <v>Bad</v>
      </c>
    </row>
    <row r="8278" spans="2:34" x14ac:dyDescent="0.2">
      <c r="B8278" s="2">
        <f ca="1"/>
        <v>5.0335711051617382E-2</v>
      </c>
      <c r="O8278" s="2">
        <f ca="1"/>
        <v>-0.15088092633887304</v>
      </c>
      <c r="X8278" s="2">
        <f ca="1"/>
        <v>21.355320712816599</v>
      </c>
      <c r="AG8278" s="2">
        <f ca="1"/>
        <v>0.56608912881794771</v>
      </c>
      <c r="AH8278" s="2" t="str">
        <f ca="1"/>
        <v>Bad</v>
      </c>
    </row>
    <row r="8279" spans="2:34" x14ac:dyDescent="0.2">
      <c r="B8279" s="2">
        <f ca="1"/>
        <v>0.77908415167285572</v>
      </c>
      <c r="O8279" s="2">
        <f ca="1"/>
        <v>-4.9387798095850498E-2</v>
      </c>
      <c r="X8279" s="2">
        <f ca="1"/>
        <v>27.078464172048655</v>
      </c>
      <c r="AG8279" s="2">
        <f ca="1"/>
        <v>0.63354040036237191</v>
      </c>
      <c r="AH8279" s="2" t="str">
        <f ca="1"/>
        <v>Bad</v>
      </c>
    </row>
    <row r="8280" spans="2:34" x14ac:dyDescent="0.2">
      <c r="B8280" s="2">
        <f ca="1"/>
        <v>8.0159181074228592E-2</v>
      </c>
      <c r="O8280" s="2">
        <f ca="1"/>
        <v>-0.16647211825375685</v>
      </c>
      <c r="X8280" s="2">
        <f ca="1"/>
        <v>65.642624392103073</v>
      </c>
      <c r="AG8280" s="2">
        <f ca="1"/>
        <v>6.4353515861982125E-2</v>
      </c>
      <c r="AH8280" s="2" t="str">
        <f ca="1"/>
        <v>OK</v>
      </c>
    </row>
    <row r="8281" spans="2:34" x14ac:dyDescent="0.2">
      <c r="B8281" s="2">
        <f ca="1"/>
        <v>3.7859984701942961E-2</v>
      </c>
      <c r="O8281" s="2">
        <f ca="1"/>
        <v>-0.5945686388607907</v>
      </c>
      <c r="X8281" s="2">
        <f ca="1"/>
        <v>38.905989165130194</v>
      </c>
      <c r="AG8281" s="2">
        <f ca="1"/>
        <v>0.74332498289745885</v>
      </c>
      <c r="AH8281" s="2" t="str">
        <f ca="1"/>
        <v>Bad</v>
      </c>
    </row>
    <row r="8282" spans="2:34" x14ac:dyDescent="0.2">
      <c r="B8282" s="2">
        <f ca="1"/>
        <v>0.42564175050738329</v>
      </c>
      <c r="O8282" s="2">
        <f ca="1"/>
        <v>1.4070007189370748</v>
      </c>
      <c r="X8282" s="2">
        <f ca="1"/>
        <v>78.999375844060864</v>
      </c>
      <c r="AG8282" s="2">
        <f ca="1"/>
        <v>0.56569035823766467</v>
      </c>
      <c r="AH8282" s="2" t="str">
        <f ca="1"/>
        <v>Bad</v>
      </c>
    </row>
    <row r="8283" spans="2:34" x14ac:dyDescent="0.2">
      <c r="B8283" s="2">
        <f ca="1"/>
        <v>0.97056238917022553</v>
      </c>
      <c r="O8283" s="2">
        <f ca="1"/>
        <v>0.78229146304700803</v>
      </c>
      <c r="X8283" s="2">
        <f ca="1"/>
        <v>26.098426225768556</v>
      </c>
      <c r="AG8283" s="2">
        <f ca="1"/>
        <v>0.18290061875135799</v>
      </c>
      <c r="AH8283" s="2" t="str">
        <f ca="1"/>
        <v>OK</v>
      </c>
    </row>
    <row r="8284" spans="2:34" x14ac:dyDescent="0.2">
      <c r="B8284" s="2">
        <f ca="1"/>
        <v>0.38512312648777036</v>
      </c>
      <c r="O8284" s="2">
        <f ca="1"/>
        <v>0.12601935767005301</v>
      </c>
      <c r="X8284" s="2">
        <f ca="1"/>
        <v>67.922322096646326</v>
      </c>
      <c r="AG8284" s="2">
        <f ca="1"/>
        <v>0.44740164567869378</v>
      </c>
      <c r="AH8284" s="2" t="str">
        <f ca="1"/>
        <v>Bad</v>
      </c>
    </row>
    <row r="8285" spans="2:34" x14ac:dyDescent="0.2">
      <c r="B8285" s="2">
        <f ca="1"/>
        <v>0.89982965675171234</v>
      </c>
      <c r="O8285" s="2">
        <f ca="1"/>
        <v>-0.24576829367028916</v>
      </c>
      <c r="X8285" s="2">
        <f ca="1"/>
        <v>54.652828750267545</v>
      </c>
      <c r="AG8285" s="2">
        <f ca="1"/>
        <v>0.85607472674434204</v>
      </c>
      <c r="AH8285" s="2" t="str">
        <f ca="1"/>
        <v>Bad</v>
      </c>
    </row>
    <row r="8286" spans="2:34" x14ac:dyDescent="0.2">
      <c r="B8286" s="2">
        <f ca="1"/>
        <v>0.92705272842613073</v>
      </c>
      <c r="O8286" s="2">
        <f ca="1"/>
        <v>-0.4310846096622013</v>
      </c>
      <c r="X8286" s="2">
        <f ca="1"/>
        <v>65.171812801193909</v>
      </c>
      <c r="AG8286" s="2">
        <f ca="1"/>
        <v>0.55121035003883145</v>
      </c>
      <c r="AH8286" s="2" t="str">
        <f ca="1"/>
        <v>Bad</v>
      </c>
    </row>
    <row r="8287" spans="2:34" x14ac:dyDescent="0.2">
      <c r="B8287" s="2">
        <f ca="1"/>
        <v>0.42529519892533285</v>
      </c>
      <c r="O8287" s="2">
        <f ca="1"/>
        <v>-2.2083094205879132</v>
      </c>
      <c r="X8287" s="2">
        <f ca="1"/>
        <v>39.674009344035511</v>
      </c>
      <c r="AG8287" s="2">
        <f ca="1"/>
        <v>0.94682577613383279</v>
      </c>
      <c r="AH8287" s="2" t="str">
        <f ca="1"/>
        <v>Bad</v>
      </c>
    </row>
    <row r="8288" spans="2:34" x14ac:dyDescent="0.2">
      <c r="B8288" s="2">
        <f ca="1"/>
        <v>0.10086358301681253</v>
      </c>
      <c r="O8288" s="2">
        <f ca="1"/>
        <v>-1.5682352061368119</v>
      </c>
      <c r="X8288" s="2">
        <f ca="1"/>
        <v>26.386562890676156</v>
      </c>
      <c r="AG8288" s="2">
        <f ca="1"/>
        <v>0.72313627441799966</v>
      </c>
      <c r="AH8288" s="2" t="str">
        <f ca="1"/>
        <v>Bad</v>
      </c>
    </row>
    <row r="8289" spans="2:34" x14ac:dyDescent="0.2">
      <c r="B8289" s="2">
        <f ca="1"/>
        <v>0.96821337779967909</v>
      </c>
      <c r="O8289" s="2">
        <f ca="1"/>
        <v>0.1311754324448885</v>
      </c>
      <c r="X8289" s="2">
        <f ca="1"/>
        <v>34.412726553379962</v>
      </c>
      <c r="AG8289" s="2">
        <f ca="1"/>
        <v>0.34785745049449535</v>
      </c>
      <c r="AH8289" s="2" t="str">
        <f ca="1"/>
        <v>OK</v>
      </c>
    </row>
    <row r="8290" spans="2:34" x14ac:dyDescent="0.2">
      <c r="B8290" s="2">
        <f ca="1"/>
        <v>0.50759599674089428</v>
      </c>
      <c r="O8290" s="2">
        <f ca="1"/>
        <v>-0.16479207237626953</v>
      </c>
      <c r="X8290" s="2">
        <f ca="1"/>
        <v>64.442163966659876</v>
      </c>
      <c r="AG8290" s="2">
        <f ca="1"/>
        <v>0.76832146041007277</v>
      </c>
      <c r="AH8290" s="2" t="str">
        <f ca="1"/>
        <v>Bad</v>
      </c>
    </row>
    <row r="8291" spans="2:34" x14ac:dyDescent="0.2">
      <c r="B8291" s="2">
        <f ca="1"/>
        <v>0.99320679250099153</v>
      </c>
      <c r="O8291" s="2">
        <f ca="1"/>
        <v>-0.14215588531226456</v>
      </c>
      <c r="X8291" s="2">
        <f ca="1"/>
        <v>56.825592165239939</v>
      </c>
      <c r="AG8291" s="2">
        <f ca="1"/>
        <v>0.81728477100756569</v>
      </c>
      <c r="AH8291" s="2" t="str">
        <f ca="1"/>
        <v>Bad</v>
      </c>
    </row>
    <row r="8292" spans="2:34" x14ac:dyDescent="0.2">
      <c r="B8292" s="2">
        <f ca="1"/>
        <v>0.54167815062233826</v>
      </c>
      <c r="O8292" s="2">
        <f ca="1"/>
        <v>-0.94976307063741683</v>
      </c>
      <c r="X8292" s="2">
        <f ca="1"/>
        <v>24.437131944652862</v>
      </c>
      <c r="AG8292" s="2">
        <f ca="1"/>
        <v>0.31530245974315418</v>
      </c>
      <c r="AH8292" s="2" t="str">
        <f ca="1"/>
        <v>OK</v>
      </c>
    </row>
    <row r="8293" spans="2:34" x14ac:dyDescent="0.2">
      <c r="B8293" s="2">
        <f ca="1"/>
        <v>0.10491905809546642</v>
      </c>
      <c r="O8293" s="2">
        <f ca="1"/>
        <v>1.438375889925037</v>
      </c>
      <c r="X8293" s="2">
        <f ca="1"/>
        <v>51.865624252318334</v>
      </c>
      <c r="AG8293" s="2">
        <f ca="1"/>
        <v>0.72485889104517875</v>
      </c>
      <c r="AH8293" s="2" t="str">
        <f ca="1"/>
        <v>Bad</v>
      </c>
    </row>
    <row r="8294" spans="2:34" x14ac:dyDescent="0.2">
      <c r="B8294" s="2">
        <f ca="1"/>
        <v>0.532508150412206</v>
      </c>
      <c r="O8294" s="2">
        <f ca="1"/>
        <v>-0.18857106640427546</v>
      </c>
      <c r="X8294" s="2">
        <f ca="1"/>
        <v>37.050780067175552</v>
      </c>
      <c r="AG8294" s="2">
        <f ca="1"/>
        <v>0.50034201228083752</v>
      </c>
      <c r="AH8294" s="2" t="str">
        <f ca="1"/>
        <v>Bad</v>
      </c>
    </row>
    <row r="8295" spans="2:34" x14ac:dyDescent="0.2">
      <c r="B8295" s="2">
        <f ca="1"/>
        <v>0.97798073992846701</v>
      </c>
      <c r="O8295" s="2">
        <f ca="1"/>
        <v>0.54875524551911337</v>
      </c>
      <c r="X8295" s="2">
        <f ca="1"/>
        <v>64.178704808415944</v>
      </c>
      <c r="AG8295" s="2">
        <f ca="1"/>
        <v>0.74854172855004064</v>
      </c>
      <c r="AH8295" s="2" t="str">
        <f ca="1"/>
        <v>Bad</v>
      </c>
    </row>
    <row r="8296" spans="2:34" x14ac:dyDescent="0.2">
      <c r="B8296" s="2">
        <f ca="1"/>
        <v>0.53110113298193662</v>
      </c>
      <c r="O8296" s="2">
        <f ca="1"/>
        <v>1.8828553524888216</v>
      </c>
      <c r="X8296" s="2">
        <f ca="1"/>
        <v>26.449918225488243</v>
      </c>
      <c r="AG8296" s="2">
        <f ca="1"/>
        <v>0.9251044220234228</v>
      </c>
      <c r="AH8296" s="2" t="str">
        <f ca="1"/>
        <v>Bad</v>
      </c>
    </row>
    <row r="8297" spans="2:34" x14ac:dyDescent="0.2">
      <c r="B8297" s="2">
        <f ca="1"/>
        <v>0.32896052991334401</v>
      </c>
      <c r="O8297" s="2">
        <f ca="1"/>
        <v>-0.25913251403607912</v>
      </c>
      <c r="X8297" s="2">
        <f ca="1"/>
        <v>41.355358916621341</v>
      </c>
      <c r="AG8297" s="2">
        <f ca="1"/>
        <v>0.59599974772273367</v>
      </c>
      <c r="AH8297" s="2" t="str">
        <f ca="1"/>
        <v>Bad</v>
      </c>
    </row>
    <row r="8298" spans="2:34" x14ac:dyDescent="0.2">
      <c r="B8298" s="2">
        <f ca="1"/>
        <v>0.89584762112384042</v>
      </c>
      <c r="O8298" s="2">
        <f ca="1"/>
        <v>0.20803645558000333</v>
      </c>
      <c r="X8298" s="2">
        <f ca="1"/>
        <v>58.564735050732857</v>
      </c>
      <c r="AG8298" s="2">
        <f ca="1"/>
        <v>0.20517958198977038</v>
      </c>
      <c r="AH8298" s="2" t="str">
        <f ca="1"/>
        <v>OK</v>
      </c>
    </row>
    <row r="8299" spans="2:34" x14ac:dyDescent="0.2">
      <c r="B8299" s="2">
        <f ca="1"/>
        <v>0.80396773911318986</v>
      </c>
      <c r="O8299" s="2">
        <f ca="1"/>
        <v>-0.20463464719311503</v>
      </c>
      <c r="X8299" s="2">
        <f ca="1"/>
        <v>52.155058507998085</v>
      </c>
      <c r="AG8299" s="2">
        <f ca="1"/>
        <v>0.79993665439733541</v>
      </c>
      <c r="AH8299" s="2" t="str">
        <f ca="1"/>
        <v>Bad</v>
      </c>
    </row>
    <row r="8300" spans="2:34" x14ac:dyDescent="0.2">
      <c r="B8300" s="2">
        <f ca="1"/>
        <v>0.33251211060389685</v>
      </c>
      <c r="O8300" s="2">
        <f ca="1"/>
        <v>0.23320587229620215</v>
      </c>
      <c r="X8300" s="2">
        <f ca="1"/>
        <v>26.230703155312256</v>
      </c>
      <c r="AG8300" s="2">
        <f ca="1"/>
        <v>0.70102551457153406</v>
      </c>
      <c r="AH8300" s="2" t="str">
        <f ca="1"/>
        <v>Bad</v>
      </c>
    </row>
    <row r="8301" spans="2:34" x14ac:dyDescent="0.2">
      <c r="B8301" s="2">
        <f ca="1"/>
        <v>0.17529136971060466</v>
      </c>
      <c r="O8301" s="2">
        <f ca="1"/>
        <v>-1.0239238112674927</v>
      </c>
      <c r="X8301" s="2">
        <f ca="1"/>
        <v>40.108443415394319</v>
      </c>
      <c r="AG8301" s="2">
        <f ca="1"/>
        <v>6.5165878696343826E-2</v>
      </c>
      <c r="AH8301" s="2" t="str">
        <f ca="1"/>
        <v>OK</v>
      </c>
    </row>
    <row r="8302" spans="2:34" x14ac:dyDescent="0.2">
      <c r="B8302" s="2">
        <f ca="1"/>
        <v>0.57466252590457589</v>
      </c>
      <c r="O8302" s="2">
        <f ca="1"/>
        <v>0.26511662418568005</v>
      </c>
      <c r="X8302" s="2">
        <f ca="1"/>
        <v>38.520465093006408</v>
      </c>
      <c r="AG8302" s="2">
        <f ca="1"/>
        <v>0.23393641231393913</v>
      </c>
      <c r="AH8302" s="2" t="str">
        <f ca="1"/>
        <v>OK</v>
      </c>
    </row>
    <row r="8303" spans="2:34" x14ac:dyDescent="0.2">
      <c r="B8303" s="2">
        <f ca="1"/>
        <v>0.27223034099081245</v>
      </c>
      <c r="O8303" s="2">
        <f ca="1"/>
        <v>-1.2727378241167457</v>
      </c>
      <c r="X8303" s="2">
        <f ca="1"/>
        <v>39.662601260974867</v>
      </c>
      <c r="AG8303" s="2">
        <f ca="1"/>
        <v>9.9914149310723843E-2</v>
      </c>
      <c r="AH8303" s="2" t="str">
        <f ca="1"/>
        <v>OK</v>
      </c>
    </row>
    <row r="8304" spans="2:34" x14ac:dyDescent="0.2">
      <c r="B8304" s="2">
        <f ca="1"/>
        <v>0.37558905985235613</v>
      </c>
      <c r="O8304" s="2">
        <f ca="1"/>
        <v>-2.48322591937128</v>
      </c>
      <c r="X8304" s="2">
        <f ca="1"/>
        <v>57.990052768884929</v>
      </c>
      <c r="AG8304" s="2">
        <f ca="1"/>
        <v>0.62837350113395152</v>
      </c>
      <c r="AH8304" s="2" t="str">
        <f ca="1"/>
        <v>Bad</v>
      </c>
    </row>
    <row r="8305" spans="2:34" x14ac:dyDescent="0.2">
      <c r="B8305" s="2">
        <f ca="1"/>
        <v>2.5902343110921322E-2</v>
      </c>
      <c r="O8305" s="2">
        <f ca="1"/>
        <v>-0.81769896281899146</v>
      </c>
      <c r="X8305" s="2">
        <f ca="1"/>
        <v>65.846742352283712</v>
      </c>
      <c r="AG8305" s="2">
        <f ca="1"/>
        <v>0.44984395595126725</v>
      </c>
      <c r="AH8305" s="2" t="str">
        <f ca="1"/>
        <v>Bad</v>
      </c>
    </row>
    <row r="8306" spans="2:34" x14ac:dyDescent="0.2">
      <c r="B8306" s="2">
        <f ca="1"/>
        <v>0.45884229411582411</v>
      </c>
      <c r="O8306" s="2">
        <f ca="1"/>
        <v>0.25817934716817598</v>
      </c>
      <c r="X8306" s="2">
        <f ca="1"/>
        <v>44.633344172326701</v>
      </c>
      <c r="AG8306" s="2">
        <f ca="1"/>
        <v>0.35803433548405206</v>
      </c>
      <c r="AH8306" s="2" t="str">
        <f ca="1"/>
        <v>OK</v>
      </c>
    </row>
    <row r="8307" spans="2:34" x14ac:dyDescent="0.2">
      <c r="B8307" s="2">
        <f ca="1"/>
        <v>0.7945442134762839</v>
      </c>
      <c r="O8307" s="2">
        <f ca="1"/>
        <v>-0.33151257355848746</v>
      </c>
      <c r="X8307" s="2">
        <f ca="1"/>
        <v>71.910247960613589</v>
      </c>
      <c r="AG8307" s="2">
        <f ca="1"/>
        <v>0.44549095576990094</v>
      </c>
      <c r="AH8307" s="2" t="str">
        <f ca="1"/>
        <v>Bad</v>
      </c>
    </row>
    <row r="8308" spans="2:34" x14ac:dyDescent="0.2">
      <c r="B8308" s="2">
        <f ca="1"/>
        <v>0.13814086106381374</v>
      </c>
      <c r="O8308" s="2">
        <f ca="1"/>
        <v>1.0849370746912159</v>
      </c>
      <c r="X8308" s="2">
        <f ca="1"/>
        <v>83.151004855414996</v>
      </c>
      <c r="AG8308" s="2">
        <f ca="1"/>
        <v>0.59318230346813472</v>
      </c>
      <c r="AH8308" s="2" t="str">
        <f ca="1"/>
        <v>Bad</v>
      </c>
    </row>
    <row r="8309" spans="2:34" x14ac:dyDescent="0.2">
      <c r="B8309" s="2">
        <f ca="1"/>
        <v>0.23790876388275795</v>
      </c>
      <c r="O8309" s="2">
        <f ca="1"/>
        <v>9.4940728058989527E-3</v>
      </c>
      <c r="X8309" s="2">
        <f ca="1"/>
        <v>71.11847693312248</v>
      </c>
      <c r="AG8309" s="2">
        <f ca="1"/>
        <v>0.53712878314153722</v>
      </c>
      <c r="AH8309" s="2" t="str">
        <f ca="1"/>
        <v>Bad</v>
      </c>
    </row>
    <row r="8310" spans="2:34" x14ac:dyDescent="0.2">
      <c r="B8310" s="2">
        <f ca="1"/>
        <v>0.97736836825084294</v>
      </c>
      <c r="O8310" s="2">
        <f ca="1"/>
        <v>-0.38507506714820222</v>
      </c>
      <c r="X8310" s="2">
        <f ca="1"/>
        <v>64.310592754435888</v>
      </c>
      <c r="AG8310" s="2">
        <f ca="1"/>
        <v>0.50916481423001181</v>
      </c>
      <c r="AH8310" s="2" t="str">
        <f ca="1"/>
        <v>Bad</v>
      </c>
    </row>
    <row r="8311" spans="2:34" x14ac:dyDescent="0.2">
      <c r="B8311" s="2">
        <f ca="1"/>
        <v>0.6254143676799937</v>
      </c>
      <c r="O8311" s="2">
        <f ca="1"/>
        <v>-3.2806780875013458E-2</v>
      </c>
      <c r="X8311" s="2">
        <f ca="1"/>
        <v>40.665718309639516</v>
      </c>
      <c r="AG8311" s="2">
        <f ca="1"/>
        <v>0.81114191139828606</v>
      </c>
      <c r="AH8311" s="2" t="str">
        <f ca="1"/>
        <v>Bad</v>
      </c>
    </row>
    <row r="8312" spans="2:34" x14ac:dyDescent="0.2">
      <c r="B8312" s="2">
        <f ca="1"/>
        <v>0.30017864631440072</v>
      </c>
      <c r="O8312" s="2">
        <f ca="1"/>
        <v>-0.21084078748198645</v>
      </c>
      <c r="X8312" s="2">
        <f ca="1"/>
        <v>40.993527868949485</v>
      </c>
      <c r="AG8312" s="2">
        <f ca="1"/>
        <v>9.9242061983350727E-2</v>
      </c>
      <c r="AH8312" s="2" t="str">
        <f ca="1"/>
        <v>OK</v>
      </c>
    </row>
    <row r="8313" spans="2:34" x14ac:dyDescent="0.2">
      <c r="B8313" s="2">
        <f ca="1"/>
        <v>0.60266376966053059</v>
      </c>
      <c r="O8313" s="2">
        <f ca="1"/>
        <v>-0.3192348909994972</v>
      </c>
      <c r="X8313" s="2">
        <f ca="1"/>
        <v>38.905474035141353</v>
      </c>
      <c r="AG8313" s="2">
        <f ca="1"/>
        <v>0.45704016037254425</v>
      </c>
      <c r="AH8313" s="2" t="str">
        <f ca="1"/>
        <v>Bad</v>
      </c>
    </row>
    <row r="8314" spans="2:34" x14ac:dyDescent="0.2">
      <c r="B8314" s="2">
        <f ca="1"/>
        <v>0.19334301403602483</v>
      </c>
      <c r="O8314" s="2">
        <f ca="1"/>
        <v>0.30121816217341163</v>
      </c>
      <c r="X8314" s="2">
        <f ca="1"/>
        <v>33.357396433669571</v>
      </c>
      <c r="AG8314" s="2">
        <f ca="1"/>
        <v>0.32257483470759474</v>
      </c>
      <c r="AH8314" s="2" t="str">
        <f ca="1"/>
        <v>OK</v>
      </c>
    </row>
    <row r="8315" spans="2:34" x14ac:dyDescent="0.2">
      <c r="B8315" s="2">
        <f ca="1"/>
        <v>0.60913378530258311</v>
      </c>
      <c r="O8315" s="2">
        <f ca="1"/>
        <v>-1.7320860800699784</v>
      </c>
      <c r="X8315" s="2">
        <f ca="1"/>
        <v>56.571493873280531</v>
      </c>
      <c r="AG8315" s="2">
        <f ca="1"/>
        <v>0.49941891498772906</v>
      </c>
      <c r="AH8315" s="2" t="str">
        <f ca="1"/>
        <v>Bad</v>
      </c>
    </row>
    <row r="8316" spans="2:34" x14ac:dyDescent="0.2">
      <c r="B8316" s="2">
        <f ca="1"/>
        <v>0.88427045736722798</v>
      </c>
      <c r="O8316" s="2">
        <f ca="1"/>
        <v>0.8488752711787535</v>
      </c>
      <c r="X8316" s="2">
        <f ca="1"/>
        <v>32.078660032512339</v>
      </c>
      <c r="AG8316" s="2">
        <f ca="1"/>
        <v>0.41465320359478941</v>
      </c>
      <c r="AH8316" s="2" t="str">
        <f ca="1"/>
        <v>Bad</v>
      </c>
    </row>
    <row r="8317" spans="2:34" x14ac:dyDescent="0.2">
      <c r="B8317" s="2">
        <f ca="1"/>
        <v>0.23184233070054172</v>
      </c>
      <c r="O8317" s="2">
        <f ca="1"/>
        <v>0.5866273282952611</v>
      </c>
      <c r="X8317" s="2">
        <f ca="1"/>
        <v>60.919827061764053</v>
      </c>
      <c r="AG8317" s="2">
        <f ca="1"/>
        <v>0.91464901613730842</v>
      </c>
      <c r="AH8317" s="2" t="str">
        <f ca="1"/>
        <v>Bad</v>
      </c>
    </row>
    <row r="8318" spans="2:34" x14ac:dyDescent="0.2">
      <c r="B8318" s="2">
        <f ca="1"/>
        <v>0.25876400719253057</v>
      </c>
      <c r="O8318" s="2">
        <f ca="1"/>
        <v>0.2985048194739911</v>
      </c>
      <c r="X8318" s="2">
        <f ca="1"/>
        <v>49.335854371064485</v>
      </c>
      <c r="AG8318" s="2">
        <f ca="1"/>
        <v>2.7167332042178582E-2</v>
      </c>
      <c r="AH8318" s="2" t="str">
        <f ca="1"/>
        <v>Good</v>
      </c>
    </row>
    <row r="8319" spans="2:34" x14ac:dyDescent="0.2">
      <c r="B8319" s="2">
        <f ca="1"/>
        <v>0.58745480376855386</v>
      </c>
      <c r="O8319" s="2">
        <f ca="1"/>
        <v>-1.4223723184103192</v>
      </c>
      <c r="X8319" s="2">
        <f ca="1"/>
        <v>49.163951256926353</v>
      </c>
      <c r="AG8319" s="2">
        <f ca="1"/>
        <v>0.40670421445340943</v>
      </c>
      <c r="AH8319" s="2" t="str">
        <f ca="1"/>
        <v>Bad</v>
      </c>
    </row>
    <row r="8320" spans="2:34" x14ac:dyDescent="0.2">
      <c r="B8320" s="2">
        <f ca="1"/>
        <v>0.7793357604011657</v>
      </c>
      <c r="O8320" s="2">
        <f ca="1"/>
        <v>0.11793414636745897</v>
      </c>
      <c r="X8320" s="2">
        <f ca="1"/>
        <v>63.256168215148222</v>
      </c>
      <c r="AG8320" s="2">
        <f ca="1"/>
        <v>0.17966939867532616</v>
      </c>
      <c r="AH8320" s="2" t="str">
        <f ca="1"/>
        <v>OK</v>
      </c>
    </row>
    <row r="8321" spans="2:34" x14ac:dyDescent="0.2">
      <c r="B8321" s="2">
        <f ca="1"/>
        <v>0.61041628766582257</v>
      </c>
      <c r="O8321" s="2">
        <f ca="1"/>
        <v>0.19573961622100702</v>
      </c>
      <c r="X8321" s="2">
        <f ca="1"/>
        <v>41.546199932940354</v>
      </c>
      <c r="AG8321" s="2">
        <f ca="1"/>
        <v>0.28760071298336953</v>
      </c>
      <c r="AH8321" s="2" t="str">
        <f ca="1"/>
        <v>OK</v>
      </c>
    </row>
    <row r="8322" spans="2:34" x14ac:dyDescent="0.2">
      <c r="B8322" s="2">
        <f ca="1"/>
        <v>0.99461981086987938</v>
      </c>
      <c r="O8322" s="2">
        <f ca="1"/>
        <v>1.1441255366825585</v>
      </c>
      <c r="X8322" s="2">
        <f ca="1"/>
        <v>57.20413894086596</v>
      </c>
      <c r="AG8322" s="2">
        <f ca="1"/>
        <v>0.7069408288579333</v>
      </c>
      <c r="AH8322" s="2" t="str">
        <f ca="1"/>
        <v>Bad</v>
      </c>
    </row>
    <row r="8323" spans="2:34" x14ac:dyDescent="0.2">
      <c r="B8323" s="2">
        <f ca="1"/>
        <v>0.73528389670768735</v>
      </c>
      <c r="O8323" s="2">
        <f ca="1"/>
        <v>-0.79106065254818181</v>
      </c>
      <c r="X8323" s="2">
        <f ca="1"/>
        <v>61.78532525484232</v>
      </c>
      <c r="AG8323" s="2">
        <f ca="1"/>
        <v>0.7817220158942686</v>
      </c>
      <c r="AH8323" s="2" t="str">
        <f ca="1"/>
        <v>Bad</v>
      </c>
    </row>
    <row r="8324" spans="2:34" x14ac:dyDescent="0.2">
      <c r="B8324" s="2">
        <f ca="1"/>
        <v>0.1906624842157516</v>
      </c>
      <c r="O8324" s="2">
        <f ca="1"/>
        <v>1.1114031191380447</v>
      </c>
      <c r="X8324" s="2">
        <f ca="1"/>
        <v>44.812726534008782</v>
      </c>
      <c r="AG8324" s="2">
        <f ca="1"/>
        <v>7.1967744932053268E-2</v>
      </c>
      <c r="AH8324" s="2" t="str">
        <f ca="1"/>
        <v>OK</v>
      </c>
    </row>
    <row r="8325" spans="2:34" x14ac:dyDescent="0.2">
      <c r="B8325" s="2">
        <f ca="1"/>
        <v>0.83797750677506455</v>
      </c>
      <c r="O8325" s="2">
        <f ca="1"/>
        <v>0.43198804331165486</v>
      </c>
      <c r="X8325" s="2">
        <f ca="1"/>
        <v>37.825223289646466</v>
      </c>
      <c r="AG8325" s="2">
        <f ca="1"/>
        <v>0.59302787549336577</v>
      </c>
      <c r="AH8325" s="2" t="str">
        <f ca="1"/>
        <v>Bad</v>
      </c>
    </row>
    <row r="8326" spans="2:34" x14ac:dyDescent="0.2">
      <c r="B8326" s="2">
        <f ca="1"/>
        <v>0.72694703453099963</v>
      </c>
      <c r="O8326" s="2">
        <f ca="1"/>
        <v>-0.82281944424512565</v>
      </c>
      <c r="X8326" s="2">
        <f ca="1"/>
        <v>32.700884032910643</v>
      </c>
      <c r="AG8326" s="2">
        <f ca="1"/>
        <v>6.8964230492868595E-2</v>
      </c>
      <c r="AH8326" s="2" t="str">
        <f ca="1"/>
        <v>OK</v>
      </c>
    </row>
    <row r="8327" spans="2:34" x14ac:dyDescent="0.2">
      <c r="B8327" s="2">
        <f ca="1"/>
        <v>0.25708224874826557</v>
      </c>
      <c r="O8327" s="2">
        <f ca="1"/>
        <v>1.7394183033484496</v>
      </c>
      <c r="X8327" s="2">
        <f ca="1"/>
        <v>36.184464524413151</v>
      </c>
      <c r="AG8327" s="2">
        <f ca="1"/>
        <v>0.35133627579159543</v>
      </c>
      <c r="AH8327" s="2" t="str">
        <f ca="1"/>
        <v>OK</v>
      </c>
    </row>
    <row r="8328" spans="2:34" x14ac:dyDescent="0.2">
      <c r="B8328" s="2">
        <f ca="1"/>
        <v>0.63427378300587867</v>
      </c>
      <c r="O8328" s="2">
        <f ca="1"/>
        <v>1.2226682675272027</v>
      </c>
      <c r="X8328" s="2">
        <f ca="1"/>
        <v>40.556285298148431</v>
      </c>
      <c r="AG8328" s="2">
        <f ca="1"/>
        <v>0.77834782597728469</v>
      </c>
      <c r="AH8328" s="2" t="str">
        <f ca="1"/>
        <v>Bad</v>
      </c>
    </row>
    <row r="8329" spans="2:34" x14ac:dyDescent="0.2">
      <c r="B8329" s="2">
        <f ca="1"/>
        <v>0.57451084473234859</v>
      </c>
      <c r="O8329" s="2">
        <f ca="1"/>
        <v>0.46058342719880924</v>
      </c>
      <c r="X8329" s="2">
        <f ca="1"/>
        <v>35.836444574834331</v>
      </c>
      <c r="AG8329" s="2">
        <f ca="1"/>
        <v>0.55450055178974145</v>
      </c>
      <c r="AH8329" s="2" t="str">
        <f ca="1"/>
        <v>Bad</v>
      </c>
    </row>
    <row r="8330" spans="2:34" x14ac:dyDescent="0.2">
      <c r="B8330" s="2">
        <f ca="1"/>
        <v>0.69444148225870461</v>
      </c>
      <c r="O8330" s="2">
        <f ca="1"/>
        <v>0.97259659838514068</v>
      </c>
      <c r="X8330" s="2">
        <f ca="1"/>
        <v>72.385216660710398</v>
      </c>
      <c r="AG8330" s="2">
        <f ca="1"/>
        <v>0.22948219393974223</v>
      </c>
      <c r="AH8330" s="2" t="str">
        <f ca="1"/>
        <v>OK</v>
      </c>
    </row>
    <row r="8331" spans="2:34" x14ac:dyDescent="0.2">
      <c r="B8331" s="2">
        <f ca="1"/>
        <v>0.5223087462760474</v>
      </c>
      <c r="O8331" s="2">
        <f ca="1"/>
        <v>1.813365565501234</v>
      </c>
      <c r="X8331" s="2">
        <f ca="1"/>
        <v>56.457981449402027</v>
      </c>
      <c r="AG8331" s="2">
        <f ca="1"/>
        <v>0.79497956312182372</v>
      </c>
      <c r="AH8331" s="2" t="str">
        <f ca="1"/>
        <v>Bad</v>
      </c>
    </row>
    <row r="8332" spans="2:34" x14ac:dyDescent="0.2">
      <c r="B8332" s="2">
        <f ca="1"/>
        <v>1.0263910425611478E-2</v>
      </c>
      <c r="O8332" s="2">
        <f ca="1"/>
        <v>0.7045737106911798</v>
      </c>
      <c r="X8332" s="2">
        <f ca="1"/>
        <v>41.611655048985945</v>
      </c>
      <c r="AG8332" s="2">
        <f ca="1"/>
        <v>0.41437894484342097</v>
      </c>
      <c r="AH8332" s="2" t="str">
        <f ca="1"/>
        <v>Bad</v>
      </c>
    </row>
    <row r="8333" spans="2:34" x14ac:dyDescent="0.2">
      <c r="B8333" s="2">
        <f ca="1"/>
        <v>0.5081708397335758</v>
      </c>
      <c r="O8333" s="2">
        <f ca="1"/>
        <v>-0.21902017043825908</v>
      </c>
      <c r="X8333" s="2">
        <f ca="1"/>
        <v>62.138835206043183</v>
      </c>
      <c r="AG8333" s="2">
        <f ca="1"/>
        <v>0.48190963970685474</v>
      </c>
      <c r="AH8333" s="2" t="str">
        <f ca="1"/>
        <v>Bad</v>
      </c>
    </row>
    <row r="8334" spans="2:34" x14ac:dyDescent="0.2">
      <c r="B8334" s="2">
        <f ca="1"/>
        <v>0.36454058312065252</v>
      </c>
      <c r="O8334" s="2">
        <f ca="1"/>
        <v>-0.42199238310325371</v>
      </c>
      <c r="X8334" s="2">
        <f ca="1"/>
        <v>74.809463768986092</v>
      </c>
      <c r="AG8334" s="2">
        <f ca="1"/>
        <v>0.9087998526394101</v>
      </c>
      <c r="AH8334" s="2" t="str">
        <f ca="1"/>
        <v>Bad</v>
      </c>
    </row>
    <row r="8335" spans="2:34" x14ac:dyDescent="0.2">
      <c r="B8335" s="2">
        <f ca="1"/>
        <v>0.39570233129322241</v>
      </c>
      <c r="O8335" s="2">
        <f ca="1"/>
        <v>1.402267406389238</v>
      </c>
      <c r="X8335" s="2">
        <f ca="1"/>
        <v>58.845855444781812</v>
      </c>
      <c r="AG8335" s="2">
        <f ca="1"/>
        <v>0.52643871770340644</v>
      </c>
      <c r="AH8335" s="2" t="str">
        <f ca="1"/>
        <v>Bad</v>
      </c>
    </row>
    <row r="8336" spans="2:34" x14ac:dyDescent="0.2">
      <c r="B8336" s="2">
        <f ca="1"/>
        <v>0.85318788489090025</v>
      </c>
      <c r="O8336" s="2">
        <f ca="1"/>
        <v>-0.5798746605407662</v>
      </c>
      <c r="X8336" s="2">
        <f ca="1"/>
        <v>58.666198933035133</v>
      </c>
      <c r="AG8336" s="2">
        <f ca="1"/>
        <v>0.63872114243870359</v>
      </c>
      <c r="AH8336" s="2" t="str">
        <f ca="1"/>
        <v>Bad</v>
      </c>
    </row>
    <row r="8337" spans="2:34" x14ac:dyDescent="0.2">
      <c r="B8337" s="2">
        <f ca="1"/>
        <v>0.19030391643342037</v>
      </c>
      <c r="O8337" s="2">
        <f ca="1"/>
        <v>-0.88575751625612609</v>
      </c>
      <c r="X8337" s="2">
        <f ca="1"/>
        <v>32.01273631974162</v>
      </c>
      <c r="AG8337" s="2">
        <f ca="1"/>
        <v>0.56679538585694145</v>
      </c>
      <c r="AH8337" s="2" t="str">
        <f ca="1"/>
        <v>Bad</v>
      </c>
    </row>
    <row r="8338" spans="2:34" x14ac:dyDescent="0.2">
      <c r="B8338" s="2">
        <f ca="1"/>
        <v>0.98626578452780334</v>
      </c>
      <c r="O8338" s="2">
        <f ca="1"/>
        <v>1.2702532036525294</v>
      </c>
      <c r="X8338" s="2">
        <f ca="1"/>
        <v>51.451121923977155</v>
      </c>
      <c r="AG8338" s="2">
        <f ca="1"/>
        <v>0.87596060128362541</v>
      </c>
      <c r="AH8338" s="2" t="str">
        <f ca="1"/>
        <v>Bad</v>
      </c>
    </row>
    <row r="8339" spans="2:34" x14ac:dyDescent="0.2">
      <c r="B8339" s="2">
        <f ca="1"/>
        <v>0.12355287504537693</v>
      </c>
      <c r="O8339" s="2">
        <f ca="1"/>
        <v>0.97876536312604412</v>
      </c>
      <c r="X8339" s="2">
        <f ca="1"/>
        <v>84.24366727027413</v>
      </c>
      <c r="AG8339" s="2">
        <f ca="1"/>
        <v>0.98434464606160343</v>
      </c>
      <c r="AH8339" s="2" t="str">
        <f ca="1"/>
        <v>Bad</v>
      </c>
    </row>
    <row r="8340" spans="2:34" x14ac:dyDescent="0.2">
      <c r="B8340" s="2">
        <f ca="1"/>
        <v>0.77863433020551387</v>
      </c>
      <c r="O8340" s="2">
        <f ca="1"/>
        <v>-0.50286533172479686</v>
      </c>
      <c r="X8340" s="2">
        <f ca="1"/>
        <v>34.14814922986168</v>
      </c>
      <c r="AG8340" s="2">
        <f ca="1"/>
        <v>0.75424868421219049</v>
      </c>
      <c r="AH8340" s="2" t="str">
        <f ca="1"/>
        <v>Bad</v>
      </c>
    </row>
    <row r="8341" spans="2:34" x14ac:dyDescent="0.2">
      <c r="B8341" s="2">
        <f ca="1"/>
        <v>0.91073798622605828</v>
      </c>
      <c r="O8341" s="2">
        <f ca="1"/>
        <v>1.3963728336904657</v>
      </c>
      <c r="X8341" s="2">
        <f ca="1"/>
        <v>33.648287387109676</v>
      </c>
      <c r="AG8341" s="2">
        <f ca="1"/>
        <v>0.32722483966158666</v>
      </c>
      <c r="AH8341" s="2" t="str">
        <f ca="1"/>
        <v>OK</v>
      </c>
    </row>
    <row r="8342" spans="2:34" x14ac:dyDescent="0.2">
      <c r="B8342" s="2">
        <f ca="1"/>
        <v>0.45127693839558125</v>
      </c>
      <c r="O8342" s="2">
        <f ca="1"/>
        <v>-1.0523217426373719</v>
      </c>
      <c r="X8342" s="2">
        <f ca="1"/>
        <v>60.206090171706649</v>
      </c>
      <c r="AG8342" s="2">
        <f ca="1"/>
        <v>9.5623433123054991E-2</v>
      </c>
      <c r="AH8342" s="2" t="str">
        <f ca="1"/>
        <v>OK</v>
      </c>
    </row>
    <row r="8343" spans="2:34" x14ac:dyDescent="0.2">
      <c r="B8343" s="2">
        <f ca="1"/>
        <v>0.51419774076220826</v>
      </c>
      <c r="O8343" s="2">
        <f ca="1"/>
        <v>-0.12749805499204683</v>
      </c>
      <c r="X8343" s="2">
        <f ca="1"/>
        <v>52.588399078783745</v>
      </c>
      <c r="AG8343" s="2">
        <f ca="1"/>
        <v>0.40677139047238686</v>
      </c>
      <c r="AH8343" s="2" t="str">
        <f ca="1"/>
        <v>Bad</v>
      </c>
    </row>
    <row r="8344" spans="2:34" x14ac:dyDescent="0.2">
      <c r="B8344" s="2">
        <f ca="1"/>
        <v>0.92749280289754532</v>
      </c>
      <c r="O8344" s="2">
        <f ca="1"/>
        <v>-0.24736437042075402</v>
      </c>
      <c r="X8344" s="2">
        <f ca="1"/>
        <v>17.439763144521823</v>
      </c>
      <c r="AG8344" s="2">
        <f ca="1"/>
        <v>0.22912150902382922</v>
      </c>
      <c r="AH8344" s="2" t="str">
        <f ca="1"/>
        <v>OK</v>
      </c>
    </row>
    <row r="8345" spans="2:34" x14ac:dyDescent="0.2">
      <c r="B8345" s="2">
        <f ca="1"/>
        <v>0.85054568100470385</v>
      </c>
      <c r="O8345" s="2">
        <f ca="1"/>
        <v>0.31812350043040249</v>
      </c>
      <c r="X8345" s="2">
        <f ca="1"/>
        <v>52.006849237964133</v>
      </c>
      <c r="AG8345" s="2">
        <f ca="1"/>
        <v>0.58945300348219387</v>
      </c>
      <c r="AH8345" s="2" t="str">
        <f ca="1"/>
        <v>Bad</v>
      </c>
    </row>
    <row r="8346" spans="2:34" x14ac:dyDescent="0.2">
      <c r="B8346" s="2">
        <f ca="1"/>
        <v>2.9636588675661102E-2</v>
      </c>
      <c r="O8346" s="2">
        <f ca="1"/>
        <v>0.33283182993845906</v>
      </c>
      <c r="X8346" s="2">
        <f ca="1"/>
        <v>80.318568949771532</v>
      </c>
      <c r="AG8346" s="2">
        <f ca="1"/>
        <v>0.55049862836970687</v>
      </c>
      <c r="AH8346" s="2" t="str">
        <f ca="1"/>
        <v>Bad</v>
      </c>
    </row>
    <row r="8347" spans="2:34" x14ac:dyDescent="0.2">
      <c r="B8347" s="2">
        <f ca="1"/>
        <v>0.91198211477602897</v>
      </c>
      <c r="O8347" s="2">
        <f ca="1"/>
        <v>-0.40693874023942561</v>
      </c>
      <c r="X8347" s="2">
        <f ca="1"/>
        <v>41.418341102862904</v>
      </c>
      <c r="AG8347" s="2">
        <f ca="1"/>
        <v>0.95407329874045232</v>
      </c>
      <c r="AH8347" s="2" t="str">
        <f ca="1"/>
        <v>Bad</v>
      </c>
    </row>
    <row r="8348" spans="2:34" x14ac:dyDescent="0.2">
      <c r="B8348" s="2">
        <f ca="1"/>
        <v>0.90514278358056033</v>
      </c>
      <c r="O8348" s="2">
        <f ca="1"/>
        <v>-0.35687259811950955</v>
      </c>
      <c r="X8348" s="2">
        <f ca="1"/>
        <v>55.312333779906673</v>
      </c>
      <c r="AG8348" s="2">
        <f ca="1"/>
        <v>6.6979145706691945E-2</v>
      </c>
      <c r="AH8348" s="2" t="str">
        <f ca="1"/>
        <v>OK</v>
      </c>
    </row>
    <row r="8349" spans="2:34" x14ac:dyDescent="0.2">
      <c r="B8349" s="2">
        <f ca="1"/>
        <v>0.50729331077116391</v>
      </c>
      <c r="O8349" s="2">
        <f ca="1"/>
        <v>4.7016396223031345E-2</v>
      </c>
      <c r="X8349" s="2">
        <f ca="1"/>
        <v>87.087030518058185</v>
      </c>
      <c r="AG8349" s="2">
        <f ca="1"/>
        <v>0.75052610144447574</v>
      </c>
      <c r="AH8349" s="2" t="str">
        <f ca="1"/>
        <v>Bad</v>
      </c>
    </row>
    <row r="8350" spans="2:34" x14ac:dyDescent="0.2">
      <c r="B8350" s="2">
        <f ca="1"/>
        <v>0.71620583960564699</v>
      </c>
      <c r="O8350" s="2">
        <f ca="1"/>
        <v>0.30776961792474256</v>
      </c>
      <c r="X8350" s="2">
        <f ca="1"/>
        <v>33.252805790557346</v>
      </c>
      <c r="AG8350" s="2">
        <f ca="1"/>
        <v>9.6856164950536616E-2</v>
      </c>
      <c r="AH8350" s="2" t="str">
        <f ca="1"/>
        <v>OK</v>
      </c>
    </row>
    <row r="8351" spans="2:34" x14ac:dyDescent="0.2">
      <c r="B8351" s="2">
        <f ca="1"/>
        <v>0.21254431678141072</v>
      </c>
      <c r="O8351" s="2">
        <f ca="1"/>
        <v>0.90751097231139188</v>
      </c>
      <c r="X8351" s="2">
        <f ca="1"/>
        <v>42.710338013949205</v>
      </c>
      <c r="AG8351" s="2">
        <f ca="1"/>
        <v>0.55886162651750615</v>
      </c>
      <c r="AH8351" s="2" t="str">
        <f ca="1"/>
        <v>Bad</v>
      </c>
    </row>
    <row r="8352" spans="2:34" x14ac:dyDescent="0.2">
      <c r="B8352" s="2">
        <f ca="1"/>
        <v>0.51530031606020876</v>
      </c>
      <c r="O8352" s="2">
        <f ca="1"/>
        <v>-0.81538230004892664</v>
      </c>
      <c r="X8352" s="2">
        <f ca="1"/>
        <v>49.651382482916176</v>
      </c>
      <c r="AG8352" s="2">
        <f ca="1"/>
        <v>0.80880532961865081</v>
      </c>
      <c r="AH8352" s="2" t="str">
        <f ca="1"/>
        <v>Bad</v>
      </c>
    </row>
    <row r="8353" spans="2:34" x14ac:dyDescent="0.2">
      <c r="B8353" s="2">
        <f ca="1"/>
        <v>0.74072305125583604</v>
      </c>
      <c r="O8353" s="2">
        <f ca="1"/>
        <v>-0.78584891974719995</v>
      </c>
      <c r="X8353" s="2">
        <f ca="1"/>
        <v>37.384757582770177</v>
      </c>
      <c r="AG8353" s="2">
        <f ca="1"/>
        <v>0.74557033972613973</v>
      </c>
      <c r="AH8353" s="2" t="str">
        <f ca="1"/>
        <v>Bad</v>
      </c>
    </row>
    <row r="8354" spans="2:34" x14ac:dyDescent="0.2">
      <c r="B8354" s="2">
        <f ca="1"/>
        <v>0.33596743918962546</v>
      </c>
      <c r="O8354" s="2">
        <f ca="1"/>
        <v>-2.8368407428117758E-2</v>
      </c>
      <c r="X8354" s="2">
        <f ca="1"/>
        <v>40.762233185843868</v>
      </c>
      <c r="AG8354" s="2">
        <f ca="1"/>
        <v>0.8296990597000784</v>
      </c>
      <c r="AH8354" s="2" t="str">
        <f ca="1"/>
        <v>Bad</v>
      </c>
    </row>
    <row r="8355" spans="2:34" x14ac:dyDescent="0.2">
      <c r="B8355" s="2">
        <f ca="1"/>
        <v>0.31929818389966425</v>
      </c>
      <c r="O8355" s="2">
        <f ca="1"/>
        <v>0.12315334565423598</v>
      </c>
      <c r="X8355" s="2">
        <f ca="1"/>
        <v>28.738385136500817</v>
      </c>
      <c r="AG8355" s="2">
        <f ca="1"/>
        <v>0.96302424976044287</v>
      </c>
      <c r="AH8355" s="2" t="str">
        <f ca="1"/>
        <v>Bad</v>
      </c>
    </row>
    <row r="8356" spans="2:34" x14ac:dyDescent="0.2">
      <c r="B8356" s="2">
        <f ca="1"/>
        <v>0.60778914470049439</v>
      </c>
      <c r="O8356" s="2">
        <f ca="1"/>
        <v>0.28787274375672611</v>
      </c>
      <c r="X8356" s="2">
        <f ca="1"/>
        <v>76.845247373260236</v>
      </c>
      <c r="AG8356" s="2">
        <f ca="1"/>
        <v>0.29488669349750651</v>
      </c>
      <c r="AH8356" s="2" t="str">
        <f ca="1"/>
        <v>OK</v>
      </c>
    </row>
    <row r="8357" spans="2:34" x14ac:dyDescent="0.2">
      <c r="B8357" s="2">
        <f ca="1"/>
        <v>0.30729785820463595</v>
      </c>
      <c r="O8357" s="2">
        <f ca="1"/>
        <v>-7.9551763808327833E-2</v>
      </c>
      <c r="X8357" s="2">
        <f ca="1"/>
        <v>48.868403357022636</v>
      </c>
      <c r="AG8357" s="2">
        <f ca="1"/>
        <v>0.37972938438563708</v>
      </c>
      <c r="AH8357" s="2" t="str">
        <f ca="1"/>
        <v>OK</v>
      </c>
    </row>
    <row r="8358" spans="2:34" x14ac:dyDescent="0.2">
      <c r="B8358" s="2">
        <f ca="1"/>
        <v>0.89286749593180104</v>
      </c>
      <c r="O8358" s="2">
        <f ca="1"/>
        <v>1.3302285574707184</v>
      </c>
      <c r="X8358" s="2">
        <f ca="1"/>
        <v>69.370808651558107</v>
      </c>
      <c r="AG8358" s="2">
        <f ca="1"/>
        <v>0.88327888663296839</v>
      </c>
      <c r="AH8358" s="2" t="str">
        <f ca="1"/>
        <v>Bad</v>
      </c>
    </row>
    <row r="8359" spans="2:34" x14ac:dyDescent="0.2">
      <c r="B8359" s="2">
        <f ca="1"/>
        <v>2.5765983583620589E-2</v>
      </c>
      <c r="O8359" s="2">
        <f ca="1"/>
        <v>-1.0203952136971257</v>
      </c>
      <c r="X8359" s="2">
        <f ca="1"/>
        <v>44.705132580081823</v>
      </c>
      <c r="AG8359" s="2">
        <f ca="1"/>
        <v>0.59210912801972682</v>
      </c>
      <c r="AH8359" s="2" t="str">
        <f ca="1"/>
        <v>Bad</v>
      </c>
    </row>
    <row r="8360" spans="2:34" x14ac:dyDescent="0.2">
      <c r="B8360" s="2">
        <f ca="1"/>
        <v>0.57438169814807472</v>
      </c>
      <c r="O8360" s="2">
        <f ca="1"/>
        <v>0.58233683733663089</v>
      </c>
      <c r="X8360" s="2">
        <f ca="1"/>
        <v>40.996536741594966</v>
      </c>
      <c r="AG8360" s="2">
        <f ca="1"/>
        <v>0.76085756109146097</v>
      </c>
      <c r="AH8360" s="2" t="str">
        <f ca="1"/>
        <v>Bad</v>
      </c>
    </row>
    <row r="8361" spans="2:34" x14ac:dyDescent="0.2">
      <c r="B8361" s="2">
        <f ca="1"/>
        <v>0.4663340258632247</v>
      </c>
      <c r="O8361" s="2">
        <f ca="1"/>
        <v>-0.97668919570780743</v>
      </c>
      <c r="X8361" s="2">
        <f ca="1"/>
        <v>60.313032762529282</v>
      </c>
      <c r="AG8361" s="2">
        <f ca="1"/>
        <v>0.50530769540981924</v>
      </c>
      <c r="AH8361" s="2" t="str">
        <f ca="1"/>
        <v>Bad</v>
      </c>
    </row>
    <row r="8362" spans="2:34" x14ac:dyDescent="0.2">
      <c r="B8362" s="2">
        <f ca="1"/>
        <v>0.47844729610207826</v>
      </c>
      <c r="O8362" s="2">
        <f ca="1"/>
        <v>-0.23297796228120171</v>
      </c>
      <c r="X8362" s="2">
        <f ca="1"/>
        <v>44.626139849041593</v>
      </c>
      <c r="AG8362" s="2">
        <f ca="1"/>
        <v>0.97141491338407859</v>
      </c>
      <c r="AH8362" s="2" t="str">
        <f ca="1"/>
        <v>Bad</v>
      </c>
    </row>
    <row r="8363" spans="2:34" x14ac:dyDescent="0.2">
      <c r="B8363" s="2">
        <f ca="1"/>
        <v>0.36368590900194975</v>
      </c>
      <c r="O8363" s="2">
        <f ca="1"/>
        <v>0.23181418412612564</v>
      </c>
      <c r="X8363" s="2">
        <f ca="1"/>
        <v>44.925289714750683</v>
      </c>
      <c r="AG8363" s="2">
        <f ca="1"/>
        <v>0.85807000437140513</v>
      </c>
      <c r="AH8363" s="2" t="str">
        <f ca="1"/>
        <v>Bad</v>
      </c>
    </row>
    <row r="8364" spans="2:34" x14ac:dyDescent="0.2">
      <c r="B8364" s="2">
        <f ca="1"/>
        <v>0.84034755996995325</v>
      </c>
      <c r="O8364" s="2">
        <f ca="1"/>
        <v>-1.3281195515004067</v>
      </c>
      <c r="X8364" s="2">
        <f ca="1"/>
        <v>31.09158179675066</v>
      </c>
      <c r="AG8364" s="2">
        <f ca="1"/>
        <v>0.31354904986613419</v>
      </c>
      <c r="AH8364" s="2" t="str">
        <f ca="1"/>
        <v>OK</v>
      </c>
    </row>
    <row r="8365" spans="2:34" x14ac:dyDescent="0.2">
      <c r="B8365" s="2">
        <f ca="1"/>
        <v>0.76910091972770545</v>
      </c>
      <c r="O8365" s="2">
        <f ca="1"/>
        <v>-0.23775144319121849</v>
      </c>
      <c r="X8365" s="2">
        <f ca="1"/>
        <v>56.320250795805222</v>
      </c>
      <c r="AG8365" s="2">
        <f ca="1"/>
        <v>0.5286563173604828</v>
      </c>
      <c r="AH8365" s="2" t="str">
        <f ca="1"/>
        <v>Bad</v>
      </c>
    </row>
    <row r="8366" spans="2:34" x14ac:dyDescent="0.2">
      <c r="B8366" s="2">
        <f ca="1"/>
        <v>0.2991773153006918</v>
      </c>
      <c r="O8366" s="2">
        <f ca="1"/>
        <v>8.4962313160693026E-2</v>
      </c>
      <c r="X8366" s="2">
        <f ca="1"/>
        <v>37.630290730747191</v>
      </c>
      <c r="AG8366" s="2">
        <f ca="1"/>
        <v>0.12402553862620125</v>
      </c>
      <c r="AH8366" s="2" t="str">
        <f ca="1"/>
        <v>OK</v>
      </c>
    </row>
    <row r="8367" spans="2:34" x14ac:dyDescent="0.2">
      <c r="B8367" s="2">
        <f ca="1"/>
        <v>9.13078296736205E-2</v>
      </c>
      <c r="O8367" s="2">
        <f ca="1"/>
        <v>-0.82832128910537339</v>
      </c>
      <c r="X8367" s="2">
        <f ca="1"/>
        <v>68.531948236837479</v>
      </c>
      <c r="AG8367" s="2">
        <f ca="1"/>
        <v>0.1969716352365225</v>
      </c>
      <c r="AH8367" s="2" t="str">
        <f ca="1"/>
        <v>OK</v>
      </c>
    </row>
    <row r="8368" spans="2:34" x14ac:dyDescent="0.2">
      <c r="B8368" s="2">
        <f ca="1"/>
        <v>3.0401932732089465E-2</v>
      </c>
      <c r="O8368" s="2">
        <f ca="1"/>
        <v>0.46111371314159605</v>
      </c>
      <c r="X8368" s="2">
        <f ca="1"/>
        <v>69.413095448923443</v>
      </c>
      <c r="AG8368" s="2">
        <f ca="1"/>
        <v>0.3858600696371064</v>
      </c>
      <c r="AH8368" s="2" t="str">
        <f ca="1"/>
        <v>OK</v>
      </c>
    </row>
    <row r="8369" spans="2:34" x14ac:dyDescent="0.2">
      <c r="B8369" s="2">
        <f ca="1"/>
        <v>5.6673415264825389E-2</v>
      </c>
      <c r="O8369" s="2">
        <f ca="1"/>
        <v>1.9276416711522328</v>
      </c>
      <c r="X8369" s="2">
        <f ca="1"/>
        <v>40.580648491646215</v>
      </c>
      <c r="AG8369" s="2">
        <f ca="1"/>
        <v>0.39025054967660044</v>
      </c>
      <c r="AH8369" s="2" t="str">
        <f ca="1"/>
        <v>OK</v>
      </c>
    </row>
    <row r="8370" spans="2:34" x14ac:dyDescent="0.2">
      <c r="B8370" s="2">
        <f ca="1"/>
        <v>0.29612074842991687</v>
      </c>
      <c r="O8370" s="2">
        <f ca="1"/>
        <v>-1.712027097518402</v>
      </c>
      <c r="X8370" s="2">
        <f ca="1"/>
        <v>61.292549694498561</v>
      </c>
      <c r="AG8370" s="2">
        <f ca="1"/>
        <v>0.96919734537597391</v>
      </c>
      <c r="AH8370" s="2" t="str">
        <f ca="1"/>
        <v>Bad</v>
      </c>
    </row>
    <row r="8371" spans="2:34" x14ac:dyDescent="0.2">
      <c r="B8371" s="2">
        <f ca="1"/>
        <v>0.36905500097299626</v>
      </c>
      <c r="O8371" s="2">
        <f ca="1"/>
        <v>1.4708578912245782</v>
      </c>
      <c r="X8371" s="2">
        <f ca="1"/>
        <v>53.71672878347907</v>
      </c>
      <c r="AG8371" s="2">
        <f ca="1"/>
        <v>0.60238759953197141</v>
      </c>
      <c r="AH8371" s="2" t="str">
        <f ca="1"/>
        <v>Bad</v>
      </c>
    </row>
    <row r="8372" spans="2:34" x14ac:dyDescent="0.2">
      <c r="B8372" s="2">
        <f ca="1"/>
        <v>0.35727811638231888</v>
      </c>
      <c r="O8372" s="2">
        <f ca="1"/>
        <v>0.84895350939334235</v>
      </c>
      <c r="X8372" s="2">
        <f ca="1"/>
        <v>26.79724190196967</v>
      </c>
      <c r="AG8372" s="2">
        <f ca="1"/>
        <v>0.3930978028393457</v>
      </c>
      <c r="AH8372" s="2" t="str">
        <f ca="1"/>
        <v>OK</v>
      </c>
    </row>
    <row r="8373" spans="2:34" x14ac:dyDescent="0.2">
      <c r="B8373" s="2">
        <f ca="1"/>
        <v>0.24921164120650929</v>
      </c>
      <c r="O8373" s="2">
        <f ca="1"/>
        <v>-0.38398106315196856</v>
      </c>
      <c r="X8373" s="2">
        <f ca="1"/>
        <v>42.610602163900808</v>
      </c>
      <c r="AG8373" s="2">
        <f ca="1"/>
        <v>0.95235727864243147</v>
      </c>
      <c r="AH8373" s="2" t="str">
        <f ca="1"/>
        <v>Bad</v>
      </c>
    </row>
    <row r="8374" spans="2:34" x14ac:dyDescent="0.2">
      <c r="B8374" s="2">
        <f ca="1"/>
        <v>0.37872238400784686</v>
      </c>
      <c r="O8374" s="2">
        <f ca="1"/>
        <v>-1.3228133605102976</v>
      </c>
      <c r="X8374" s="2">
        <f ca="1"/>
        <v>32.681718625632541</v>
      </c>
      <c r="AG8374" s="2">
        <f ca="1"/>
        <v>0.63278030408527131</v>
      </c>
      <c r="AH8374" s="2" t="str">
        <f ca="1"/>
        <v>Bad</v>
      </c>
    </row>
    <row r="8375" spans="2:34" x14ac:dyDescent="0.2">
      <c r="B8375" s="2">
        <f ca="1"/>
        <v>0.36851205353731742</v>
      </c>
      <c r="O8375" s="2">
        <f ca="1"/>
        <v>2.5196318139212304</v>
      </c>
      <c r="X8375" s="2">
        <f ca="1"/>
        <v>59.446792377942373</v>
      </c>
      <c r="AG8375" s="2">
        <f ca="1"/>
        <v>9.8456736620355922E-2</v>
      </c>
      <c r="AH8375" s="2" t="str">
        <f ca="1"/>
        <v>OK</v>
      </c>
    </row>
    <row r="8376" spans="2:34" x14ac:dyDescent="0.2">
      <c r="B8376" s="2">
        <f ca="1"/>
        <v>0.30756051422354092</v>
      </c>
      <c r="O8376" s="2">
        <f ca="1"/>
        <v>-0.41737265271667762</v>
      </c>
      <c r="X8376" s="2">
        <f ca="1"/>
        <v>28.36136428347946</v>
      </c>
      <c r="AG8376" s="2">
        <f ca="1"/>
        <v>0.6823470551476396</v>
      </c>
      <c r="AH8376" s="2" t="str">
        <f ca="1"/>
        <v>Bad</v>
      </c>
    </row>
    <row r="8377" spans="2:34" x14ac:dyDescent="0.2">
      <c r="B8377" s="2">
        <f ca="1"/>
        <v>0.99653850267989186</v>
      </c>
      <c r="O8377" s="2">
        <f ca="1"/>
        <v>-0.70919142798740198</v>
      </c>
      <c r="X8377" s="2">
        <f ca="1"/>
        <v>32.681579097845876</v>
      </c>
      <c r="AG8377" s="2">
        <f ca="1"/>
        <v>4.4815016484461845E-2</v>
      </c>
      <c r="AH8377" s="2" t="str">
        <f ca="1"/>
        <v>Good</v>
      </c>
    </row>
    <row r="8378" spans="2:34" x14ac:dyDescent="0.2">
      <c r="B8378" s="2">
        <f ca="1"/>
        <v>0.81997564151508384</v>
      </c>
      <c r="O8378" s="2">
        <f ca="1"/>
        <v>1.2335785718746843</v>
      </c>
      <c r="X8378" s="2">
        <f ca="1"/>
        <v>57.292283461866319</v>
      </c>
      <c r="AG8378" s="2">
        <f ca="1"/>
        <v>0.97751111655421297</v>
      </c>
      <c r="AH8378" s="2" t="str">
        <f ca="1"/>
        <v>Bad</v>
      </c>
    </row>
    <row r="8379" spans="2:34" x14ac:dyDescent="0.2">
      <c r="B8379" s="2">
        <f ca="1"/>
        <v>0.40421820601807035</v>
      </c>
      <c r="O8379" s="2">
        <f ca="1"/>
        <v>0.59322688833349868</v>
      </c>
      <c r="X8379" s="2">
        <f ca="1"/>
        <v>41.710834421518861</v>
      </c>
      <c r="AG8379" s="2">
        <f ca="1"/>
        <v>0.98305823302888018</v>
      </c>
      <c r="AH8379" s="2" t="str">
        <f ca="1"/>
        <v>Bad</v>
      </c>
    </row>
    <row r="8380" spans="2:34" x14ac:dyDescent="0.2">
      <c r="B8380" s="2">
        <f ca="1"/>
        <v>0.81199017426396125</v>
      </c>
      <c r="O8380" s="2">
        <f ca="1"/>
        <v>-0.26519744351785846</v>
      </c>
      <c r="X8380" s="2">
        <f ca="1"/>
        <v>31.706533100055829</v>
      </c>
      <c r="AG8380" s="2">
        <f ca="1"/>
        <v>0.38426555731505818</v>
      </c>
      <c r="AH8380" s="2" t="str">
        <f ca="1"/>
        <v>OK</v>
      </c>
    </row>
    <row r="8381" spans="2:34" x14ac:dyDescent="0.2">
      <c r="B8381" s="2">
        <f ca="1"/>
        <v>0.33170973935065518</v>
      </c>
      <c r="O8381" s="2">
        <f ca="1"/>
        <v>-0.90835956388386208</v>
      </c>
      <c r="X8381" s="2">
        <f ca="1"/>
        <v>58.565454093363513</v>
      </c>
      <c r="AG8381" s="2">
        <f ca="1"/>
        <v>0.78358173248532093</v>
      </c>
      <c r="AH8381" s="2" t="str">
        <f ca="1"/>
        <v>Bad</v>
      </c>
    </row>
    <row r="8382" spans="2:34" x14ac:dyDescent="0.2">
      <c r="B8382" s="2">
        <f ca="1"/>
        <v>0.40548299764115026</v>
      </c>
      <c r="O8382" s="2">
        <f ca="1"/>
        <v>-0.10401563877756052</v>
      </c>
      <c r="X8382" s="2">
        <f ca="1"/>
        <v>85.149216941133062</v>
      </c>
      <c r="AG8382" s="2">
        <f ca="1"/>
        <v>0.54395858105581829</v>
      </c>
      <c r="AH8382" s="2" t="str">
        <f ca="1"/>
        <v>Bad</v>
      </c>
    </row>
    <row r="8383" spans="2:34" x14ac:dyDescent="0.2">
      <c r="B8383" s="2">
        <f ca="1"/>
        <v>0.6001036643978348</v>
      </c>
      <c r="O8383" s="2">
        <f ca="1"/>
        <v>1.263096558405818</v>
      </c>
      <c r="X8383" s="2">
        <f ca="1"/>
        <v>61.295663641160957</v>
      </c>
      <c r="AG8383" s="2">
        <f ca="1"/>
        <v>0.50625254594737013</v>
      </c>
      <c r="AH8383" s="2" t="str">
        <f ca="1"/>
        <v>Bad</v>
      </c>
    </row>
    <row r="8384" spans="2:34" x14ac:dyDescent="0.2">
      <c r="B8384" s="2">
        <f ca="1"/>
        <v>0.94632024239808032</v>
      </c>
      <c r="O8384" s="2">
        <f ca="1"/>
        <v>-1.1050645892995956</v>
      </c>
      <c r="X8384" s="2">
        <f ca="1"/>
        <v>70.537092743107564</v>
      </c>
      <c r="AG8384" s="2">
        <f ca="1"/>
        <v>0.82480322792736271</v>
      </c>
      <c r="AH8384" s="2" t="str">
        <f ca="1"/>
        <v>Bad</v>
      </c>
    </row>
    <row r="8385" spans="2:34" x14ac:dyDescent="0.2">
      <c r="B8385" s="2">
        <f ca="1"/>
        <v>0.20390851302103674</v>
      </c>
      <c r="O8385" s="2">
        <f ca="1"/>
        <v>1.2379666856702354</v>
      </c>
      <c r="X8385" s="2">
        <f ca="1"/>
        <v>29.564296778065881</v>
      </c>
      <c r="AG8385" s="2">
        <f ca="1"/>
        <v>0.39866486412189417</v>
      </c>
      <c r="AH8385" s="2" t="str">
        <f ca="1"/>
        <v>OK</v>
      </c>
    </row>
    <row r="8386" spans="2:34" x14ac:dyDescent="0.2">
      <c r="B8386" s="2">
        <f ca="1"/>
        <v>0.65797737240656318</v>
      </c>
      <c r="O8386" s="2">
        <f ca="1"/>
        <v>-0.45641317661227465</v>
      </c>
      <c r="X8386" s="2">
        <f ca="1"/>
        <v>58.303925641619628</v>
      </c>
      <c r="AG8386" s="2">
        <f ca="1"/>
        <v>0.32832328556241364</v>
      </c>
      <c r="AH8386" s="2" t="str">
        <f ca="1"/>
        <v>OK</v>
      </c>
    </row>
    <row r="8387" spans="2:34" x14ac:dyDescent="0.2">
      <c r="B8387" s="2">
        <f ca="1"/>
        <v>0.40155595078922679</v>
      </c>
      <c r="O8387" s="2">
        <f ca="1"/>
        <v>-0.6335410089381891</v>
      </c>
      <c r="X8387" s="2">
        <f ca="1"/>
        <v>56.66650651297801</v>
      </c>
      <c r="AG8387" s="2">
        <f ca="1"/>
        <v>0.83676432461484507</v>
      </c>
      <c r="AH8387" s="2" t="str">
        <f ca="1"/>
        <v>Bad</v>
      </c>
    </row>
    <row r="8388" spans="2:34" x14ac:dyDescent="0.2">
      <c r="B8388" s="2">
        <f ca="1"/>
        <v>0.74139679401289005</v>
      </c>
      <c r="O8388" s="2">
        <f ca="1"/>
        <v>-0.50094623270258853</v>
      </c>
      <c r="X8388" s="2">
        <f ca="1"/>
        <v>54.675268863111384</v>
      </c>
      <c r="AG8388" s="2">
        <f ca="1"/>
        <v>0.28552313619429892</v>
      </c>
      <c r="AH8388" s="2" t="str">
        <f ca="1"/>
        <v>OK</v>
      </c>
    </row>
    <row r="8389" spans="2:34" x14ac:dyDescent="0.2">
      <c r="B8389" s="2">
        <f ca="1"/>
        <v>0.15624585591315432</v>
      </c>
      <c r="O8389" s="2">
        <f ca="1"/>
        <v>0.85020175663707087</v>
      </c>
      <c r="X8389" s="2">
        <f ca="1"/>
        <v>34.379072336756479</v>
      </c>
      <c r="AG8389" s="2">
        <f ca="1"/>
        <v>0.52560090325358511</v>
      </c>
      <c r="AH8389" s="2" t="str">
        <f ca="1"/>
        <v>Bad</v>
      </c>
    </row>
    <row r="8390" spans="2:34" x14ac:dyDescent="0.2">
      <c r="B8390" s="2">
        <f ca="1"/>
        <v>0.4078320776355906</v>
      </c>
      <c r="O8390" s="2">
        <f ca="1"/>
        <v>-0.2635650466738122</v>
      </c>
      <c r="X8390" s="2">
        <f ca="1"/>
        <v>80.59367426566746</v>
      </c>
      <c r="AG8390" s="2">
        <f ca="1"/>
        <v>0.12043559028095085</v>
      </c>
      <c r="AH8390" s="2" t="str">
        <f ca="1"/>
        <v>OK</v>
      </c>
    </row>
    <row r="8391" spans="2:34" x14ac:dyDescent="0.2">
      <c r="B8391" s="2">
        <f ca="1"/>
        <v>0.37813149569034743</v>
      </c>
      <c r="O8391" s="2">
        <f ca="1"/>
        <v>-0.75237078327657814</v>
      </c>
      <c r="X8391" s="2">
        <f ca="1"/>
        <v>81.492360813917045</v>
      </c>
      <c r="AG8391" s="2">
        <f ca="1"/>
        <v>0.67722295512635178</v>
      </c>
      <c r="AH8391" s="2" t="str">
        <f ca="1"/>
        <v>Bad</v>
      </c>
    </row>
    <row r="8392" spans="2:34" x14ac:dyDescent="0.2">
      <c r="B8392" s="2">
        <f ca="1"/>
        <v>0.67811903229716886</v>
      </c>
      <c r="O8392" s="2">
        <f ca="1"/>
        <v>-1.541862061718555</v>
      </c>
      <c r="X8392" s="2">
        <f ca="1"/>
        <v>39.062852255880827</v>
      </c>
      <c r="AG8392" s="2">
        <f ca="1"/>
        <v>0.95566068308854035</v>
      </c>
      <c r="AH8392" s="2" t="str">
        <f ca="1"/>
        <v>Bad</v>
      </c>
    </row>
    <row r="8393" spans="2:34" x14ac:dyDescent="0.2">
      <c r="B8393" s="2">
        <f ca="1"/>
        <v>0.86590497798780852</v>
      </c>
      <c r="O8393" s="2">
        <f ca="1"/>
        <v>-0.50295991610204571</v>
      </c>
      <c r="X8393" s="2">
        <f ca="1"/>
        <v>32.096237795352948</v>
      </c>
      <c r="AG8393" s="2">
        <f ca="1"/>
        <v>0.1731292857639366</v>
      </c>
      <c r="AH8393" s="2" t="str">
        <f ca="1"/>
        <v>OK</v>
      </c>
    </row>
    <row r="8394" spans="2:34" x14ac:dyDescent="0.2">
      <c r="B8394" s="2">
        <f ca="1"/>
        <v>0.13157934102263913</v>
      </c>
      <c r="O8394" s="2">
        <f ca="1"/>
        <v>1.8134560611730328</v>
      </c>
      <c r="X8394" s="2">
        <f ca="1"/>
        <v>56.464663947112406</v>
      </c>
      <c r="AG8394" s="2">
        <f ca="1"/>
        <v>0.71652111175640965</v>
      </c>
      <c r="AH8394" s="2" t="str">
        <f ca="1"/>
        <v>Bad</v>
      </c>
    </row>
    <row r="8395" spans="2:34" x14ac:dyDescent="0.2">
      <c r="B8395" s="2">
        <f ca="1"/>
        <v>0.91425379790028538</v>
      </c>
      <c r="O8395" s="2">
        <f ca="1"/>
        <v>-1.4719302123046831</v>
      </c>
      <c r="X8395" s="2">
        <f ca="1"/>
        <v>30.921331759384746</v>
      </c>
      <c r="AG8395" s="2">
        <f ca="1"/>
        <v>0.33209644042161424</v>
      </c>
      <c r="AH8395" s="2" t="str">
        <f ca="1"/>
        <v>OK</v>
      </c>
    </row>
    <row r="8396" spans="2:34" x14ac:dyDescent="0.2">
      <c r="B8396" s="2">
        <f ca="1"/>
        <v>0.64111639649853225</v>
      </c>
      <c r="O8396" s="2">
        <f ca="1"/>
        <v>0.43875745102100933</v>
      </c>
      <c r="X8396" s="2">
        <f ca="1"/>
        <v>56.01036904963334</v>
      </c>
      <c r="AG8396" s="2">
        <f ca="1"/>
        <v>0.40061181580245186</v>
      </c>
      <c r="AH8396" s="2" t="str">
        <f ca="1"/>
        <v>Bad</v>
      </c>
    </row>
    <row r="8397" spans="2:34" x14ac:dyDescent="0.2">
      <c r="B8397" s="2">
        <f ca="1"/>
        <v>0.70823839887722095</v>
      </c>
      <c r="O8397" s="2">
        <f ca="1"/>
        <v>-1.6496489574337438</v>
      </c>
      <c r="X8397" s="2">
        <f ca="1"/>
        <v>30.030165828102863</v>
      </c>
      <c r="AG8397" s="2">
        <f ca="1"/>
        <v>0.99673710268522164</v>
      </c>
      <c r="AH8397" s="2" t="str">
        <f ca="1"/>
        <v>Bad</v>
      </c>
    </row>
    <row r="8398" spans="2:34" x14ac:dyDescent="0.2">
      <c r="B8398" s="2">
        <f ca="1"/>
        <v>0.38566986795151315</v>
      </c>
      <c r="O8398" s="2">
        <f ca="1"/>
        <v>-0.97267614222587517</v>
      </c>
      <c r="X8398" s="2">
        <f ca="1"/>
        <v>58.951901732953303</v>
      </c>
      <c r="AG8398" s="2">
        <f ca="1"/>
        <v>0.6097382704619112</v>
      </c>
      <c r="AH8398" s="2" t="str">
        <f ca="1"/>
        <v>Bad</v>
      </c>
    </row>
    <row r="8399" spans="2:34" x14ac:dyDescent="0.2">
      <c r="B8399" s="2">
        <f ca="1"/>
        <v>0.47341068319095791</v>
      </c>
      <c r="O8399" s="2">
        <f ca="1"/>
        <v>-1.4733037851837365</v>
      </c>
      <c r="X8399" s="2">
        <f ca="1"/>
        <v>51.571396338028102</v>
      </c>
      <c r="AG8399" s="2">
        <f ca="1"/>
        <v>0.12863567132350395</v>
      </c>
      <c r="AH8399" s="2" t="str">
        <f ca="1"/>
        <v>OK</v>
      </c>
    </row>
    <row r="8400" spans="2:34" x14ac:dyDescent="0.2">
      <c r="B8400" s="2">
        <f ca="1"/>
        <v>0.87397242581920831</v>
      </c>
      <c r="O8400" s="2">
        <f ca="1"/>
        <v>-0.74097693695714129</v>
      </c>
      <c r="X8400" s="2">
        <f ca="1"/>
        <v>72.819125833184572</v>
      </c>
      <c r="AG8400" s="2">
        <f ca="1"/>
        <v>0.64220808544743724</v>
      </c>
      <c r="AH8400" s="2" t="str">
        <f ca="1"/>
        <v>Bad</v>
      </c>
    </row>
    <row r="8401" spans="2:34" x14ac:dyDescent="0.2">
      <c r="B8401" s="2">
        <f ca="1"/>
        <v>0.60115385759279594</v>
      </c>
      <c r="O8401" s="2">
        <f ca="1"/>
        <v>-1.6508226306012035</v>
      </c>
      <c r="X8401" s="2">
        <f ca="1"/>
        <v>31.573036134047229</v>
      </c>
      <c r="AG8401" s="2">
        <f ca="1"/>
        <v>0.38782339091296025</v>
      </c>
      <c r="AH8401" s="2" t="str">
        <f ca="1"/>
        <v>OK</v>
      </c>
    </row>
    <row r="8402" spans="2:34" x14ac:dyDescent="0.2">
      <c r="B8402" s="2">
        <f ca="1"/>
        <v>0.65514412096859509</v>
      </c>
      <c r="O8402" s="2">
        <f ca="1"/>
        <v>1.548790859484543</v>
      </c>
      <c r="X8402" s="2">
        <f ca="1"/>
        <v>37.461040737076857</v>
      </c>
      <c r="AG8402" s="2">
        <f ca="1"/>
        <v>0.11409861921950415</v>
      </c>
      <c r="AH8402" s="2" t="str">
        <f ca="1"/>
        <v>OK</v>
      </c>
    </row>
    <row r="8403" spans="2:34" x14ac:dyDescent="0.2">
      <c r="B8403" s="2">
        <f ca="1"/>
        <v>0.79360791057380808</v>
      </c>
      <c r="O8403" s="2">
        <f ca="1"/>
        <v>-1.8672056661277254</v>
      </c>
      <c r="X8403" s="2">
        <f ca="1"/>
        <v>45.80763588829921</v>
      </c>
      <c r="AG8403" s="2">
        <f ca="1"/>
        <v>8.2521464025007818E-2</v>
      </c>
      <c r="AH8403" s="2" t="str">
        <f ca="1"/>
        <v>OK</v>
      </c>
    </row>
    <row r="8404" spans="2:34" x14ac:dyDescent="0.2">
      <c r="B8404" s="2">
        <f ca="1"/>
        <v>0.41834046157700566</v>
      </c>
      <c r="O8404" s="2">
        <f ca="1"/>
        <v>-1.0163386983031959</v>
      </c>
      <c r="X8404" s="2">
        <f ca="1"/>
        <v>110.39871199265066</v>
      </c>
      <c r="AG8404" s="2">
        <f ca="1"/>
        <v>1.4225429830090119E-2</v>
      </c>
      <c r="AH8404" s="2" t="str">
        <f ca="1"/>
        <v>Good</v>
      </c>
    </row>
    <row r="8405" spans="2:34" x14ac:dyDescent="0.2">
      <c r="B8405" s="2">
        <f ca="1"/>
        <v>0.6104940828656471</v>
      </c>
      <c r="O8405" s="2">
        <f ca="1"/>
        <v>-1.4478033042062703</v>
      </c>
      <c r="X8405" s="2">
        <f ca="1"/>
        <v>54.734468936750673</v>
      </c>
      <c r="AG8405" s="2">
        <f ca="1"/>
        <v>0.48803640639976598</v>
      </c>
      <c r="AH8405" s="2" t="str">
        <f ca="1"/>
        <v>Bad</v>
      </c>
    </row>
    <row r="8406" spans="2:34" x14ac:dyDescent="0.2">
      <c r="B8406" s="2">
        <f ca="1"/>
        <v>0.86154727589619307</v>
      </c>
      <c r="O8406" s="2">
        <f ca="1"/>
        <v>2.0728302890620212</v>
      </c>
      <c r="X8406" s="2">
        <f ca="1"/>
        <v>37.050526129361948</v>
      </c>
      <c r="AG8406" s="2">
        <f ca="1"/>
        <v>0.49385771670711431</v>
      </c>
      <c r="AH8406" s="2" t="str">
        <f ca="1"/>
        <v>Bad</v>
      </c>
    </row>
    <row r="8407" spans="2:34" x14ac:dyDescent="0.2">
      <c r="B8407" s="2">
        <f ca="1"/>
        <v>0.2906991419514211</v>
      </c>
      <c r="O8407" s="2">
        <f ca="1"/>
        <v>0.92572125370359037</v>
      </c>
      <c r="X8407" s="2">
        <f ca="1"/>
        <v>33.60441863518777</v>
      </c>
      <c r="AG8407" s="2">
        <f ca="1"/>
        <v>0.68445197386080303</v>
      </c>
      <c r="AH8407" s="2" t="str">
        <f ca="1"/>
        <v>Bad</v>
      </c>
    </row>
    <row r="8408" spans="2:34" x14ac:dyDescent="0.2">
      <c r="B8408" s="2">
        <f ca="1"/>
        <v>0.11809841686724343</v>
      </c>
      <c r="O8408" s="2">
        <f ca="1"/>
        <v>-0.62097191805218699</v>
      </c>
      <c r="X8408" s="2">
        <f ca="1"/>
        <v>43.675086143855175</v>
      </c>
      <c r="AG8408" s="2">
        <f ca="1"/>
        <v>0.26538128671318084</v>
      </c>
      <c r="AH8408" s="2" t="str">
        <f ca="1"/>
        <v>OK</v>
      </c>
    </row>
    <row r="8409" spans="2:34" x14ac:dyDescent="0.2">
      <c r="B8409" s="2">
        <f ca="1"/>
        <v>0.68082939085650929</v>
      </c>
      <c r="O8409" s="2">
        <f ca="1"/>
        <v>-1.1945479041554086</v>
      </c>
      <c r="X8409" s="2">
        <f ca="1"/>
        <v>58.84163517808868</v>
      </c>
      <c r="AG8409" s="2">
        <f ca="1"/>
        <v>0.72057240728155181</v>
      </c>
      <c r="AH8409" s="2" t="str">
        <f ca="1"/>
        <v>Bad</v>
      </c>
    </row>
    <row r="8410" spans="2:34" x14ac:dyDescent="0.2">
      <c r="B8410" s="2">
        <f ca="1"/>
        <v>0.61627785363015941</v>
      </c>
      <c r="O8410" s="2">
        <f ca="1"/>
        <v>-0.52766804266949641</v>
      </c>
      <c r="X8410" s="2">
        <f ca="1"/>
        <v>54.713514756031714</v>
      </c>
      <c r="AG8410" s="2">
        <f ca="1"/>
        <v>0.8218411947392843</v>
      </c>
      <c r="AH8410" s="2" t="str">
        <f ca="1"/>
        <v>Bad</v>
      </c>
    </row>
    <row r="8411" spans="2:34" x14ac:dyDescent="0.2">
      <c r="B8411" s="2">
        <f ca="1"/>
        <v>0.49042733971468389</v>
      </c>
      <c r="O8411" s="2">
        <f ca="1"/>
        <v>-0.94185599297809985</v>
      </c>
      <c r="X8411" s="2">
        <f ca="1"/>
        <v>50.139002284839201</v>
      </c>
      <c r="AG8411" s="2">
        <f ca="1"/>
        <v>0.34950993572103606</v>
      </c>
      <c r="AH8411" s="2" t="str">
        <f ca="1"/>
        <v>OK</v>
      </c>
    </row>
    <row r="8412" spans="2:34" x14ac:dyDescent="0.2">
      <c r="B8412" s="2">
        <f ca="1"/>
        <v>0.34673250757352614</v>
      </c>
      <c r="O8412" s="2">
        <f ca="1"/>
        <v>0.73993789571144941</v>
      </c>
      <c r="X8412" s="2">
        <f ca="1"/>
        <v>39.198268239270142</v>
      </c>
      <c r="AG8412" s="2">
        <f ca="1"/>
        <v>0.95322143221693612</v>
      </c>
      <c r="AH8412" s="2" t="str">
        <f ca="1"/>
        <v>Bad</v>
      </c>
    </row>
    <row r="8413" spans="2:34" x14ac:dyDescent="0.2">
      <c r="B8413" s="2">
        <f ca="1"/>
        <v>0.9584888032548422</v>
      </c>
      <c r="O8413" s="2">
        <f ca="1"/>
        <v>-0.48915449567755959</v>
      </c>
      <c r="X8413" s="2">
        <f ca="1"/>
        <v>55.649745175328214</v>
      </c>
      <c r="AG8413" s="2">
        <f ca="1"/>
        <v>0.51947034762340949</v>
      </c>
      <c r="AH8413" s="2" t="str">
        <f ca="1"/>
        <v>Bad</v>
      </c>
    </row>
    <row r="8414" spans="2:34" x14ac:dyDescent="0.2">
      <c r="B8414" s="2">
        <f ca="1"/>
        <v>0.41906470876862834</v>
      </c>
      <c r="O8414" s="2">
        <f ca="1"/>
        <v>-0.20574943651592115</v>
      </c>
      <c r="X8414" s="2">
        <f ca="1"/>
        <v>42.692217151879568</v>
      </c>
      <c r="AG8414" s="2">
        <f ca="1"/>
        <v>0.96817326191596398</v>
      </c>
      <c r="AH8414" s="2" t="str">
        <f ca="1"/>
        <v>Bad</v>
      </c>
    </row>
    <row r="8415" spans="2:34" x14ac:dyDescent="0.2">
      <c r="B8415" s="2">
        <f ca="1"/>
        <v>3.0845674784811816E-2</v>
      </c>
      <c r="O8415" s="2">
        <f ca="1"/>
        <v>1.3732109828965176</v>
      </c>
      <c r="X8415" s="2">
        <f ca="1"/>
        <v>63.219166324588585</v>
      </c>
      <c r="AG8415" s="2">
        <f ca="1"/>
        <v>0.98957018745497205</v>
      </c>
      <c r="AH8415" s="2" t="str">
        <f ca="1"/>
        <v>Bad</v>
      </c>
    </row>
    <row r="8416" spans="2:34" x14ac:dyDescent="0.2">
      <c r="B8416" s="2">
        <f ca="1"/>
        <v>0.47273186620831442</v>
      </c>
      <c r="O8416" s="2">
        <f ca="1"/>
        <v>2.034188665715047</v>
      </c>
      <c r="X8416" s="2">
        <f ca="1"/>
        <v>47.959883721678551</v>
      </c>
      <c r="AG8416" s="2">
        <f ca="1"/>
        <v>0.51341279097645387</v>
      </c>
      <c r="AH8416" s="2" t="str">
        <f ca="1"/>
        <v>Bad</v>
      </c>
    </row>
    <row r="8417" spans="2:34" x14ac:dyDescent="0.2">
      <c r="B8417" s="2">
        <f ca="1"/>
        <v>1.6903910723013782E-2</v>
      </c>
      <c r="O8417" s="2">
        <f ca="1"/>
        <v>0.5851223754682312</v>
      </c>
      <c r="X8417" s="2">
        <f ca="1"/>
        <v>56.721204665680965</v>
      </c>
      <c r="AG8417" s="2">
        <f ca="1"/>
        <v>0.84840403251567409</v>
      </c>
      <c r="AH8417" s="2" t="str">
        <f ca="1"/>
        <v>Bad</v>
      </c>
    </row>
    <row r="8418" spans="2:34" x14ac:dyDescent="0.2">
      <c r="B8418" s="2">
        <f ca="1"/>
        <v>0.75578454656510896</v>
      </c>
      <c r="O8418" s="2">
        <f ca="1"/>
        <v>0.16020801397393547</v>
      </c>
      <c r="X8418" s="2">
        <f ca="1"/>
        <v>104.59717763527209</v>
      </c>
      <c r="AG8418" s="2">
        <f ca="1"/>
        <v>6.3334841190286095E-2</v>
      </c>
      <c r="AH8418" s="2" t="str">
        <f ca="1"/>
        <v>OK</v>
      </c>
    </row>
    <row r="8419" spans="2:34" x14ac:dyDescent="0.2">
      <c r="B8419" s="2">
        <f ca="1"/>
        <v>2.8431021345616703E-2</v>
      </c>
      <c r="O8419" s="2">
        <f ca="1"/>
        <v>1.3177527003185321</v>
      </c>
      <c r="X8419" s="2">
        <f ca="1"/>
        <v>51.694540535319497</v>
      </c>
      <c r="AG8419" s="2">
        <f ca="1"/>
        <v>0.82240332780701642</v>
      </c>
      <c r="AH8419" s="2" t="str">
        <f ca="1"/>
        <v>Bad</v>
      </c>
    </row>
    <row r="8420" spans="2:34" x14ac:dyDescent="0.2">
      <c r="B8420" s="2">
        <f ca="1"/>
        <v>9.7472359838630673E-3</v>
      </c>
      <c r="O8420" s="2">
        <f ca="1"/>
        <v>-0.32573606739241184</v>
      </c>
      <c r="X8420" s="2">
        <f ca="1"/>
        <v>43.600844142377227</v>
      </c>
      <c r="AG8420" s="2">
        <f ca="1"/>
        <v>0.15159271261504514</v>
      </c>
      <c r="AH8420" s="2" t="str">
        <f ca="1"/>
        <v>OK</v>
      </c>
    </row>
    <row r="8421" spans="2:34" x14ac:dyDescent="0.2">
      <c r="B8421" s="2">
        <f ca="1"/>
        <v>0.25660385284551102</v>
      </c>
      <c r="O8421" s="2">
        <f ca="1"/>
        <v>0.56865671137647833</v>
      </c>
      <c r="X8421" s="2">
        <f ca="1"/>
        <v>39.793519347382315</v>
      </c>
      <c r="AG8421" s="2">
        <f ca="1"/>
        <v>0.23617491776610322</v>
      </c>
      <c r="AH8421" s="2" t="str">
        <f ca="1"/>
        <v>OK</v>
      </c>
    </row>
    <row r="8422" spans="2:34" x14ac:dyDescent="0.2">
      <c r="B8422" s="2">
        <f ca="1"/>
        <v>0.3021945349876054</v>
      </c>
      <c r="O8422" s="2">
        <f ca="1"/>
        <v>-0.46015499258799697</v>
      </c>
      <c r="X8422" s="2">
        <f ca="1"/>
        <v>43.054669255846314</v>
      </c>
      <c r="AG8422" s="2">
        <f ca="1"/>
        <v>0.85650161987188334</v>
      </c>
      <c r="AH8422" s="2" t="str">
        <f ca="1"/>
        <v>Bad</v>
      </c>
    </row>
    <row r="8423" spans="2:34" x14ac:dyDescent="0.2">
      <c r="B8423" s="2">
        <f ca="1"/>
        <v>0.97419015382054552</v>
      </c>
      <c r="O8423" s="2">
        <f ca="1"/>
        <v>5.1353902633365402E-3</v>
      </c>
      <c r="X8423" s="2">
        <f ca="1"/>
        <v>42.287387963191676</v>
      </c>
      <c r="AG8423" s="2">
        <f ca="1"/>
        <v>2.0753842374964693E-2</v>
      </c>
      <c r="AH8423" s="2" t="str">
        <f ca="1"/>
        <v>Good</v>
      </c>
    </row>
    <row r="8424" spans="2:34" x14ac:dyDescent="0.2">
      <c r="B8424" s="2">
        <f ca="1"/>
        <v>0.4418594812327199</v>
      </c>
      <c r="O8424" s="2">
        <f ca="1"/>
        <v>0.32260199494928954</v>
      </c>
      <c r="X8424" s="2">
        <f ca="1"/>
        <v>70.740582780580311</v>
      </c>
      <c r="AG8424" s="2">
        <f ca="1"/>
        <v>0.43892782383102658</v>
      </c>
      <c r="AH8424" s="2" t="str">
        <f ca="1"/>
        <v>Bad</v>
      </c>
    </row>
    <row r="8425" spans="2:34" x14ac:dyDescent="0.2">
      <c r="B8425" s="2">
        <f ca="1"/>
        <v>0.67718362995630543</v>
      </c>
      <c r="O8425" s="2">
        <f ca="1"/>
        <v>-0.1754780131022747</v>
      </c>
      <c r="X8425" s="2">
        <f ca="1"/>
        <v>33.343345072641291</v>
      </c>
      <c r="AG8425" s="2">
        <f ca="1"/>
        <v>0.40525086812790634</v>
      </c>
      <c r="AH8425" s="2" t="str">
        <f ca="1"/>
        <v>Bad</v>
      </c>
    </row>
    <row r="8426" spans="2:34" x14ac:dyDescent="0.2">
      <c r="B8426" s="2">
        <f ca="1"/>
        <v>0.1751042392688138</v>
      </c>
      <c r="O8426" s="2">
        <f ca="1"/>
        <v>-1.4536899850512983</v>
      </c>
      <c r="X8426" s="2">
        <f ca="1"/>
        <v>43.720379408694754</v>
      </c>
      <c r="AG8426" s="2">
        <f ca="1"/>
        <v>0.68395318803007576</v>
      </c>
      <c r="AH8426" s="2" t="str">
        <f ca="1"/>
        <v>Bad</v>
      </c>
    </row>
    <row r="8427" spans="2:34" x14ac:dyDescent="0.2">
      <c r="B8427" s="2">
        <f ca="1"/>
        <v>0.68578233230596686</v>
      </c>
      <c r="O8427" s="2">
        <f ca="1"/>
        <v>1.0771459538023973</v>
      </c>
      <c r="X8427" s="2">
        <f ca="1"/>
        <v>57.639063684001385</v>
      </c>
      <c r="AG8427" s="2">
        <f ca="1"/>
        <v>3.0209906650277896E-2</v>
      </c>
      <c r="AH8427" s="2" t="str">
        <f ca="1"/>
        <v>Good</v>
      </c>
    </row>
    <row r="8428" spans="2:34" x14ac:dyDescent="0.2">
      <c r="B8428" s="2">
        <f ca="1"/>
        <v>0.73578809649730781</v>
      </c>
      <c r="O8428" s="2">
        <f ca="1"/>
        <v>-0.49693094770448804</v>
      </c>
      <c r="X8428" s="2">
        <f ca="1"/>
        <v>58.169302329891067</v>
      </c>
      <c r="AG8428" s="2">
        <f ca="1"/>
        <v>0.53560913068353444</v>
      </c>
      <c r="AH8428" s="2" t="str">
        <f ca="1"/>
        <v>Bad</v>
      </c>
    </row>
    <row r="8429" spans="2:34" x14ac:dyDescent="0.2">
      <c r="B8429" s="2">
        <f ca="1"/>
        <v>0.57314265392149211</v>
      </c>
      <c r="O8429" s="2">
        <f ca="1"/>
        <v>-3.3344310937896533</v>
      </c>
      <c r="X8429" s="2">
        <f ca="1"/>
        <v>29.195901699352042</v>
      </c>
      <c r="AG8429" s="2">
        <f ca="1"/>
        <v>0.98051596507646499</v>
      </c>
      <c r="AH8429" s="2" t="str">
        <f ca="1"/>
        <v>Bad</v>
      </c>
    </row>
    <row r="8430" spans="2:34" x14ac:dyDescent="0.2">
      <c r="B8430" s="2">
        <f ca="1"/>
        <v>0.58308361187914803</v>
      </c>
      <c r="O8430" s="2">
        <f ca="1"/>
        <v>0.3254881805832428</v>
      </c>
      <c r="X8430" s="2">
        <f ca="1"/>
        <v>50.468528986773578</v>
      </c>
      <c r="AG8430" s="2">
        <f ca="1"/>
        <v>0.93305367056880684</v>
      </c>
      <c r="AH8430" s="2" t="str">
        <f ca="1"/>
        <v>Bad</v>
      </c>
    </row>
    <row r="8431" spans="2:34" x14ac:dyDescent="0.2">
      <c r="B8431" s="2">
        <f ca="1"/>
        <v>0.86141463524402839</v>
      </c>
      <c r="O8431" s="2">
        <f ca="1"/>
        <v>-5.7706579689940848E-2</v>
      </c>
      <c r="X8431" s="2">
        <f ca="1"/>
        <v>43.973394343290977</v>
      </c>
      <c r="AG8431" s="2">
        <f ca="1"/>
        <v>0.96642350532272014</v>
      </c>
      <c r="AH8431" s="2" t="str">
        <f ca="1"/>
        <v>Bad</v>
      </c>
    </row>
    <row r="8432" spans="2:34" x14ac:dyDescent="0.2">
      <c r="B8432" s="2">
        <f ca="1"/>
        <v>0.13729510142464907</v>
      </c>
      <c r="O8432" s="2">
        <f ca="1"/>
        <v>1.6063742933144034</v>
      </c>
      <c r="X8432" s="2">
        <f ca="1"/>
        <v>84.075931831120002</v>
      </c>
      <c r="AG8432" s="2">
        <f ca="1"/>
        <v>0.3362508037759</v>
      </c>
      <c r="AH8432" s="2" t="str">
        <f ca="1"/>
        <v>OK</v>
      </c>
    </row>
    <row r="8433" spans="2:34" x14ac:dyDescent="0.2">
      <c r="B8433" s="2">
        <f ca="1"/>
        <v>0.9755830299126993</v>
      </c>
      <c r="O8433" s="2">
        <f ca="1"/>
        <v>-0.41974942142672184</v>
      </c>
      <c r="X8433" s="2">
        <f ca="1"/>
        <v>74.89034684830645</v>
      </c>
      <c r="AG8433" s="2">
        <f ca="1"/>
        <v>0.51852791018322852</v>
      </c>
      <c r="AH8433" s="2" t="str">
        <f ca="1"/>
        <v>Bad</v>
      </c>
    </row>
    <row r="8434" spans="2:34" x14ac:dyDescent="0.2">
      <c r="B8434" s="2">
        <f ca="1"/>
        <v>0.23025777952264326</v>
      </c>
      <c r="O8434" s="2">
        <f ca="1"/>
        <v>0.15511968717705932</v>
      </c>
      <c r="X8434" s="2">
        <f ca="1"/>
        <v>36.693368946365503</v>
      </c>
      <c r="AG8434" s="2">
        <f ca="1"/>
        <v>7.7693713265623021E-3</v>
      </c>
      <c r="AH8434" s="2" t="str">
        <f ca="1"/>
        <v>Good</v>
      </c>
    </row>
    <row r="8435" spans="2:34" x14ac:dyDescent="0.2">
      <c r="B8435" s="2">
        <f ca="1"/>
        <v>9.5016239705403294E-2</v>
      </c>
      <c r="O8435" s="2">
        <f ca="1"/>
        <v>1.6685714954840662</v>
      </c>
      <c r="X8435" s="2">
        <f ca="1"/>
        <v>67.681945322846829</v>
      </c>
      <c r="AG8435" s="2">
        <f ca="1"/>
        <v>0.18393918760357941</v>
      </c>
      <c r="AH8435" s="2" t="str">
        <f ca="1"/>
        <v>OK</v>
      </c>
    </row>
    <row r="8436" spans="2:34" x14ac:dyDescent="0.2">
      <c r="B8436" s="2">
        <f ca="1"/>
        <v>0.80556927934836597</v>
      </c>
      <c r="O8436" s="2">
        <f ca="1"/>
        <v>0.69806765759000122</v>
      </c>
      <c r="X8436" s="2">
        <f ca="1"/>
        <v>71.772845453931467</v>
      </c>
      <c r="AG8436" s="2">
        <f ca="1"/>
        <v>0.81706180043604948</v>
      </c>
      <c r="AH8436" s="2" t="str">
        <f ca="1"/>
        <v>Bad</v>
      </c>
    </row>
    <row r="8437" spans="2:34" x14ac:dyDescent="0.2">
      <c r="B8437" s="2">
        <f ca="1"/>
        <v>0.7770158605368791</v>
      </c>
      <c r="O8437" s="2">
        <f ca="1"/>
        <v>-1.36664828429867</v>
      </c>
      <c r="X8437" s="2">
        <f ca="1"/>
        <v>78.293455602519657</v>
      </c>
      <c r="AG8437" s="2">
        <f ca="1"/>
        <v>0.91091110080899584</v>
      </c>
      <c r="AH8437" s="2" t="str">
        <f ca="1"/>
        <v>Bad</v>
      </c>
    </row>
    <row r="8438" spans="2:34" x14ac:dyDescent="0.2">
      <c r="B8438" s="2">
        <f ca="1"/>
        <v>0.87623494957051795</v>
      </c>
      <c r="O8438" s="2">
        <f ca="1"/>
        <v>-0.46725297384206671</v>
      </c>
      <c r="X8438" s="2">
        <f ca="1"/>
        <v>72.30738832118216</v>
      </c>
      <c r="AG8438" s="2">
        <f ca="1"/>
        <v>0.91003698808028344</v>
      </c>
      <c r="AH8438" s="2" t="str">
        <f ca="1"/>
        <v>Bad</v>
      </c>
    </row>
    <row r="8439" spans="2:34" x14ac:dyDescent="0.2">
      <c r="B8439" s="2">
        <f ca="1"/>
        <v>0.92519436259735199</v>
      </c>
      <c r="O8439" s="2">
        <f ca="1"/>
        <v>-0.4258576760616577</v>
      </c>
      <c r="X8439" s="2">
        <f ca="1"/>
        <v>68.89071681861455</v>
      </c>
      <c r="AG8439" s="2">
        <f ca="1"/>
        <v>0.36378574945943609</v>
      </c>
      <c r="AH8439" s="2" t="str">
        <f ca="1"/>
        <v>OK</v>
      </c>
    </row>
    <row r="8440" spans="2:34" x14ac:dyDescent="0.2">
      <c r="B8440" s="2">
        <f ca="1"/>
        <v>0.42258686841980531</v>
      </c>
      <c r="O8440" s="2">
        <f ca="1"/>
        <v>-1.3407279414197606</v>
      </c>
      <c r="X8440" s="2">
        <f ca="1"/>
        <v>55.739538375585369</v>
      </c>
      <c r="AG8440" s="2">
        <f ca="1"/>
        <v>0.45707690175713545</v>
      </c>
      <c r="AH8440" s="2" t="str">
        <f ca="1"/>
        <v>Bad</v>
      </c>
    </row>
    <row r="8441" spans="2:34" x14ac:dyDescent="0.2">
      <c r="B8441" s="2">
        <f ca="1"/>
        <v>0.10723731653588242</v>
      </c>
      <c r="O8441" s="2">
        <f ca="1"/>
        <v>0.47401721235276423</v>
      </c>
      <c r="X8441" s="2">
        <f ca="1"/>
        <v>42.545999841972524</v>
      </c>
      <c r="AG8441" s="2">
        <f ca="1"/>
        <v>1.6704793442290367E-3</v>
      </c>
      <c r="AH8441" s="2" t="str">
        <f ca="1"/>
        <v>Good</v>
      </c>
    </row>
    <row r="8442" spans="2:34" x14ac:dyDescent="0.2">
      <c r="B8442" s="2">
        <f ca="1"/>
        <v>0.73130728075435325</v>
      </c>
      <c r="O8442" s="2">
        <f ca="1"/>
        <v>-5.7650934074081631E-2</v>
      </c>
      <c r="X8442" s="2">
        <f ca="1"/>
        <v>62.422312695187614</v>
      </c>
      <c r="AG8442" s="2">
        <f ca="1"/>
        <v>0.83296166434302443</v>
      </c>
      <c r="AH8442" s="2" t="str">
        <f ca="1"/>
        <v>Bad</v>
      </c>
    </row>
    <row r="8443" spans="2:34" x14ac:dyDescent="0.2">
      <c r="B8443" s="2">
        <f ca="1"/>
        <v>0.89467454478938779</v>
      </c>
      <c r="O8443" s="2">
        <f ca="1"/>
        <v>-0.5499211511658717</v>
      </c>
      <c r="X8443" s="2">
        <f ca="1"/>
        <v>43.233692844085816</v>
      </c>
      <c r="AG8443" s="2">
        <f ca="1"/>
        <v>0.40728920617062769</v>
      </c>
      <c r="AH8443" s="2" t="str">
        <f ca="1"/>
        <v>Bad</v>
      </c>
    </row>
    <row r="8444" spans="2:34" x14ac:dyDescent="0.2">
      <c r="B8444" s="2">
        <f ca="1"/>
        <v>0.74732439119610694</v>
      </c>
      <c r="O8444" s="2">
        <f ca="1"/>
        <v>-1.049937387383779</v>
      </c>
      <c r="X8444" s="2">
        <f ca="1"/>
        <v>38.630334726650062</v>
      </c>
      <c r="AG8444" s="2">
        <f ca="1"/>
        <v>4.2985403486710094E-2</v>
      </c>
      <c r="AH8444" s="2" t="str">
        <f ca="1"/>
        <v>Good</v>
      </c>
    </row>
    <row r="8445" spans="2:34" x14ac:dyDescent="0.2">
      <c r="B8445" s="2">
        <f ca="1"/>
        <v>0.4441593035534328</v>
      </c>
      <c r="O8445" s="2">
        <f ca="1"/>
        <v>2.2015673979365493</v>
      </c>
      <c r="X8445" s="2">
        <f ca="1"/>
        <v>59.890704119280009</v>
      </c>
      <c r="AG8445" s="2">
        <f ca="1"/>
        <v>0.69408302674321676</v>
      </c>
      <c r="AH8445" s="2" t="str">
        <f ca="1"/>
        <v>Bad</v>
      </c>
    </row>
    <row r="8446" spans="2:34" x14ac:dyDescent="0.2">
      <c r="B8446" s="2">
        <f ca="1"/>
        <v>0.14537837737410086</v>
      </c>
      <c r="O8446" s="2">
        <f ca="1"/>
        <v>-5.4023612114009065E-2</v>
      </c>
      <c r="X8446" s="2">
        <f ca="1"/>
        <v>30.68868120658064</v>
      </c>
      <c r="AG8446" s="2">
        <f ca="1"/>
        <v>0.11035178740622809</v>
      </c>
      <c r="AH8446" s="2" t="str">
        <f ca="1"/>
        <v>OK</v>
      </c>
    </row>
    <row r="8447" spans="2:34" x14ac:dyDescent="0.2">
      <c r="B8447" s="2">
        <f ca="1"/>
        <v>0.8941627863669499</v>
      </c>
      <c r="O8447" s="2">
        <f ca="1"/>
        <v>0.9839340061227807</v>
      </c>
      <c r="X8447" s="2">
        <f ca="1"/>
        <v>86.397173965378613</v>
      </c>
      <c r="AG8447" s="2">
        <f ca="1"/>
        <v>0.24977460662866813</v>
      </c>
      <c r="AH8447" s="2" t="str">
        <f ca="1"/>
        <v>OK</v>
      </c>
    </row>
    <row r="8448" spans="2:34" x14ac:dyDescent="0.2">
      <c r="B8448" s="2">
        <f ca="1"/>
        <v>0.26469184148215241</v>
      </c>
      <c r="O8448" s="2">
        <f ca="1"/>
        <v>-0.75675808334113681</v>
      </c>
      <c r="X8448" s="2">
        <f ca="1"/>
        <v>66.187139407023366</v>
      </c>
      <c r="AG8448" s="2">
        <f ca="1"/>
        <v>0.62426589687949829</v>
      </c>
      <c r="AH8448" s="2" t="str">
        <f ca="1"/>
        <v>Bad</v>
      </c>
    </row>
    <row r="8449" spans="2:34" x14ac:dyDescent="0.2">
      <c r="B8449" s="2">
        <f ca="1"/>
        <v>0.85971455068194413</v>
      </c>
      <c r="O8449" s="2">
        <f ca="1"/>
        <v>1.9111624821781206</v>
      </c>
      <c r="X8449" s="2">
        <f ca="1"/>
        <v>70.841242878148364</v>
      </c>
      <c r="AG8449" s="2">
        <f ca="1"/>
        <v>0.88730546060156246</v>
      </c>
      <c r="AH8449" s="2" t="str">
        <f ca="1"/>
        <v>Bad</v>
      </c>
    </row>
    <row r="8450" spans="2:34" x14ac:dyDescent="0.2">
      <c r="B8450" s="2">
        <f ca="1"/>
        <v>0.89785357788981557</v>
      </c>
      <c r="O8450" s="2">
        <f ca="1"/>
        <v>-0.45373580070648772</v>
      </c>
      <c r="X8450" s="2">
        <f ca="1"/>
        <v>64.49053315333731</v>
      </c>
      <c r="AG8450" s="2">
        <f ca="1"/>
        <v>0.76116864384438432</v>
      </c>
      <c r="AH8450" s="2" t="str">
        <f ca="1"/>
        <v>Bad</v>
      </c>
    </row>
    <row r="8451" spans="2:34" x14ac:dyDescent="0.2">
      <c r="B8451" s="2">
        <f ca="1"/>
        <v>0.939482509960339</v>
      </c>
      <c r="O8451" s="2">
        <f ca="1"/>
        <v>7.8594963452707875E-2</v>
      </c>
      <c r="X8451" s="2">
        <f ca="1"/>
        <v>48.919610948967652</v>
      </c>
      <c r="AG8451" s="2">
        <f ca="1"/>
        <v>1.5349213775295301E-3</v>
      </c>
      <c r="AH8451" s="2" t="str">
        <f ca="1"/>
        <v>Good</v>
      </c>
    </row>
    <row r="8452" spans="2:34" x14ac:dyDescent="0.2">
      <c r="B8452" s="2">
        <f ca="1"/>
        <v>0.5561179030123975</v>
      </c>
      <c r="O8452" s="2">
        <f ca="1"/>
        <v>-0.4558131722602593</v>
      </c>
      <c r="X8452" s="2">
        <f ca="1"/>
        <v>50.775551664437366</v>
      </c>
      <c r="AG8452" s="2">
        <f ca="1"/>
        <v>0.68725594439889259</v>
      </c>
      <c r="AH8452" s="2" t="str">
        <f ca="1"/>
        <v>Bad</v>
      </c>
    </row>
    <row r="8453" spans="2:34" x14ac:dyDescent="0.2">
      <c r="B8453" s="2">
        <f ca="1"/>
        <v>0.91541977029462052</v>
      </c>
      <c r="O8453" s="2">
        <f ca="1"/>
        <v>0.59257641222290036</v>
      </c>
      <c r="X8453" s="2">
        <f ca="1"/>
        <v>45.440560256865425</v>
      </c>
      <c r="AG8453" s="2">
        <f ca="1"/>
        <v>0.93325664120211149</v>
      </c>
      <c r="AH8453" s="2" t="str">
        <f ca="1"/>
        <v>Bad</v>
      </c>
    </row>
    <row r="8454" spans="2:34" x14ac:dyDescent="0.2">
      <c r="B8454" s="2">
        <f ca="1"/>
        <v>0.54843736574281876</v>
      </c>
      <c r="O8454" s="2">
        <f ca="1"/>
        <v>-0.40656577745868727</v>
      </c>
      <c r="X8454" s="2">
        <f ca="1"/>
        <v>49.388126757864377</v>
      </c>
      <c r="AG8454" s="2">
        <f ca="1"/>
        <v>0.96176760232235492</v>
      </c>
      <c r="AH8454" s="2" t="str">
        <f ca="1"/>
        <v>Bad</v>
      </c>
    </row>
    <row r="8455" spans="2:34" x14ac:dyDescent="0.2">
      <c r="B8455" s="2">
        <f ca="1"/>
        <v>1.9162112304770496E-2</v>
      </c>
      <c r="O8455" s="2">
        <f ca="1"/>
        <v>8.3143221022240524E-4</v>
      </c>
      <c r="X8455" s="2">
        <f ca="1"/>
        <v>35.249467762318886</v>
      </c>
      <c r="AG8455" s="2">
        <f ca="1"/>
        <v>0.30803841796099163</v>
      </c>
      <c r="AH8455" s="2" t="str">
        <f ca="1"/>
        <v>OK</v>
      </c>
    </row>
    <row r="8456" spans="2:34" x14ac:dyDescent="0.2">
      <c r="B8456" s="2">
        <f ca="1"/>
        <v>0.39045043326376927</v>
      </c>
      <c r="O8456" s="2">
        <f ca="1"/>
        <v>-0.78124933420015041</v>
      </c>
      <c r="X8456" s="2">
        <f ca="1"/>
        <v>47.285946841332382</v>
      </c>
      <c r="AG8456" s="2">
        <f ca="1"/>
        <v>0.57803284066671368</v>
      </c>
      <c r="AH8456" s="2" t="str">
        <f ca="1"/>
        <v>Bad</v>
      </c>
    </row>
    <row r="8457" spans="2:34" x14ac:dyDescent="0.2">
      <c r="B8457" s="2">
        <f ca="1"/>
        <v>0.56263364473663513</v>
      </c>
      <c r="O8457" s="2">
        <f ca="1"/>
        <v>0.67722815177786833</v>
      </c>
      <c r="X8457" s="2">
        <f ca="1"/>
        <v>83.731045935961973</v>
      </c>
      <c r="AG8457" s="2">
        <f ca="1"/>
        <v>0.30092134875250887</v>
      </c>
      <c r="AH8457" s="2" t="str">
        <f ca="1"/>
        <v>OK</v>
      </c>
    </row>
    <row r="8458" spans="2:34" x14ac:dyDescent="0.2">
      <c r="B8458" s="2">
        <f ca="1"/>
        <v>0.8741895049779691</v>
      </c>
      <c r="O8458" s="2">
        <f ca="1"/>
        <v>1.1845535778020954E-2</v>
      </c>
      <c r="X8458" s="2">
        <f ca="1"/>
        <v>41.393946838280783</v>
      </c>
      <c r="AG8458" s="2">
        <f ca="1"/>
        <v>0.65353628686279031</v>
      </c>
      <c r="AH8458" s="2" t="str">
        <f ca="1"/>
        <v>Bad</v>
      </c>
    </row>
    <row r="8459" spans="2:34" x14ac:dyDescent="0.2">
      <c r="B8459" s="2">
        <f ca="1"/>
        <v>0.82385610995898628</v>
      </c>
      <c r="O8459" s="2">
        <f ca="1"/>
        <v>0.63550507499987297</v>
      </c>
      <c r="X8459" s="2">
        <f ca="1"/>
        <v>71.967179241766274</v>
      </c>
      <c r="AG8459" s="2">
        <f ca="1"/>
        <v>0.78602863460647554</v>
      </c>
      <c r="AH8459" s="2" t="str">
        <f ca="1"/>
        <v>Bad</v>
      </c>
    </row>
    <row r="8460" spans="2:34" x14ac:dyDescent="0.2">
      <c r="B8460" s="2">
        <f ca="1"/>
        <v>0.83917268785468169</v>
      </c>
      <c r="O8460" s="2">
        <f ca="1"/>
        <v>-1.9297836087143461E-2</v>
      </c>
      <c r="X8460" s="2">
        <f ca="1"/>
        <v>24.956640238229095</v>
      </c>
      <c r="AG8460" s="2">
        <f ca="1"/>
        <v>0.86548549783627027</v>
      </c>
      <c r="AH8460" s="2" t="str">
        <f ca="1"/>
        <v>Bad</v>
      </c>
    </row>
    <row r="8461" spans="2:34" x14ac:dyDescent="0.2">
      <c r="B8461" s="2">
        <f ca="1"/>
        <v>1.4310490608733684E-2</v>
      </c>
      <c r="O8461" s="2">
        <f ca="1"/>
        <v>0.19520732948012609</v>
      </c>
      <c r="X8461" s="2">
        <f ca="1"/>
        <v>60.753068527099892</v>
      </c>
      <c r="AG8461" s="2">
        <f ca="1"/>
        <v>0.7311442522688123</v>
      </c>
      <c r="AH8461" s="2" t="str">
        <f ca="1"/>
        <v>Bad</v>
      </c>
    </row>
    <row r="8462" spans="2:34" x14ac:dyDescent="0.2">
      <c r="B8462" s="2">
        <f ca="1"/>
        <v>7.6247231815428584E-2</v>
      </c>
      <c r="O8462" s="2">
        <f ca="1"/>
        <v>0.58932996391462211</v>
      </c>
      <c r="X8462" s="2">
        <f ca="1"/>
        <v>62.573913372247858</v>
      </c>
      <c r="AG8462" s="2">
        <f ca="1"/>
        <v>0.71577659326977283</v>
      </c>
      <c r="AH8462" s="2" t="str">
        <f ca="1"/>
        <v>Bad</v>
      </c>
    </row>
    <row r="8463" spans="2:34" x14ac:dyDescent="0.2">
      <c r="B8463" s="2">
        <f ca="1"/>
        <v>0.76715586654400658</v>
      </c>
      <c r="O8463" s="2">
        <f ca="1"/>
        <v>-1.2962971035328026</v>
      </c>
      <c r="X8463" s="2">
        <f ca="1"/>
        <v>70.15061969517609</v>
      </c>
      <c r="AG8463" s="2">
        <f ca="1"/>
        <v>0.78088173329019761</v>
      </c>
      <c r="AH8463" s="2" t="str">
        <f ca="1"/>
        <v>Bad</v>
      </c>
    </row>
    <row r="8464" spans="2:34" x14ac:dyDescent="0.2">
      <c r="B8464" s="2">
        <f ca="1"/>
        <v>0.17923504177342986</v>
      </c>
      <c r="O8464" s="2">
        <f ca="1"/>
        <v>0.32021655807989741</v>
      </c>
      <c r="X8464" s="2">
        <f ca="1"/>
        <v>49.92330959851018</v>
      </c>
      <c r="AG8464" s="2">
        <f ca="1"/>
        <v>0.88925804184086421</v>
      </c>
      <c r="AH8464" s="2" t="str">
        <f ca="1"/>
        <v>Bad</v>
      </c>
    </row>
    <row r="8465" spans="2:34" x14ac:dyDescent="0.2">
      <c r="B8465" s="2">
        <f ca="1"/>
        <v>0.32577595206550924</v>
      </c>
      <c r="O8465" s="2">
        <f ca="1"/>
        <v>1.2453476517281192</v>
      </c>
      <c r="X8465" s="2">
        <f ca="1"/>
        <v>92.313788847238087</v>
      </c>
      <c r="AG8465" s="2">
        <f ca="1"/>
        <v>0.69328217713273665</v>
      </c>
      <c r="AH8465" s="2" t="str">
        <f ca="1"/>
        <v>Bad</v>
      </c>
    </row>
    <row r="8466" spans="2:34" x14ac:dyDescent="0.2">
      <c r="B8466" s="2">
        <f ca="1"/>
        <v>0.46466639969501866</v>
      </c>
      <c r="O8466" s="2">
        <f ca="1"/>
        <v>-0.11837089150689788</v>
      </c>
      <c r="X8466" s="2">
        <f ca="1"/>
        <v>32.927028493641942</v>
      </c>
      <c r="AG8466" s="2">
        <f ca="1"/>
        <v>0.59905578954725769</v>
      </c>
      <c r="AH8466" s="2" t="str">
        <f ca="1"/>
        <v>Bad</v>
      </c>
    </row>
    <row r="8467" spans="2:34" x14ac:dyDescent="0.2">
      <c r="B8467" s="2">
        <f ca="1"/>
        <v>0.5906383873114085</v>
      </c>
      <c r="O8467" s="2">
        <f ca="1"/>
        <v>-1.0685590539405219</v>
      </c>
      <c r="X8467" s="2">
        <f ca="1"/>
        <v>45.623273410892935</v>
      </c>
      <c r="AG8467" s="2">
        <f ca="1"/>
        <v>0.37137809931490429</v>
      </c>
      <c r="AH8467" s="2" t="str">
        <f ca="1"/>
        <v>OK</v>
      </c>
    </row>
    <row r="8468" spans="2:34" x14ac:dyDescent="0.2">
      <c r="B8468" s="2">
        <f ca="1"/>
        <v>0.8114665832700485</v>
      </c>
      <c r="O8468" s="2">
        <f ca="1"/>
        <v>-1.7918666021897858</v>
      </c>
      <c r="X8468" s="2">
        <f ca="1"/>
        <v>68.406249743658833</v>
      </c>
      <c r="AG8468" s="2">
        <f ca="1"/>
        <v>0.29260000678902331</v>
      </c>
      <c r="AH8468" s="2" t="str">
        <f ca="1"/>
        <v>OK</v>
      </c>
    </row>
    <row r="8469" spans="2:34" x14ac:dyDescent="0.2">
      <c r="B8469" s="2">
        <f ca="1"/>
        <v>0.10614104951517844</v>
      </c>
      <c r="O8469" s="2">
        <f ca="1"/>
        <v>-0.13845012982030935</v>
      </c>
      <c r="X8469" s="2">
        <f ca="1"/>
        <v>82.375536007022191</v>
      </c>
      <c r="AG8469" s="2">
        <f ca="1"/>
        <v>3.8411056733520965E-2</v>
      </c>
      <c r="AH8469" s="2" t="str">
        <f ca="1"/>
        <v>Good</v>
      </c>
    </row>
    <row r="8470" spans="2:34" x14ac:dyDescent="0.2">
      <c r="B8470" s="2">
        <f ca="1"/>
        <v>0.23392805608037626</v>
      </c>
      <c r="O8470" s="2">
        <f ca="1"/>
        <v>-0.61813828651458824</v>
      </c>
      <c r="X8470" s="2">
        <f ca="1"/>
        <v>33.749437347753684</v>
      </c>
      <c r="AG8470" s="2">
        <f ca="1"/>
        <v>0.79843406438438258</v>
      </c>
      <c r="AH8470" s="2" t="str">
        <f ca="1"/>
        <v>Bad</v>
      </c>
    </row>
    <row r="8471" spans="2:34" x14ac:dyDescent="0.2">
      <c r="B8471" s="2">
        <f ca="1"/>
        <v>0.10864034074132389</v>
      </c>
      <c r="O8471" s="2">
        <f ca="1"/>
        <v>-0.1111499095170863</v>
      </c>
      <c r="X8471" s="2">
        <f ca="1"/>
        <v>59.733282738410651</v>
      </c>
      <c r="AG8471" s="2">
        <f ca="1"/>
        <v>0.22366685383506368</v>
      </c>
      <c r="AH8471" s="2" t="str">
        <f ca="1"/>
        <v>OK</v>
      </c>
    </row>
    <row r="8472" spans="2:34" x14ac:dyDescent="0.2">
      <c r="B8472" s="2">
        <f ca="1"/>
        <v>0.20922805567991132</v>
      </c>
      <c r="O8472" s="2">
        <f ca="1"/>
        <v>2.2022027825329449</v>
      </c>
      <c r="X8472" s="2">
        <f ca="1"/>
        <v>43.913590211851705</v>
      </c>
      <c r="AG8472" s="2">
        <f ca="1"/>
        <v>0.51442219034073156</v>
      </c>
      <c r="AH8472" s="2" t="str">
        <f ca="1"/>
        <v>Bad</v>
      </c>
    </row>
    <row r="8473" spans="2:34" x14ac:dyDescent="0.2">
      <c r="B8473" s="2">
        <f ca="1"/>
        <v>0.36173697088685142</v>
      </c>
      <c r="O8473" s="2">
        <f ca="1"/>
        <v>-2.6856901977852541E-2</v>
      </c>
      <c r="X8473" s="2">
        <f ca="1"/>
        <v>25.12737113732301</v>
      </c>
      <c r="AG8473" s="2">
        <f ca="1"/>
        <v>0.17155769977463353</v>
      </c>
      <c r="AH8473" s="2" t="str">
        <f ca="1"/>
        <v>OK</v>
      </c>
    </row>
    <row r="8474" spans="2:34" x14ac:dyDescent="0.2">
      <c r="B8474" s="2">
        <f ca="1"/>
        <v>0.53233593557968129</v>
      </c>
      <c r="O8474" s="2">
        <f ca="1"/>
        <v>-1.6030302700910415</v>
      </c>
      <c r="X8474" s="2">
        <f ca="1"/>
        <v>89.238737367823191</v>
      </c>
      <c r="AG8474" s="2">
        <f ca="1"/>
        <v>0.21187798646072187</v>
      </c>
      <c r="AH8474" s="2" t="str">
        <f ca="1"/>
        <v>OK</v>
      </c>
    </row>
    <row r="8475" spans="2:34" x14ac:dyDescent="0.2">
      <c r="B8475" s="2">
        <f ca="1"/>
        <v>2.0376588195772927E-2</v>
      </c>
      <c r="O8475" s="2">
        <f ca="1"/>
        <v>0.18096667970617064</v>
      </c>
      <c r="X8475" s="2">
        <f ca="1"/>
        <v>42.190262414924511</v>
      </c>
      <c r="AG8475" s="2">
        <f ca="1"/>
        <v>0.30524019256877488</v>
      </c>
      <c r="AH8475" s="2" t="str">
        <f ca="1"/>
        <v>OK</v>
      </c>
    </row>
    <row r="8476" spans="2:34" x14ac:dyDescent="0.2">
      <c r="B8476" s="2">
        <f ca="1"/>
        <v>4.647635422611085E-2</v>
      </c>
      <c r="O8476" s="2">
        <f ca="1"/>
        <v>-1.5314998526653734</v>
      </c>
      <c r="X8476" s="2">
        <f ca="1"/>
        <v>45.113228497259271</v>
      </c>
      <c r="AG8476" s="2">
        <f ca="1"/>
        <v>0.10240187871497008</v>
      </c>
      <c r="AH8476" s="2" t="str">
        <f ca="1"/>
        <v>OK</v>
      </c>
    </row>
    <row r="8477" spans="2:34" x14ac:dyDescent="0.2">
      <c r="B8477" s="2">
        <f ca="1"/>
        <v>9.850554996186478E-3</v>
      </c>
      <c r="O8477" s="2">
        <f ca="1"/>
        <v>-0.13720601683494876</v>
      </c>
      <c r="X8477" s="2">
        <f ca="1"/>
        <v>60.139481702340341</v>
      </c>
      <c r="AG8477" s="2">
        <f ca="1"/>
        <v>0.99061801573233521</v>
      </c>
      <c r="AH8477" s="2" t="str">
        <f ca="1"/>
        <v>Bad</v>
      </c>
    </row>
    <row r="8478" spans="2:34" x14ac:dyDescent="0.2">
      <c r="B8478" s="2">
        <f ca="1"/>
        <v>0.75871877821372657</v>
      </c>
      <c r="O8478" s="2">
        <f ca="1"/>
        <v>2.8025509062939165</v>
      </c>
      <c r="X8478" s="2">
        <f ca="1"/>
        <v>33.997711292396872</v>
      </c>
      <c r="AG8478" s="2">
        <f ca="1"/>
        <v>0.56393919652062241</v>
      </c>
      <c r="AH8478" s="2" t="str">
        <f ca="1"/>
        <v>Bad</v>
      </c>
    </row>
    <row r="8479" spans="2:34" x14ac:dyDescent="0.2">
      <c r="B8479" s="2">
        <f ca="1"/>
        <v>0.97011968573449137</v>
      </c>
      <c r="O8479" s="2">
        <f ca="1"/>
        <v>0.53715328169118937</v>
      </c>
      <c r="X8479" s="2">
        <f ca="1"/>
        <v>35.090376085408131</v>
      </c>
      <c r="AG8479" s="2">
        <f ca="1"/>
        <v>0.83969873378049287</v>
      </c>
      <c r="AH8479" s="2" t="str">
        <f ca="1"/>
        <v>Bad</v>
      </c>
    </row>
    <row r="8480" spans="2:34" x14ac:dyDescent="0.2">
      <c r="B8480" s="2">
        <f ca="1"/>
        <v>0.58897945332334767</v>
      </c>
      <c r="O8480" s="2">
        <f ca="1"/>
        <v>0.62229062871670715</v>
      </c>
      <c r="X8480" s="2">
        <f ca="1"/>
        <v>46.379804938995541</v>
      </c>
      <c r="AG8480" s="2">
        <f ca="1"/>
        <v>0.6079939333436295</v>
      </c>
      <c r="AH8480" s="2" t="str">
        <f ca="1"/>
        <v>Bad</v>
      </c>
    </row>
    <row r="8481" spans="2:34" x14ac:dyDescent="0.2">
      <c r="B8481" s="2">
        <f ca="1"/>
        <v>0.78606333843602161</v>
      </c>
      <c r="O8481" s="2">
        <f ca="1"/>
        <v>-0.25846181762596843</v>
      </c>
      <c r="X8481" s="2">
        <f ca="1"/>
        <v>50.430574817646075</v>
      </c>
      <c r="AG8481" s="2">
        <f ca="1"/>
        <v>0.8863594538587074</v>
      </c>
      <c r="AH8481" s="2" t="str">
        <f ca="1"/>
        <v>Bad</v>
      </c>
    </row>
    <row r="8482" spans="2:34" x14ac:dyDescent="0.2">
      <c r="B8482" s="2">
        <f ca="1"/>
        <v>0.32981081191156703</v>
      </c>
      <c r="O8482" s="2">
        <f ca="1"/>
        <v>0.40072179556821874</v>
      </c>
      <c r="X8482" s="2">
        <f ca="1"/>
        <v>57.768888607675592</v>
      </c>
      <c r="AG8482" s="2">
        <f ca="1"/>
        <v>0.6838862777738437</v>
      </c>
      <c r="AH8482" s="2" t="str">
        <f ca="1"/>
        <v>Bad</v>
      </c>
    </row>
    <row r="8483" spans="2:34" x14ac:dyDescent="0.2">
      <c r="B8483" s="2">
        <f ca="1"/>
        <v>0.70270459961673915</v>
      </c>
      <c r="O8483" s="2">
        <f ca="1"/>
        <v>4.6578950219528806E-2</v>
      </c>
      <c r="X8483" s="2">
        <f ca="1"/>
        <v>59.519068403313668</v>
      </c>
      <c r="AG8483" s="2">
        <f ca="1"/>
        <v>0.18343198993944032</v>
      </c>
      <c r="AH8483" s="2" t="str">
        <f ca="1"/>
        <v>OK</v>
      </c>
    </row>
    <row r="8484" spans="2:34" x14ac:dyDescent="0.2">
      <c r="B8484" s="2">
        <f ca="1"/>
        <v>0.99325825577510085</v>
      </c>
      <c r="O8484" s="2">
        <f ca="1"/>
        <v>7.1269685962359764E-3</v>
      </c>
      <c r="X8484" s="2">
        <f ca="1"/>
        <v>55.237171013109361</v>
      </c>
      <c r="AG8484" s="2">
        <f ca="1"/>
        <v>2.926987109703072E-2</v>
      </c>
      <c r="AH8484" s="2" t="str">
        <f ca="1"/>
        <v>Good</v>
      </c>
    </row>
    <row r="8485" spans="2:34" x14ac:dyDescent="0.2">
      <c r="B8485" s="2">
        <f ca="1"/>
        <v>0.82702152142340601</v>
      </c>
      <c r="O8485" s="2">
        <f ca="1"/>
        <v>-1.3153853992380029</v>
      </c>
      <c r="X8485" s="2">
        <f ca="1"/>
        <v>62.2647741897202</v>
      </c>
      <c r="AG8485" s="2">
        <f ca="1"/>
        <v>4.4046813478573643E-2</v>
      </c>
      <c r="AH8485" s="2" t="str">
        <f ca="1"/>
        <v>Good</v>
      </c>
    </row>
    <row r="8486" spans="2:34" x14ac:dyDescent="0.2">
      <c r="B8486" s="2">
        <f ca="1"/>
        <v>0.96812122161330061</v>
      </c>
      <c r="O8486" s="2">
        <f ca="1"/>
        <v>0.48172265741107112</v>
      </c>
      <c r="X8486" s="2">
        <f ca="1"/>
        <v>67.549658243501682</v>
      </c>
      <c r="AG8486" s="2">
        <f ca="1"/>
        <v>0.49796846329802302</v>
      </c>
      <c r="AH8486" s="2" t="str">
        <f ca="1"/>
        <v>Bad</v>
      </c>
    </row>
    <row r="8487" spans="2:34" x14ac:dyDescent="0.2">
      <c r="B8487" s="2">
        <f ca="1"/>
        <v>0.82654595134356157</v>
      </c>
      <c r="O8487" s="2">
        <f ca="1"/>
        <v>0.10512741805946578</v>
      </c>
      <c r="X8487" s="2">
        <f ca="1"/>
        <v>50.69812716197675</v>
      </c>
      <c r="AG8487" s="2">
        <f ca="1"/>
        <v>0.20235884473424726</v>
      </c>
      <c r="AH8487" s="2" t="str">
        <f ca="1"/>
        <v>OK</v>
      </c>
    </row>
    <row r="8488" spans="2:34" x14ac:dyDescent="0.2">
      <c r="B8488" s="2">
        <f ca="1"/>
        <v>0.67943206680727108</v>
      </c>
      <c r="O8488" s="2">
        <f ca="1"/>
        <v>0.84489322292635727</v>
      </c>
      <c r="X8488" s="2">
        <f ca="1"/>
        <v>21.847674438786928</v>
      </c>
      <c r="AG8488" s="2">
        <f ca="1"/>
        <v>0.19085367914115148</v>
      </c>
      <c r="AH8488" s="2" t="str">
        <f ca="1"/>
        <v>OK</v>
      </c>
    </row>
    <row r="8489" spans="2:34" x14ac:dyDescent="0.2">
      <c r="B8489" s="2">
        <f ca="1"/>
        <v>0.46989341026567333</v>
      </c>
      <c r="O8489" s="2">
        <f ca="1"/>
        <v>-0.4227028252791391</v>
      </c>
      <c r="X8489" s="2">
        <f ca="1"/>
        <v>88.237958281721603</v>
      </c>
      <c r="AG8489" s="2">
        <f ca="1"/>
        <v>0.31602979587281466</v>
      </c>
      <c r="AH8489" s="2" t="str">
        <f ca="1"/>
        <v>OK</v>
      </c>
    </row>
    <row r="8490" spans="2:34" x14ac:dyDescent="0.2">
      <c r="B8490" s="2">
        <f ca="1"/>
        <v>0.76585525461951187</v>
      </c>
      <c r="O8490" s="2">
        <f ca="1"/>
        <v>2.2447975119351442</v>
      </c>
      <c r="X8490" s="2">
        <f ca="1"/>
        <v>68.018075414414398</v>
      </c>
      <c r="AG8490" s="2">
        <f ca="1"/>
        <v>0.81087776188927774</v>
      </c>
      <c r="AH8490" s="2" t="str">
        <f ca="1"/>
        <v>Bad</v>
      </c>
    </row>
    <row r="8491" spans="2:34" x14ac:dyDescent="0.2">
      <c r="B8491" s="2">
        <f ca="1"/>
        <v>0.58944203631690595</v>
      </c>
      <c r="O8491" s="2">
        <f ca="1"/>
        <v>1.42543674694748</v>
      </c>
      <c r="X8491" s="2">
        <f ca="1"/>
        <v>56.635518086401703</v>
      </c>
      <c r="AG8491" s="2">
        <f ca="1"/>
        <v>0.49508555706389323</v>
      </c>
      <c r="AH8491" s="2" t="str">
        <f ca="1"/>
        <v>Bad</v>
      </c>
    </row>
    <row r="8492" spans="2:34" x14ac:dyDescent="0.2">
      <c r="B8492" s="2">
        <f ca="1"/>
        <v>0.79792847968169522</v>
      </c>
      <c r="O8492" s="2">
        <f ca="1"/>
        <v>-0.78967336861900794</v>
      </c>
      <c r="X8492" s="2">
        <f ca="1"/>
        <v>42.258121786392302</v>
      </c>
      <c r="AG8492" s="2">
        <f ca="1"/>
        <v>0.25352362642830761</v>
      </c>
      <c r="AH8492" s="2" t="str">
        <f ca="1"/>
        <v>OK</v>
      </c>
    </row>
    <row r="8493" spans="2:34" x14ac:dyDescent="0.2">
      <c r="B8493" s="2">
        <f ca="1"/>
        <v>0.91348001594571215</v>
      </c>
      <c r="O8493" s="2">
        <f ca="1"/>
        <v>-2.7745736250634514</v>
      </c>
      <c r="X8493" s="2">
        <f ca="1"/>
        <v>51.093546926293563</v>
      </c>
      <c r="AG8493" s="2">
        <f ca="1"/>
        <v>0.92119496984780858</v>
      </c>
      <c r="AH8493" s="2" t="str">
        <f ca="1"/>
        <v>Bad</v>
      </c>
    </row>
    <row r="8494" spans="2:34" x14ac:dyDescent="0.2">
      <c r="B8494" s="2">
        <f ca="1"/>
        <v>0.28807500617881932</v>
      </c>
      <c r="O8494" s="2">
        <f ca="1"/>
        <v>0.39589787830646722</v>
      </c>
      <c r="X8494" s="2">
        <f ca="1"/>
        <v>42.426619620106358</v>
      </c>
      <c r="AG8494" s="2">
        <f ca="1"/>
        <v>0.12409047905303772</v>
      </c>
      <c r="AH8494" s="2" t="str">
        <f ca="1"/>
        <v>OK</v>
      </c>
    </row>
    <row r="8495" spans="2:34" x14ac:dyDescent="0.2">
      <c r="B8495" s="2">
        <f ca="1"/>
        <v>0.33416319363912073</v>
      </c>
      <c r="O8495" s="2">
        <f ca="1"/>
        <v>3.8610168173215741E-2</v>
      </c>
      <c r="X8495" s="2">
        <f ca="1"/>
        <v>51.452459419300276</v>
      </c>
      <c r="AG8495" s="2">
        <f ca="1"/>
        <v>0.15220437721056257</v>
      </c>
      <c r="AH8495" s="2" t="str">
        <f ca="1"/>
        <v>OK</v>
      </c>
    </row>
    <row r="8496" spans="2:34" x14ac:dyDescent="0.2">
      <c r="B8496" s="2">
        <f ca="1"/>
        <v>0.13253797048888605</v>
      </c>
      <c r="O8496" s="2">
        <f ca="1"/>
        <v>0.26881399837122033</v>
      </c>
      <c r="X8496" s="2">
        <f ca="1"/>
        <v>39.781005456306929</v>
      </c>
      <c r="AG8496" s="2">
        <f ca="1"/>
        <v>0.66642153327758802</v>
      </c>
      <c r="AH8496" s="2" t="str">
        <f ca="1"/>
        <v>Bad</v>
      </c>
    </row>
    <row r="8497" spans="2:34" x14ac:dyDescent="0.2">
      <c r="B8497" s="2">
        <f ca="1"/>
        <v>0.2604995207507157</v>
      </c>
      <c r="O8497" s="2">
        <f ca="1"/>
        <v>-0.95563359424324346</v>
      </c>
      <c r="X8497" s="2">
        <f ca="1"/>
        <v>67.442133296341666</v>
      </c>
      <c r="AG8497" s="2">
        <f ca="1"/>
        <v>0.18381023927415718</v>
      </c>
      <c r="AH8497" s="2" t="str">
        <f ca="1"/>
        <v>OK</v>
      </c>
    </row>
    <row r="8498" spans="2:34" x14ac:dyDescent="0.2">
      <c r="B8498" s="2">
        <f ca="1"/>
        <v>0.35022019255812209</v>
      </c>
      <c r="O8498" s="2">
        <f ca="1"/>
        <v>2.7339341757029998</v>
      </c>
      <c r="X8498" s="2">
        <f ca="1"/>
        <v>30.679106748688984</v>
      </c>
      <c r="AG8498" s="2">
        <f ca="1"/>
        <v>0.39539228852250852</v>
      </c>
      <c r="AH8498" s="2" t="str">
        <f ca="1"/>
        <v>OK</v>
      </c>
    </row>
    <row r="8499" spans="2:34" x14ac:dyDescent="0.2">
      <c r="B8499" s="2">
        <f ca="1"/>
        <v>0.70435687461300556</v>
      </c>
      <c r="O8499" s="2">
        <f ca="1"/>
        <v>0.86979005143340571</v>
      </c>
      <c r="X8499" s="2">
        <f ca="1"/>
        <v>48.74308131337078</v>
      </c>
      <c r="AG8499" s="2">
        <f ca="1"/>
        <v>0.36363939574722548</v>
      </c>
      <c r="AH8499" s="2" t="str">
        <f ca="1"/>
        <v>OK</v>
      </c>
    </row>
    <row r="8500" spans="2:34" x14ac:dyDescent="0.2">
      <c r="B8500" s="2">
        <f ca="1"/>
        <v>0.52909750904302078</v>
      </c>
      <c r="O8500" s="2">
        <f ca="1"/>
        <v>0.1324816557199876</v>
      </c>
      <c r="X8500" s="2">
        <f ca="1"/>
        <v>83.964610522406559</v>
      </c>
      <c r="AG8500" s="2">
        <f ca="1"/>
        <v>0.63047185844264031</v>
      </c>
      <c r="AH8500" s="2" t="str">
        <f ca="1"/>
        <v>Bad</v>
      </c>
    </row>
    <row r="8501" spans="2:34" x14ac:dyDescent="0.2">
      <c r="B8501" s="2">
        <f ca="1"/>
        <v>0.39264752417981774</v>
      </c>
      <c r="O8501" s="2">
        <f ca="1"/>
        <v>-0.46363574702219879</v>
      </c>
      <c r="X8501" s="2">
        <f ca="1"/>
        <v>51.302671412273149</v>
      </c>
      <c r="AG8501" s="2">
        <f ca="1"/>
        <v>0.34107819660285665</v>
      </c>
      <c r="AH8501" s="2" t="str">
        <f ca="1"/>
        <v>OK</v>
      </c>
    </row>
    <row r="8502" spans="2:34" x14ac:dyDescent="0.2">
      <c r="B8502" s="2">
        <f ca="1"/>
        <v>4.2122771825816585E-2</v>
      </c>
      <c r="O8502" s="2">
        <f ca="1"/>
        <v>-0.29933246074647041</v>
      </c>
      <c r="X8502" s="2">
        <f ca="1"/>
        <v>47.961914440572784</v>
      </c>
      <c r="AG8502" s="2">
        <f ca="1"/>
        <v>0.98911675041231883</v>
      </c>
      <c r="AH8502" s="2" t="str">
        <f ca="1"/>
        <v>Bad</v>
      </c>
    </row>
    <row r="8503" spans="2:34" x14ac:dyDescent="0.2">
      <c r="B8503" s="2">
        <f ca="1"/>
        <v>0.82871075927730109</v>
      </c>
      <c r="O8503" s="2">
        <f ca="1"/>
        <v>-0.3703930702735278</v>
      </c>
      <c r="X8503" s="2">
        <f ca="1"/>
        <v>46.543829151987588</v>
      </c>
      <c r="AG8503" s="2">
        <f ca="1"/>
        <v>0.35271087088037167</v>
      </c>
      <c r="AH8503" s="2" t="str">
        <f ca="1"/>
        <v>OK</v>
      </c>
    </row>
    <row r="8504" spans="2:34" x14ac:dyDescent="0.2">
      <c r="B8504" s="2">
        <f ca="1"/>
        <v>1.4274499267538543E-2</v>
      </c>
      <c r="O8504" s="2">
        <f ca="1"/>
        <v>-1.6164141383350872</v>
      </c>
      <c r="X8504" s="2">
        <f ca="1"/>
        <v>40.1879249383379</v>
      </c>
      <c r="AG8504" s="2">
        <f ca="1"/>
        <v>0.78811739592325436</v>
      </c>
      <c r="AH8504" s="2" t="str">
        <f ca="1"/>
        <v>Bad</v>
      </c>
    </row>
    <row r="8505" spans="2:34" x14ac:dyDescent="0.2">
      <c r="B8505" s="2">
        <f ca="1"/>
        <v>0.68793461984026849</v>
      </c>
      <c r="O8505" s="2">
        <f ca="1"/>
        <v>-0.7122206421346271</v>
      </c>
      <c r="X8505" s="2">
        <f ca="1"/>
        <v>27.219369980276511</v>
      </c>
      <c r="AG8505" s="2">
        <f ca="1"/>
        <v>0.26176075494654949</v>
      </c>
      <c r="AH8505" s="2" t="str">
        <f ca="1"/>
        <v>OK</v>
      </c>
    </row>
    <row r="8506" spans="2:34" x14ac:dyDescent="0.2">
      <c r="B8506" s="2">
        <f ca="1"/>
        <v>0.91893648066462741</v>
      </c>
      <c r="O8506" s="2">
        <f ca="1"/>
        <v>0.56619445049646155</v>
      </c>
      <c r="X8506" s="2">
        <f ca="1"/>
        <v>56.075369531953001</v>
      </c>
      <c r="AG8506" s="2">
        <f ca="1"/>
        <v>0.43892904973615998</v>
      </c>
      <c r="AH8506" s="2" t="str">
        <f ca="1"/>
        <v>Bad</v>
      </c>
    </row>
    <row r="8507" spans="2:34" x14ac:dyDescent="0.2">
      <c r="B8507" s="2">
        <f ca="1"/>
        <v>0.11071027401577149</v>
      </c>
      <c r="O8507" s="2">
        <f ca="1"/>
        <v>0.34879510780234718</v>
      </c>
      <c r="X8507" s="2">
        <f ca="1"/>
        <v>45.970067747847438</v>
      </c>
      <c r="AG8507" s="2">
        <f ca="1"/>
        <v>0.21588246137742484</v>
      </c>
      <c r="AH8507" s="2" t="str">
        <f ca="1"/>
        <v>OK</v>
      </c>
    </row>
    <row r="8508" spans="2:34" x14ac:dyDescent="0.2">
      <c r="B8508" s="2">
        <f ca="1"/>
        <v>0.29711420860217275</v>
      </c>
      <c r="O8508" s="2">
        <f ca="1"/>
        <v>-0.43798717416217825</v>
      </c>
      <c r="X8508" s="2">
        <f ca="1"/>
        <v>29.108240063477673</v>
      </c>
      <c r="AG8508" s="2">
        <f ca="1"/>
        <v>0.82393139095902113</v>
      </c>
      <c r="AH8508" s="2" t="str">
        <f ca="1"/>
        <v>Bad</v>
      </c>
    </row>
    <row r="8509" spans="2:34" x14ac:dyDescent="0.2">
      <c r="B8509" s="2">
        <f ca="1"/>
        <v>0.32306207601674108</v>
      </c>
      <c r="O8509" s="2">
        <f ca="1"/>
        <v>0.14156824176564048</v>
      </c>
      <c r="X8509" s="2">
        <f ca="1"/>
        <v>55.142990961410405</v>
      </c>
      <c r="AG8509" s="2">
        <f ca="1"/>
        <v>0.14238808490442945</v>
      </c>
      <c r="AH8509" s="2" t="str">
        <f ca="1"/>
        <v>OK</v>
      </c>
    </row>
    <row r="8510" spans="2:34" x14ac:dyDescent="0.2">
      <c r="B8510" s="2">
        <f ca="1"/>
        <v>5.6191093180543161E-2</v>
      </c>
      <c r="O8510" s="2">
        <f ca="1"/>
        <v>0.38176438348383318</v>
      </c>
      <c r="X8510" s="2">
        <f ca="1"/>
        <v>27.421717918639761</v>
      </c>
      <c r="AG8510" s="2">
        <f ca="1"/>
        <v>0.26885142266330098</v>
      </c>
      <c r="AH8510" s="2" t="str">
        <f ca="1"/>
        <v>OK</v>
      </c>
    </row>
    <row r="8511" spans="2:34" x14ac:dyDescent="0.2">
      <c r="B8511" s="2">
        <f ca="1"/>
        <v>0.38035689758872349</v>
      </c>
      <c r="O8511" s="2">
        <f ca="1"/>
        <v>3.7162880605278718E-2</v>
      </c>
      <c r="X8511" s="2">
        <f ca="1"/>
        <v>40.824803762446336</v>
      </c>
      <c r="AG8511" s="2">
        <f ca="1"/>
        <v>0.92626964552231095</v>
      </c>
      <c r="AH8511" s="2" t="str">
        <f ca="1"/>
        <v>Bad</v>
      </c>
    </row>
    <row r="8512" spans="2:34" x14ac:dyDescent="0.2">
      <c r="B8512" s="2">
        <f ca="1"/>
        <v>0.85890681398529023</v>
      </c>
      <c r="O8512" s="2">
        <f ca="1"/>
        <v>-0.52219339411954924</v>
      </c>
      <c r="X8512" s="2">
        <f ca="1"/>
        <v>49.323800213554392</v>
      </c>
      <c r="AG8512" s="2">
        <f ca="1"/>
        <v>0.74791461405826065</v>
      </c>
      <c r="AH8512" s="2" t="str">
        <f ca="1"/>
        <v>Bad</v>
      </c>
    </row>
    <row r="8513" spans="2:34" x14ac:dyDescent="0.2">
      <c r="B8513" s="2">
        <f ca="1"/>
        <v>0.77460993017628299</v>
      </c>
      <c r="O8513" s="2">
        <f ca="1"/>
        <v>1.9383707912036365</v>
      </c>
      <c r="X8513" s="2">
        <f ca="1"/>
        <v>53.882196929638404</v>
      </c>
      <c r="AG8513" s="2">
        <f ca="1"/>
        <v>0.28366888020234837</v>
      </c>
      <c r="AH8513" s="2" t="str">
        <f ca="1"/>
        <v>OK</v>
      </c>
    </row>
    <row r="8514" spans="2:34" x14ac:dyDescent="0.2">
      <c r="B8514" s="2">
        <f ca="1"/>
        <v>0.9738467452358166</v>
      </c>
      <c r="O8514" s="2">
        <f ca="1"/>
        <v>-0.43119982327274164</v>
      </c>
      <c r="X8514" s="2">
        <f ca="1"/>
        <v>57.105207382667814</v>
      </c>
      <c r="AG8514" s="2">
        <f ca="1"/>
        <v>0.18793767238260628</v>
      </c>
      <c r="AH8514" s="2" t="str">
        <f ca="1"/>
        <v>OK</v>
      </c>
    </row>
    <row r="8515" spans="2:34" x14ac:dyDescent="0.2">
      <c r="B8515" s="2">
        <f ca="1"/>
        <v>0.65564659764782052</v>
      </c>
      <c r="O8515" s="2">
        <f ca="1"/>
        <v>0.80846132389578207</v>
      </c>
      <c r="X8515" s="2">
        <f ca="1"/>
        <v>26.41371085936548</v>
      </c>
      <c r="AG8515" s="2">
        <f ca="1"/>
        <v>0.48243514910086249</v>
      </c>
      <c r="AH8515" s="2" t="str">
        <f ca="1"/>
        <v>Bad</v>
      </c>
    </row>
    <row r="8516" spans="2:34" x14ac:dyDescent="0.2">
      <c r="B8516" s="2">
        <f ca="1"/>
        <v>0.39099347700617892</v>
      </c>
      <c r="O8516" s="2">
        <f ca="1"/>
        <v>-6.7120873526166679E-3</v>
      </c>
      <c r="X8516" s="2">
        <f ca="1"/>
        <v>28.848348556896291</v>
      </c>
      <c r="AG8516" s="2">
        <f ca="1"/>
        <v>0.57425198767210128</v>
      </c>
      <c r="AH8516" s="2" t="str">
        <f ca="1"/>
        <v>Bad</v>
      </c>
    </row>
    <row r="8517" spans="2:34" x14ac:dyDescent="0.2">
      <c r="B8517" s="2">
        <f ca="1"/>
        <v>0.1180891424326338</v>
      </c>
      <c r="O8517" s="2">
        <f ca="1"/>
        <v>0.80765572181974066</v>
      </c>
      <c r="X8517" s="2">
        <f ca="1"/>
        <v>32.619858144576433</v>
      </c>
      <c r="AG8517" s="2">
        <f ca="1"/>
        <v>6.9552931122996542E-2</v>
      </c>
      <c r="AH8517" s="2" t="str">
        <f ca="1"/>
        <v>OK</v>
      </c>
    </row>
    <row r="8518" spans="2:34" x14ac:dyDescent="0.2">
      <c r="B8518" s="2">
        <f ca="1"/>
        <v>0.90122203992368433</v>
      </c>
      <c r="O8518" s="2">
        <f ca="1"/>
        <v>-0.43225365907052671</v>
      </c>
      <c r="X8518" s="2">
        <f ca="1"/>
        <v>40.346506705961275</v>
      </c>
      <c r="AG8518" s="2">
        <f ca="1"/>
        <v>0.84124829391200096</v>
      </c>
      <c r="AH8518" s="2" t="str">
        <f ca="1"/>
        <v>Bad</v>
      </c>
    </row>
    <row r="8519" spans="2:34" x14ac:dyDescent="0.2">
      <c r="B8519" s="2">
        <f ca="1"/>
        <v>0.91345680605796242</v>
      </c>
      <c r="O8519" s="2">
        <f ca="1"/>
        <v>0.14650929841062399</v>
      </c>
      <c r="X8519" s="2">
        <f ca="1"/>
        <v>45.969733044077628</v>
      </c>
      <c r="AG8519" s="2">
        <f ca="1"/>
        <v>0.35515785165676572</v>
      </c>
      <c r="AH8519" s="2" t="str">
        <f ca="1"/>
        <v>OK</v>
      </c>
    </row>
    <row r="8520" spans="2:34" x14ac:dyDescent="0.2">
      <c r="B8520" s="2">
        <f ca="1"/>
        <v>0.5874359001294942</v>
      </c>
      <c r="O8520" s="2">
        <f ca="1"/>
        <v>2.196119890980162</v>
      </c>
      <c r="X8520" s="2">
        <f ca="1"/>
        <v>36.562350755112561</v>
      </c>
      <c r="AG8520" s="2">
        <f ca="1"/>
        <v>0.42853745179137626</v>
      </c>
      <c r="AH8520" s="2" t="str">
        <f ca="1"/>
        <v>Bad</v>
      </c>
    </row>
    <row r="8521" spans="2:34" x14ac:dyDescent="0.2">
      <c r="B8521" s="2">
        <f ca="1"/>
        <v>0.9570708650244415</v>
      </c>
      <c r="O8521" s="2">
        <f ca="1"/>
        <v>-1.2311976078083111</v>
      </c>
      <c r="X8521" s="2">
        <f ca="1"/>
        <v>72.084333221006133</v>
      </c>
      <c r="AG8521" s="2">
        <f ca="1"/>
        <v>0.80060535125447951</v>
      </c>
      <c r="AH8521" s="2" t="str">
        <f ca="1"/>
        <v>Bad</v>
      </c>
    </row>
    <row r="8522" spans="2:34" x14ac:dyDescent="0.2">
      <c r="B8522" s="2">
        <f ca="1"/>
        <v>0.81460761307432694</v>
      </c>
      <c r="O8522" s="2">
        <f ca="1"/>
        <v>1.563346970026654</v>
      </c>
      <c r="X8522" s="2">
        <f ca="1"/>
        <v>55.022685060180201</v>
      </c>
      <c r="AG8522" s="2">
        <f ca="1"/>
        <v>8.8103850975371323E-2</v>
      </c>
      <c r="AH8522" s="2" t="str">
        <f ca="1"/>
        <v>OK</v>
      </c>
    </row>
    <row r="8523" spans="2:34" x14ac:dyDescent="0.2">
      <c r="B8523" s="2">
        <f ca="1"/>
        <v>0.40569342785463625</v>
      </c>
      <c r="O8523" s="2">
        <f ca="1"/>
        <v>0.16081205281207747</v>
      </c>
      <c r="X8523" s="2">
        <f ca="1"/>
        <v>48.486484450093108</v>
      </c>
      <c r="AG8523" s="2">
        <f ca="1"/>
        <v>0.32771361694937351</v>
      </c>
      <c r="AH8523" s="2" t="str">
        <f ca="1"/>
        <v>OK</v>
      </c>
    </row>
    <row r="8524" spans="2:34" x14ac:dyDescent="0.2">
      <c r="B8524" s="2">
        <f ca="1"/>
        <v>0.54960150718114176</v>
      </c>
      <c r="O8524" s="2">
        <f ca="1"/>
        <v>1.1988706944701342</v>
      </c>
      <c r="X8524" s="2">
        <f ca="1"/>
        <v>67.157919319548171</v>
      </c>
      <c r="AG8524" s="2">
        <f ca="1"/>
        <v>0.8531959190938172</v>
      </c>
      <c r="AH8524" s="2" t="str">
        <f ca="1"/>
        <v>Bad</v>
      </c>
    </row>
    <row r="8525" spans="2:34" x14ac:dyDescent="0.2">
      <c r="B8525" s="2">
        <f ca="1"/>
        <v>4.311391332543435E-2</v>
      </c>
      <c r="O8525" s="2">
        <f ca="1"/>
        <v>0.83922808717315545</v>
      </c>
      <c r="X8525" s="2">
        <f ca="1"/>
        <v>63.797407075971321</v>
      </c>
      <c r="AG8525" s="2">
        <f ca="1"/>
        <v>0.8779450142408789</v>
      </c>
      <c r="AH8525" s="2" t="str">
        <f ca="1"/>
        <v>Bad</v>
      </c>
    </row>
    <row r="8526" spans="2:34" x14ac:dyDescent="0.2">
      <c r="B8526" s="2">
        <f ca="1"/>
        <v>0.34105401932148594</v>
      </c>
      <c r="O8526" s="2">
        <f ca="1"/>
        <v>1.776510799229355</v>
      </c>
      <c r="X8526" s="2">
        <f ca="1"/>
        <v>33.891913102948116</v>
      </c>
      <c r="AG8526" s="2">
        <f ca="1"/>
        <v>0.69555168451919247</v>
      </c>
      <c r="AH8526" s="2" t="str">
        <f ca="1"/>
        <v>Bad</v>
      </c>
    </row>
    <row r="8527" spans="2:34" x14ac:dyDescent="0.2">
      <c r="B8527" s="2">
        <f ca="1"/>
        <v>0.81019860928466403</v>
      </c>
      <c r="O8527" s="2">
        <f ca="1"/>
        <v>0.47137136478973229</v>
      </c>
      <c r="X8527" s="2">
        <f ca="1"/>
        <v>46.956856659916504</v>
      </c>
      <c r="AG8527" s="2">
        <f ca="1"/>
        <v>0.59385916527683213</v>
      </c>
      <c r="AH8527" s="2" t="str">
        <f ca="1"/>
        <v>Bad</v>
      </c>
    </row>
    <row r="8528" spans="2:34" x14ac:dyDescent="0.2">
      <c r="B8528" s="2">
        <f ca="1"/>
        <v>0.25995715006254438</v>
      </c>
      <c r="O8528" s="2">
        <f ca="1"/>
        <v>1.0763581718345665</v>
      </c>
      <c r="X8528" s="2">
        <f ca="1"/>
        <v>52.811635849587176</v>
      </c>
      <c r="AG8528" s="2">
        <f ca="1"/>
        <v>0.95813911352410619</v>
      </c>
      <c r="AH8528" s="2" t="str">
        <f ca="1"/>
        <v>Bad</v>
      </c>
    </row>
    <row r="8529" spans="2:34" x14ac:dyDescent="0.2">
      <c r="B8529" s="2">
        <f ca="1"/>
        <v>0.83131747382847432</v>
      </c>
      <c r="O8529" s="2">
        <f ca="1"/>
        <v>0.87189909972960689</v>
      </c>
      <c r="X8529" s="2">
        <f ca="1"/>
        <v>35.648922821544289</v>
      </c>
      <c r="AG8529" s="2">
        <f ca="1"/>
        <v>0.55894232893343299</v>
      </c>
      <c r="AH8529" s="2" t="str">
        <f ca="1"/>
        <v>Bad</v>
      </c>
    </row>
    <row r="8530" spans="2:34" x14ac:dyDescent="0.2">
      <c r="B8530" s="2">
        <f ca="1"/>
        <v>0.73917203346534355</v>
      </c>
      <c r="O8530" s="2">
        <f ca="1"/>
        <v>0.16864318921317206</v>
      </c>
      <c r="X8530" s="2">
        <f ca="1"/>
        <v>26.527902663839292</v>
      </c>
      <c r="AG8530" s="2">
        <f ca="1"/>
        <v>0.4058549342928055</v>
      </c>
      <c r="AH8530" s="2" t="str">
        <f ca="1"/>
        <v>Bad</v>
      </c>
    </row>
    <row r="8531" spans="2:34" x14ac:dyDescent="0.2">
      <c r="B8531" s="2">
        <f ca="1"/>
        <v>0.3390441251926497</v>
      </c>
      <c r="O8531" s="2">
        <f ca="1"/>
        <v>1.1674856187521607</v>
      </c>
      <c r="X8531" s="2">
        <f ca="1"/>
        <v>46.533020041472561</v>
      </c>
      <c r="AG8531" s="2">
        <f ca="1"/>
        <v>0.55844208523893535</v>
      </c>
      <c r="AH8531" s="2" t="str">
        <f ca="1"/>
        <v>Bad</v>
      </c>
    </row>
    <row r="8532" spans="2:34" x14ac:dyDescent="0.2">
      <c r="B8532" s="2">
        <f ca="1"/>
        <v>0.45320366506813725</v>
      </c>
      <c r="O8532" s="2">
        <f ca="1"/>
        <v>0.67416056657694912</v>
      </c>
      <c r="X8532" s="2">
        <f ca="1"/>
        <v>44.751148914119213</v>
      </c>
      <c r="AG8532" s="2">
        <f ca="1"/>
        <v>0.69368346818609039</v>
      </c>
      <c r="AH8532" s="2" t="str">
        <f ca="1"/>
        <v>Bad</v>
      </c>
    </row>
    <row r="8533" spans="2:34" x14ac:dyDescent="0.2">
      <c r="B8533" s="2">
        <f ca="1"/>
        <v>3.3729907074830479E-2</v>
      </c>
      <c r="O8533" s="2">
        <f ca="1"/>
        <v>0.6570891636110664</v>
      </c>
      <c r="X8533" s="2">
        <f ca="1"/>
        <v>79.775104189276902</v>
      </c>
      <c r="AG8533" s="2">
        <f ca="1"/>
        <v>0.61742001338656993</v>
      </c>
      <c r="AH8533" s="2" t="str">
        <f ca="1"/>
        <v>Bad</v>
      </c>
    </row>
    <row r="8534" spans="2:34" x14ac:dyDescent="0.2">
      <c r="B8534" s="2">
        <f ca="1"/>
        <v>0.27428197146872857</v>
      </c>
      <c r="O8534" s="2">
        <f ca="1"/>
        <v>0.17231554840786276</v>
      </c>
      <c r="X8534" s="2">
        <f ca="1"/>
        <v>27.003871380005108</v>
      </c>
      <c r="AG8534" s="2">
        <f ca="1"/>
        <v>0.88618990287248822</v>
      </c>
      <c r="AH8534" s="2" t="str">
        <f ca="1"/>
        <v>Bad</v>
      </c>
    </row>
    <row r="8535" spans="2:34" x14ac:dyDescent="0.2">
      <c r="B8535" s="2">
        <f ca="1"/>
        <v>0.26447729370877693</v>
      </c>
      <c r="O8535" s="2">
        <f ca="1"/>
        <v>-0.38635303680500738</v>
      </c>
      <c r="X8535" s="2">
        <f ca="1"/>
        <v>57.549010357802864</v>
      </c>
      <c r="AG8535" s="2">
        <f ca="1"/>
        <v>0.37141786112435971</v>
      </c>
      <c r="AH8535" s="2" t="str">
        <f ca="1"/>
        <v>OK</v>
      </c>
    </row>
    <row r="8536" spans="2:34" x14ac:dyDescent="0.2">
      <c r="B8536" s="2">
        <f ca="1"/>
        <v>0.52231410624487928</v>
      </c>
      <c r="O8536" s="2">
        <f ca="1"/>
        <v>-2.1065147142297225E-2</v>
      </c>
      <c r="X8536" s="2">
        <f ca="1"/>
        <v>52.570510091177212</v>
      </c>
      <c r="AG8536" s="2">
        <f ca="1"/>
        <v>0.82908875733041221</v>
      </c>
      <c r="AH8536" s="2" t="str">
        <f ca="1"/>
        <v>Bad</v>
      </c>
    </row>
    <row r="8537" spans="2:34" x14ac:dyDescent="0.2">
      <c r="B8537" s="2">
        <f ca="1"/>
        <v>0.72535844069476618</v>
      </c>
      <c r="O8537" s="2">
        <f ca="1"/>
        <v>0.3320531954296877</v>
      </c>
      <c r="X8537" s="2">
        <f ca="1"/>
        <v>32.067068179245332</v>
      </c>
      <c r="AG8537" s="2">
        <f ca="1"/>
        <v>0.13984545091976042</v>
      </c>
      <c r="AH8537" s="2" t="str">
        <f ca="1"/>
        <v>OK</v>
      </c>
    </row>
    <row r="8538" spans="2:34" x14ac:dyDescent="0.2">
      <c r="B8538" s="2">
        <f ca="1"/>
        <v>2.6459498491492761E-2</v>
      </c>
      <c r="O8538" s="2">
        <f ca="1"/>
        <v>-0.62016003415256471</v>
      </c>
      <c r="X8538" s="2">
        <f ca="1"/>
        <v>70.260268098179793</v>
      </c>
      <c r="AG8538" s="2">
        <f ca="1"/>
        <v>0.31580254758459536</v>
      </c>
      <c r="AH8538" s="2" t="str">
        <f ca="1"/>
        <v>OK</v>
      </c>
    </row>
    <row r="8539" spans="2:34" x14ac:dyDescent="0.2">
      <c r="B8539" s="2">
        <f ca="1"/>
        <v>0.79709341880430351</v>
      </c>
      <c r="O8539" s="2">
        <f ca="1"/>
        <v>0.15373045408321803</v>
      </c>
      <c r="X8539" s="2">
        <f ca="1"/>
        <v>69.601796684701668</v>
      </c>
      <c r="AG8539" s="2">
        <f ca="1"/>
        <v>0.57329708961381565</v>
      </c>
      <c r="AH8539" s="2" t="str">
        <f ca="1"/>
        <v>Bad</v>
      </c>
    </row>
    <row r="8540" spans="2:34" x14ac:dyDescent="0.2">
      <c r="B8540" s="2">
        <f ca="1"/>
        <v>1.4679206136350098E-2</v>
      </c>
      <c r="O8540" s="2">
        <f ca="1"/>
        <v>-0.30349785945427271</v>
      </c>
      <c r="X8540" s="2">
        <f ca="1"/>
        <v>73.355692622094011</v>
      </c>
      <c r="AG8540" s="2">
        <f ca="1"/>
        <v>0.59063879652245577</v>
      </c>
      <c r="AH8540" s="2" t="str">
        <f ca="1"/>
        <v>Bad</v>
      </c>
    </row>
    <row r="8541" spans="2:34" x14ac:dyDescent="0.2">
      <c r="B8541" s="2">
        <f ca="1"/>
        <v>0.61741731409375333</v>
      </c>
      <c r="O8541" s="2">
        <f ca="1"/>
        <v>0.89283842390969492</v>
      </c>
      <c r="X8541" s="2">
        <f ca="1"/>
        <v>53.326846027826605</v>
      </c>
      <c r="AG8541" s="2">
        <f ca="1"/>
        <v>0.47867548274594895</v>
      </c>
      <c r="AH8541" s="2" t="str">
        <f ca="1"/>
        <v>Bad</v>
      </c>
    </row>
    <row r="8542" spans="2:34" x14ac:dyDescent="0.2">
      <c r="B8542" s="2">
        <f ca="1"/>
        <v>0.98438983798691493</v>
      </c>
      <c r="O8542" s="2">
        <f ca="1"/>
        <v>2.4849479070047882</v>
      </c>
      <c r="X8542" s="2">
        <f ca="1"/>
        <v>37.966125446059166</v>
      </c>
      <c r="AG8542" s="2">
        <f ca="1"/>
        <v>0.60590047123124591</v>
      </c>
      <c r="AH8542" s="2" t="str">
        <f ca="1"/>
        <v>Bad</v>
      </c>
    </row>
    <row r="8543" spans="2:34" x14ac:dyDescent="0.2">
      <c r="B8543" s="2">
        <f ca="1"/>
        <v>0.23502484871737139</v>
      </c>
      <c r="O8543" s="2">
        <f ca="1"/>
        <v>-0.74503978088320189</v>
      </c>
      <c r="X8543" s="2">
        <f ca="1"/>
        <v>75.905318779825251</v>
      </c>
      <c r="AG8543" s="2">
        <f ca="1"/>
        <v>0.88724047426001196</v>
      </c>
      <c r="AH8543" s="2" t="str">
        <f ca="1"/>
        <v>Bad</v>
      </c>
    </row>
    <row r="8544" spans="2:34" x14ac:dyDescent="0.2">
      <c r="B8544" s="2">
        <f ca="1"/>
        <v>0.67893097614393882</v>
      </c>
      <c r="O8544" s="2">
        <f ca="1"/>
        <v>2.8309335993089673</v>
      </c>
      <c r="X8544" s="2">
        <f ca="1"/>
        <v>22.20195591701728</v>
      </c>
      <c r="AG8544" s="2">
        <f ca="1"/>
        <v>2.8054484634438159E-2</v>
      </c>
      <c r="AH8544" s="2" t="str">
        <f ca="1"/>
        <v>Good</v>
      </c>
    </row>
    <row r="8545" spans="2:34" x14ac:dyDescent="0.2">
      <c r="B8545" s="2">
        <f ca="1"/>
        <v>0.69399240970007203</v>
      </c>
      <c r="O8545" s="2">
        <f ca="1"/>
        <v>0.79584971417942507</v>
      </c>
      <c r="X8545" s="2">
        <f ca="1"/>
        <v>34.468709221546533</v>
      </c>
      <c r="AG8545" s="2">
        <f ca="1"/>
        <v>0.55971774719131329</v>
      </c>
      <c r="AH8545" s="2" t="str">
        <f ca="1"/>
        <v>Bad</v>
      </c>
    </row>
    <row r="8546" spans="2:34" x14ac:dyDescent="0.2">
      <c r="B8546" s="2">
        <f ca="1"/>
        <v>0.75126256189249263</v>
      </c>
      <c r="O8546" s="2">
        <f ca="1"/>
        <v>-1.784573087440674</v>
      </c>
      <c r="X8546" s="2">
        <f ca="1"/>
        <v>34.175860231036175</v>
      </c>
      <c r="AG8546" s="2">
        <f ca="1"/>
        <v>0.7428111065980656</v>
      </c>
      <c r="AH8546" s="2" t="str">
        <f ca="1"/>
        <v>Bad</v>
      </c>
    </row>
    <row r="8547" spans="2:34" x14ac:dyDescent="0.2">
      <c r="B8547" s="2">
        <f ca="1"/>
        <v>0.707410824540329</v>
      </c>
      <c r="O8547" s="2">
        <f ca="1"/>
        <v>1.6898246402229204</v>
      </c>
      <c r="X8547" s="2">
        <f ca="1"/>
        <v>68.268659361673997</v>
      </c>
      <c r="AG8547" s="2">
        <f ca="1"/>
        <v>0.75652981137754449</v>
      </c>
      <c r="AH8547" s="2" t="str">
        <f ca="1"/>
        <v>Bad</v>
      </c>
    </row>
    <row r="8548" spans="2:34" x14ac:dyDescent="0.2">
      <c r="B8548" s="2">
        <f ca="1"/>
        <v>0.41608306208098189</v>
      </c>
      <c r="O8548" s="2">
        <f ca="1"/>
        <v>-0.16542100553496619</v>
      </c>
      <c r="X8548" s="2">
        <f ca="1"/>
        <v>22.337013849788359</v>
      </c>
      <c r="AG8548" s="2">
        <f ca="1"/>
        <v>0.59832829523347586</v>
      </c>
      <c r="AH8548" s="2" t="str">
        <f ca="1"/>
        <v>Bad</v>
      </c>
    </row>
    <row r="8549" spans="2:34" x14ac:dyDescent="0.2">
      <c r="B8549" s="2">
        <f ca="1"/>
        <v>0.42858418630353179</v>
      </c>
      <c r="O8549" s="2">
        <f ca="1"/>
        <v>-0.32301152946820999</v>
      </c>
      <c r="X8549" s="2">
        <f ca="1"/>
        <v>45.932109752566689</v>
      </c>
      <c r="AG8549" s="2">
        <f ca="1"/>
        <v>0.61532015843070575</v>
      </c>
      <c r="AH8549" s="2" t="str">
        <f ca="1"/>
        <v>Bad</v>
      </c>
    </row>
    <row r="8550" spans="2:34" x14ac:dyDescent="0.2">
      <c r="B8550" s="2">
        <f ca="1"/>
        <v>0.39454007193109808</v>
      </c>
      <c r="O8550" s="2">
        <f ca="1"/>
        <v>-0.14060906289820041</v>
      </c>
      <c r="X8550" s="2">
        <f ca="1"/>
        <v>43.620514591113505</v>
      </c>
      <c r="AG8550" s="2">
        <f ca="1"/>
        <v>0.2089959591906505</v>
      </c>
      <c r="AH8550" s="2" t="str">
        <f ca="1"/>
        <v>OK</v>
      </c>
    </row>
    <row r="8551" spans="2:34" x14ac:dyDescent="0.2">
      <c r="B8551" s="2">
        <f ca="1"/>
        <v>0.2060224343821131</v>
      </c>
      <c r="O8551" s="2">
        <f ca="1"/>
        <v>0.1413947431320042</v>
      </c>
      <c r="X8551" s="2">
        <f ca="1"/>
        <v>47.88368132479583</v>
      </c>
      <c r="AG8551" s="2">
        <f ca="1"/>
        <v>0.11340186053848078</v>
      </c>
      <c r="AH8551" s="2" t="str">
        <f ca="1"/>
        <v>OK</v>
      </c>
    </row>
    <row r="8552" spans="2:34" x14ac:dyDescent="0.2">
      <c r="B8552" s="2">
        <f ca="1"/>
        <v>0.47352561306061758</v>
      </c>
      <c r="O8552" s="2">
        <f ca="1"/>
        <v>1.0300051874810634</v>
      </c>
      <c r="X8552" s="2">
        <f ca="1"/>
        <v>35.094403708337758</v>
      </c>
      <c r="AG8552" s="2">
        <f ca="1"/>
        <v>0.36129430770283211</v>
      </c>
      <c r="AH8552" s="2" t="str">
        <f ca="1"/>
        <v>OK</v>
      </c>
    </row>
    <row r="8553" spans="2:34" x14ac:dyDescent="0.2">
      <c r="B8553" s="2">
        <f ca="1"/>
        <v>0.37789173479091076</v>
      </c>
      <c r="O8553" s="2">
        <f ca="1"/>
        <v>-1.2794056809490479</v>
      </c>
      <c r="X8553" s="2">
        <f ca="1"/>
        <v>74.563325287132017</v>
      </c>
      <c r="AG8553" s="2">
        <f ca="1"/>
        <v>0.14061316812587665</v>
      </c>
      <c r="AH8553" s="2" t="str">
        <f ca="1"/>
        <v>OK</v>
      </c>
    </row>
    <row r="8554" spans="2:34" x14ac:dyDescent="0.2">
      <c r="B8554" s="2">
        <f ca="1"/>
        <v>0.43261036355139537</v>
      </c>
      <c r="O8554" s="2">
        <f ca="1"/>
        <v>-0.44033623443881381</v>
      </c>
      <c r="X8554" s="2">
        <f ca="1"/>
        <v>52.525625647821329</v>
      </c>
      <c r="AG8554" s="2">
        <f ca="1"/>
        <v>0.16660043013365966</v>
      </c>
      <c r="AH8554" s="2" t="str">
        <f ca="1"/>
        <v>OK</v>
      </c>
    </row>
    <row r="8555" spans="2:34" x14ac:dyDescent="0.2">
      <c r="B8555" s="2">
        <f ca="1"/>
        <v>0.43133410373711989</v>
      </c>
      <c r="O8555" s="2">
        <f ca="1"/>
        <v>-0.50900209092002746</v>
      </c>
      <c r="X8555" s="2">
        <f ca="1"/>
        <v>37.892474974673782</v>
      </c>
      <c r="AG8555" s="2">
        <f ca="1"/>
        <v>0.29656045722469382</v>
      </c>
      <c r="AH8555" s="2" t="str">
        <f ca="1"/>
        <v>OK</v>
      </c>
    </row>
    <row r="8556" spans="2:34" x14ac:dyDescent="0.2">
      <c r="B8556" s="2">
        <f ca="1"/>
        <v>0.21784194382769106</v>
      </c>
      <c r="O8556" s="2">
        <f ca="1"/>
        <v>0.73389067529522134</v>
      </c>
      <c r="X8556" s="2">
        <f ca="1"/>
        <v>55.177533783281277</v>
      </c>
      <c r="AG8556" s="2">
        <f ca="1"/>
        <v>0.15271524038545392</v>
      </c>
      <c r="AH8556" s="2" t="str">
        <f ca="1"/>
        <v>OK</v>
      </c>
    </row>
    <row r="8557" spans="2:34" x14ac:dyDescent="0.2">
      <c r="B8557" s="2">
        <f ca="1"/>
        <v>0.81291865553200515</v>
      </c>
      <c r="O8557" s="2">
        <f ca="1"/>
        <v>-0.21931776124407287</v>
      </c>
      <c r="X8557" s="2">
        <f ca="1"/>
        <v>64.571091063080914</v>
      </c>
      <c r="AG8557" s="2">
        <f ca="1"/>
        <v>0.53006840470049976</v>
      </c>
      <c r="AH8557" s="2" t="str">
        <f ca="1"/>
        <v>Bad</v>
      </c>
    </row>
    <row r="8558" spans="2:34" x14ac:dyDescent="0.2">
      <c r="B8558" s="2">
        <f ca="1"/>
        <v>0.47686427078908045</v>
      </c>
      <c r="O8558" s="2">
        <f ca="1"/>
        <v>-1.4284115877185319</v>
      </c>
      <c r="X8558" s="2">
        <f ca="1"/>
        <v>56.225006430421928</v>
      </c>
      <c r="AG8558" s="2">
        <f ca="1"/>
        <v>5.052165429557709E-2</v>
      </c>
      <c r="AH8558" s="2" t="str">
        <f ca="1"/>
        <v>OK</v>
      </c>
    </row>
    <row r="8559" spans="2:34" x14ac:dyDescent="0.2">
      <c r="B8559" s="2">
        <f ca="1"/>
        <v>0.99354385589994543</v>
      </c>
      <c r="O8559" s="2">
        <f ca="1"/>
        <v>2.175902585945523</v>
      </c>
      <c r="X8559" s="2">
        <f ca="1"/>
        <v>65.679916748005539</v>
      </c>
      <c r="AG8559" s="2">
        <f ca="1"/>
        <v>0.77954158852494593</v>
      </c>
      <c r="AH8559" s="2" t="str">
        <f ca="1"/>
        <v>Bad</v>
      </c>
    </row>
    <row r="8560" spans="2:34" x14ac:dyDescent="0.2">
      <c r="B8560" s="2">
        <f ca="1"/>
        <v>0.637080405766842</v>
      </c>
      <c r="O8560" s="2">
        <f ca="1"/>
        <v>-0.2791677838171418</v>
      </c>
      <c r="X8560" s="2">
        <f ca="1"/>
        <v>57.279314542470473</v>
      </c>
      <c r="AG8560" s="2">
        <f ca="1"/>
        <v>0.51329766515314446</v>
      </c>
      <c r="AH8560" s="2" t="str">
        <f ca="1"/>
        <v>Bad</v>
      </c>
    </row>
    <row r="8561" spans="2:34" x14ac:dyDescent="0.2">
      <c r="B8561" s="2">
        <f ca="1"/>
        <v>0.35449479012106355</v>
      </c>
      <c r="O8561" s="2">
        <f ca="1"/>
        <v>-2.2571972161037279</v>
      </c>
      <c r="X8561" s="2">
        <f ca="1"/>
        <v>41.023131139124914</v>
      </c>
      <c r="AG8561" s="2">
        <f ca="1"/>
        <v>0.33122521852593034</v>
      </c>
      <c r="AH8561" s="2" t="str">
        <f ca="1"/>
        <v>OK</v>
      </c>
    </row>
    <row r="8562" spans="2:34" x14ac:dyDescent="0.2">
      <c r="B8562" s="2">
        <f ca="1"/>
        <v>0.82330011449093465</v>
      </c>
      <c r="O8562" s="2">
        <f ca="1"/>
        <v>0.39366755190080432</v>
      </c>
      <c r="X8562" s="2">
        <f ca="1"/>
        <v>69.326165161864836</v>
      </c>
      <c r="AG8562" s="2">
        <f ca="1"/>
        <v>0.36064254510933136</v>
      </c>
      <c r="AH8562" s="2" t="str">
        <f ca="1"/>
        <v>OK</v>
      </c>
    </row>
    <row r="8563" spans="2:34" x14ac:dyDescent="0.2">
      <c r="B8563" s="2">
        <f ca="1"/>
        <v>0.79630810215853298</v>
      </c>
      <c r="O8563" s="2">
        <f ca="1"/>
        <v>1.2455410583387598</v>
      </c>
      <c r="X8563" s="2">
        <f ca="1"/>
        <v>56.375188262082155</v>
      </c>
      <c r="AG8563" s="2">
        <f ca="1"/>
        <v>0.34952556081423469</v>
      </c>
      <c r="AH8563" s="2" t="str">
        <f ca="1"/>
        <v>OK</v>
      </c>
    </row>
    <row r="8564" spans="2:34" x14ac:dyDescent="0.2">
      <c r="B8564" s="2">
        <f ca="1"/>
        <v>0.98083619042478531</v>
      </c>
      <c r="O8564" s="2">
        <f ca="1"/>
        <v>0.80290897478980383</v>
      </c>
      <c r="X8564" s="2">
        <f ca="1"/>
        <v>46.925639390275656</v>
      </c>
      <c r="AG8564" s="2">
        <f ca="1"/>
        <v>0.80821585418355824</v>
      </c>
      <c r="AH8564" s="2" t="str">
        <f ca="1"/>
        <v>Bad</v>
      </c>
    </row>
    <row r="8565" spans="2:34" x14ac:dyDescent="0.2">
      <c r="B8565" s="2">
        <f ca="1"/>
        <v>0.59628734727030763</v>
      </c>
      <c r="O8565" s="2">
        <f ca="1"/>
        <v>-1.5349178676911708</v>
      </c>
      <c r="X8565" s="2">
        <f ca="1"/>
        <v>41.361455125009925</v>
      </c>
      <c r="AG8565" s="2">
        <f ca="1"/>
        <v>0.25887246327156377</v>
      </c>
      <c r="AH8565" s="2" t="str">
        <f ca="1"/>
        <v>OK</v>
      </c>
    </row>
    <row r="8566" spans="2:34" x14ac:dyDescent="0.2">
      <c r="B8566" s="2">
        <f ca="1"/>
        <v>0.45193274134148553</v>
      </c>
      <c r="O8566" s="2">
        <f ca="1"/>
        <v>-0.10780186264209818</v>
      </c>
      <c r="X8566" s="2">
        <f ca="1"/>
        <v>44.283236475151199</v>
      </c>
      <c r="AG8566" s="2">
        <f ca="1"/>
        <v>0.62341391254071676</v>
      </c>
      <c r="AH8566" s="2" t="str">
        <f ca="1"/>
        <v>Bad</v>
      </c>
    </row>
    <row r="8567" spans="2:34" x14ac:dyDescent="0.2">
      <c r="B8567" s="2">
        <f ca="1"/>
        <v>0.18776929298343781</v>
      </c>
      <c r="O8567" s="2">
        <f ca="1"/>
        <v>0.50131888882365372</v>
      </c>
      <c r="X8567" s="2">
        <f ca="1"/>
        <v>59.01609989123984</v>
      </c>
      <c r="AG8567" s="2">
        <f ca="1"/>
        <v>0.9572218596557458</v>
      </c>
      <c r="AH8567" s="2" t="str">
        <f ca="1"/>
        <v>Bad</v>
      </c>
    </row>
    <row r="8568" spans="2:34" x14ac:dyDescent="0.2">
      <c r="B8568" s="2">
        <f ca="1"/>
        <v>0.85870134895029504</v>
      </c>
      <c r="O8568" s="2">
        <f ca="1"/>
        <v>-0.2207834236604162</v>
      </c>
      <c r="X8568" s="2">
        <f ca="1"/>
        <v>62.206273466702989</v>
      </c>
      <c r="AG8568" s="2">
        <f ca="1"/>
        <v>0.98999589679069411</v>
      </c>
      <c r="AH8568" s="2" t="str">
        <f ca="1"/>
        <v>Bad</v>
      </c>
    </row>
    <row r="8569" spans="2:34" x14ac:dyDescent="0.2">
      <c r="B8569" s="2">
        <f ca="1"/>
        <v>0.16615956812820598</v>
      </c>
      <c r="O8569" s="2">
        <f ca="1"/>
        <v>1.5123869034677233</v>
      </c>
      <c r="X8569" s="2">
        <f ca="1"/>
        <v>48.970035732788411</v>
      </c>
      <c r="AG8569" s="2">
        <f ca="1"/>
        <v>4.1994935677591716E-3</v>
      </c>
      <c r="AH8569" s="2" t="str">
        <f ca="1"/>
        <v>Good</v>
      </c>
    </row>
    <row r="8570" spans="2:34" x14ac:dyDescent="0.2">
      <c r="B8570" s="2">
        <f ca="1"/>
        <v>0.25263385814338402</v>
      </c>
      <c r="O8570" s="2">
        <f ca="1"/>
        <v>1.3858617069718828</v>
      </c>
      <c r="X8570" s="2">
        <f ca="1"/>
        <v>54.137370583305604</v>
      </c>
      <c r="AG8570" s="2">
        <f ca="1"/>
        <v>0.65844265500782151</v>
      </c>
      <c r="AH8570" s="2" t="str">
        <f ca="1"/>
        <v>Bad</v>
      </c>
    </row>
    <row r="8571" spans="2:34" x14ac:dyDescent="0.2">
      <c r="B8571" s="2">
        <f ca="1"/>
        <v>0.50741891509438575</v>
      </c>
      <c r="O8571" s="2">
        <f ca="1"/>
        <v>6.0097832663176455E-2</v>
      </c>
      <c r="X8571" s="2">
        <f ca="1"/>
        <v>68.177633915596076</v>
      </c>
      <c r="AG8571" s="2">
        <f ca="1"/>
        <v>0.62660898025812095</v>
      </c>
      <c r="AH8571" s="2" t="str">
        <f ca="1"/>
        <v>Bad</v>
      </c>
    </row>
    <row r="8572" spans="2:34" x14ac:dyDescent="0.2">
      <c r="B8572" s="2">
        <f ca="1"/>
        <v>0.90821870971151242</v>
      </c>
      <c r="O8572" s="2">
        <f ca="1"/>
        <v>-4.2227307004722388E-2</v>
      </c>
      <c r="X8572" s="2">
        <f ca="1"/>
        <v>55.033730249335946</v>
      </c>
      <c r="AG8572" s="2">
        <f ca="1"/>
        <v>0.87257634926800809</v>
      </c>
      <c r="AH8572" s="2" t="str">
        <f ca="1"/>
        <v>Bad</v>
      </c>
    </row>
    <row r="8573" spans="2:34" x14ac:dyDescent="0.2">
      <c r="B8573" s="2">
        <f ca="1"/>
        <v>1.3169737420051009E-2</v>
      </c>
      <c r="O8573" s="2">
        <f ca="1"/>
        <v>-0.4449642844945525</v>
      </c>
      <c r="X8573" s="2">
        <f ca="1"/>
        <v>42.148890315067646</v>
      </c>
      <c r="AG8573" s="2">
        <f ca="1"/>
        <v>0.76981868376895601</v>
      </c>
      <c r="AH8573" s="2" t="str">
        <f ca="1"/>
        <v>Bad</v>
      </c>
    </row>
    <row r="8574" spans="2:34" x14ac:dyDescent="0.2">
      <c r="B8574" s="2">
        <f ca="1"/>
        <v>0.75814621959715711</v>
      </c>
      <c r="O8574" s="2">
        <f ca="1"/>
        <v>0.6785736210825799</v>
      </c>
      <c r="X8574" s="2">
        <f ca="1"/>
        <v>18.458207350525587</v>
      </c>
      <c r="AG8574" s="2">
        <f ca="1"/>
        <v>0.82005499075576416</v>
      </c>
      <c r="AH8574" s="2" t="str">
        <f ca="1"/>
        <v>Bad</v>
      </c>
    </row>
    <row r="8575" spans="2:34" x14ac:dyDescent="0.2">
      <c r="B8575" s="2">
        <f ca="1"/>
        <v>0.91156273172936242</v>
      </c>
      <c r="O8575" s="2">
        <f ca="1"/>
        <v>-1.2039958683426084</v>
      </c>
      <c r="X8575" s="2">
        <f ca="1"/>
        <v>61.928296097376702</v>
      </c>
      <c r="AG8575" s="2">
        <f ca="1"/>
        <v>0.17727802699444517</v>
      </c>
      <c r="AH8575" s="2" t="str">
        <f ca="1"/>
        <v>OK</v>
      </c>
    </row>
    <row r="8576" spans="2:34" x14ac:dyDescent="0.2">
      <c r="B8576" s="2">
        <f ca="1"/>
        <v>0.78763798642631855</v>
      </c>
      <c r="O8576" s="2">
        <f ca="1"/>
        <v>2.9391059791570266</v>
      </c>
      <c r="X8576" s="2">
        <f ca="1"/>
        <v>67.285646114666704</v>
      </c>
      <c r="AG8576" s="2">
        <f ca="1"/>
        <v>0.98084873276654361</v>
      </c>
      <c r="AH8576" s="2" t="str">
        <f ca="1"/>
        <v>Bad</v>
      </c>
    </row>
    <row r="8577" spans="2:34" x14ac:dyDescent="0.2">
      <c r="B8577" s="2">
        <f ca="1"/>
        <v>0.93634615312524083</v>
      </c>
      <c r="O8577" s="2">
        <f ca="1"/>
        <v>0.3864314122963371</v>
      </c>
      <c r="X8577" s="2">
        <f ca="1"/>
        <v>39.613591091505924</v>
      </c>
      <c r="AG8577" s="2">
        <f ca="1"/>
        <v>0.16440971287851913</v>
      </c>
      <c r="AH8577" s="2" t="str">
        <f ca="1"/>
        <v>OK</v>
      </c>
    </row>
    <row r="8578" spans="2:34" x14ac:dyDescent="0.2">
      <c r="B8578" s="2">
        <f ca="1"/>
        <v>0.20846253597987019</v>
      </c>
      <c r="O8578" s="2">
        <f ca="1"/>
        <v>1.7735658939225722</v>
      </c>
      <c r="X8578" s="2">
        <f ca="1"/>
        <v>50.378239148413122</v>
      </c>
      <c r="AG8578" s="2">
        <f ca="1"/>
        <v>7.1799360112483779E-2</v>
      </c>
      <c r="AH8578" s="2" t="str">
        <f ca="1"/>
        <v>OK</v>
      </c>
    </row>
    <row r="8579" spans="2:34" x14ac:dyDescent="0.2">
      <c r="B8579" s="2">
        <f ca="1"/>
        <v>0.20163127365892586</v>
      </c>
      <c r="O8579" s="2">
        <f ca="1"/>
        <v>0.34770467012881517</v>
      </c>
      <c r="X8579" s="2">
        <f ca="1"/>
        <v>63.18154892691814</v>
      </c>
      <c r="AG8579" s="2">
        <f ca="1"/>
        <v>4.7650204353069769E-2</v>
      </c>
      <c r="AH8579" s="2" t="str">
        <f ca="1"/>
        <v>Good</v>
      </c>
    </row>
    <row r="8580" spans="2:34" x14ac:dyDescent="0.2">
      <c r="B8580" s="2">
        <f ca="1"/>
        <v>0.59305277766405551</v>
      </c>
      <c r="O8580" s="2">
        <f ca="1"/>
        <v>-0.91147588022635007</v>
      </c>
      <c r="X8580" s="2">
        <f ca="1"/>
        <v>40.092452832291833</v>
      </c>
      <c r="AG8580" s="2">
        <f ca="1"/>
        <v>0.22882619702058671</v>
      </c>
      <c r="AH8580" s="2" t="str">
        <f ca="1"/>
        <v>OK</v>
      </c>
    </row>
    <row r="8581" spans="2:34" x14ac:dyDescent="0.2">
      <c r="B8581" s="2">
        <f ca="1"/>
        <v>0.60776274095193883</v>
      </c>
      <c r="O8581" s="2">
        <f ca="1"/>
        <v>-1.9159430433228002</v>
      </c>
      <c r="X8581" s="2">
        <f ca="1"/>
        <v>75.841591640248822</v>
      </c>
      <c r="AG8581" s="2">
        <f ca="1"/>
        <v>0.40672605736612821</v>
      </c>
      <c r="AH8581" s="2" t="str">
        <f ca="1"/>
        <v>Bad</v>
      </c>
    </row>
    <row r="8582" spans="2:34" x14ac:dyDescent="0.2">
      <c r="B8582" s="2">
        <f ca="1"/>
        <v>0.89388736812426961</v>
      </c>
      <c r="O8582" s="2">
        <f ca="1"/>
        <v>-0.66560780798576691</v>
      </c>
      <c r="X8582" s="2">
        <f ca="1"/>
        <v>76.534073521298168</v>
      </c>
      <c r="AG8582" s="2">
        <f ca="1"/>
        <v>0.66392446220968804</v>
      </c>
      <c r="AH8582" s="2" t="str">
        <f ca="1"/>
        <v>Bad</v>
      </c>
    </row>
    <row r="8583" spans="2:34" x14ac:dyDescent="0.2">
      <c r="B8583" s="2">
        <f ca="1"/>
        <v>0.83161371379845228</v>
      </c>
      <c r="O8583" s="2">
        <f ca="1"/>
        <v>0.26974770908436585</v>
      </c>
      <c r="X8583" s="2">
        <f ca="1"/>
        <v>48.47060933769874</v>
      </c>
      <c r="AG8583" s="2">
        <f ca="1"/>
        <v>0.74189031207168954</v>
      </c>
      <c r="AH8583" s="2" t="str">
        <f ca="1"/>
        <v>Bad</v>
      </c>
    </row>
    <row r="8584" spans="2:34" x14ac:dyDescent="0.2">
      <c r="B8584" s="2">
        <f ca="1"/>
        <v>0.53786377822840792</v>
      </c>
      <c r="O8584" s="2">
        <f ca="1"/>
        <v>0.40192805667495896</v>
      </c>
      <c r="X8584" s="2">
        <f ca="1"/>
        <v>53.525984983338546</v>
      </c>
      <c r="AG8584" s="2">
        <f ca="1"/>
        <v>6.2924063447148848E-2</v>
      </c>
      <c r="AH8584" s="2" t="str">
        <f ca="1"/>
        <v>OK</v>
      </c>
    </row>
    <row r="8585" spans="2:34" x14ac:dyDescent="0.2">
      <c r="B8585" s="2">
        <f ca="1"/>
        <v>0.81739834245080378</v>
      </c>
      <c r="O8585" s="2">
        <f ca="1"/>
        <v>-1.365432821961243</v>
      </c>
      <c r="X8585" s="2">
        <f ca="1"/>
        <v>33.834580490884669</v>
      </c>
      <c r="AG8585" s="2">
        <f ca="1"/>
        <v>0.29238835188035406</v>
      </c>
      <c r="AH8585" s="2" t="str">
        <f ca="1"/>
        <v>OK</v>
      </c>
    </row>
    <row r="8586" spans="2:34" x14ac:dyDescent="0.2">
      <c r="B8586" s="2">
        <f ca="1"/>
        <v>0.18707912310154251</v>
      </c>
      <c r="O8586" s="2">
        <f ca="1"/>
        <v>-0.36320230369427342</v>
      </c>
      <c r="X8586" s="2">
        <f ca="1"/>
        <v>42.150282065627785</v>
      </c>
      <c r="AG8586" s="2">
        <f ca="1"/>
        <v>0.52461645230813758</v>
      </c>
      <c r="AH8586" s="2" t="str">
        <f ca="1"/>
        <v>Bad</v>
      </c>
    </row>
    <row r="8587" spans="2:34" x14ac:dyDescent="0.2">
      <c r="B8587" s="2">
        <f ca="1"/>
        <v>0.10639796081934194</v>
      </c>
      <c r="O8587" s="2">
        <f ca="1"/>
        <v>-3.7488353114954721E-2</v>
      </c>
      <c r="X8587" s="2">
        <f ca="1"/>
        <v>59.634023162741087</v>
      </c>
      <c r="AG8587" s="2">
        <f ca="1"/>
        <v>6.299494792054805E-2</v>
      </c>
      <c r="AH8587" s="2" t="str">
        <f ca="1"/>
        <v>OK</v>
      </c>
    </row>
    <row r="8588" spans="2:34" x14ac:dyDescent="0.2">
      <c r="B8588" s="2">
        <f ca="1"/>
        <v>0.16869096899635005</v>
      </c>
      <c r="O8588" s="2">
        <f ca="1"/>
        <v>0.16477985389584421</v>
      </c>
      <c r="X8588" s="2">
        <f ca="1"/>
        <v>66.024144750410287</v>
      </c>
      <c r="AG8588" s="2">
        <f ca="1"/>
        <v>0.80763986683201305</v>
      </c>
      <c r="AH8588" s="2" t="str">
        <f ca="1"/>
        <v>Bad</v>
      </c>
    </row>
    <row r="8589" spans="2:34" x14ac:dyDescent="0.2">
      <c r="B8589" s="2">
        <f ca="1"/>
        <v>0.85463729544289579</v>
      </c>
      <c r="O8589" s="2">
        <f ca="1"/>
        <v>0.45901829727829274</v>
      </c>
      <c r="X8589" s="2">
        <f ca="1"/>
        <v>40.949868408541889</v>
      </c>
      <c r="AG8589" s="2">
        <f ca="1"/>
        <v>0.73465280102810593</v>
      </c>
      <c r="AH8589" s="2" t="str">
        <f ca="1"/>
        <v>Bad</v>
      </c>
    </row>
    <row r="8590" spans="2:34" x14ac:dyDescent="0.2">
      <c r="B8590" s="2">
        <f ca="1"/>
        <v>0.88280543586683735</v>
      </c>
      <c r="O8590" s="2">
        <f ca="1"/>
        <v>-1.054419755771258</v>
      </c>
      <c r="X8590" s="2">
        <f ca="1"/>
        <v>63.201838529658055</v>
      </c>
      <c r="AG8590" s="2">
        <f ca="1"/>
        <v>0.91407073137770611</v>
      </c>
      <c r="AH8590" s="2" t="str">
        <f ca="1"/>
        <v>Bad</v>
      </c>
    </row>
    <row r="8591" spans="2:34" x14ac:dyDescent="0.2">
      <c r="B8591" s="2">
        <f ca="1"/>
        <v>0.95182715660162187</v>
      </c>
      <c r="O8591" s="2">
        <f ca="1"/>
        <v>-0.48559208958306993</v>
      </c>
      <c r="X8591" s="2">
        <f ca="1"/>
        <v>57.647341705482908</v>
      </c>
      <c r="AG8591" s="2">
        <f ca="1"/>
        <v>4.245492845097476E-2</v>
      </c>
      <c r="AH8591" s="2" t="str">
        <f ca="1"/>
        <v>Good</v>
      </c>
    </row>
    <row r="8592" spans="2:34" x14ac:dyDescent="0.2">
      <c r="B8592" s="2">
        <f ca="1"/>
        <v>0.60366620877973354</v>
      </c>
      <c r="O8592" s="2">
        <f ca="1"/>
        <v>-0.78164804734274018</v>
      </c>
      <c r="X8592" s="2">
        <f ca="1"/>
        <v>41.209443993632775</v>
      </c>
      <c r="AG8592" s="2">
        <f ca="1"/>
        <v>5.7219413734399094E-2</v>
      </c>
      <c r="AH8592" s="2" t="str">
        <f ca="1"/>
        <v>OK</v>
      </c>
    </row>
    <row r="8593" spans="2:34" x14ac:dyDescent="0.2">
      <c r="B8593" s="2">
        <f ca="1"/>
        <v>0.66117535998037802</v>
      </c>
      <c r="O8593" s="2">
        <f ca="1"/>
        <v>0.19681985022845253</v>
      </c>
      <c r="X8593" s="2">
        <f ca="1"/>
        <v>57.116546385740392</v>
      </c>
      <c r="AG8593" s="2">
        <f ca="1"/>
        <v>0.66733812196351749</v>
      </c>
      <c r="AH8593" s="2" t="str">
        <f ca="1"/>
        <v>Bad</v>
      </c>
    </row>
    <row r="8594" spans="2:34" x14ac:dyDescent="0.2">
      <c r="B8594" s="2">
        <f ca="1"/>
        <v>0.38145544517293928</v>
      </c>
      <c r="O8594" s="2">
        <f ca="1"/>
        <v>0.59432354304835566</v>
      </c>
      <c r="X8594" s="2">
        <f ca="1"/>
        <v>45.295458546365246</v>
      </c>
      <c r="AG8594" s="2">
        <f ca="1"/>
        <v>0.77828011228325678</v>
      </c>
      <c r="AH8594" s="2" t="str">
        <f ca="1"/>
        <v>Bad</v>
      </c>
    </row>
    <row r="8595" spans="2:34" x14ac:dyDescent="0.2">
      <c r="B8595" s="2">
        <f ca="1"/>
        <v>0.84032782481631263</v>
      </c>
      <c r="O8595" s="2">
        <f ca="1"/>
        <v>-0.85987775793899124</v>
      </c>
      <c r="X8595" s="2">
        <f ca="1"/>
        <v>34.243654057125795</v>
      </c>
      <c r="AG8595" s="2">
        <f ca="1"/>
        <v>0.57688146498490611</v>
      </c>
      <c r="AH8595" s="2" t="str">
        <f ca="1"/>
        <v>Bad</v>
      </c>
    </row>
    <row r="8596" spans="2:34" x14ac:dyDescent="0.2">
      <c r="B8596" s="2">
        <f ca="1"/>
        <v>0.98451929403025829</v>
      </c>
      <c r="O8596" s="2">
        <f ca="1"/>
        <v>-0.4594500488168845</v>
      </c>
      <c r="X8596" s="2">
        <f ca="1"/>
        <v>48.153982604331873</v>
      </c>
      <c r="AG8596" s="2">
        <f ca="1"/>
        <v>9.8119685560181358E-2</v>
      </c>
      <c r="AH8596" s="2" t="str">
        <f ca="1"/>
        <v>OK</v>
      </c>
    </row>
    <row r="8597" spans="2:34" x14ac:dyDescent="0.2">
      <c r="B8597" s="2">
        <f ca="1"/>
        <v>0.27134237193886279</v>
      </c>
      <c r="O8597" s="2">
        <f ca="1"/>
        <v>0.46251792462256358</v>
      </c>
      <c r="X8597" s="2">
        <f ca="1"/>
        <v>41.419249924629241</v>
      </c>
      <c r="AG8597" s="2">
        <f ca="1"/>
        <v>0.92737006930486454</v>
      </c>
      <c r="AH8597" s="2" t="str">
        <f ca="1"/>
        <v>Bad</v>
      </c>
    </row>
    <row r="8598" spans="2:34" x14ac:dyDescent="0.2">
      <c r="B8598" s="2">
        <f ca="1"/>
        <v>0.15672007995119475</v>
      </c>
      <c r="O8598" s="2">
        <f ca="1"/>
        <v>-0.31813272926423997</v>
      </c>
      <c r="X8598" s="2">
        <f ca="1"/>
        <v>50.424701230776954</v>
      </c>
      <c r="AG8598" s="2">
        <f ca="1"/>
        <v>0.62755387701904453</v>
      </c>
      <c r="AH8598" s="2" t="str">
        <f ca="1"/>
        <v>Bad</v>
      </c>
    </row>
    <row r="8599" spans="2:34" x14ac:dyDescent="0.2">
      <c r="B8599" s="2">
        <f ca="1"/>
        <v>0.80956685364347503</v>
      </c>
      <c r="O8599" s="2">
        <f ca="1"/>
        <v>-0.73143322754388451</v>
      </c>
      <c r="X8599" s="2">
        <f ca="1"/>
        <v>49.979302746570511</v>
      </c>
      <c r="AG8599" s="2">
        <f ca="1"/>
        <v>0.96524709962049604</v>
      </c>
      <c r="AH8599" s="2" t="str">
        <f ca="1"/>
        <v>Bad</v>
      </c>
    </row>
    <row r="8600" spans="2:34" x14ac:dyDescent="0.2">
      <c r="B8600" s="2">
        <f ca="1"/>
        <v>0.28398366649382489</v>
      </c>
      <c r="O8600" s="2">
        <f ca="1"/>
        <v>-5.7054017884631068E-2</v>
      </c>
      <c r="X8600" s="2">
        <f ca="1"/>
        <v>61.615373281525564</v>
      </c>
      <c r="AG8600" s="2">
        <f ca="1"/>
        <v>0.57057541992727057</v>
      </c>
      <c r="AH8600" s="2" t="str">
        <f ca="1"/>
        <v>Bad</v>
      </c>
    </row>
    <row r="8601" spans="2:34" x14ac:dyDescent="0.2">
      <c r="B8601" s="2">
        <f ca="1"/>
        <v>0.86309541485645824</v>
      </c>
      <c r="O8601" s="2">
        <f ca="1"/>
        <v>-1.4745295476473537</v>
      </c>
      <c r="X8601" s="2">
        <f ca="1"/>
        <v>59.477442183346156</v>
      </c>
      <c r="AG8601" s="2">
        <f ca="1"/>
        <v>0.62171702563790099</v>
      </c>
      <c r="AH8601" s="2" t="str">
        <f ca="1"/>
        <v>Bad</v>
      </c>
    </row>
    <row r="8602" spans="2:34" x14ac:dyDescent="0.2">
      <c r="B8602" s="2">
        <f ca="1"/>
        <v>0.15794776340312433</v>
      </c>
      <c r="O8602" s="2">
        <f ca="1"/>
        <v>0.72227531724100225</v>
      </c>
      <c r="X8602" s="2">
        <f ca="1"/>
        <v>47.746631031749786</v>
      </c>
      <c r="AG8602" s="2">
        <f ca="1"/>
        <v>0.37599934030629756</v>
      </c>
      <c r="AH8602" s="2" t="str">
        <f ca="1"/>
        <v>OK</v>
      </c>
    </row>
    <row r="8603" spans="2:34" x14ac:dyDescent="0.2">
      <c r="B8603" s="2">
        <f ca="1"/>
        <v>0.12876845605291276</v>
      </c>
      <c r="O8603" s="2">
        <f ca="1"/>
        <v>-2.3294427905748292E-2</v>
      </c>
      <c r="X8603" s="2">
        <f ca="1"/>
        <v>46.798650815042421</v>
      </c>
      <c r="AG8603" s="2">
        <f ca="1"/>
        <v>0.59099208558440508</v>
      </c>
      <c r="AH8603" s="2" t="str">
        <f ca="1"/>
        <v>Bad</v>
      </c>
    </row>
    <row r="8604" spans="2:34" x14ac:dyDescent="0.2">
      <c r="B8604" s="2">
        <f ca="1"/>
        <v>0.48494943634155163</v>
      </c>
      <c r="O8604" s="2">
        <f ca="1"/>
        <v>0.91811562612481268</v>
      </c>
      <c r="X8604" s="2">
        <f ca="1"/>
        <v>42.524188136744023</v>
      </c>
      <c r="AG8604" s="2">
        <f ca="1"/>
        <v>0.98282049620626277</v>
      </c>
      <c r="AH8604" s="2" t="str">
        <f ca="1"/>
        <v>Bad</v>
      </c>
    </row>
    <row r="8605" spans="2:34" x14ac:dyDescent="0.2">
      <c r="B8605" s="2">
        <f ca="1"/>
        <v>0.9651993523286011</v>
      </c>
      <c r="O8605" s="2">
        <f ca="1"/>
        <v>0.15333459791314008</v>
      </c>
      <c r="X8605" s="2">
        <f ca="1"/>
        <v>47.108902821818418</v>
      </c>
      <c r="AG8605" s="2">
        <f ca="1"/>
        <v>0.16315898976150578</v>
      </c>
      <c r="AH8605" s="2" t="str">
        <f ca="1"/>
        <v>OK</v>
      </c>
    </row>
    <row r="8606" spans="2:34" x14ac:dyDescent="0.2">
      <c r="B8606" s="2">
        <f ca="1"/>
        <v>0.1982645433427741</v>
      </c>
      <c r="O8606" s="2">
        <f ca="1"/>
        <v>-7.9778495090655002E-2</v>
      </c>
      <c r="X8606" s="2">
        <f ca="1"/>
        <v>53.578775878780519</v>
      </c>
      <c r="AG8606" s="2">
        <f ca="1"/>
        <v>0.95461234537544826</v>
      </c>
      <c r="AH8606" s="2" t="str">
        <f ca="1"/>
        <v>Bad</v>
      </c>
    </row>
    <row r="8607" spans="2:34" x14ac:dyDescent="0.2">
      <c r="B8607" s="2">
        <f ca="1"/>
        <v>0.75583040520258682</v>
      </c>
      <c r="O8607" s="2">
        <f ca="1"/>
        <v>-1.2613592069556752</v>
      </c>
      <c r="X8607" s="2">
        <f ca="1"/>
        <v>30.898063786900579</v>
      </c>
      <c r="AG8607" s="2">
        <f ca="1"/>
        <v>0.62346800997923912</v>
      </c>
      <c r="AH8607" s="2" t="str">
        <f ca="1"/>
        <v>Bad</v>
      </c>
    </row>
    <row r="8608" spans="2:34" x14ac:dyDescent="0.2">
      <c r="B8608" s="2">
        <f ca="1"/>
        <v>0.96672397208351546</v>
      </c>
      <c r="O8608" s="2">
        <f ca="1"/>
        <v>0.45152051951621142</v>
      </c>
      <c r="X8608" s="2">
        <f ca="1"/>
        <v>61.809346758172772</v>
      </c>
      <c r="AG8608" s="2">
        <f ca="1"/>
        <v>0.58282573918761638</v>
      </c>
      <c r="AH8608" s="2" t="str">
        <f ca="1"/>
        <v>Bad</v>
      </c>
    </row>
    <row r="8609" spans="2:34" x14ac:dyDescent="0.2">
      <c r="B8609" s="2">
        <f ca="1"/>
        <v>0.5482755627685123</v>
      </c>
      <c r="O8609" s="2">
        <f ca="1"/>
        <v>2.0477404651387362E-2</v>
      </c>
      <c r="X8609" s="2">
        <f ca="1"/>
        <v>33.756018327159659</v>
      </c>
      <c r="AG8609" s="2">
        <f ca="1"/>
        <v>9.1735976451386536E-2</v>
      </c>
      <c r="AH8609" s="2" t="str">
        <f ca="1"/>
        <v>OK</v>
      </c>
    </row>
    <row r="8610" spans="2:34" x14ac:dyDescent="0.2">
      <c r="B8610" s="2">
        <f ca="1"/>
        <v>0.94622116168224157</v>
      </c>
      <c r="O8610" s="2">
        <f ca="1"/>
        <v>-0.92068367014286956</v>
      </c>
      <c r="X8610" s="2">
        <f ca="1"/>
        <v>77.913317113056138</v>
      </c>
      <c r="AG8610" s="2">
        <f ca="1"/>
        <v>0.3218372152420852</v>
      </c>
      <c r="AH8610" s="2" t="str">
        <f ca="1"/>
        <v>OK</v>
      </c>
    </row>
    <row r="8611" spans="2:34" x14ac:dyDescent="0.2">
      <c r="B8611" s="2">
        <f ca="1"/>
        <v>7.5193163744585068E-2</v>
      </c>
      <c r="O8611" s="2">
        <f ca="1"/>
        <v>-0.76715534609722191</v>
      </c>
      <c r="X8611" s="2">
        <f ca="1"/>
        <v>50.264721285561428</v>
      </c>
      <c r="AG8611" s="2">
        <f ca="1"/>
        <v>0.42427462328294352</v>
      </c>
      <c r="AH8611" s="2" t="str">
        <f ca="1"/>
        <v>Bad</v>
      </c>
    </row>
    <row r="8612" spans="2:34" x14ac:dyDescent="0.2">
      <c r="B8612" s="2">
        <f ca="1"/>
        <v>0.55796659447550878</v>
      </c>
      <c r="O8612" s="2">
        <f ca="1"/>
        <v>-0.52724086413860805</v>
      </c>
      <c r="X8612" s="2">
        <f ca="1"/>
        <v>42.730165683125058</v>
      </c>
      <c r="AG8612" s="2">
        <f ca="1"/>
        <v>0.90853785231285134</v>
      </c>
      <c r="AH8612" s="2" t="str">
        <f ca="1"/>
        <v>Bad</v>
      </c>
    </row>
    <row r="8613" spans="2:34" x14ac:dyDescent="0.2">
      <c r="B8613" s="2">
        <f ca="1"/>
        <v>0.92196039543911001</v>
      </c>
      <c r="O8613" s="2">
        <f ca="1"/>
        <v>-3.1494621385935764</v>
      </c>
      <c r="X8613" s="2">
        <f ca="1"/>
        <v>76.69421929501874</v>
      </c>
      <c r="AG8613" s="2">
        <f ca="1"/>
        <v>5.203660340326044E-3</v>
      </c>
      <c r="AH8613" s="2" t="str">
        <f ca="1"/>
        <v>Good</v>
      </c>
    </row>
    <row r="8614" spans="2:34" x14ac:dyDescent="0.2">
      <c r="B8614" s="2">
        <f ca="1"/>
        <v>0.54304537244883688</v>
      </c>
      <c r="O8614" s="2">
        <f ca="1"/>
        <v>-5.4315886232386666E-2</v>
      </c>
      <c r="X8614" s="2">
        <f ca="1"/>
        <v>72.592289066420349</v>
      </c>
      <c r="AG8614" s="2">
        <f ca="1"/>
        <v>0.73843520919126382</v>
      </c>
      <c r="AH8614" s="2" t="str">
        <f ca="1"/>
        <v>Bad</v>
      </c>
    </row>
    <row r="8615" spans="2:34" x14ac:dyDescent="0.2">
      <c r="B8615" s="2">
        <f ca="1"/>
        <v>6.9717762322311971E-2</v>
      </c>
      <c r="O8615" s="2">
        <f ca="1"/>
        <v>-5.6213028784221852E-2</v>
      </c>
      <c r="X8615" s="2">
        <f ca="1"/>
        <v>52.311866081635785</v>
      </c>
      <c r="AG8615" s="2">
        <f ca="1"/>
        <v>0.28674800734790562</v>
      </c>
      <c r="AH8615" s="2" t="str">
        <f ca="1"/>
        <v>OK</v>
      </c>
    </row>
    <row r="8616" spans="2:34" x14ac:dyDescent="0.2">
      <c r="B8616" s="2">
        <f ca="1"/>
        <v>0.55106335132078854</v>
      </c>
      <c r="O8616" s="2">
        <f ca="1"/>
        <v>-0.4989866365460135</v>
      </c>
      <c r="X8616" s="2">
        <f ca="1"/>
        <v>40.449878646723725</v>
      </c>
      <c r="AG8616" s="2">
        <f ca="1"/>
        <v>7.4238468179614658E-2</v>
      </c>
      <c r="AH8616" s="2" t="str">
        <f ca="1"/>
        <v>OK</v>
      </c>
    </row>
    <row r="8617" spans="2:34" x14ac:dyDescent="0.2">
      <c r="B8617" s="2">
        <f ca="1"/>
        <v>0.81340145245626916</v>
      </c>
      <c r="O8617" s="2">
        <f ca="1"/>
        <v>0.34567750987510132</v>
      </c>
      <c r="X8617" s="2">
        <f ca="1"/>
        <v>44.435948779008029</v>
      </c>
      <c r="AG8617" s="2">
        <f ca="1"/>
        <v>0.2538340468005138</v>
      </c>
      <c r="AH8617" s="2" t="str">
        <f ca="1"/>
        <v>OK</v>
      </c>
    </row>
    <row r="8618" spans="2:34" x14ac:dyDescent="0.2">
      <c r="B8618" s="2">
        <f ca="1"/>
        <v>0.66709863269907044</v>
      </c>
      <c r="O8618" s="2">
        <f ca="1"/>
        <v>1.5148991961308331</v>
      </c>
      <c r="X8618" s="2">
        <f ca="1"/>
        <v>55.359468800701734</v>
      </c>
      <c r="AG8618" s="2">
        <f ca="1"/>
        <v>0.74890663914066291</v>
      </c>
      <c r="AH8618" s="2" t="str">
        <f ca="1"/>
        <v>Bad</v>
      </c>
    </row>
    <row r="8619" spans="2:34" x14ac:dyDescent="0.2">
      <c r="B8619" s="2">
        <f ca="1"/>
        <v>0.63717295838775634</v>
      </c>
      <c r="O8619" s="2">
        <f ca="1"/>
        <v>1.0569825514380422</v>
      </c>
      <c r="X8619" s="2">
        <f ca="1"/>
        <v>36.972186281512201</v>
      </c>
      <c r="AG8619" s="2">
        <f ca="1"/>
        <v>0.15738378711325685</v>
      </c>
      <c r="AH8619" s="2" t="str">
        <f ca="1"/>
        <v>OK</v>
      </c>
    </row>
    <row r="8620" spans="2:34" x14ac:dyDescent="0.2">
      <c r="B8620" s="2">
        <f ca="1"/>
        <v>0.45144361232811492</v>
      </c>
      <c r="O8620" s="2">
        <f ca="1"/>
        <v>-0.34063754861065404</v>
      </c>
      <c r="X8620" s="2">
        <f ca="1"/>
        <v>14.350935569298022</v>
      </c>
      <c r="AG8620" s="2">
        <f ca="1"/>
        <v>0.87392989666859777</v>
      </c>
      <c r="AH8620" s="2" t="str">
        <f ca="1"/>
        <v>Bad</v>
      </c>
    </row>
    <row r="8621" spans="2:34" x14ac:dyDescent="0.2">
      <c r="B8621" s="2">
        <f ca="1"/>
        <v>0.22658297620864021</v>
      </c>
      <c r="O8621" s="2">
        <f ca="1"/>
        <v>0.24751675453397795</v>
      </c>
      <c r="X8621" s="2">
        <f ca="1"/>
        <v>67.949121039505371</v>
      </c>
      <c r="AG8621" s="2">
        <f ca="1"/>
        <v>0.54735766437050581</v>
      </c>
      <c r="AH8621" s="2" t="str">
        <f ca="1"/>
        <v>Bad</v>
      </c>
    </row>
    <row r="8622" spans="2:34" x14ac:dyDescent="0.2">
      <c r="B8622" s="2">
        <f ca="1"/>
        <v>0.11129332499659683</v>
      </c>
      <c r="O8622" s="2">
        <f ca="1"/>
        <v>-0.71941075564006318</v>
      </c>
      <c r="X8622" s="2">
        <f ca="1"/>
        <v>29.317053809237041</v>
      </c>
      <c r="AG8622" s="2">
        <f ca="1"/>
        <v>0.97709565681397703</v>
      </c>
      <c r="AH8622" s="2" t="str">
        <f ca="1"/>
        <v>Bad</v>
      </c>
    </row>
    <row r="8623" spans="2:34" x14ac:dyDescent="0.2">
      <c r="B8623" s="2">
        <f ca="1"/>
        <v>0.60618183436556938</v>
      </c>
      <c r="O8623" s="2">
        <f ca="1"/>
        <v>1.7277576879938012</v>
      </c>
      <c r="X8623" s="2">
        <f ca="1"/>
        <v>47.397517027038788</v>
      </c>
      <c r="AG8623" s="2">
        <f ca="1"/>
        <v>0.12605677428191653</v>
      </c>
      <c r="AH8623" s="2" t="str">
        <f ca="1"/>
        <v>OK</v>
      </c>
    </row>
    <row r="8624" spans="2:34" x14ac:dyDescent="0.2">
      <c r="B8624" s="2">
        <f ca="1"/>
        <v>0.69348805747313391</v>
      </c>
      <c r="O8624" s="2">
        <f ca="1"/>
        <v>0.20741839470598736</v>
      </c>
      <c r="X8624" s="2">
        <f ca="1"/>
        <v>55.243002370343468</v>
      </c>
      <c r="AG8624" s="2">
        <f ca="1"/>
        <v>0.91089400271363252</v>
      </c>
      <c r="AH8624" s="2" t="str">
        <f ca="1"/>
        <v>Bad</v>
      </c>
    </row>
    <row r="8625" spans="2:34" x14ac:dyDescent="0.2">
      <c r="B8625" s="2">
        <f ca="1"/>
        <v>0.8647713495466065</v>
      </c>
      <c r="O8625" s="2">
        <f ca="1"/>
        <v>0.60370587462112613</v>
      </c>
      <c r="X8625" s="2">
        <f ca="1"/>
        <v>46.151494286056604</v>
      </c>
      <c r="AG8625" s="2">
        <f ca="1"/>
        <v>0.87411366863523954</v>
      </c>
      <c r="AH8625" s="2" t="str">
        <f ca="1"/>
        <v>Bad</v>
      </c>
    </row>
    <row r="8626" spans="2:34" x14ac:dyDescent="0.2">
      <c r="B8626" s="2">
        <f ca="1"/>
        <v>5.5432924335808265E-2</v>
      </c>
      <c r="O8626" s="2">
        <f ca="1"/>
        <v>0.62159070702000851</v>
      </c>
      <c r="X8626" s="2">
        <f ca="1"/>
        <v>31.011893718129748</v>
      </c>
      <c r="AG8626" s="2">
        <f ca="1"/>
        <v>0.43892990392121267</v>
      </c>
      <c r="AH8626" s="2" t="str">
        <f ca="1"/>
        <v>Bad</v>
      </c>
    </row>
    <row r="8627" spans="2:34" x14ac:dyDescent="0.2">
      <c r="B8627" s="2">
        <f ca="1"/>
        <v>6.6358007782930883E-2</v>
      </c>
      <c r="O8627" s="2">
        <f ca="1"/>
        <v>-0.34396565742507579</v>
      </c>
      <c r="X8627" s="2">
        <f ca="1"/>
        <v>39.36235608217541</v>
      </c>
      <c r="AG8627" s="2">
        <f ca="1"/>
        <v>0.82989494340053893</v>
      </c>
      <c r="AH8627" s="2" t="str">
        <f ca="1"/>
        <v>Bad</v>
      </c>
    </row>
    <row r="8628" spans="2:34" x14ac:dyDescent="0.2">
      <c r="B8628" s="2">
        <f ca="1"/>
        <v>7.2537894997816377E-2</v>
      </c>
      <c r="O8628" s="2">
        <f ca="1"/>
        <v>0.21120721621948785</v>
      </c>
      <c r="X8628" s="2">
        <f ca="1"/>
        <v>38.816828336313613</v>
      </c>
      <c r="AG8628" s="2">
        <f ca="1"/>
        <v>0.62052840097558115</v>
      </c>
      <c r="AH8628" s="2" t="str">
        <f ca="1"/>
        <v>Bad</v>
      </c>
    </row>
    <row r="8629" spans="2:34" x14ac:dyDescent="0.2">
      <c r="B8629" s="2">
        <f ca="1"/>
        <v>0.21588136579803674</v>
      </c>
      <c r="O8629" s="2">
        <f ca="1"/>
        <v>0.1580287031392518</v>
      </c>
      <c r="X8629" s="2">
        <f ca="1"/>
        <v>53.358403568180613</v>
      </c>
      <c r="AG8629" s="2">
        <f ca="1"/>
        <v>0.54631958330779695</v>
      </c>
      <c r="AH8629" s="2" t="str">
        <f ca="1"/>
        <v>Bad</v>
      </c>
    </row>
    <row r="8630" spans="2:34" x14ac:dyDescent="0.2">
      <c r="B8630" s="2">
        <f ca="1"/>
        <v>0.79139988092874725</v>
      </c>
      <c r="O8630" s="2">
        <f ca="1"/>
        <v>-0.54371033799207913</v>
      </c>
      <c r="X8630" s="2">
        <f ca="1"/>
        <v>26.308046565873219</v>
      </c>
      <c r="AG8630" s="2">
        <f ca="1"/>
        <v>0.39258184500642934</v>
      </c>
      <c r="AH8630" s="2" t="str">
        <f ca="1"/>
        <v>OK</v>
      </c>
    </row>
    <row r="8631" spans="2:34" x14ac:dyDescent="0.2">
      <c r="B8631" s="2">
        <f ca="1"/>
        <v>0.14609759604590611</v>
      </c>
      <c r="O8631" s="2">
        <f ca="1"/>
        <v>-2.9385901712106782E-2</v>
      </c>
      <c r="X8631" s="2">
        <f ca="1"/>
        <v>34.752936458596452</v>
      </c>
      <c r="AG8631" s="2">
        <f ca="1"/>
        <v>0.9460770471793658</v>
      </c>
      <c r="AH8631" s="2" t="str">
        <f ca="1"/>
        <v>Bad</v>
      </c>
    </row>
    <row r="8632" spans="2:34" x14ac:dyDescent="0.2">
      <c r="B8632" s="2">
        <f ca="1"/>
        <v>0.59296164130434237</v>
      </c>
      <c r="O8632" s="2">
        <f ca="1"/>
        <v>0.19332031366578495</v>
      </c>
      <c r="X8632" s="2">
        <f ca="1"/>
        <v>43.643627899218203</v>
      </c>
      <c r="AG8632" s="2">
        <f ca="1"/>
        <v>1.9148820260003419E-2</v>
      </c>
      <c r="AH8632" s="2" t="str">
        <f ca="1"/>
        <v>Good</v>
      </c>
    </row>
    <row r="8633" spans="2:34" x14ac:dyDescent="0.2">
      <c r="B8633" s="2">
        <f ca="1"/>
        <v>0.40500319616868552</v>
      </c>
      <c r="O8633" s="2">
        <f ca="1"/>
        <v>-0.98457609147242031</v>
      </c>
      <c r="X8633" s="2">
        <f ca="1"/>
        <v>103.69764277657148</v>
      </c>
      <c r="AG8633" s="2">
        <f ca="1"/>
        <v>0.84706578686351275</v>
      </c>
      <c r="AH8633" s="2" t="str">
        <f ca="1"/>
        <v>Bad</v>
      </c>
    </row>
    <row r="8634" spans="2:34" x14ac:dyDescent="0.2">
      <c r="B8634" s="2">
        <f ca="1"/>
        <v>0.15313958632645708</v>
      </c>
      <c r="O8634" s="2">
        <f ca="1"/>
        <v>-0.6175663574050998</v>
      </c>
      <c r="X8634" s="2">
        <f ca="1"/>
        <v>46.941919512770014</v>
      </c>
      <c r="AG8634" s="2">
        <f ca="1"/>
        <v>0.25386633365308131</v>
      </c>
      <c r="AH8634" s="2" t="str">
        <f ca="1"/>
        <v>OK</v>
      </c>
    </row>
    <row r="8635" spans="2:34" x14ac:dyDescent="0.2">
      <c r="B8635" s="2">
        <f ca="1"/>
        <v>0.98193270524387155</v>
      </c>
      <c r="O8635" s="2">
        <f ca="1"/>
        <v>-0.59100479683372154</v>
      </c>
      <c r="X8635" s="2">
        <f ca="1"/>
        <v>45.74243689725661</v>
      </c>
      <c r="AG8635" s="2">
        <f ca="1"/>
        <v>0.22853353721050662</v>
      </c>
      <c r="AH8635" s="2" t="str">
        <f ca="1"/>
        <v>OK</v>
      </c>
    </row>
    <row r="8636" spans="2:34" x14ac:dyDescent="0.2">
      <c r="B8636" s="2">
        <f ca="1"/>
        <v>0.84266363879936312</v>
      </c>
      <c r="O8636" s="2">
        <f ca="1"/>
        <v>-0.82326682401412465</v>
      </c>
      <c r="X8636" s="2">
        <f ca="1"/>
        <v>46.241287050395243</v>
      </c>
      <c r="AG8636" s="2">
        <f ca="1"/>
        <v>0.23281024737151967</v>
      </c>
      <c r="AH8636" s="2" t="str">
        <f ca="1"/>
        <v>OK</v>
      </c>
    </row>
    <row r="8637" spans="2:34" x14ac:dyDescent="0.2">
      <c r="B8637" s="2">
        <f ca="1"/>
        <v>0.25142120310848171</v>
      </c>
      <c r="O8637" s="2">
        <f ca="1"/>
        <v>-0.24247853705149863</v>
      </c>
      <c r="X8637" s="2">
        <f ca="1"/>
        <v>82.294800205541577</v>
      </c>
      <c r="AG8637" s="2">
        <f ca="1"/>
        <v>0.16780655157115087</v>
      </c>
      <c r="AH8637" s="2" t="str">
        <f ca="1"/>
        <v>OK</v>
      </c>
    </row>
    <row r="8638" spans="2:34" x14ac:dyDescent="0.2">
      <c r="B8638" s="2">
        <f ca="1"/>
        <v>0.77113555688475111</v>
      </c>
      <c r="O8638" s="2">
        <f ca="1"/>
        <v>-0.28672086847852724</v>
      </c>
      <c r="X8638" s="2">
        <f ca="1"/>
        <v>66.741971676729662</v>
      </c>
      <c r="AG8638" s="2">
        <f ca="1"/>
        <v>0.48265339340333879</v>
      </c>
      <c r="AH8638" s="2" t="str">
        <f ca="1"/>
        <v>Bad</v>
      </c>
    </row>
    <row r="8639" spans="2:34" x14ac:dyDescent="0.2">
      <c r="B8639" s="2">
        <f ca="1"/>
        <v>0.81289559733470473</v>
      </c>
      <c r="O8639" s="2">
        <f ca="1"/>
        <v>0.63680591530716479</v>
      </c>
      <c r="X8639" s="2">
        <f ca="1"/>
        <v>35.327579002105594</v>
      </c>
      <c r="AG8639" s="2">
        <f ca="1"/>
        <v>0.28934296511897162</v>
      </c>
      <c r="AH8639" s="2" t="str">
        <f ca="1"/>
        <v>OK</v>
      </c>
    </row>
    <row r="8640" spans="2:34" x14ac:dyDescent="0.2">
      <c r="B8640" s="2">
        <f ca="1"/>
        <v>0.99138555017440533</v>
      </c>
      <c r="O8640" s="2">
        <f ca="1"/>
        <v>0.64946033211881804</v>
      </c>
      <c r="X8640" s="2">
        <f ca="1"/>
        <v>44.088732797352918</v>
      </c>
      <c r="AG8640" s="2">
        <f ca="1"/>
        <v>0.68058029570448908</v>
      </c>
      <c r="AH8640" s="2" t="str">
        <f ca="1"/>
        <v>Bad</v>
      </c>
    </row>
    <row r="8641" spans="2:34" x14ac:dyDescent="0.2">
      <c r="B8641" s="2">
        <f ca="1"/>
        <v>0.86554968445914149</v>
      </c>
      <c r="O8641" s="2">
        <f ca="1"/>
        <v>0.68866575625627946</v>
      </c>
      <c r="X8641" s="2">
        <f ca="1"/>
        <v>55.918071892243034</v>
      </c>
      <c r="AG8641" s="2">
        <f ca="1"/>
        <v>0.94088517955492024</v>
      </c>
      <c r="AH8641" s="2" t="str">
        <f ca="1"/>
        <v>Bad</v>
      </c>
    </row>
    <row r="8642" spans="2:34" x14ac:dyDescent="0.2">
      <c r="B8642" s="2">
        <f ca="1"/>
        <v>0.25256904779635314</v>
      </c>
      <c r="O8642" s="2">
        <f ca="1"/>
        <v>-0.66039191683917742</v>
      </c>
      <c r="X8642" s="2">
        <f ca="1"/>
        <v>45.079850269595298</v>
      </c>
      <c r="AG8642" s="2">
        <f ca="1"/>
        <v>0.76058431483297495</v>
      </c>
      <c r="AH8642" s="2" t="str">
        <f ca="1"/>
        <v>Bad</v>
      </c>
    </row>
    <row r="8643" spans="2:34" x14ac:dyDescent="0.2">
      <c r="B8643" s="2">
        <f ca="1"/>
        <v>0.30253589892573807</v>
      </c>
      <c r="O8643" s="2">
        <f ca="1"/>
        <v>-0.65214512109703282</v>
      </c>
      <c r="X8643" s="2">
        <f ca="1"/>
        <v>66.152030715834883</v>
      </c>
      <c r="AG8643" s="2">
        <f ca="1"/>
        <v>0.71269389491149604</v>
      </c>
      <c r="AH8643" s="2" t="str">
        <f ca="1"/>
        <v>Bad</v>
      </c>
    </row>
    <row r="8644" spans="2:34" x14ac:dyDescent="0.2">
      <c r="B8644" s="2">
        <f ca="1"/>
        <v>0.65897879733189457</v>
      </c>
      <c r="O8644" s="2">
        <f ca="1"/>
        <v>-0.51444746739881453</v>
      </c>
      <c r="X8644" s="2">
        <f ca="1"/>
        <v>37.600873782734553</v>
      </c>
      <c r="AG8644" s="2">
        <f ca="1"/>
        <v>0.51855911976362656</v>
      </c>
      <c r="AH8644" s="2" t="str">
        <f ca="1"/>
        <v>Bad</v>
      </c>
    </row>
    <row r="8645" spans="2:34" x14ac:dyDescent="0.2">
      <c r="B8645" s="2">
        <f ca="1"/>
        <v>0.18576913997739064</v>
      </c>
      <c r="O8645" s="2">
        <f ca="1"/>
        <v>-1.4808077871088969</v>
      </c>
      <c r="X8645" s="2">
        <f ca="1"/>
        <v>36.579610647270712</v>
      </c>
      <c r="AG8645" s="2">
        <f ca="1"/>
        <v>0.31121289505035366</v>
      </c>
      <c r="AH8645" s="2" t="str">
        <f ca="1"/>
        <v>OK</v>
      </c>
    </row>
    <row r="8646" spans="2:34" x14ac:dyDescent="0.2">
      <c r="B8646" s="2">
        <f ca="1"/>
        <v>0.20814517133842991</v>
      </c>
      <c r="O8646" s="2">
        <f ca="1"/>
        <v>1.033332473909695</v>
      </c>
      <c r="X8646" s="2">
        <f ca="1"/>
        <v>60.85481203077574</v>
      </c>
      <c r="AG8646" s="2">
        <f ca="1"/>
        <v>0.33330463831077051</v>
      </c>
      <c r="AH8646" s="2" t="str">
        <f ca="1"/>
        <v>OK</v>
      </c>
    </row>
    <row r="8647" spans="2:34" x14ac:dyDescent="0.2">
      <c r="B8647" s="2">
        <f ca="1"/>
        <v>0.91629488626331357</v>
      </c>
      <c r="O8647" s="2">
        <f ca="1"/>
        <v>0.22024672027032449</v>
      </c>
      <c r="X8647" s="2">
        <f ca="1"/>
        <v>50.294652352504094</v>
      </c>
      <c r="AG8647" s="2">
        <f ca="1"/>
        <v>0.13155809617690806</v>
      </c>
      <c r="AH8647" s="2" t="str">
        <f ca="1"/>
        <v>OK</v>
      </c>
    </row>
    <row r="8648" spans="2:34" x14ac:dyDescent="0.2">
      <c r="B8648" s="2">
        <f ca="1"/>
        <v>0.75857330185119221</v>
      </c>
      <c r="O8648" s="2">
        <f ca="1"/>
        <v>-0.51307439047457482</v>
      </c>
      <c r="X8648" s="2">
        <f ca="1"/>
        <v>37.127139053545278</v>
      </c>
      <c r="AG8648" s="2">
        <f ca="1"/>
        <v>0.71679708309200652</v>
      </c>
      <c r="AH8648" s="2" t="str">
        <f ca="1"/>
        <v>Bad</v>
      </c>
    </row>
    <row r="8649" spans="2:34" x14ac:dyDescent="0.2">
      <c r="B8649" s="2">
        <f ca="1"/>
        <v>0.17476493096468859</v>
      </c>
      <c r="O8649" s="2">
        <f ca="1"/>
        <v>0.74932075680629162</v>
      </c>
      <c r="X8649" s="2">
        <f ca="1"/>
        <v>40.055782812577547</v>
      </c>
      <c r="AG8649" s="2">
        <f ca="1"/>
        <v>8.3727228556619293E-2</v>
      </c>
      <c r="AH8649" s="2" t="str">
        <f ca="1"/>
        <v>OK</v>
      </c>
    </row>
    <row r="8650" spans="2:34" x14ac:dyDescent="0.2">
      <c r="B8650" s="2">
        <f ca="1"/>
        <v>5.1159253814557326E-2</v>
      </c>
      <c r="O8650" s="2">
        <f ca="1"/>
        <v>-0.83609443776455628</v>
      </c>
      <c r="X8650" s="2">
        <f ca="1"/>
        <v>72.894558132039975</v>
      </c>
      <c r="AG8650" s="2">
        <f ca="1"/>
        <v>0.53405535267360693</v>
      </c>
      <c r="AH8650" s="2" t="str">
        <f ca="1"/>
        <v>Bad</v>
      </c>
    </row>
    <row r="8651" spans="2:34" x14ac:dyDescent="0.2">
      <c r="B8651" s="2">
        <f ca="1"/>
        <v>0.21399577735037889</v>
      </c>
      <c r="O8651" s="2">
        <f ca="1"/>
        <v>-0.22319486768069097</v>
      </c>
      <c r="X8651" s="2">
        <f ca="1"/>
        <v>36.124047947371125</v>
      </c>
      <c r="AG8651" s="2">
        <f ca="1"/>
        <v>1.1634565102824235E-2</v>
      </c>
      <c r="AH8651" s="2" t="str">
        <f ca="1"/>
        <v>Good</v>
      </c>
    </row>
    <row r="8652" spans="2:34" x14ac:dyDescent="0.2">
      <c r="B8652" s="2">
        <f ca="1"/>
        <v>0.83414235578930329</v>
      </c>
      <c r="O8652" s="2">
        <f ca="1"/>
        <v>0.11748916312161038</v>
      </c>
      <c r="X8652" s="2">
        <f ca="1"/>
        <v>48.976831820828238</v>
      </c>
      <c r="AG8652" s="2">
        <f ca="1"/>
        <v>0.97485459164663824</v>
      </c>
      <c r="AH8652" s="2" t="str">
        <f ca="1"/>
        <v>Bad</v>
      </c>
    </row>
    <row r="8653" spans="2:34" x14ac:dyDescent="0.2">
      <c r="B8653" s="2">
        <f ca="1"/>
        <v>7.6409340395673375E-3</v>
      </c>
      <c r="O8653" s="2">
        <f ca="1"/>
        <v>1.0051859478240905</v>
      </c>
      <c r="X8653" s="2">
        <f ca="1"/>
        <v>92.021564435380697</v>
      </c>
      <c r="AG8653" s="2">
        <f ca="1"/>
        <v>0.90653839904498867</v>
      </c>
      <c r="AH8653" s="2" t="str">
        <f ca="1"/>
        <v>Bad</v>
      </c>
    </row>
    <row r="8654" spans="2:34" x14ac:dyDescent="0.2">
      <c r="B8654" s="2">
        <f ca="1"/>
        <v>0.51352203532412233</v>
      </c>
      <c r="O8654" s="2">
        <f ca="1"/>
        <v>-0.89380878792480145</v>
      </c>
      <c r="X8654" s="2">
        <f ca="1"/>
        <v>66.269900859653234</v>
      </c>
      <c r="AG8654" s="2">
        <f ca="1"/>
        <v>0.43662467902651447</v>
      </c>
      <c r="AH8654" s="2" t="str">
        <f ca="1"/>
        <v>Bad</v>
      </c>
    </row>
    <row r="8655" spans="2:34" x14ac:dyDescent="0.2">
      <c r="B8655" s="2">
        <f ca="1"/>
        <v>0.27685589899155105</v>
      </c>
      <c r="O8655" s="2">
        <f ca="1"/>
        <v>-0.75602378424588634</v>
      </c>
      <c r="X8655" s="2">
        <f ca="1"/>
        <v>48.378404674000635</v>
      </c>
      <c r="AG8655" s="2">
        <f ca="1"/>
        <v>0.15022818237547253</v>
      </c>
      <c r="AH8655" s="2" t="str">
        <f ca="1"/>
        <v>OK</v>
      </c>
    </row>
    <row r="8656" spans="2:34" x14ac:dyDescent="0.2">
      <c r="B8656" s="2">
        <f ca="1"/>
        <v>0.76203481675150342</v>
      </c>
      <c r="O8656" s="2">
        <f ca="1"/>
        <v>-1.4134874290037138</v>
      </c>
      <c r="X8656" s="2">
        <f ca="1"/>
        <v>36.711221711537078</v>
      </c>
      <c r="AG8656" s="2">
        <f ca="1"/>
        <v>0.71857824834519812</v>
      </c>
      <c r="AH8656" s="2" t="str">
        <f ca="1"/>
        <v>Bad</v>
      </c>
    </row>
    <row r="8657" spans="2:34" x14ac:dyDescent="0.2">
      <c r="B8657" s="2">
        <f ca="1"/>
        <v>0.4990650865689108</v>
      </c>
      <c r="O8657" s="2">
        <f ca="1"/>
        <v>0.25639994025053836</v>
      </c>
      <c r="X8657" s="2">
        <f ca="1"/>
        <v>33.718560344474724</v>
      </c>
      <c r="AG8657" s="2">
        <f ca="1"/>
        <v>0.54245105615536215</v>
      </c>
      <c r="AH8657" s="2" t="str">
        <f ca="1"/>
        <v>Bad</v>
      </c>
    </row>
    <row r="8658" spans="2:34" x14ac:dyDescent="0.2">
      <c r="B8658" s="2">
        <f ca="1"/>
        <v>0.35467441022732893</v>
      </c>
      <c r="O8658" s="2">
        <f ca="1"/>
        <v>0.4162077669973604</v>
      </c>
      <c r="X8658" s="2">
        <f ca="1"/>
        <v>34.662663109357865</v>
      </c>
      <c r="AG8658" s="2">
        <f ca="1"/>
        <v>0.22498107614541318</v>
      </c>
      <c r="AH8658" s="2" t="str">
        <f ca="1"/>
        <v>OK</v>
      </c>
    </row>
    <row r="8659" spans="2:34" x14ac:dyDescent="0.2">
      <c r="B8659" s="2">
        <f ca="1"/>
        <v>0.37394435783682911</v>
      </c>
      <c r="O8659" s="2">
        <f ca="1"/>
        <v>-0.70188298305844954</v>
      </c>
      <c r="X8659" s="2">
        <f ca="1"/>
        <v>53.893811554975748</v>
      </c>
      <c r="AG8659" s="2">
        <f ca="1"/>
        <v>0.91409334678440635</v>
      </c>
      <c r="AH8659" s="2" t="str">
        <f ca="1"/>
        <v>Bad</v>
      </c>
    </row>
    <row r="8660" spans="2:34" x14ac:dyDescent="0.2">
      <c r="B8660" s="2">
        <f ca="1"/>
        <v>0.97459271069947251</v>
      </c>
      <c r="O8660" s="2">
        <f ca="1"/>
        <v>-0.88288827107468948</v>
      </c>
      <c r="X8660" s="2">
        <f ca="1"/>
        <v>31.420965558760368</v>
      </c>
      <c r="AG8660" s="2">
        <f ca="1"/>
        <v>0.47318266310956214</v>
      </c>
      <c r="AH8660" s="2" t="str">
        <f ca="1"/>
        <v>Bad</v>
      </c>
    </row>
    <row r="8661" spans="2:34" x14ac:dyDescent="0.2">
      <c r="B8661" s="2">
        <f ca="1"/>
        <v>0.5077752792472916</v>
      </c>
      <c r="O8661" s="2">
        <f ca="1"/>
        <v>0.32389540075821216</v>
      </c>
      <c r="X8661" s="2">
        <f ca="1"/>
        <v>26.667056284649767</v>
      </c>
      <c r="AG8661" s="2">
        <f ca="1"/>
        <v>0.46763998546181851</v>
      </c>
      <c r="AH8661" s="2" t="str">
        <f ca="1"/>
        <v>Bad</v>
      </c>
    </row>
    <row r="8662" spans="2:34" x14ac:dyDescent="0.2">
      <c r="B8662" s="2">
        <f ca="1"/>
        <v>0.62412033472973016</v>
      </c>
      <c r="O8662" s="2">
        <f ca="1"/>
        <v>-0.68414993539882474</v>
      </c>
      <c r="X8662" s="2">
        <f ca="1"/>
        <v>68.690191598929118</v>
      </c>
      <c r="AG8662" s="2">
        <f ca="1"/>
        <v>0.60540047646432904</v>
      </c>
      <c r="AH8662" s="2" t="str">
        <f ca="1"/>
        <v>Bad</v>
      </c>
    </row>
    <row r="8663" spans="2:34" x14ac:dyDescent="0.2">
      <c r="B8663" s="2">
        <f ca="1"/>
        <v>0.45124879019509234</v>
      </c>
      <c r="O8663" s="2">
        <f ca="1"/>
        <v>-0.10274271961191189</v>
      </c>
      <c r="X8663" s="2">
        <f ca="1"/>
        <v>66.554909987983621</v>
      </c>
      <c r="AG8663" s="2">
        <f ca="1"/>
        <v>0.44030122561341978</v>
      </c>
      <c r="AH8663" s="2" t="str">
        <f ca="1"/>
        <v>Bad</v>
      </c>
    </row>
    <row r="8664" spans="2:34" x14ac:dyDescent="0.2">
      <c r="B8664" s="2">
        <f ca="1"/>
        <v>0.32609666038581953</v>
      </c>
      <c r="O8664" s="2">
        <f ca="1"/>
        <v>1.3034714846459499</v>
      </c>
      <c r="X8664" s="2">
        <f ca="1"/>
        <v>26.427538523344367</v>
      </c>
      <c r="AG8664" s="2">
        <f ca="1"/>
        <v>0.49620863590846342</v>
      </c>
      <c r="AH8664" s="2" t="str">
        <f ca="1"/>
        <v>Bad</v>
      </c>
    </row>
    <row r="8665" spans="2:34" x14ac:dyDescent="0.2">
      <c r="B8665" s="2">
        <f ca="1"/>
        <v>0.69712209892022847</v>
      </c>
      <c r="O8665" s="2">
        <f ca="1"/>
        <v>-1.0153757159956802</v>
      </c>
      <c r="X8665" s="2">
        <f ca="1"/>
        <v>49.513021712520938</v>
      </c>
      <c r="AG8665" s="2">
        <f ca="1"/>
        <v>5.1278452904567118E-2</v>
      </c>
      <c r="AH8665" s="2" t="str">
        <f ca="1"/>
        <v>OK</v>
      </c>
    </row>
    <row r="8666" spans="2:34" x14ac:dyDescent="0.2">
      <c r="B8666" s="2">
        <f ca="1"/>
        <v>0.75541534428368839</v>
      </c>
      <c r="O8666" s="2">
        <f ca="1"/>
        <v>-0.16727856977008571</v>
      </c>
      <c r="X8666" s="2">
        <f ca="1"/>
        <v>49.326808946200565</v>
      </c>
      <c r="AG8666" s="2">
        <f ca="1"/>
        <v>0.55494270025682457</v>
      </c>
      <c r="AH8666" s="2" t="str">
        <f ca="1"/>
        <v>Bad</v>
      </c>
    </row>
    <row r="8667" spans="2:34" x14ac:dyDescent="0.2">
      <c r="B8667" s="2">
        <f ca="1"/>
        <v>0.3658802677290578</v>
      </c>
      <c r="O8667" s="2">
        <f ca="1"/>
        <v>-0.8207186562380957</v>
      </c>
      <c r="X8667" s="2">
        <f ca="1"/>
        <v>49.976133156287403</v>
      </c>
      <c r="AG8667" s="2">
        <f ca="1"/>
        <v>0.77995263451450336</v>
      </c>
      <c r="AH8667" s="2" t="str">
        <f ca="1"/>
        <v>Bad</v>
      </c>
    </row>
    <row r="8668" spans="2:34" x14ac:dyDescent="0.2">
      <c r="B8668" s="2">
        <f ca="1"/>
        <v>0.25003618347337864</v>
      </c>
      <c r="O8668" s="2">
        <f ca="1"/>
        <v>-0.66903735467990688</v>
      </c>
      <c r="X8668" s="2">
        <f ca="1"/>
        <v>84.544398410070045</v>
      </c>
      <c r="AG8668" s="2">
        <f ca="1"/>
        <v>4.8355082412946171E-2</v>
      </c>
      <c r="AH8668" s="2" t="str">
        <f ca="1"/>
        <v>Good</v>
      </c>
    </row>
    <row r="8669" spans="2:34" x14ac:dyDescent="0.2">
      <c r="B8669" s="2">
        <f ca="1"/>
        <v>0.9910805022741962</v>
      </c>
      <c r="O8669" s="2">
        <f ca="1"/>
        <v>0.58255427993646569</v>
      </c>
      <c r="X8669" s="2">
        <f ca="1"/>
        <v>66.073230667446921</v>
      </c>
      <c r="AG8669" s="2">
        <f ca="1"/>
        <v>0.99707145363162786</v>
      </c>
      <c r="AH8669" s="2" t="str">
        <f ca="1"/>
        <v>Bad</v>
      </c>
    </row>
    <row r="8670" spans="2:34" x14ac:dyDescent="0.2">
      <c r="B8670" s="2">
        <f ca="1"/>
        <v>0.68076130293207515</v>
      </c>
      <c r="O8670" s="2">
        <f ca="1"/>
        <v>0.23569417859565603</v>
      </c>
      <c r="X8670" s="2">
        <f ca="1"/>
        <v>65.819873119663711</v>
      </c>
      <c r="AG8670" s="2">
        <f ca="1"/>
        <v>0.50384848629589407</v>
      </c>
      <c r="AH8670" s="2" t="str">
        <f ca="1"/>
        <v>Bad</v>
      </c>
    </row>
    <row r="8671" spans="2:34" x14ac:dyDescent="0.2">
      <c r="B8671" s="2">
        <f ca="1"/>
        <v>0.59888217456066783</v>
      </c>
      <c r="O8671" s="2">
        <f ca="1"/>
        <v>0.54728651990422861</v>
      </c>
      <c r="X8671" s="2">
        <f ca="1"/>
        <v>52.194516221977388</v>
      </c>
      <c r="AG8671" s="2">
        <f ca="1"/>
        <v>0.87019006013030697</v>
      </c>
      <c r="AH8671" s="2" t="str">
        <f ca="1"/>
        <v>Bad</v>
      </c>
    </row>
    <row r="8672" spans="2:34" x14ac:dyDescent="0.2">
      <c r="B8672" s="2">
        <f ca="1"/>
        <v>0.92489555323187989</v>
      </c>
      <c r="O8672" s="2">
        <f ca="1"/>
        <v>0.55950325632506936</v>
      </c>
      <c r="X8672" s="2">
        <f ca="1"/>
        <v>40.439540255769188</v>
      </c>
      <c r="AG8672" s="2">
        <f ca="1"/>
        <v>0.65674033189604009</v>
      </c>
      <c r="AH8672" s="2" t="str">
        <f ca="1"/>
        <v>Bad</v>
      </c>
    </row>
    <row r="8673" spans="2:34" x14ac:dyDescent="0.2">
      <c r="B8673" s="2">
        <f ca="1"/>
        <v>0.53024571339903992</v>
      </c>
      <c r="O8673" s="2">
        <f ca="1"/>
        <v>-1.4626181826133593</v>
      </c>
      <c r="X8673" s="2">
        <f ca="1"/>
        <v>42.554764650903437</v>
      </c>
      <c r="AG8673" s="2">
        <f ca="1"/>
        <v>0.49249826873259894</v>
      </c>
      <c r="AH8673" s="2" t="str">
        <f ca="1"/>
        <v>Bad</v>
      </c>
    </row>
    <row r="8674" spans="2:34" x14ac:dyDescent="0.2">
      <c r="B8674" s="2">
        <f ca="1"/>
        <v>4.3333881217486603E-2</v>
      </c>
      <c r="O8674" s="2">
        <f ca="1"/>
        <v>-1.9355291348839962</v>
      </c>
      <c r="X8674" s="2">
        <f ca="1"/>
        <v>77.403994240172381</v>
      </c>
      <c r="AG8674" s="2">
        <f ca="1"/>
        <v>0.49281072709852936</v>
      </c>
      <c r="AH8674" s="2" t="str">
        <f ca="1"/>
        <v>Bad</v>
      </c>
    </row>
    <row r="8675" spans="2:34" x14ac:dyDescent="0.2">
      <c r="B8675" s="2">
        <f ca="1"/>
        <v>0.78657109903412659</v>
      </c>
      <c r="O8675" s="2">
        <f ca="1"/>
        <v>1.2490868371259916</v>
      </c>
      <c r="X8675" s="2">
        <f ca="1"/>
        <v>27.992814687923122</v>
      </c>
      <c r="AG8675" s="2">
        <f ca="1"/>
        <v>0.40951297527466668</v>
      </c>
      <c r="AH8675" s="2" t="str">
        <f ca="1"/>
        <v>Bad</v>
      </c>
    </row>
    <row r="8676" spans="2:34" x14ac:dyDescent="0.2">
      <c r="B8676" s="2">
        <f ca="1"/>
        <v>0.27970742584026653</v>
      </c>
      <c r="O8676" s="2">
        <f ca="1"/>
        <v>-2.3327525951990968</v>
      </c>
      <c r="X8676" s="2">
        <f ca="1"/>
        <v>28.822193811964354</v>
      </c>
      <c r="AG8676" s="2">
        <f ca="1"/>
        <v>0.53404313023098293</v>
      </c>
      <c r="AH8676" s="2" t="str">
        <f ca="1"/>
        <v>Bad</v>
      </c>
    </row>
    <row r="8677" spans="2:34" x14ac:dyDescent="0.2">
      <c r="B8677" s="2">
        <f ca="1"/>
        <v>0.4820523185899579</v>
      </c>
      <c r="O8677" s="2">
        <f ca="1"/>
        <v>0.31836578666577764</v>
      </c>
      <c r="X8677" s="2">
        <f ca="1"/>
        <v>91.165281674460218</v>
      </c>
      <c r="AG8677" s="2">
        <f ca="1"/>
        <v>0.94781588397764738</v>
      </c>
      <c r="AH8677" s="2" t="str">
        <f ca="1"/>
        <v>Bad</v>
      </c>
    </row>
    <row r="8678" spans="2:34" x14ac:dyDescent="0.2">
      <c r="B8678" s="2">
        <f ca="1"/>
        <v>0.31525366251792097</v>
      </c>
      <c r="O8678" s="2">
        <f ca="1"/>
        <v>4.1903892065351153E-2</v>
      </c>
      <c r="X8678" s="2">
        <f ca="1"/>
        <v>59.767564655275862</v>
      </c>
      <c r="AG8678" s="2">
        <f ca="1"/>
        <v>0.79337998281553745</v>
      </c>
      <c r="AH8678" s="2" t="str">
        <f ca="1"/>
        <v>Bad</v>
      </c>
    </row>
    <row r="8679" spans="2:34" x14ac:dyDescent="0.2">
      <c r="B8679" s="2">
        <f ca="1"/>
        <v>0.30583771420609374</v>
      </c>
      <c r="O8679" s="2">
        <f ca="1"/>
        <v>-0.87748822416930616</v>
      </c>
      <c r="X8679" s="2">
        <f ca="1"/>
        <v>52.829040986121697</v>
      </c>
      <c r="AG8679" s="2">
        <f ca="1"/>
        <v>0.35450834887803628</v>
      </c>
      <c r="AH8679" s="2" t="str">
        <f ca="1"/>
        <v>OK</v>
      </c>
    </row>
    <row r="8680" spans="2:34" x14ac:dyDescent="0.2">
      <c r="B8680" s="2">
        <f ca="1"/>
        <v>0.78181708165954777</v>
      </c>
      <c r="O8680" s="2">
        <f ca="1"/>
        <v>-2.7367449457985145E-2</v>
      </c>
      <c r="X8680" s="2">
        <f ca="1"/>
        <v>74.43539221255088</v>
      </c>
      <c r="AG8680" s="2">
        <f ca="1"/>
        <v>0.64736783322402469</v>
      </c>
      <c r="AH8680" s="2" t="str">
        <f ca="1"/>
        <v>Bad</v>
      </c>
    </row>
    <row r="8681" spans="2:34" x14ac:dyDescent="0.2">
      <c r="B8681" s="2">
        <f ca="1"/>
        <v>0.73014151049016207</v>
      </c>
      <c r="O8681" s="2">
        <f ca="1"/>
        <v>0.66175967222702914</v>
      </c>
      <c r="X8681" s="2">
        <f ca="1"/>
        <v>47.688935955666025</v>
      </c>
      <c r="AG8681" s="2">
        <f ca="1"/>
        <v>0.63362051380458051</v>
      </c>
      <c r="AH8681" s="2" t="str">
        <f ca="1"/>
        <v>Bad</v>
      </c>
    </row>
    <row r="8682" spans="2:34" x14ac:dyDescent="0.2">
      <c r="B8682" s="2">
        <f ca="1"/>
        <v>0.28684601407368882</v>
      </c>
      <c r="O8682" s="2">
        <f ca="1"/>
        <v>1.5201598197599584</v>
      </c>
      <c r="X8682" s="2">
        <f ca="1"/>
        <v>39.692754467312021</v>
      </c>
      <c r="AG8682" s="2">
        <f ca="1"/>
        <v>0.51628770840033233</v>
      </c>
      <c r="AH8682" s="2" t="str">
        <f ca="1"/>
        <v>Bad</v>
      </c>
    </row>
    <row r="8683" spans="2:34" x14ac:dyDescent="0.2">
      <c r="B8683" s="2">
        <f ca="1"/>
        <v>0.67884441547318297</v>
      </c>
      <c r="O8683" s="2">
        <f ca="1"/>
        <v>0.72102395783199191</v>
      </c>
      <c r="X8683" s="2">
        <f ca="1"/>
        <v>41.287549895288677</v>
      </c>
      <c r="AG8683" s="2">
        <f ca="1"/>
        <v>0.7302523115665871</v>
      </c>
      <c r="AH8683" s="2" t="str">
        <f ca="1"/>
        <v>Bad</v>
      </c>
    </row>
    <row r="8684" spans="2:34" x14ac:dyDescent="0.2">
      <c r="B8684" s="2">
        <f ca="1"/>
        <v>3.9309598022254866E-2</v>
      </c>
      <c r="O8684" s="2">
        <f ca="1"/>
        <v>-0.86317858363916788</v>
      </c>
      <c r="X8684" s="2">
        <f ca="1"/>
        <v>29.086595107192622</v>
      </c>
      <c r="AG8684" s="2">
        <f ca="1"/>
        <v>0.4166416554006116</v>
      </c>
      <c r="AH8684" s="2" t="str">
        <f ca="1"/>
        <v>Bad</v>
      </c>
    </row>
    <row r="8685" spans="2:34" x14ac:dyDescent="0.2">
      <c r="B8685" s="2">
        <f ca="1"/>
        <v>0.35145918197290071</v>
      </c>
      <c r="O8685" s="2">
        <f ca="1"/>
        <v>0.51034401202338076</v>
      </c>
      <c r="X8685" s="2">
        <f ca="1"/>
        <v>66.414787026157754</v>
      </c>
      <c r="AG8685" s="2">
        <f ca="1"/>
        <v>0.8515488860917193</v>
      </c>
      <c r="AH8685" s="2" t="str">
        <f ca="1"/>
        <v>Bad</v>
      </c>
    </row>
    <row r="8686" spans="2:34" x14ac:dyDescent="0.2">
      <c r="B8686" s="2">
        <f ca="1"/>
        <v>0.38890159308056504</v>
      </c>
      <c r="O8686" s="2">
        <f ca="1"/>
        <v>0.43949284107854464</v>
      </c>
      <c r="X8686" s="2">
        <f ca="1"/>
        <v>86.279104821345399</v>
      </c>
      <c r="AG8686" s="2">
        <f ca="1"/>
        <v>0.42517393338096454</v>
      </c>
      <c r="AH8686" s="2" t="str">
        <f ca="1"/>
        <v>Bad</v>
      </c>
    </row>
    <row r="8687" spans="2:34" x14ac:dyDescent="0.2">
      <c r="B8687" s="2">
        <f ca="1"/>
        <v>0.80711943029053668</v>
      </c>
      <c r="O8687" s="2">
        <f ca="1"/>
        <v>0.75080706667996699</v>
      </c>
      <c r="X8687" s="2">
        <f ca="1"/>
        <v>52.247462592531221</v>
      </c>
      <c r="AG8687" s="2">
        <f ca="1"/>
        <v>0.24387238386217946</v>
      </c>
      <c r="AH8687" s="2" t="str">
        <f ca="1"/>
        <v>OK</v>
      </c>
    </row>
    <row r="8688" spans="2:34" x14ac:dyDescent="0.2">
      <c r="B8688" s="2">
        <f ca="1"/>
        <v>0.62956540010819606</v>
      </c>
      <c r="O8688" s="2">
        <f ca="1"/>
        <v>0.14846590202157159</v>
      </c>
      <c r="X8688" s="2">
        <f ca="1"/>
        <v>89.245707861990354</v>
      </c>
      <c r="AG8688" s="2">
        <f ca="1"/>
        <v>0.32943028060039814</v>
      </c>
      <c r="AH8688" s="2" t="str">
        <f ca="1"/>
        <v>OK</v>
      </c>
    </row>
    <row r="8689" spans="2:34" x14ac:dyDescent="0.2">
      <c r="B8689" s="2">
        <f ca="1"/>
        <v>0.23241297242554548</v>
      </c>
      <c r="O8689" s="2">
        <f ca="1"/>
        <v>1.217758280285739</v>
      </c>
      <c r="X8689" s="2">
        <f ca="1"/>
        <v>57.437323137459764</v>
      </c>
      <c r="AG8689" s="2">
        <f ca="1"/>
        <v>0.26932093918777023</v>
      </c>
      <c r="AH8689" s="2" t="str">
        <f ca="1"/>
        <v>OK</v>
      </c>
    </row>
    <row r="8690" spans="2:34" x14ac:dyDescent="0.2">
      <c r="B8690" s="2">
        <f ca="1"/>
        <v>0.52151873187627018</v>
      </c>
      <c r="O8690" s="2">
        <f ca="1"/>
        <v>-8.3725857325248287E-2</v>
      </c>
      <c r="X8690" s="2">
        <f ca="1"/>
        <v>51.465845149224876</v>
      </c>
      <c r="AG8690" s="2">
        <f ca="1"/>
        <v>0.47481416581017655</v>
      </c>
      <c r="AH8690" s="2" t="str">
        <f ca="1"/>
        <v>Bad</v>
      </c>
    </row>
    <row r="8691" spans="2:34" x14ac:dyDescent="0.2">
      <c r="B8691" s="2">
        <f ca="1"/>
        <v>0.13375373969140458</v>
      </c>
      <c r="O8691" s="2">
        <f ca="1"/>
        <v>1.1745710848471553</v>
      </c>
      <c r="X8691" s="2">
        <f ca="1"/>
        <v>63.631562657973618</v>
      </c>
      <c r="AG8691" s="2">
        <f ca="1"/>
        <v>0.38704845416084988</v>
      </c>
      <c r="AH8691" s="2" t="str">
        <f ca="1"/>
        <v>OK</v>
      </c>
    </row>
    <row r="8692" spans="2:34" x14ac:dyDescent="0.2">
      <c r="B8692" s="2">
        <f ca="1"/>
        <v>0.39758658422907334</v>
      </c>
      <c r="O8692" s="2">
        <f ca="1"/>
        <v>0.46460540463429323</v>
      </c>
      <c r="X8692" s="2">
        <f ca="1"/>
        <v>50.713401481681885</v>
      </c>
      <c r="AG8692" s="2">
        <f ca="1"/>
        <v>0.64887221659583338</v>
      </c>
      <c r="AH8692" s="2" t="str">
        <f ca="1"/>
        <v>Bad</v>
      </c>
    </row>
    <row r="8693" spans="2:34" x14ac:dyDescent="0.2">
      <c r="B8693" s="2">
        <f ca="1"/>
        <v>0.36935890865368148</v>
      </c>
      <c r="O8693" s="2">
        <f ca="1"/>
        <v>-2.2176758021010148</v>
      </c>
      <c r="X8693" s="2">
        <f ca="1"/>
        <v>33.431801081098776</v>
      </c>
      <c r="AG8693" s="2">
        <f ca="1"/>
        <v>0.40511991270195447</v>
      </c>
      <c r="AH8693" s="2" t="str">
        <f ca="1"/>
        <v>Bad</v>
      </c>
    </row>
    <row r="8694" spans="2:34" x14ac:dyDescent="0.2">
      <c r="B8694" s="2">
        <f ca="1"/>
        <v>0.9227926748978672</v>
      </c>
      <c r="O8694" s="2">
        <f ca="1"/>
        <v>-0.7005484712029032</v>
      </c>
      <c r="X8694" s="2">
        <f ca="1"/>
        <v>36.371058882532907</v>
      </c>
      <c r="AG8694" s="2">
        <f ca="1"/>
        <v>0.93512041000113255</v>
      </c>
      <c r="AH8694" s="2" t="str">
        <f ca="1"/>
        <v>Bad</v>
      </c>
    </row>
    <row r="8695" spans="2:34" x14ac:dyDescent="0.2">
      <c r="B8695" s="2">
        <f ca="1"/>
        <v>0.68563975201476834</v>
      </c>
      <c r="O8695" s="2">
        <f ca="1"/>
        <v>0.91918191680835915</v>
      </c>
      <c r="X8695" s="2">
        <f ca="1"/>
        <v>62.183312565174766</v>
      </c>
      <c r="AG8695" s="2">
        <f ca="1"/>
        <v>0.98631531094639135</v>
      </c>
      <c r="AH8695" s="2" t="str">
        <f ca="1"/>
        <v>Bad</v>
      </c>
    </row>
    <row r="8696" spans="2:34" x14ac:dyDescent="0.2">
      <c r="B8696" s="2">
        <f ca="1"/>
        <v>0.13610844946999912</v>
      </c>
      <c r="O8696" s="2">
        <f ca="1"/>
        <v>-0.7539944793642207</v>
      </c>
      <c r="X8696" s="2">
        <f ca="1"/>
        <v>32.823961884211663</v>
      </c>
      <c r="AG8696" s="2">
        <f ca="1"/>
        <v>0.5205893796056198</v>
      </c>
      <c r="AH8696" s="2" t="str">
        <f ca="1"/>
        <v>Bad</v>
      </c>
    </row>
    <row r="8697" spans="2:34" x14ac:dyDescent="0.2">
      <c r="B8697" s="2">
        <f ca="1"/>
        <v>0.22564559781925175</v>
      </c>
      <c r="O8697" s="2">
        <f ca="1"/>
        <v>-1.6807017738001464</v>
      </c>
      <c r="X8697" s="2">
        <f ca="1"/>
        <v>63.644016472694204</v>
      </c>
      <c r="AG8697" s="2">
        <f ca="1"/>
        <v>0.65861059745033712</v>
      </c>
      <c r="AH8697" s="2" t="str">
        <f ca="1"/>
        <v>Bad</v>
      </c>
    </row>
    <row r="8698" spans="2:34" x14ac:dyDescent="0.2">
      <c r="B8698" s="2">
        <f ca="1"/>
        <v>0.77918207785937432</v>
      </c>
      <c r="O8698" s="2">
        <f ca="1"/>
        <v>-1.0221593638775788</v>
      </c>
      <c r="X8698" s="2">
        <f ca="1"/>
        <v>34.89981990828413</v>
      </c>
      <c r="AG8698" s="2">
        <f ca="1"/>
        <v>0.17452984800817983</v>
      </c>
      <c r="AH8698" s="2" t="str">
        <f ca="1"/>
        <v>OK</v>
      </c>
    </row>
    <row r="8699" spans="2:34" x14ac:dyDescent="0.2">
      <c r="B8699" s="2">
        <f ca="1"/>
        <v>0.44591414965481646</v>
      </c>
      <c r="O8699" s="2">
        <f ca="1"/>
        <v>3.3073454554367304E-2</v>
      </c>
      <c r="X8699" s="2">
        <f ca="1"/>
        <v>76.64402025746169</v>
      </c>
      <c r="AG8699" s="2">
        <f ca="1"/>
        <v>0.422322058530334</v>
      </c>
      <c r="AH8699" s="2" t="str">
        <f ca="1"/>
        <v>Bad</v>
      </c>
    </row>
    <row r="8700" spans="2:34" x14ac:dyDescent="0.2">
      <c r="B8700" s="2">
        <f ca="1"/>
        <v>0.23858211003451579</v>
      </c>
      <c r="O8700" s="2">
        <f ca="1"/>
        <v>0.19551866627986694</v>
      </c>
      <c r="X8700" s="2">
        <f ca="1"/>
        <v>31.687351908315648</v>
      </c>
      <c r="AG8700" s="2">
        <f ca="1"/>
        <v>0.26680889591917434</v>
      </c>
      <c r="AH8700" s="2" t="str">
        <f ca="1"/>
        <v>OK</v>
      </c>
    </row>
    <row r="8701" spans="2:34" x14ac:dyDescent="0.2">
      <c r="B8701" s="2">
        <f ca="1"/>
        <v>1.6579475624503459E-2</v>
      </c>
      <c r="O8701" s="2">
        <f ca="1"/>
        <v>0.4569607972103803</v>
      </c>
      <c r="X8701" s="2">
        <f ca="1"/>
        <v>41.170878071018848</v>
      </c>
      <c r="AG8701" s="2">
        <f ca="1"/>
        <v>0.38589206094233131</v>
      </c>
      <c r="AH8701" s="2" t="str">
        <f ca="1"/>
        <v>OK</v>
      </c>
    </row>
    <row r="8702" spans="2:34" x14ac:dyDescent="0.2">
      <c r="B8702" s="2">
        <f ca="1"/>
        <v>0.89620309866066927</v>
      </c>
      <c r="O8702" s="2">
        <f ca="1"/>
        <v>-0.79283085572211864</v>
      </c>
      <c r="X8702" s="2">
        <f ca="1"/>
        <v>47.350960525085306</v>
      </c>
      <c r="AG8702" s="2">
        <f ca="1"/>
        <v>0.85137864265630525</v>
      </c>
      <c r="AH8702" s="2" t="str">
        <f ca="1"/>
        <v>Bad</v>
      </c>
    </row>
    <row r="8703" spans="2:34" x14ac:dyDescent="0.2">
      <c r="B8703" s="2">
        <f ca="1"/>
        <v>0.35891568180782496</v>
      </c>
      <c r="O8703" s="2">
        <f ca="1"/>
        <v>0.90862456327860008</v>
      </c>
      <c r="X8703" s="2">
        <f ca="1"/>
        <v>52.234185454503105</v>
      </c>
      <c r="AG8703" s="2">
        <f ca="1"/>
        <v>7.1804854358374692E-2</v>
      </c>
      <c r="AH8703" s="2" t="str">
        <f ca="1"/>
        <v>OK</v>
      </c>
    </row>
    <row r="8704" spans="2:34" x14ac:dyDescent="0.2">
      <c r="B8704" s="2">
        <f ca="1"/>
        <v>0.32314012208910459</v>
      </c>
      <c r="O8704" s="2">
        <f ca="1"/>
        <v>-0.56464303781305114</v>
      </c>
      <c r="X8704" s="2">
        <f ca="1"/>
        <v>38.997120266338165</v>
      </c>
      <c r="AG8704" s="2">
        <f ca="1"/>
        <v>0.95172972020833169</v>
      </c>
      <c r="AH8704" s="2" t="str">
        <f ca="1"/>
        <v>Bad</v>
      </c>
    </row>
    <row r="8705" spans="2:34" x14ac:dyDescent="0.2">
      <c r="B8705" s="2">
        <f ca="1"/>
        <v>0.86515965730479039</v>
      </c>
      <c r="O8705" s="2">
        <f ca="1"/>
        <v>-0.87106322757642785</v>
      </c>
      <c r="X8705" s="2">
        <f ca="1"/>
        <v>43.825614504836935</v>
      </c>
      <c r="AG8705" s="2">
        <f ca="1"/>
        <v>0.60675744378000807</v>
      </c>
      <c r="AH8705" s="2" t="str">
        <f ca="1"/>
        <v>Bad</v>
      </c>
    </row>
    <row r="8706" spans="2:34" x14ac:dyDescent="0.2">
      <c r="B8706" s="2">
        <f ca="1"/>
        <v>0.53827124832590401</v>
      </c>
      <c r="O8706" s="2">
        <f ca="1"/>
        <v>-1.3380987337963195</v>
      </c>
      <c r="X8706" s="2">
        <f ca="1"/>
        <v>44.630149453256792</v>
      </c>
      <c r="AG8706" s="2">
        <f ca="1"/>
        <v>0.70050786655401054</v>
      </c>
      <c r="AH8706" s="2" t="str">
        <f ca="1"/>
        <v>Bad</v>
      </c>
    </row>
    <row r="8707" spans="2:34" x14ac:dyDescent="0.2">
      <c r="B8707" s="2">
        <f ca="1"/>
        <v>0.65514993253356657</v>
      </c>
      <c r="O8707" s="2">
        <f ca="1"/>
        <v>1.9595618058724706</v>
      </c>
      <c r="X8707" s="2">
        <f ca="1"/>
        <v>46.336260065705439</v>
      </c>
      <c r="AG8707" s="2">
        <f ca="1"/>
        <v>0.64862830035375141</v>
      </c>
      <c r="AH8707" s="2" t="str">
        <f ca="1"/>
        <v>Bad</v>
      </c>
    </row>
    <row r="8708" spans="2:34" x14ac:dyDescent="0.2">
      <c r="B8708" s="2">
        <f ca="1"/>
        <v>0.63429361416866614</v>
      </c>
      <c r="O8708" s="2">
        <f ca="1"/>
        <v>-1.2626189469588192E-2</v>
      </c>
      <c r="X8708" s="2">
        <f ca="1"/>
        <v>43.263559578338374</v>
      </c>
      <c r="AG8708" s="2">
        <f ca="1"/>
        <v>0.35468531000500203</v>
      </c>
      <c r="AH8708" s="2" t="str">
        <f ca="1"/>
        <v>OK</v>
      </c>
    </row>
    <row r="8709" spans="2:34" x14ac:dyDescent="0.2">
      <c r="B8709" s="2">
        <f ca="1"/>
        <v>0.83248946532122381</v>
      </c>
      <c r="O8709" s="2">
        <f ca="1"/>
        <v>-0.39510576748744314</v>
      </c>
      <c r="X8709" s="2">
        <f ca="1"/>
        <v>71.554020450720884</v>
      </c>
      <c r="AG8709" s="2">
        <f ca="1"/>
        <v>0.94927061984556782</v>
      </c>
      <c r="AH8709" s="2" t="str">
        <f ca="1"/>
        <v>Bad</v>
      </c>
    </row>
    <row r="8710" spans="2:34" x14ac:dyDescent="0.2">
      <c r="B8710" s="2">
        <f ca="1"/>
        <v>0.73731265387437084</v>
      </c>
      <c r="O8710" s="2">
        <f ca="1"/>
        <v>-0.58241195441296589</v>
      </c>
      <c r="X8710" s="2">
        <f ca="1"/>
        <v>43.144077139545367</v>
      </c>
      <c r="AG8710" s="2">
        <f ca="1"/>
        <v>0.12250965087608434</v>
      </c>
      <c r="AH8710" s="2" t="str">
        <f ca="1"/>
        <v>OK</v>
      </c>
    </row>
    <row r="8711" spans="2:34" x14ac:dyDescent="0.2">
      <c r="B8711" s="2">
        <f ca="1"/>
        <v>0.8749557938572794</v>
      </c>
      <c r="O8711" s="2">
        <f ca="1"/>
        <v>-1.2851055788989252</v>
      </c>
      <c r="X8711" s="2">
        <f ca="1"/>
        <v>23.810983174788799</v>
      </c>
      <c r="AG8711" s="2">
        <f ca="1"/>
        <v>0.33222741147367119</v>
      </c>
      <c r="AH8711" s="2" t="str">
        <f ca="1"/>
        <v>OK</v>
      </c>
    </row>
    <row r="8712" spans="2:34" x14ac:dyDescent="0.2">
      <c r="B8712" s="2">
        <f ca="1"/>
        <v>1.0773756346263985E-2</v>
      </c>
      <c r="O8712" s="2">
        <f ca="1"/>
        <v>-1.2769016939415894</v>
      </c>
      <c r="X8712" s="2">
        <f ca="1"/>
        <v>49.564783213669031</v>
      </c>
      <c r="AG8712" s="2">
        <f ca="1"/>
        <v>0.36165990899436373</v>
      </c>
      <c r="AH8712" s="2" t="str">
        <f ca="1"/>
        <v>OK</v>
      </c>
    </row>
    <row r="8713" spans="2:34" x14ac:dyDescent="0.2">
      <c r="B8713" s="2">
        <f ca="1"/>
        <v>0.10536073004982183</v>
      </c>
      <c r="O8713" s="2">
        <f ca="1"/>
        <v>-0.53799122484136164</v>
      </c>
      <c r="X8713" s="2">
        <f ca="1"/>
        <v>37.550853295271423</v>
      </c>
      <c r="AG8713" s="2">
        <f ca="1"/>
        <v>9.8357689773966639E-2</v>
      </c>
      <c r="AH8713" s="2" t="str">
        <f ca="1"/>
        <v>OK</v>
      </c>
    </row>
    <row r="8714" spans="2:34" x14ac:dyDescent="0.2">
      <c r="B8714" s="2">
        <f ca="1"/>
        <v>0.16799138684080872</v>
      </c>
      <c r="O8714" s="2">
        <f ca="1"/>
        <v>0.65559014466619558</v>
      </c>
      <c r="X8714" s="2">
        <f ca="1"/>
        <v>44.695316489296857</v>
      </c>
      <c r="AG8714" s="2">
        <f ca="1"/>
        <v>0.48849990084393213</v>
      </c>
      <c r="AH8714" s="2" t="str">
        <f ca="1"/>
        <v>Bad</v>
      </c>
    </row>
    <row r="8715" spans="2:34" x14ac:dyDescent="0.2">
      <c r="B8715" s="2">
        <f ca="1"/>
        <v>0.7470211518182992</v>
      </c>
      <c r="O8715" s="2">
        <f ca="1"/>
        <v>-1.191230131258243</v>
      </c>
      <c r="X8715" s="2">
        <f ca="1"/>
        <v>45.586051533266897</v>
      </c>
      <c r="AG8715" s="2">
        <f ca="1"/>
        <v>0.43259325820699068</v>
      </c>
      <c r="AH8715" s="2" t="str">
        <f ca="1"/>
        <v>Bad</v>
      </c>
    </row>
    <row r="8716" spans="2:34" x14ac:dyDescent="0.2">
      <c r="B8716" s="2">
        <f ca="1"/>
        <v>0.81342239342649902</v>
      </c>
      <c r="O8716" s="2">
        <f ca="1"/>
        <v>0.86990412396764516</v>
      </c>
      <c r="X8716" s="2">
        <f ca="1"/>
        <v>47.142360072392208</v>
      </c>
      <c r="AG8716" s="2">
        <f ca="1"/>
        <v>0.41805599496124901</v>
      </c>
      <c r="AH8716" s="2" t="str">
        <f ca="1"/>
        <v>Bad</v>
      </c>
    </row>
    <row r="8717" spans="2:34" x14ac:dyDescent="0.2">
      <c r="B8717" s="2">
        <f ca="1"/>
        <v>0.79801655132203519</v>
      </c>
      <c r="O8717" s="2">
        <f ca="1"/>
        <v>1.0794084236578712</v>
      </c>
      <c r="X8717" s="2">
        <f ca="1"/>
        <v>46.210758777921114</v>
      </c>
      <c r="AG8717" s="2">
        <f ca="1"/>
        <v>0.20998426756197697</v>
      </c>
      <c r="AH8717" s="2" t="str">
        <f ca="1"/>
        <v>OK</v>
      </c>
    </row>
    <row r="8718" spans="2:34" x14ac:dyDescent="0.2">
      <c r="B8718" s="2">
        <f ca="1"/>
        <v>0.41528784964760335</v>
      </c>
      <c r="O8718" s="2">
        <f ca="1"/>
        <v>2.0183717380541322</v>
      </c>
      <c r="X8718" s="2">
        <f ca="1"/>
        <v>47.484581105934744</v>
      </c>
      <c r="AG8718" s="2">
        <f ca="1"/>
        <v>0.92734195305864819</v>
      </c>
      <c r="AH8718" s="2" t="str">
        <f ca="1"/>
        <v>Bad</v>
      </c>
    </row>
    <row r="8719" spans="2:34" x14ac:dyDescent="0.2">
      <c r="B8719" s="2">
        <f ca="1"/>
        <v>8.5657063227728258E-2</v>
      </c>
      <c r="O8719" s="2">
        <f ca="1"/>
        <v>0.77759908168664704</v>
      </c>
      <c r="X8719" s="2">
        <f ca="1"/>
        <v>32.086739547552916</v>
      </c>
      <c r="AG8719" s="2">
        <f ca="1"/>
        <v>0.73723417098703914</v>
      </c>
      <c r="AH8719" s="2" t="str">
        <f ca="1"/>
        <v>Bad</v>
      </c>
    </row>
    <row r="8720" spans="2:34" x14ac:dyDescent="0.2">
      <c r="B8720" s="2">
        <f ca="1"/>
        <v>4.1275768516185529E-2</v>
      </c>
      <c r="O8720" s="2">
        <f ca="1"/>
        <v>-0.36145336551034035</v>
      </c>
      <c r="X8720" s="2">
        <f ca="1"/>
        <v>40.18886320809429</v>
      </c>
      <c r="AG8720" s="2">
        <f ca="1"/>
        <v>0.19961117608021017</v>
      </c>
      <c r="AH8720" s="2" t="str">
        <f ca="1"/>
        <v>OK</v>
      </c>
    </row>
    <row r="8721" spans="2:34" x14ac:dyDescent="0.2">
      <c r="B8721" s="2">
        <f ca="1"/>
        <v>0.28569700442484725</v>
      </c>
      <c r="O8721" s="2">
        <f ca="1"/>
        <v>-0.82058142473093998</v>
      </c>
      <c r="X8721" s="2">
        <f ca="1"/>
        <v>48.18291989086535</v>
      </c>
      <c r="AG8721" s="2">
        <f ca="1"/>
        <v>0.22285399345486345</v>
      </c>
      <c r="AH8721" s="2" t="str">
        <f ca="1"/>
        <v>OK</v>
      </c>
    </row>
    <row r="8722" spans="2:34" x14ac:dyDescent="0.2">
      <c r="B8722" s="2">
        <f ca="1"/>
        <v>0.82764996297939675</v>
      </c>
      <c r="O8722" s="2">
        <f ca="1"/>
        <v>-6.1330314547092847E-2</v>
      </c>
      <c r="X8722" s="2">
        <f ca="1"/>
        <v>56.392570832286857</v>
      </c>
      <c r="AG8722" s="2">
        <f ca="1"/>
        <v>0.43439620569388881</v>
      </c>
      <c r="AH8722" s="2" t="str">
        <f ca="1"/>
        <v>Bad</v>
      </c>
    </row>
    <row r="8723" spans="2:34" x14ac:dyDescent="0.2">
      <c r="B8723" s="2">
        <f ca="1"/>
        <v>0.16856815384791468</v>
      </c>
      <c r="O8723" s="2">
        <f ca="1"/>
        <v>0.5409202768925504</v>
      </c>
      <c r="X8723" s="2">
        <f ca="1"/>
        <v>59.868295271004698</v>
      </c>
      <c r="AG8723" s="2">
        <f ca="1"/>
        <v>0.37716761794632658</v>
      </c>
      <c r="AH8723" s="2" t="str">
        <f ca="1"/>
        <v>OK</v>
      </c>
    </row>
    <row r="8724" spans="2:34" x14ac:dyDescent="0.2">
      <c r="B8724" s="2">
        <f ca="1"/>
        <v>0.30885214262841565</v>
      </c>
      <c r="O8724" s="2">
        <f ca="1"/>
        <v>-0.39177335031066829</v>
      </c>
      <c r="X8724" s="2">
        <f ca="1"/>
        <v>54.73195874097599</v>
      </c>
      <c r="AG8724" s="2">
        <f ca="1"/>
        <v>0.60988988122730126</v>
      </c>
      <c r="AH8724" s="2" t="str">
        <f ca="1"/>
        <v>Bad</v>
      </c>
    </row>
    <row r="8725" spans="2:34" x14ac:dyDescent="0.2">
      <c r="B8725" s="2">
        <f ca="1"/>
        <v>0.32214703319312243</v>
      </c>
      <c r="O8725" s="2">
        <f ca="1"/>
        <v>-0.39038972394938953</v>
      </c>
      <c r="X8725" s="2">
        <f ca="1"/>
        <v>46.604769942603326</v>
      </c>
      <c r="AG8725" s="2">
        <f ca="1"/>
        <v>0.70049963911484547</v>
      </c>
      <c r="AH8725" s="2" t="str">
        <f ca="1"/>
        <v>Bad</v>
      </c>
    </row>
    <row r="8726" spans="2:34" x14ac:dyDescent="0.2">
      <c r="B8726" s="2">
        <f ca="1"/>
        <v>0.75452495337557002</v>
      </c>
      <c r="O8726" s="2">
        <f ca="1"/>
        <v>-0.69079695041499278</v>
      </c>
      <c r="X8726" s="2">
        <f ca="1"/>
        <v>30.300451359847283</v>
      </c>
      <c r="AG8726" s="2">
        <f ca="1"/>
        <v>0.18974132134424448</v>
      </c>
      <c r="AH8726" s="2" t="str">
        <f ca="1"/>
        <v>OK</v>
      </c>
    </row>
    <row r="8727" spans="2:34" x14ac:dyDescent="0.2">
      <c r="B8727" s="2">
        <f ca="1"/>
        <v>0.97104890766795293</v>
      </c>
      <c r="O8727" s="2">
        <f ca="1"/>
        <v>1.8258676349677314</v>
      </c>
      <c r="X8727" s="2">
        <f ca="1"/>
        <v>52.7027404075777</v>
      </c>
      <c r="AG8727" s="2">
        <f ca="1"/>
        <v>0.8031580718218192</v>
      </c>
      <c r="AH8727" s="2" t="str">
        <f ca="1"/>
        <v>Bad</v>
      </c>
    </row>
    <row r="8728" spans="2:34" x14ac:dyDescent="0.2">
      <c r="B8728" s="2">
        <f ca="1"/>
        <v>0.6053081513983356</v>
      </c>
      <c r="O8728" s="2">
        <f ca="1"/>
        <v>0.23611287320638716</v>
      </c>
      <c r="X8728" s="2">
        <f ca="1"/>
        <v>60.144940692281793</v>
      </c>
      <c r="AG8728" s="2">
        <f ca="1"/>
        <v>0.16834381249904773</v>
      </c>
      <c r="AH8728" s="2" t="str">
        <f ca="1"/>
        <v>OK</v>
      </c>
    </row>
    <row r="8729" spans="2:34" x14ac:dyDescent="0.2">
      <c r="B8729" s="2">
        <f ca="1"/>
        <v>0.92774014982846653</v>
      </c>
      <c r="O8729" s="2">
        <f ca="1"/>
        <v>-0.47369927278899454</v>
      </c>
      <c r="X8729" s="2">
        <f ca="1"/>
        <v>56.605131406003892</v>
      </c>
      <c r="AG8729" s="2">
        <f ca="1"/>
        <v>0.25438610658246263</v>
      </c>
      <c r="AH8729" s="2" t="str">
        <f ca="1"/>
        <v>OK</v>
      </c>
    </row>
    <row r="8730" spans="2:34" x14ac:dyDescent="0.2">
      <c r="B8730" s="2">
        <f ca="1"/>
        <v>2.8053919329671828E-2</v>
      </c>
      <c r="O8730" s="2">
        <f ca="1"/>
        <v>-0.45987617235215855</v>
      </c>
      <c r="X8730" s="2">
        <f ca="1"/>
        <v>63.269963134103747</v>
      </c>
      <c r="AG8730" s="2">
        <f ca="1"/>
        <v>0.73183642357250744</v>
      </c>
      <c r="AH8730" s="2" t="str">
        <f ca="1"/>
        <v>Bad</v>
      </c>
    </row>
    <row r="8731" spans="2:34" x14ac:dyDescent="0.2">
      <c r="B8731" s="2">
        <f ca="1"/>
        <v>0.9268219910366895</v>
      </c>
      <c r="O8731" s="2">
        <f ca="1"/>
        <v>6.2441159722933362E-2</v>
      </c>
      <c r="X8731" s="2">
        <f ca="1"/>
        <v>57.547013165981042</v>
      </c>
      <c r="AG8731" s="2">
        <f ca="1"/>
        <v>0.98211700630045673</v>
      </c>
      <c r="AH8731" s="2" t="str">
        <f ca="1"/>
        <v>Bad</v>
      </c>
    </row>
    <row r="8732" spans="2:34" x14ac:dyDescent="0.2">
      <c r="B8732" s="2">
        <f ca="1"/>
        <v>0.81816311397463282</v>
      </c>
      <c r="O8732" s="2">
        <f ca="1"/>
        <v>-0.14299402131583386</v>
      </c>
      <c r="X8732" s="2">
        <f ca="1"/>
        <v>41.608187726383051</v>
      </c>
      <c r="AG8732" s="2">
        <f ca="1"/>
        <v>0.879641185078893</v>
      </c>
      <c r="AH8732" s="2" t="str">
        <f ca="1"/>
        <v>Bad</v>
      </c>
    </row>
    <row r="8733" spans="2:34" x14ac:dyDescent="0.2">
      <c r="B8733" s="2">
        <f ca="1"/>
        <v>0.26886112645544724</v>
      </c>
      <c r="O8733" s="2">
        <f ca="1"/>
        <v>0.9375340626107016</v>
      </c>
      <c r="X8733" s="2">
        <f ca="1"/>
        <v>44.869729766408582</v>
      </c>
      <c r="AG8733" s="2">
        <f ca="1"/>
        <v>0.61482616748099073</v>
      </c>
      <c r="AH8733" s="2" t="str">
        <f ca="1"/>
        <v>Bad</v>
      </c>
    </row>
    <row r="8734" spans="2:34" x14ac:dyDescent="0.2">
      <c r="B8734" s="2">
        <f ca="1"/>
        <v>0.92856386248908263</v>
      </c>
      <c r="O8734" s="2">
        <f ca="1"/>
        <v>0.38352090813412543</v>
      </c>
      <c r="X8734" s="2">
        <f ca="1"/>
        <v>64.747122319156546</v>
      </c>
      <c r="AG8734" s="2">
        <f ca="1"/>
        <v>0.5118300825467812</v>
      </c>
      <c r="AH8734" s="2" t="str">
        <f ca="1"/>
        <v>Bad</v>
      </c>
    </row>
    <row r="8735" spans="2:34" x14ac:dyDescent="0.2">
      <c r="B8735" s="2">
        <f ca="1"/>
        <v>0.32995711415969997</v>
      </c>
      <c r="O8735" s="2">
        <f ca="1"/>
        <v>-0.93617890470565146</v>
      </c>
      <c r="X8735" s="2">
        <f ca="1"/>
        <v>63.983403409111475</v>
      </c>
      <c r="AG8735" s="2">
        <f ca="1"/>
        <v>0.47462984985445766</v>
      </c>
      <c r="AH8735" s="2" t="str">
        <f ca="1"/>
        <v>Bad</v>
      </c>
    </row>
    <row r="8736" spans="2:34" x14ac:dyDescent="0.2">
      <c r="B8736" s="2">
        <f ca="1"/>
        <v>0.63320233724942443</v>
      </c>
      <c r="O8736" s="2">
        <f ca="1"/>
        <v>0.26354637295657002</v>
      </c>
      <c r="X8736" s="2">
        <f ca="1"/>
        <v>85.850628542726994</v>
      </c>
      <c r="AG8736" s="2">
        <f ca="1"/>
        <v>0.32137237890833892</v>
      </c>
      <c r="AH8736" s="2" t="str">
        <f ca="1"/>
        <v>OK</v>
      </c>
    </row>
    <row r="8737" spans="2:34" x14ac:dyDescent="0.2">
      <c r="B8737" s="2">
        <f ca="1"/>
        <v>0.95739567318160557</v>
      </c>
      <c r="O8737" s="2">
        <f ca="1"/>
        <v>0.85712435686708965</v>
      </c>
      <c r="X8737" s="2">
        <f ca="1"/>
        <v>46.774148181196374</v>
      </c>
      <c r="AG8737" s="2">
        <f ca="1"/>
        <v>0.79214674593012879</v>
      </c>
      <c r="AH8737" s="2" t="str">
        <f ca="1"/>
        <v>Bad</v>
      </c>
    </row>
    <row r="8738" spans="2:34" x14ac:dyDescent="0.2">
      <c r="B8738" s="2">
        <f ca="1"/>
        <v>0.36261444393771081</v>
      </c>
      <c r="O8738" s="2">
        <f ca="1"/>
        <v>0.31327129852451036</v>
      </c>
      <c r="X8738" s="2">
        <f ca="1"/>
        <v>40.293323444013645</v>
      </c>
      <c r="AG8738" s="2">
        <f ca="1"/>
        <v>1.2896509867546646E-2</v>
      </c>
      <c r="AH8738" s="2" t="str">
        <f ca="1"/>
        <v>Good</v>
      </c>
    </row>
    <row r="8739" spans="2:34" x14ac:dyDescent="0.2">
      <c r="B8739" s="2">
        <f ca="1"/>
        <v>0.9141879293582349</v>
      </c>
      <c r="O8739" s="2">
        <f ca="1"/>
        <v>-0.94593984177835766</v>
      </c>
      <c r="X8739" s="2">
        <f ca="1"/>
        <v>43.598472471049938</v>
      </c>
      <c r="AG8739" s="2">
        <f ca="1"/>
        <v>0.37066041437675801</v>
      </c>
      <c r="AH8739" s="2" t="str">
        <f ca="1"/>
        <v>OK</v>
      </c>
    </row>
    <row r="8740" spans="2:34" x14ac:dyDescent="0.2">
      <c r="B8740" s="2">
        <f ca="1"/>
        <v>0.88736301390007521</v>
      </c>
      <c r="O8740" s="2">
        <f ca="1"/>
        <v>0.52119899132500525</v>
      </c>
      <c r="X8740" s="2">
        <f ca="1"/>
        <v>53.00686626714856</v>
      </c>
      <c r="AG8740" s="2">
        <f ca="1"/>
        <v>0.71967036672889062</v>
      </c>
      <c r="AH8740" s="2" t="str">
        <f ca="1"/>
        <v>Bad</v>
      </c>
    </row>
    <row r="8741" spans="2:34" x14ac:dyDescent="0.2">
      <c r="B8741" s="2">
        <f ca="1"/>
        <v>0.32535293832989964</v>
      </c>
      <c r="O8741" s="2">
        <f ca="1"/>
        <v>-0.35977408848847225</v>
      </c>
      <c r="X8741" s="2">
        <f ca="1"/>
        <v>28.437670968017471</v>
      </c>
      <c r="AG8741" s="2">
        <f ca="1"/>
        <v>0.70190700364459913</v>
      </c>
      <c r="AH8741" s="2" t="str">
        <f ca="1"/>
        <v>Bad</v>
      </c>
    </row>
    <row r="8742" spans="2:34" x14ac:dyDescent="0.2">
      <c r="B8742" s="2">
        <f ca="1"/>
        <v>0.11444457270813624</v>
      </c>
      <c r="O8742" s="2">
        <f ca="1"/>
        <v>0.10971708898263971</v>
      </c>
      <c r="X8742" s="2">
        <f ca="1"/>
        <v>63.900304884463011</v>
      </c>
      <c r="AG8742" s="2">
        <f ca="1"/>
        <v>0.45040514978057056</v>
      </c>
      <c r="AH8742" s="2" t="str">
        <f ca="1"/>
        <v>Bad</v>
      </c>
    </row>
    <row r="8743" spans="2:34" x14ac:dyDescent="0.2">
      <c r="B8743" s="2">
        <f ca="1"/>
        <v>0.94710484086135871</v>
      </c>
      <c r="O8743" s="2">
        <f ca="1"/>
        <v>-1.0256867787972732</v>
      </c>
      <c r="X8743" s="2">
        <f ca="1"/>
        <v>66.187731186138379</v>
      </c>
      <c r="AG8743" s="2">
        <f ca="1"/>
        <v>7.8457746894960101E-2</v>
      </c>
      <c r="AH8743" s="2" t="str">
        <f ca="1"/>
        <v>OK</v>
      </c>
    </row>
    <row r="8744" spans="2:34" x14ac:dyDescent="0.2">
      <c r="B8744" s="2">
        <f ca="1"/>
        <v>0.88922542114858749</v>
      </c>
      <c r="O8744" s="2">
        <f ca="1"/>
        <v>-0.31487732622451625</v>
      </c>
      <c r="X8744" s="2">
        <f ca="1"/>
        <v>33.527310899869661</v>
      </c>
      <c r="AG8744" s="2">
        <f ca="1"/>
        <v>0.3387423232309259</v>
      </c>
      <c r="AH8744" s="2" t="str">
        <f ca="1"/>
        <v>OK</v>
      </c>
    </row>
    <row r="8745" spans="2:34" x14ac:dyDescent="0.2">
      <c r="B8745" s="2">
        <f ca="1"/>
        <v>0.65328434054547024</v>
      </c>
      <c r="O8745" s="2">
        <f ca="1"/>
        <v>-8.7115695230668325E-2</v>
      </c>
      <c r="X8745" s="2">
        <f ca="1"/>
        <v>25.424786161869491</v>
      </c>
      <c r="AG8745" s="2">
        <f ca="1"/>
        <v>0.79447002109403475</v>
      </c>
      <c r="AH8745" s="2" t="str">
        <f ca="1"/>
        <v>Bad</v>
      </c>
    </row>
    <row r="8746" spans="2:34" x14ac:dyDescent="0.2">
      <c r="B8746" s="2">
        <f ca="1"/>
        <v>0.65073669013853275</v>
      </c>
      <c r="O8746" s="2">
        <f ca="1"/>
        <v>-0.21135723148912494</v>
      </c>
      <c r="X8746" s="2">
        <f ca="1"/>
        <v>33.226168817103449</v>
      </c>
      <c r="AG8746" s="2">
        <f ca="1"/>
        <v>0.68197342907786163</v>
      </c>
      <c r="AH8746" s="2" t="str">
        <f ca="1"/>
        <v>Bad</v>
      </c>
    </row>
    <row r="8747" spans="2:34" x14ac:dyDescent="0.2">
      <c r="B8747" s="2">
        <f ca="1"/>
        <v>0.88142780087041239</v>
      </c>
      <c r="O8747" s="2">
        <f ca="1"/>
        <v>-0.23262654046702966</v>
      </c>
      <c r="X8747" s="2">
        <f ca="1"/>
        <v>52.904948687020273</v>
      </c>
      <c r="AG8747" s="2">
        <f ca="1"/>
        <v>3.0443593809244662E-2</v>
      </c>
      <c r="AH8747" s="2" t="str">
        <f ca="1"/>
        <v>Good</v>
      </c>
    </row>
    <row r="8748" spans="2:34" x14ac:dyDescent="0.2">
      <c r="B8748" s="2">
        <f ca="1"/>
        <v>0.12286128629586446</v>
      </c>
      <c r="O8748" s="2">
        <f ca="1"/>
        <v>1.4540236183058586</v>
      </c>
      <c r="X8748" s="2">
        <f ca="1"/>
        <v>39.252960491495386</v>
      </c>
      <c r="AG8748" s="2">
        <f ca="1"/>
        <v>0.67978497205767541</v>
      </c>
      <c r="AH8748" s="2" t="str">
        <f ca="1"/>
        <v>Bad</v>
      </c>
    </row>
    <row r="8749" spans="2:34" x14ac:dyDescent="0.2">
      <c r="B8749" s="2">
        <f ca="1"/>
        <v>2.8942685898461606E-2</v>
      </c>
      <c r="O8749" s="2">
        <f ca="1"/>
        <v>1.7492361342727585</v>
      </c>
      <c r="X8749" s="2">
        <f ca="1"/>
        <v>65.092999241442214</v>
      </c>
      <c r="AG8749" s="2">
        <f ca="1"/>
        <v>0.15307219701076202</v>
      </c>
      <c r="AH8749" s="2" t="str">
        <f ca="1"/>
        <v>OK</v>
      </c>
    </row>
    <row r="8750" spans="2:34" x14ac:dyDescent="0.2">
      <c r="B8750" s="2">
        <f ca="1"/>
        <v>0.13281904397018063</v>
      </c>
      <c r="O8750" s="2">
        <f ca="1"/>
        <v>-0.61602853219387077</v>
      </c>
      <c r="X8750" s="2">
        <f ca="1"/>
        <v>48.272531007941794</v>
      </c>
      <c r="AG8750" s="2">
        <f ca="1"/>
        <v>0.82362624989218469</v>
      </c>
      <c r="AH8750" s="2" t="str">
        <f ca="1"/>
        <v>Bad</v>
      </c>
    </row>
    <row r="8751" spans="2:34" x14ac:dyDescent="0.2">
      <c r="B8751" s="2">
        <f ca="1"/>
        <v>0.6959421803889978</v>
      </c>
      <c r="O8751" s="2">
        <f ca="1"/>
        <v>2.3445587259851606</v>
      </c>
      <c r="X8751" s="2">
        <f ca="1"/>
        <v>53.077694484659233</v>
      </c>
      <c r="AG8751" s="2">
        <f ca="1"/>
        <v>0.22747884158568277</v>
      </c>
      <c r="AH8751" s="2" t="str">
        <f ca="1"/>
        <v>OK</v>
      </c>
    </row>
    <row r="8752" spans="2:34" x14ac:dyDescent="0.2">
      <c r="B8752" s="2">
        <f ca="1"/>
        <v>0.92955061883139845</v>
      </c>
      <c r="O8752" s="2">
        <f ca="1"/>
        <v>-1.3154711594689426</v>
      </c>
      <c r="X8752" s="2">
        <f ca="1"/>
        <v>52.119653894208859</v>
      </c>
      <c r="AG8752" s="2">
        <f ca="1"/>
        <v>0.55124922034695012</v>
      </c>
      <c r="AH8752" s="2" t="str">
        <f ca="1"/>
        <v>Bad</v>
      </c>
    </row>
    <row r="8753" spans="2:34" x14ac:dyDescent="0.2">
      <c r="B8753" s="2">
        <f ca="1"/>
        <v>0.86937479819976193</v>
      </c>
      <c r="O8753" s="2">
        <f ca="1"/>
        <v>1.9979899060967549E-2</v>
      </c>
      <c r="X8753" s="2">
        <f ca="1"/>
        <v>39.419924217549507</v>
      </c>
      <c r="AG8753" s="2">
        <f ca="1"/>
        <v>2.5754134430504116E-2</v>
      </c>
      <c r="AH8753" s="2" t="str">
        <f ca="1"/>
        <v>Good</v>
      </c>
    </row>
    <row r="8754" spans="2:34" x14ac:dyDescent="0.2">
      <c r="B8754" s="2">
        <f ca="1"/>
        <v>0.10787146537784364</v>
      </c>
      <c r="O8754" s="2">
        <f ca="1"/>
        <v>-0.69964744855989258</v>
      </c>
      <c r="X8754" s="2">
        <f ca="1"/>
        <v>53.900723122880109</v>
      </c>
      <c r="AG8754" s="2">
        <f ca="1"/>
        <v>0.88263688949959551</v>
      </c>
      <c r="AH8754" s="2" t="str">
        <f ca="1"/>
        <v>Bad</v>
      </c>
    </row>
    <row r="8755" spans="2:34" x14ac:dyDescent="0.2">
      <c r="B8755" s="2">
        <f ca="1"/>
        <v>0.84545429126896532</v>
      </c>
      <c r="O8755" s="2">
        <f ca="1"/>
        <v>0.30272947339372958</v>
      </c>
      <c r="X8755" s="2">
        <f ca="1"/>
        <v>42.339787896746174</v>
      </c>
      <c r="AG8755" s="2">
        <f ca="1"/>
        <v>0.82092280797214312</v>
      </c>
      <c r="AH8755" s="2" t="str">
        <f ca="1"/>
        <v>Bad</v>
      </c>
    </row>
    <row r="8756" spans="2:34" x14ac:dyDescent="0.2">
      <c r="B8756" s="2">
        <f ca="1"/>
        <v>0.6331483163787015</v>
      </c>
      <c r="O8756" s="2">
        <f ca="1"/>
        <v>0.48083786018196595</v>
      </c>
      <c r="X8756" s="2">
        <f ca="1"/>
        <v>44.230911568119417</v>
      </c>
      <c r="AG8756" s="2">
        <f ca="1"/>
        <v>0.22682403297219977</v>
      </c>
      <c r="AH8756" s="2" t="str">
        <f ca="1"/>
        <v>OK</v>
      </c>
    </row>
    <row r="8757" spans="2:34" x14ac:dyDescent="0.2">
      <c r="B8757" s="2">
        <f ca="1"/>
        <v>9.450376412086392E-2</v>
      </c>
      <c r="O8757" s="2">
        <f ca="1"/>
        <v>-1.1455259323494886</v>
      </c>
      <c r="X8757" s="2">
        <f ca="1"/>
        <v>50.736232830118631</v>
      </c>
      <c r="AG8757" s="2">
        <f ca="1"/>
        <v>0.70227039501182409</v>
      </c>
      <c r="AH8757" s="2" t="str">
        <f ca="1"/>
        <v>Bad</v>
      </c>
    </row>
    <row r="8758" spans="2:34" x14ac:dyDescent="0.2">
      <c r="B8758" s="2">
        <f ca="1"/>
        <v>0.94072251175230326</v>
      </c>
      <c r="O8758" s="2">
        <f ca="1"/>
        <v>-1.1853990552286704</v>
      </c>
      <c r="X8758" s="2">
        <f ca="1"/>
        <v>36.964681380493111</v>
      </c>
      <c r="AG8758" s="2">
        <f ca="1"/>
        <v>0.87735086805322204</v>
      </c>
      <c r="AH8758" s="2" t="str">
        <f ca="1"/>
        <v>Bad</v>
      </c>
    </row>
    <row r="8759" spans="2:34" x14ac:dyDescent="0.2">
      <c r="B8759" s="2">
        <f ca="1"/>
        <v>0.8390664750395449</v>
      </c>
      <c r="O8759" s="2">
        <f ca="1"/>
        <v>-1.4992761149106214E-2</v>
      </c>
      <c r="X8759" s="2">
        <f ca="1"/>
        <v>20.773139142800119</v>
      </c>
      <c r="AG8759" s="2">
        <f ca="1"/>
        <v>0.86535389467909707</v>
      </c>
      <c r="AH8759" s="2" t="str">
        <f ca="1"/>
        <v>Bad</v>
      </c>
    </row>
    <row r="8760" spans="2:34" x14ac:dyDescent="0.2">
      <c r="B8760" s="2">
        <f ca="1"/>
        <v>0.79491018534989366</v>
      </c>
      <c r="O8760" s="2">
        <f ca="1"/>
        <v>-1.6437463259711409</v>
      </c>
      <c r="X8760" s="2">
        <f ca="1"/>
        <v>50.36521383219678</v>
      </c>
      <c r="AG8760" s="2">
        <f ca="1"/>
        <v>0.19540923717814951</v>
      </c>
      <c r="AH8760" s="2" t="str">
        <f ca="1"/>
        <v>OK</v>
      </c>
    </row>
    <row r="8761" spans="2:34" x14ac:dyDescent="0.2">
      <c r="B8761" s="2">
        <f ca="1"/>
        <v>0.71630209432219805</v>
      </c>
      <c r="O8761" s="2">
        <f ca="1"/>
        <v>2.0762401858429329</v>
      </c>
      <c r="X8761" s="2">
        <f ca="1"/>
        <v>75.682375107891218</v>
      </c>
      <c r="AG8761" s="2">
        <f ca="1"/>
        <v>0.3598761253258973</v>
      </c>
      <c r="AH8761" s="2" t="str">
        <f ca="1"/>
        <v>OK</v>
      </c>
    </row>
    <row r="8762" spans="2:34" x14ac:dyDescent="0.2">
      <c r="B8762" s="2">
        <f ca="1"/>
        <v>0.54816521022226361</v>
      </c>
      <c r="O8762" s="2">
        <f ca="1"/>
        <v>-0.31779558847523204</v>
      </c>
      <c r="X8762" s="2">
        <f ca="1"/>
        <v>56.847843513420116</v>
      </c>
      <c r="AG8762" s="2">
        <f ca="1"/>
        <v>3.0672463360338575E-2</v>
      </c>
      <c r="AH8762" s="2" t="str">
        <f ca="1"/>
        <v>Good</v>
      </c>
    </row>
    <row r="8763" spans="2:34" x14ac:dyDescent="0.2">
      <c r="B8763" s="2">
        <f ca="1"/>
        <v>0.50726709722284014</v>
      </c>
      <c r="O8763" s="2">
        <f ca="1"/>
        <v>0.12891361243319102</v>
      </c>
      <c r="X8763" s="2">
        <f ca="1"/>
        <v>76.569692460494394</v>
      </c>
      <c r="AG8763" s="2">
        <f ca="1"/>
        <v>0.11070236027419544</v>
      </c>
      <c r="AH8763" s="2" t="str">
        <f ca="1"/>
        <v>OK</v>
      </c>
    </row>
    <row r="8764" spans="2:34" x14ac:dyDescent="0.2">
      <c r="B8764" s="2">
        <f ca="1"/>
        <v>0.28763011669519178</v>
      </c>
      <c r="O8764" s="2">
        <f ca="1"/>
        <v>-0.86672870093369137</v>
      </c>
      <c r="X8764" s="2">
        <f ca="1"/>
        <v>44.902884784215772</v>
      </c>
      <c r="AG8764" s="2">
        <f ca="1"/>
        <v>0.28476828562669065</v>
      </c>
      <c r="AH8764" s="2" t="str">
        <f ca="1"/>
        <v>OK</v>
      </c>
    </row>
    <row r="8765" spans="2:34" x14ac:dyDescent="0.2">
      <c r="B8765" s="2">
        <f ca="1"/>
        <v>0.20938048035125068</v>
      </c>
      <c r="O8765" s="2">
        <f ca="1"/>
        <v>0.7034527236873146</v>
      </c>
      <c r="X8765" s="2">
        <f ca="1"/>
        <v>34.268045297661779</v>
      </c>
      <c r="AG8765" s="2">
        <f ca="1"/>
        <v>0.53068977636553005</v>
      </c>
      <c r="AH8765" s="2" t="str">
        <f ca="1"/>
        <v>Bad</v>
      </c>
    </row>
    <row r="8766" spans="2:34" x14ac:dyDescent="0.2">
      <c r="B8766" s="2">
        <f ca="1"/>
        <v>0.15178850879607841</v>
      </c>
      <c r="O8766" s="2">
        <f ca="1"/>
        <v>0.59804809069915521</v>
      </c>
      <c r="X8766" s="2">
        <f ca="1"/>
        <v>45.667022266486406</v>
      </c>
      <c r="AG8766" s="2">
        <f ca="1"/>
        <v>0.28336135783520078</v>
      </c>
      <c r="AH8766" s="2" t="str">
        <f ca="1"/>
        <v>OK</v>
      </c>
    </row>
    <row r="8767" spans="2:34" x14ac:dyDescent="0.2">
      <c r="B8767" s="2">
        <f ca="1"/>
        <v>0.40044698180802873</v>
      </c>
      <c r="O8767" s="2">
        <f ca="1"/>
        <v>0.65834477477278497</v>
      </c>
      <c r="X8767" s="2">
        <f ca="1"/>
        <v>37.670236366541367</v>
      </c>
      <c r="AG8767" s="2">
        <f ca="1"/>
        <v>0.88947139264633224</v>
      </c>
      <c r="AH8767" s="2" t="str">
        <f ca="1"/>
        <v>Bad</v>
      </c>
    </row>
    <row r="8768" spans="2:34" x14ac:dyDescent="0.2">
      <c r="B8768" s="2">
        <f ca="1"/>
        <v>0.24370472814771538</v>
      </c>
      <c r="O8768" s="2">
        <f ca="1"/>
        <v>-1.2372822220918238</v>
      </c>
      <c r="X8768" s="2">
        <f ca="1"/>
        <v>21.093299281503811</v>
      </c>
      <c r="AG8768" s="2">
        <f ca="1"/>
        <v>0.30464795586448234</v>
      </c>
      <c r="AH8768" s="2" t="str">
        <f ca="1"/>
        <v>OK</v>
      </c>
    </row>
    <row r="8769" spans="2:34" x14ac:dyDescent="0.2">
      <c r="B8769" s="2">
        <f ca="1"/>
        <v>0.87088360636999096</v>
      </c>
      <c r="O8769" s="2">
        <f ca="1"/>
        <v>-1.062490663346114</v>
      </c>
      <c r="X8769" s="2">
        <f ca="1"/>
        <v>51.725114809077795</v>
      </c>
      <c r="AG8769" s="2">
        <f ca="1"/>
        <v>0.45739260768382328</v>
      </c>
      <c r="AH8769" s="2" t="str">
        <f ca="1"/>
        <v>Bad</v>
      </c>
    </row>
    <row r="8770" spans="2:34" x14ac:dyDescent="0.2">
      <c r="B8770" s="2">
        <f ca="1"/>
        <v>0.87556316751795049</v>
      </c>
      <c r="O8770" s="2">
        <f ca="1"/>
        <v>6.8763619480544991E-2</v>
      </c>
      <c r="X8770" s="2">
        <f ca="1"/>
        <v>36.452025647217653</v>
      </c>
      <c r="AG8770" s="2">
        <f ca="1"/>
        <v>0.41079704406587236</v>
      </c>
      <c r="AH8770" s="2" t="str">
        <f ca="1"/>
        <v>Bad</v>
      </c>
    </row>
    <row r="8771" spans="2:34" x14ac:dyDescent="0.2">
      <c r="B8771" s="2">
        <f ca="1"/>
        <v>9.4256964643671282E-2</v>
      </c>
      <c r="O8771" s="2">
        <f ca="1"/>
        <v>0.57343417104384387</v>
      </c>
      <c r="X8771" s="2">
        <f ca="1"/>
        <v>52.596906008136905</v>
      </c>
      <c r="AG8771" s="2">
        <f ca="1"/>
        <v>0.33012097989916467</v>
      </c>
      <c r="AH8771" s="2" t="str">
        <f ca="1"/>
        <v>OK</v>
      </c>
    </row>
    <row r="8772" spans="2:34" x14ac:dyDescent="0.2">
      <c r="B8772" s="2">
        <f ca="1"/>
        <v>0.39414593472827497</v>
      </c>
      <c r="O8772" s="2">
        <f ca="1"/>
        <v>0.39586605592614504</v>
      </c>
      <c r="X8772" s="2">
        <f ca="1"/>
        <v>46.693440718248681</v>
      </c>
      <c r="AG8772" s="2">
        <f ca="1"/>
        <v>0.42657026380542518</v>
      </c>
      <c r="AH8772" s="2" t="str">
        <f ca="1"/>
        <v>Bad</v>
      </c>
    </row>
    <row r="8773" spans="2:34" x14ac:dyDescent="0.2">
      <c r="B8773" s="2">
        <f ca="1"/>
        <v>0.51333674717548838</v>
      </c>
      <c r="O8773" s="2">
        <f ca="1"/>
        <v>0.91689179029995138</v>
      </c>
      <c r="X8773" s="2">
        <f ca="1"/>
        <v>49.555056411795597</v>
      </c>
      <c r="AG8773" s="2">
        <f ca="1"/>
        <v>5.1072339118880317E-2</v>
      </c>
      <c r="AH8773" s="2" t="str">
        <f ca="1"/>
        <v>OK</v>
      </c>
    </row>
    <row r="8774" spans="2:34" x14ac:dyDescent="0.2">
      <c r="B8774" s="2">
        <f ca="1"/>
        <v>0.80949388357354457</v>
      </c>
      <c r="O8774" s="2">
        <f ca="1"/>
        <v>-1.4926698757989114</v>
      </c>
      <c r="X8774" s="2">
        <f ca="1"/>
        <v>34.171830563235041</v>
      </c>
      <c r="AG8774" s="2">
        <f ca="1"/>
        <v>0.15177263754619608</v>
      </c>
      <c r="AH8774" s="2" t="str">
        <f ca="1"/>
        <v>OK</v>
      </c>
    </row>
    <row r="8775" spans="2:34" x14ac:dyDescent="0.2">
      <c r="B8775" s="2">
        <f ca="1"/>
        <v>0.33511230208894061</v>
      </c>
      <c r="O8775" s="2">
        <f ca="1"/>
        <v>-7.6779425036695007E-2</v>
      </c>
      <c r="X8775" s="2">
        <f ca="1"/>
        <v>33.398233001318665</v>
      </c>
      <c r="AG8775" s="2">
        <f ca="1"/>
        <v>0.21142238959053516</v>
      </c>
      <c r="AH8775" s="2" t="str">
        <f ca="1"/>
        <v>OK</v>
      </c>
    </row>
    <row r="8776" spans="2:34" x14ac:dyDescent="0.2">
      <c r="B8776" s="2">
        <f ca="1"/>
        <v>0.19069946578703778</v>
      </c>
      <c r="O8776" s="2">
        <f ca="1"/>
        <v>-0.65495206999040578</v>
      </c>
      <c r="X8776" s="2">
        <f ca="1"/>
        <v>52.043348372662422</v>
      </c>
      <c r="AG8776" s="2">
        <f ca="1"/>
        <v>0.78126262288439863</v>
      </c>
      <c r="AH8776" s="2" t="str">
        <f ca="1"/>
        <v>Bad</v>
      </c>
    </row>
    <row r="8777" spans="2:34" x14ac:dyDescent="0.2">
      <c r="B8777" s="2">
        <f ca="1"/>
        <v>0.22788329984273226</v>
      </c>
      <c r="O8777" s="2">
        <f ca="1"/>
        <v>-0.12806768578707106</v>
      </c>
      <c r="X8777" s="2">
        <f ca="1"/>
        <v>29.648483175264634</v>
      </c>
      <c r="AG8777" s="2">
        <f ca="1"/>
        <v>0.68209086308962807</v>
      </c>
      <c r="AH8777" s="2" t="str">
        <f ca="1"/>
        <v>Bad</v>
      </c>
    </row>
    <row r="8778" spans="2:34" x14ac:dyDescent="0.2">
      <c r="B8778" s="2">
        <f ca="1"/>
        <v>0.35642414187615401</v>
      </c>
      <c r="O8778" s="2">
        <f ca="1"/>
        <v>-2.7841055717731978E-2</v>
      </c>
      <c r="X8778" s="2">
        <f ca="1"/>
        <v>45.885844472685882</v>
      </c>
      <c r="AG8778" s="2">
        <f ca="1"/>
        <v>0.82345010759064619</v>
      </c>
      <c r="AH8778" s="2" t="str">
        <f ca="1"/>
        <v>Bad</v>
      </c>
    </row>
    <row r="8779" spans="2:34" x14ac:dyDescent="0.2">
      <c r="B8779" s="2">
        <f ca="1"/>
        <v>0.51639919768001508</v>
      </c>
      <c r="O8779" s="2">
        <f ca="1"/>
        <v>0.41963739683711831</v>
      </c>
      <c r="X8779" s="2">
        <f ca="1"/>
        <v>74.214301313624489</v>
      </c>
      <c r="AG8779" s="2">
        <f ca="1"/>
        <v>0.939597374704223</v>
      </c>
      <c r="AH8779" s="2" t="str">
        <f ca="1"/>
        <v>Bad</v>
      </c>
    </row>
    <row r="8780" spans="2:34" x14ac:dyDescent="0.2">
      <c r="B8780" s="2">
        <f ca="1"/>
        <v>0.89518195726736627</v>
      </c>
      <c r="O8780" s="2">
        <f ca="1"/>
        <v>0.87347630624574946</v>
      </c>
      <c r="X8780" s="2">
        <f ca="1"/>
        <v>70.704754707755626</v>
      </c>
      <c r="AG8780" s="2">
        <f ca="1"/>
        <v>0.83574634613565713</v>
      </c>
      <c r="AH8780" s="2" t="str">
        <f ca="1"/>
        <v>Bad</v>
      </c>
    </row>
    <row r="8781" spans="2:34" x14ac:dyDescent="0.2">
      <c r="B8781" s="2">
        <f ca="1"/>
        <v>0.7320211638374976</v>
      </c>
      <c r="O8781" s="2">
        <f ca="1"/>
        <v>0.75540559270525098</v>
      </c>
      <c r="X8781" s="2">
        <f ca="1"/>
        <v>30.770613788337595</v>
      </c>
      <c r="AG8781" s="2">
        <f ca="1"/>
        <v>0.29544150289223836</v>
      </c>
      <c r="AH8781" s="2" t="str">
        <f ca="1"/>
        <v>OK</v>
      </c>
    </row>
    <row r="8782" spans="2:34" x14ac:dyDescent="0.2">
      <c r="B8782" s="2">
        <f ca="1"/>
        <v>0.18149933068751811</v>
      </c>
      <c r="O8782" s="2">
        <f ca="1"/>
        <v>-6.8961815792183884E-2</v>
      </c>
      <c r="X8782" s="2">
        <f ca="1"/>
        <v>46.505204918854631</v>
      </c>
      <c r="AG8782" s="2">
        <f ca="1"/>
        <v>0.5114092551104843</v>
      </c>
      <c r="AH8782" s="2" t="str">
        <f ca="1"/>
        <v>Bad</v>
      </c>
    </row>
    <row r="8783" spans="2:34" x14ac:dyDescent="0.2">
      <c r="B8783" s="2">
        <f ca="1"/>
        <v>0.66244733507783726</v>
      </c>
      <c r="O8783" s="2">
        <f ca="1"/>
        <v>-0.91984396021713255</v>
      </c>
      <c r="X8783" s="2">
        <f ca="1"/>
        <v>36.243737005889464</v>
      </c>
      <c r="AG8783" s="2">
        <f ca="1"/>
        <v>9.6196742855483297E-2</v>
      </c>
      <c r="AH8783" s="2" t="str">
        <f ca="1"/>
        <v>OK</v>
      </c>
    </row>
    <row r="8784" spans="2:34" x14ac:dyDescent="0.2">
      <c r="B8784" s="2">
        <f ca="1"/>
        <v>0.52797822033384523</v>
      </c>
      <c r="O8784" s="2">
        <f ca="1"/>
        <v>-1.0872391383910787</v>
      </c>
      <c r="X8784" s="2">
        <f ca="1"/>
        <v>56.483577100213921</v>
      </c>
      <c r="AG8784" s="2">
        <f ca="1"/>
        <v>6.6455930278402686E-2</v>
      </c>
      <c r="AH8784" s="2" t="str">
        <f ca="1"/>
        <v>OK</v>
      </c>
    </row>
    <row r="8785" spans="2:34" x14ac:dyDescent="0.2">
      <c r="B8785" s="2">
        <f ca="1"/>
        <v>0.82823886438882699</v>
      </c>
      <c r="O8785" s="2">
        <f ca="1"/>
        <v>0.72429551054460806</v>
      </c>
      <c r="X8785" s="2">
        <f ca="1"/>
        <v>86.724546440247622</v>
      </c>
      <c r="AG8785" s="2">
        <f ca="1"/>
        <v>0.70724729100555228</v>
      </c>
      <c r="AH8785" s="2" t="str">
        <f ca="1"/>
        <v>Bad</v>
      </c>
    </row>
    <row r="8786" spans="2:34" x14ac:dyDescent="0.2">
      <c r="B8786" s="2">
        <f ca="1"/>
        <v>0.18452879032131886</v>
      </c>
      <c r="O8786" s="2">
        <f ca="1"/>
        <v>0.54916399343024436</v>
      </c>
      <c r="X8786" s="2">
        <f ca="1"/>
        <v>87.021216210373154</v>
      </c>
      <c r="AG8786" s="2">
        <f ca="1"/>
        <v>0.18043553755768227</v>
      </c>
      <c r="AH8786" s="2" t="str">
        <f ca="1"/>
        <v>OK</v>
      </c>
    </row>
    <row r="8787" spans="2:34" x14ac:dyDescent="0.2">
      <c r="B8787" s="2">
        <f ca="1"/>
        <v>0.98314988805401793</v>
      </c>
      <c r="O8787" s="2">
        <f ca="1"/>
        <v>1.1720488105340672</v>
      </c>
      <c r="X8787" s="2">
        <f ca="1"/>
        <v>43.376653733775193</v>
      </c>
      <c r="AG8787" s="2">
        <f ca="1"/>
        <v>0.44769322880794782</v>
      </c>
      <c r="AH8787" s="2" t="str">
        <f ca="1"/>
        <v>Bad</v>
      </c>
    </row>
    <row r="8788" spans="2:34" x14ac:dyDescent="0.2">
      <c r="B8788" s="2">
        <f ca="1"/>
        <v>0.50116687521995762</v>
      </c>
      <c r="O8788" s="2">
        <f ca="1"/>
        <v>-0.89811165333845622</v>
      </c>
      <c r="X8788" s="2">
        <f ca="1"/>
        <v>17.644898565146324</v>
      </c>
      <c r="AG8788" s="2">
        <f ca="1"/>
        <v>0.71071252431011023</v>
      </c>
      <c r="AH8788" s="2" t="str">
        <f ca="1"/>
        <v>Bad</v>
      </c>
    </row>
    <row r="8789" spans="2:34" x14ac:dyDescent="0.2">
      <c r="B8789" s="2">
        <f ca="1"/>
        <v>0.47476192471460887</v>
      </c>
      <c r="O8789" s="2">
        <f ca="1"/>
        <v>1.5641618826333465</v>
      </c>
      <c r="X8789" s="2">
        <f ca="1"/>
        <v>44.196316987797218</v>
      </c>
      <c r="AG8789" s="2">
        <f ca="1"/>
        <v>0.2245554115287085</v>
      </c>
      <c r="AH8789" s="2" t="str">
        <f ca="1"/>
        <v>OK</v>
      </c>
    </row>
    <row r="8790" spans="2:34" x14ac:dyDescent="0.2">
      <c r="B8790" s="2">
        <f ca="1"/>
        <v>0.63158919278632131</v>
      </c>
      <c r="O8790" s="2">
        <f ca="1"/>
        <v>1.4969467900138413</v>
      </c>
      <c r="X8790" s="2">
        <f ca="1"/>
        <v>30.257819685486126</v>
      </c>
      <c r="AG8790" s="2">
        <f ca="1"/>
        <v>0.76922371561447123</v>
      </c>
      <c r="AH8790" s="2" t="str">
        <f ca="1"/>
        <v>Bad</v>
      </c>
    </row>
    <row r="8791" spans="2:34" x14ac:dyDescent="0.2">
      <c r="B8791" s="2">
        <f ca="1"/>
        <v>0.67445581083255068</v>
      </c>
      <c r="O8791" s="2">
        <f ca="1"/>
        <v>-0.41165465978971361</v>
      </c>
      <c r="X8791" s="2">
        <f ca="1"/>
        <v>61.965424143407105</v>
      </c>
      <c r="AG8791" s="2">
        <f ca="1"/>
        <v>0.16272531604906137</v>
      </c>
      <c r="AH8791" s="2" t="str">
        <f ca="1"/>
        <v>OK</v>
      </c>
    </row>
    <row r="8792" spans="2:34" x14ac:dyDescent="0.2">
      <c r="B8792" s="2">
        <f ca="1"/>
        <v>0.13803727773991437</v>
      </c>
      <c r="O8792" s="2">
        <f ca="1"/>
        <v>0.39248388186939565</v>
      </c>
      <c r="X8792" s="2">
        <f ca="1"/>
        <v>39.146337165968902</v>
      </c>
      <c r="AG8792" s="2">
        <f ca="1"/>
        <v>0.95742818473240821</v>
      </c>
      <c r="AH8792" s="2" t="str">
        <f ca="1"/>
        <v>Bad</v>
      </c>
    </row>
    <row r="8793" spans="2:34" x14ac:dyDescent="0.2">
      <c r="B8793" s="2">
        <f ca="1"/>
        <v>0.55942907503298223</v>
      </c>
      <c r="O8793" s="2">
        <f ca="1"/>
        <v>1.9399430207587316</v>
      </c>
      <c r="X8793" s="2">
        <f ca="1"/>
        <v>62.747023497206882</v>
      </c>
      <c r="AG8793" s="2">
        <f ca="1"/>
        <v>0.70598614923769509</v>
      </c>
      <c r="AH8793" s="2" t="str">
        <f ca="1"/>
        <v>Bad</v>
      </c>
    </row>
    <row r="8794" spans="2:34" x14ac:dyDescent="0.2">
      <c r="B8794" s="2">
        <f ca="1"/>
        <v>0.15902115487481194</v>
      </c>
      <c r="O8794" s="2">
        <f ca="1"/>
        <v>-0.1319176593850161</v>
      </c>
      <c r="X8794" s="2">
        <f ca="1"/>
        <v>65.822032028237729</v>
      </c>
      <c r="AG8794" s="2">
        <f ca="1"/>
        <v>0.20891759529920018</v>
      </c>
      <c r="AH8794" s="2" t="str">
        <f ca="1"/>
        <v>OK</v>
      </c>
    </row>
    <row r="8795" spans="2:34" x14ac:dyDescent="0.2">
      <c r="B8795" s="2">
        <f ca="1"/>
        <v>7.884761333926682E-2</v>
      </c>
      <c r="O8795" s="2">
        <f ca="1"/>
        <v>-2.6965575211704924</v>
      </c>
      <c r="X8795" s="2">
        <f ca="1"/>
        <v>50.8552252236952</v>
      </c>
      <c r="AG8795" s="2">
        <f ca="1"/>
        <v>2.0295397930508496E-2</v>
      </c>
      <c r="AH8795" s="2" t="str">
        <f ca="1"/>
        <v>Good</v>
      </c>
    </row>
    <row r="8796" spans="2:34" x14ac:dyDescent="0.2">
      <c r="B8796" s="2">
        <f ca="1"/>
        <v>1.5718448628013526E-2</v>
      </c>
      <c r="O8796" s="2">
        <f ca="1"/>
        <v>0.30076277465659579</v>
      </c>
      <c r="X8796" s="2">
        <f ca="1"/>
        <v>56.383296809732848</v>
      </c>
      <c r="AG8796" s="2">
        <f ca="1"/>
        <v>0.23389434005757881</v>
      </c>
      <c r="AH8796" s="2" t="str">
        <f ca="1"/>
        <v>OK</v>
      </c>
    </row>
    <row r="8797" spans="2:34" x14ac:dyDescent="0.2">
      <c r="B8797" s="2">
        <f ca="1"/>
        <v>0.96462008968499546</v>
      </c>
      <c r="O8797" s="2">
        <f ca="1"/>
        <v>-0.32755307986067728</v>
      </c>
      <c r="X8797" s="2">
        <f ca="1"/>
        <v>56.441765974942115</v>
      </c>
      <c r="AG8797" s="2">
        <f ca="1"/>
        <v>0.39809043142445377</v>
      </c>
      <c r="AH8797" s="2" t="str">
        <f ca="1"/>
        <v>OK</v>
      </c>
    </row>
    <row r="8798" spans="2:34" x14ac:dyDescent="0.2">
      <c r="B8798" s="2">
        <f ca="1"/>
        <v>0.81631320021684783</v>
      </c>
      <c r="O8798" s="2">
        <f ca="1"/>
        <v>-0.26166849977082057</v>
      </c>
      <c r="X8798" s="2">
        <f ca="1"/>
        <v>35.471754104942569</v>
      </c>
      <c r="AG8798" s="2">
        <f ca="1"/>
        <v>0.16117706026700307</v>
      </c>
      <c r="AH8798" s="2" t="str">
        <f ca="1"/>
        <v>OK</v>
      </c>
    </row>
    <row r="8799" spans="2:34" x14ac:dyDescent="0.2">
      <c r="B8799" s="2">
        <f ca="1"/>
        <v>0.84384249745914275</v>
      </c>
      <c r="O8799" s="2">
        <f ca="1"/>
        <v>-1.4585706804900147</v>
      </c>
      <c r="X8799" s="2">
        <f ca="1"/>
        <v>42.362090594179982</v>
      </c>
      <c r="AG8799" s="2">
        <f ca="1"/>
        <v>0.49090418831208349</v>
      </c>
      <c r="AH8799" s="2" t="str">
        <f ca="1"/>
        <v>Bad</v>
      </c>
    </row>
    <row r="8800" spans="2:34" x14ac:dyDescent="0.2">
      <c r="B8800" s="2">
        <f ca="1"/>
        <v>0.4786750647555118</v>
      </c>
      <c r="O8800" s="2">
        <f ca="1"/>
        <v>-0.72690280489869774</v>
      </c>
      <c r="X8800" s="2">
        <f ca="1"/>
        <v>50.106132928260656</v>
      </c>
      <c r="AG8800" s="2">
        <f ca="1"/>
        <v>0.85511884640861213</v>
      </c>
      <c r="AH8800" s="2" t="str">
        <f ca="1"/>
        <v>Bad</v>
      </c>
    </row>
    <row r="8801" spans="2:34" x14ac:dyDescent="0.2">
      <c r="B8801" s="2">
        <f ca="1"/>
        <v>0.17304665244805473</v>
      </c>
      <c r="O8801" s="2">
        <f ca="1"/>
        <v>0.81128580850679077</v>
      </c>
      <c r="X8801" s="2">
        <f ca="1"/>
        <v>34.514125266540418</v>
      </c>
      <c r="AG8801" s="2">
        <f ca="1"/>
        <v>0.62020454727836616</v>
      </c>
      <c r="AH8801" s="2" t="str">
        <f ca="1"/>
        <v>Bad</v>
      </c>
    </row>
    <row r="8802" spans="2:34" x14ac:dyDescent="0.2">
      <c r="B8802" s="2">
        <f ca="1"/>
        <v>8.4247387174409827E-3</v>
      </c>
      <c r="O8802" s="2">
        <f ca="1"/>
        <v>-5.8408042839792999E-2</v>
      </c>
      <c r="X8802" s="2">
        <f ca="1"/>
        <v>54.493774347714314</v>
      </c>
      <c r="AG8802" s="2">
        <f ca="1"/>
        <v>3.4745023777844164E-2</v>
      </c>
      <c r="AH8802" s="2" t="str">
        <f ca="1"/>
        <v>Good</v>
      </c>
    </row>
    <row r="8803" spans="2:34" x14ac:dyDescent="0.2">
      <c r="B8803" s="2">
        <f ca="1"/>
        <v>0.61002656577095071</v>
      </c>
      <c r="O8803" s="2">
        <f ca="1"/>
        <v>-0.8006684890537864</v>
      </c>
      <c r="X8803" s="2">
        <f ca="1"/>
        <v>47.88857733356452</v>
      </c>
      <c r="AG8803" s="2">
        <f ca="1"/>
        <v>0.50448885287268119</v>
      </c>
      <c r="AH8803" s="2" t="str">
        <f ca="1"/>
        <v>Bad</v>
      </c>
    </row>
    <row r="8804" spans="2:34" x14ac:dyDescent="0.2">
      <c r="B8804" s="2">
        <f ca="1"/>
        <v>0.68126792564895111</v>
      </c>
      <c r="O8804" s="2">
        <f ca="1"/>
        <v>1.7019870770870658</v>
      </c>
      <c r="X8804" s="2">
        <f ca="1"/>
        <v>90.241111332772419</v>
      </c>
      <c r="AG8804" s="2">
        <f ca="1"/>
        <v>0.98676840214264216</v>
      </c>
      <c r="AH8804" s="2" t="str">
        <f ca="1"/>
        <v>Bad</v>
      </c>
    </row>
    <row r="8805" spans="2:34" x14ac:dyDescent="0.2">
      <c r="B8805" s="2">
        <f ca="1"/>
        <v>0.56264967750385941</v>
      </c>
      <c r="O8805" s="2">
        <f ca="1"/>
        <v>-9.1243204411229194E-3</v>
      </c>
      <c r="X8805" s="2">
        <f ca="1"/>
        <v>51.307425273685112</v>
      </c>
      <c r="AG8805" s="2">
        <f ca="1"/>
        <v>0.68596862629122368</v>
      </c>
      <c r="AH8805" s="2" t="str">
        <f ca="1"/>
        <v>Bad</v>
      </c>
    </row>
    <row r="8806" spans="2:34" x14ac:dyDescent="0.2">
      <c r="B8806" s="2">
        <f ca="1"/>
        <v>4.6194417043493141E-2</v>
      </c>
      <c r="O8806" s="2">
        <f ca="1"/>
        <v>1.1992252411700433</v>
      </c>
      <c r="X8806" s="2">
        <f ca="1"/>
        <v>50.422855674387662</v>
      </c>
      <c r="AG8806" s="2">
        <f ca="1"/>
        <v>0.71213543422305592</v>
      </c>
      <c r="AH8806" s="2" t="str">
        <f ca="1"/>
        <v>Bad</v>
      </c>
    </row>
    <row r="8807" spans="2:34" x14ac:dyDescent="0.2">
      <c r="B8807" s="2">
        <f ca="1"/>
        <v>0.27576653560732756</v>
      </c>
      <c r="O8807" s="2">
        <f ca="1"/>
        <v>-0.63660801756496588</v>
      </c>
      <c r="X8807" s="2">
        <f ca="1"/>
        <v>57.602156519331331</v>
      </c>
      <c r="AG8807" s="2">
        <f ca="1"/>
        <v>0.58240546921461567</v>
      </c>
      <c r="AH8807" s="2" t="str">
        <f ca="1"/>
        <v>Bad</v>
      </c>
    </row>
    <row r="8808" spans="2:34" x14ac:dyDescent="0.2">
      <c r="B8808" s="2">
        <f ca="1"/>
        <v>0.21234758433987033</v>
      </c>
      <c r="O8808" s="2">
        <f ca="1"/>
        <v>-0.41996370845763203</v>
      </c>
      <c r="X8808" s="2">
        <f ca="1"/>
        <v>48.914529112169078</v>
      </c>
      <c r="AG8808" s="2">
        <f ca="1"/>
        <v>0.34443661285608673</v>
      </c>
      <c r="AH8808" s="2" t="str">
        <f ca="1"/>
        <v>OK</v>
      </c>
    </row>
    <row r="8809" spans="2:34" x14ac:dyDescent="0.2">
      <c r="B8809" s="2">
        <f ca="1"/>
        <v>9.9755599681908835E-2</v>
      </c>
      <c r="O8809" s="2">
        <f ca="1"/>
        <v>6.0407360494596031E-2</v>
      </c>
      <c r="X8809" s="2">
        <f ca="1"/>
        <v>44.922226886723358</v>
      </c>
      <c r="AG8809" s="2">
        <f ca="1"/>
        <v>9.2100883265513911E-2</v>
      </c>
      <c r="AH8809" s="2" t="str">
        <f ca="1"/>
        <v>OK</v>
      </c>
    </row>
    <row r="8810" spans="2:34" x14ac:dyDescent="0.2">
      <c r="B8810" s="2">
        <f ca="1"/>
        <v>0.64614040710736353</v>
      </c>
      <c r="O8810" s="2">
        <f ca="1"/>
        <v>-0.67617605809049575</v>
      </c>
      <c r="X8810" s="2">
        <f ca="1"/>
        <v>41.023334107013284</v>
      </c>
      <c r="AG8810" s="2">
        <f ca="1"/>
        <v>3.5858024669574329E-2</v>
      </c>
      <c r="AH8810" s="2" t="str">
        <f ca="1"/>
        <v>Good</v>
      </c>
    </row>
    <row r="8811" spans="2:34" x14ac:dyDescent="0.2">
      <c r="B8811" s="2">
        <f ca="1"/>
        <v>0.55769024990612159</v>
      </c>
      <c r="O8811" s="2">
        <f ca="1"/>
        <v>1.2536925867508082</v>
      </c>
      <c r="X8811" s="2">
        <f ca="1"/>
        <v>63.609022538135278</v>
      </c>
      <c r="AG8811" s="2">
        <f ca="1"/>
        <v>0.68354073373755919</v>
      </c>
      <c r="AH8811" s="2" t="str">
        <f ca="1"/>
        <v>Bad</v>
      </c>
    </row>
    <row r="8812" spans="2:34" x14ac:dyDescent="0.2">
      <c r="B8812" s="2">
        <f ca="1"/>
        <v>4.2049960090499328E-2</v>
      </c>
      <c r="O8812" s="2">
        <f ca="1"/>
        <v>-0.29886915259710428</v>
      </c>
      <c r="X8812" s="2">
        <f ca="1"/>
        <v>36.832350220584352</v>
      </c>
      <c r="AG8812" s="2">
        <f ca="1"/>
        <v>4.2035695431806408E-2</v>
      </c>
      <c r="AH8812" s="2" t="str">
        <f ca="1"/>
        <v>Good</v>
      </c>
    </row>
    <row r="8813" spans="2:34" x14ac:dyDescent="0.2">
      <c r="B8813" s="2">
        <f ca="1"/>
        <v>0.8778741542431916</v>
      </c>
      <c r="O8813" s="2">
        <f ca="1"/>
        <v>1.1309715443008743</v>
      </c>
      <c r="X8813" s="2">
        <f ca="1"/>
        <v>83.639911210511571</v>
      </c>
      <c r="AG8813" s="2">
        <f ca="1"/>
        <v>0.72293180326747408</v>
      </c>
      <c r="AH8813" s="2" t="str">
        <f ca="1"/>
        <v>Bad</v>
      </c>
    </row>
    <row r="8814" spans="2:34" x14ac:dyDescent="0.2">
      <c r="B8814" s="2">
        <f ca="1"/>
        <v>0.86780484541431013</v>
      </c>
      <c r="O8814" s="2">
        <f ca="1"/>
        <v>0.65735085536589155</v>
      </c>
      <c r="X8814" s="2">
        <f ca="1"/>
        <v>46.406166250582928</v>
      </c>
      <c r="AG8814" s="2">
        <f ca="1"/>
        <v>0.64657630788851495</v>
      </c>
      <c r="AH8814" s="2" t="str">
        <f ca="1"/>
        <v>Bad</v>
      </c>
    </row>
    <row r="8815" spans="2:34" x14ac:dyDescent="0.2">
      <c r="B8815" s="2">
        <f ca="1"/>
        <v>0.13517513788334856</v>
      </c>
      <c r="O8815" s="2">
        <f ca="1"/>
        <v>1.9658077138360948</v>
      </c>
      <c r="X8815" s="2">
        <f ca="1"/>
        <v>39.948185251446404</v>
      </c>
      <c r="AG8815" s="2">
        <f ca="1"/>
        <v>9.2952173056719545E-3</v>
      </c>
      <c r="AH8815" s="2" t="str">
        <f ca="1"/>
        <v>Good</v>
      </c>
    </row>
    <row r="8816" spans="2:34" x14ac:dyDescent="0.2">
      <c r="B8816" s="2">
        <f ca="1"/>
        <v>0.24268392827069896</v>
      </c>
      <c r="O8816" s="2">
        <f ca="1"/>
        <v>1.1944742181314263</v>
      </c>
      <c r="X8816" s="2">
        <f ca="1"/>
        <v>54.95578879831254</v>
      </c>
      <c r="AG8816" s="2">
        <f ca="1"/>
        <v>0.5163137023555715</v>
      </c>
      <c r="AH8816" s="2" t="str">
        <f ca="1"/>
        <v>Bad</v>
      </c>
    </row>
    <row r="8817" spans="2:34" x14ac:dyDescent="0.2">
      <c r="B8817" s="2">
        <f ca="1"/>
        <v>7.6811822247561556E-2</v>
      </c>
      <c r="O8817" s="2">
        <f ca="1"/>
        <v>-0.95713069091518921</v>
      </c>
      <c r="X8817" s="2">
        <f ca="1"/>
        <v>37.355327549285789</v>
      </c>
      <c r="AG8817" s="2">
        <f ca="1"/>
        <v>0.55125419674497111</v>
      </c>
      <c r="AH8817" s="2" t="str">
        <f ca="1"/>
        <v>Bad</v>
      </c>
    </row>
    <row r="8818" spans="2:34" x14ac:dyDescent="0.2">
      <c r="B8818" s="2">
        <f ca="1"/>
        <v>0.58706052846054368</v>
      </c>
      <c r="O8818" s="2">
        <f ca="1"/>
        <v>1.3581947816153301</v>
      </c>
      <c r="X8818" s="2">
        <f ca="1"/>
        <v>40.449961680200701</v>
      </c>
      <c r="AG8818" s="2">
        <f ca="1"/>
        <v>0.19782790256669758</v>
      </c>
      <c r="AH8818" s="2" t="str">
        <f ca="1"/>
        <v>OK</v>
      </c>
    </row>
    <row r="8819" spans="2:34" x14ac:dyDescent="0.2">
      <c r="B8819" s="2">
        <f ca="1"/>
        <v>0.41506671685857555</v>
      </c>
      <c r="O8819" s="2">
        <f ca="1"/>
        <v>-1.1641797257288673</v>
      </c>
      <c r="X8819" s="2">
        <f ca="1"/>
        <v>50.797503692818168</v>
      </c>
      <c r="AG8819" s="2">
        <f ca="1"/>
        <v>0.41992640337049791</v>
      </c>
      <c r="AH8819" s="2" t="str">
        <f ca="1"/>
        <v>Bad</v>
      </c>
    </row>
    <row r="8820" spans="2:34" x14ac:dyDescent="0.2">
      <c r="B8820" s="2">
        <f ca="1"/>
        <v>0.72123256394844226</v>
      </c>
      <c r="O8820" s="2">
        <f ca="1"/>
        <v>1.0789240924197514</v>
      </c>
      <c r="X8820" s="2">
        <f ca="1"/>
        <v>50.608933217573849</v>
      </c>
      <c r="AG8820" s="2">
        <f ca="1"/>
        <v>0.64379065359688981</v>
      </c>
      <c r="AH8820" s="2" t="str">
        <f ca="1"/>
        <v>Bad</v>
      </c>
    </row>
    <row r="8821" spans="2:34" x14ac:dyDescent="0.2">
      <c r="B8821" s="2">
        <f ca="1"/>
        <v>0.84719873323232808</v>
      </c>
      <c r="O8821" s="2">
        <f ca="1"/>
        <v>-0.35894563333873825</v>
      </c>
      <c r="X8821" s="2">
        <f ca="1"/>
        <v>52.07654332927472</v>
      </c>
      <c r="AG8821" s="2">
        <f ca="1"/>
        <v>0.3458276912102809</v>
      </c>
      <c r="AH8821" s="2" t="str">
        <f ca="1"/>
        <v>OK</v>
      </c>
    </row>
    <row r="8822" spans="2:34" x14ac:dyDescent="0.2">
      <c r="B8822" s="2">
        <f ca="1"/>
        <v>0.29674624814534778</v>
      </c>
      <c r="O8822" s="2">
        <f ca="1"/>
        <v>-0.27508222962536405</v>
      </c>
      <c r="X8822" s="2">
        <f ca="1"/>
        <v>53.642286164460124</v>
      </c>
      <c r="AG8822" s="2">
        <f ca="1"/>
        <v>0.94019050997010201</v>
      </c>
      <c r="AH8822" s="2" t="str">
        <f ca="1"/>
        <v>Bad</v>
      </c>
    </row>
    <row r="8823" spans="2:34" x14ac:dyDescent="0.2">
      <c r="B8823" s="2">
        <f ca="1"/>
        <v>0.33929686069519782</v>
      </c>
      <c r="O8823" s="2">
        <f ca="1"/>
        <v>6.9341230774004559E-2</v>
      </c>
      <c r="X8823" s="2">
        <f ca="1"/>
        <v>22.797506042776675</v>
      </c>
      <c r="AG8823" s="2">
        <f ca="1"/>
        <v>0.3095811071701069</v>
      </c>
      <c r="AH8823" s="2" t="str">
        <f ca="1"/>
        <v>OK</v>
      </c>
    </row>
    <row r="8824" spans="2:34" x14ac:dyDescent="0.2">
      <c r="B8824" s="2">
        <f ca="1"/>
        <v>0.89447073003884503</v>
      </c>
      <c r="O8824" s="2">
        <f ca="1"/>
        <v>-0.61928677716329539</v>
      </c>
      <c r="X8824" s="2">
        <f ca="1"/>
        <v>41.719892624526366</v>
      </c>
      <c r="AG8824" s="2">
        <f ca="1"/>
        <v>0.44614684666019189</v>
      </c>
      <c r="AH8824" s="2" t="str">
        <f ca="1"/>
        <v>Bad</v>
      </c>
    </row>
    <row r="8825" spans="2:34" x14ac:dyDescent="0.2">
      <c r="B8825" s="2">
        <f ca="1"/>
        <v>0.76544722374659857</v>
      </c>
      <c r="O8825" s="2">
        <f ca="1"/>
        <v>-4.034049127991262E-2</v>
      </c>
      <c r="X8825" s="2">
        <f ca="1"/>
        <v>31.291627795029701</v>
      </c>
      <c r="AG8825" s="2">
        <f ca="1"/>
        <v>0.1751366996694852</v>
      </c>
      <c r="AH8825" s="2" t="str">
        <f ca="1"/>
        <v>OK</v>
      </c>
    </row>
    <row r="8826" spans="2:34" x14ac:dyDescent="0.2">
      <c r="B8826" s="2">
        <f ca="1"/>
        <v>0.84322759604255348</v>
      </c>
      <c r="O8826" s="2">
        <f ca="1"/>
        <v>0.29037808135854459</v>
      </c>
      <c r="X8826" s="2">
        <f ca="1"/>
        <v>32.705805181381471</v>
      </c>
      <c r="AG8826" s="2">
        <f ca="1"/>
        <v>0.99839137810226264</v>
      </c>
      <c r="AH8826" s="2" t="str">
        <f ca="1"/>
        <v>Bad</v>
      </c>
    </row>
    <row r="8827" spans="2:34" x14ac:dyDescent="0.2">
      <c r="B8827" s="2">
        <f ca="1"/>
        <v>0.38745085110368715</v>
      </c>
      <c r="O8827" s="2">
        <f ca="1"/>
        <v>-0.88090973709513098</v>
      </c>
      <c r="X8827" s="2">
        <f ca="1"/>
        <v>50.891473456240668</v>
      </c>
      <c r="AG8827" s="2">
        <f ca="1"/>
        <v>0.26781129159017691</v>
      </c>
      <c r="AH8827" s="2" t="str">
        <f ca="1"/>
        <v>OK</v>
      </c>
    </row>
    <row r="8828" spans="2:34" x14ac:dyDescent="0.2">
      <c r="B8828" s="2">
        <f ca="1"/>
        <v>0.71488478055980909</v>
      </c>
      <c r="O8828" s="2">
        <f ca="1"/>
        <v>-0.82023780646031585</v>
      </c>
      <c r="X8828" s="2">
        <f ca="1"/>
        <v>66.597656576235863</v>
      </c>
      <c r="AG8828" s="2">
        <f ca="1"/>
        <v>0.96535585324782636</v>
      </c>
      <c r="AH8828" s="2" t="str">
        <f ca="1"/>
        <v>Bad</v>
      </c>
    </row>
    <row r="8829" spans="2:34" x14ac:dyDescent="0.2">
      <c r="B8829" s="2">
        <f ca="1"/>
        <v>0.57503042698243356</v>
      </c>
      <c r="O8829" s="2">
        <f ca="1"/>
        <v>-1.8579723667111256</v>
      </c>
      <c r="X8829" s="2">
        <f ca="1"/>
        <v>48.17238740198227</v>
      </c>
      <c r="AG8829" s="2">
        <f ca="1"/>
        <v>3.6567686523355736E-2</v>
      </c>
      <c r="AH8829" s="2" t="str">
        <f ca="1"/>
        <v>Good</v>
      </c>
    </row>
    <row r="8830" spans="2:34" x14ac:dyDescent="0.2">
      <c r="B8830" s="2">
        <f ca="1"/>
        <v>0.79421530993224465</v>
      </c>
      <c r="O8830" s="2">
        <f ca="1"/>
        <v>-0.41755269875530293</v>
      </c>
      <c r="X8830" s="2">
        <f ca="1"/>
        <v>68.896969697205378</v>
      </c>
      <c r="AG8830" s="2">
        <f ca="1"/>
        <v>0.47499189670022646</v>
      </c>
      <c r="AH8830" s="2" t="str">
        <f ca="1"/>
        <v>Bad</v>
      </c>
    </row>
    <row r="8831" spans="2:34" x14ac:dyDescent="0.2">
      <c r="B8831" s="2">
        <f ca="1"/>
        <v>0.36996086721147892</v>
      </c>
      <c r="O8831" s="2">
        <f ca="1"/>
        <v>-1.1468913831173382</v>
      </c>
      <c r="X8831" s="2">
        <f ca="1"/>
        <v>35.506409643398499</v>
      </c>
      <c r="AG8831" s="2">
        <f ca="1"/>
        <v>0.12830591294603333</v>
      </c>
      <c r="AH8831" s="2" t="str">
        <f ca="1"/>
        <v>OK</v>
      </c>
    </row>
    <row r="8832" spans="2:34" x14ac:dyDescent="0.2">
      <c r="B8832" s="2">
        <f ca="1"/>
        <v>0.69029637769999974</v>
      </c>
      <c r="O8832" s="2">
        <f ca="1"/>
        <v>-1.4483835033699823</v>
      </c>
      <c r="X8832" s="2">
        <f ca="1"/>
        <v>50.83796587174173</v>
      </c>
      <c r="AG8832" s="2">
        <f ca="1"/>
        <v>0.82422520079123163</v>
      </c>
      <c r="AH8832" s="2" t="str">
        <f ca="1"/>
        <v>Bad</v>
      </c>
    </row>
    <row r="8833" spans="2:34" x14ac:dyDescent="0.2">
      <c r="B8833" s="2">
        <f ca="1"/>
        <v>0.59533837116541588</v>
      </c>
      <c r="O8833" s="2">
        <f ca="1"/>
        <v>0.9021469871363369</v>
      </c>
      <c r="X8833" s="2">
        <f ca="1"/>
        <v>42.308308463471988</v>
      </c>
      <c r="AG8833" s="2">
        <f ca="1"/>
        <v>4.7206153140242124E-2</v>
      </c>
      <c r="AH8833" s="2" t="str">
        <f ca="1"/>
        <v>Good</v>
      </c>
    </row>
    <row r="8834" spans="2:34" x14ac:dyDescent="0.2">
      <c r="B8834" s="2">
        <f ca="1"/>
        <v>0.21097566382275024</v>
      </c>
      <c r="O8834" s="2">
        <f ca="1"/>
        <v>0.40821234444068494</v>
      </c>
      <c r="X8834" s="2">
        <f ca="1"/>
        <v>59.169380618783869</v>
      </c>
      <c r="AG8834" s="2">
        <f ca="1"/>
        <v>0.42582454664952407</v>
      </c>
      <c r="AH8834" s="2" t="str">
        <f ca="1"/>
        <v>Bad</v>
      </c>
    </row>
    <row r="8835" spans="2:34" x14ac:dyDescent="0.2">
      <c r="B8835" s="2">
        <f ca="1"/>
        <v>0.86736785126313354</v>
      </c>
      <c r="O8835" s="2">
        <f ca="1"/>
        <v>0.31633149708050268</v>
      </c>
      <c r="X8835" s="2">
        <f ca="1"/>
        <v>28.963187933272234</v>
      </c>
      <c r="AG8835" s="2">
        <f ca="1"/>
        <v>0.11388852995990129</v>
      </c>
      <c r="AH8835" s="2" t="str">
        <f ca="1"/>
        <v>OK</v>
      </c>
    </row>
    <row r="8836" spans="2:34" x14ac:dyDescent="0.2">
      <c r="B8836" s="2">
        <f ca="1"/>
        <v>0.56341626420814173</v>
      </c>
      <c r="O8836" s="2">
        <f ca="1"/>
        <v>0.35273327297294021</v>
      </c>
      <c r="X8836" s="2">
        <f ca="1"/>
        <v>71.57015675138274</v>
      </c>
      <c r="AG8836" s="2">
        <f ca="1"/>
        <v>0.75473459718260072</v>
      </c>
      <c r="AH8836" s="2" t="str">
        <f ca="1"/>
        <v>Bad</v>
      </c>
    </row>
    <row r="8837" spans="2:34" x14ac:dyDescent="0.2">
      <c r="B8837" s="2">
        <f ca="1"/>
        <v>0.32442427591385958</v>
      </c>
      <c r="O8837" s="2">
        <f ca="1"/>
        <v>-0.1268853520797136</v>
      </c>
      <c r="X8837" s="2">
        <f ca="1"/>
        <v>38.349110967766357</v>
      </c>
      <c r="AG8837" s="2">
        <f ca="1"/>
        <v>0.92173480998864887</v>
      </c>
      <c r="AH8837" s="2" t="str">
        <f ca="1"/>
        <v>Bad</v>
      </c>
    </row>
    <row r="8838" spans="2:34" x14ac:dyDescent="0.2">
      <c r="B8838" s="2">
        <f ca="1"/>
        <v>7.7134748463658642E-3</v>
      </c>
      <c r="O8838" s="2">
        <f ca="1"/>
        <v>0.39165892799628793</v>
      </c>
      <c r="X8838" s="2">
        <f ca="1"/>
        <v>57.273856908788865</v>
      </c>
      <c r="AG8838" s="2">
        <f ca="1"/>
        <v>0.874562113891167</v>
      </c>
      <c r="AH8838" s="2" t="str">
        <f ca="1"/>
        <v>Bad</v>
      </c>
    </row>
    <row r="8839" spans="2:34" x14ac:dyDescent="0.2">
      <c r="B8839" s="2">
        <f ca="1"/>
        <v>0.40394482338736304</v>
      </c>
      <c r="O8839" s="2">
        <f ca="1"/>
        <v>-0.3088769747658282</v>
      </c>
      <c r="X8839" s="2">
        <f ca="1"/>
        <v>54.4847531809109</v>
      </c>
      <c r="AG8839" s="2">
        <f ca="1"/>
        <v>0.81486696513362777</v>
      </c>
      <c r="AH8839" s="2" t="str">
        <f ca="1"/>
        <v>Bad</v>
      </c>
    </row>
    <row r="8840" spans="2:34" x14ac:dyDescent="0.2">
      <c r="B8840" s="2">
        <f ca="1"/>
        <v>0.44110145413515234</v>
      </c>
      <c r="O8840" s="2">
        <f ca="1"/>
        <v>0.29636809574113976</v>
      </c>
      <c r="X8840" s="2">
        <f ca="1"/>
        <v>35.269746267213073</v>
      </c>
      <c r="AG8840" s="2">
        <f ca="1"/>
        <v>0.68003679205958578</v>
      </c>
      <c r="AH8840" s="2" t="str">
        <f ca="1"/>
        <v>Bad</v>
      </c>
    </row>
    <row r="8841" spans="2:34" x14ac:dyDescent="0.2">
      <c r="B8841" s="2">
        <f ca="1"/>
        <v>0.44493882741920987</v>
      </c>
      <c r="O8841" s="2">
        <f ca="1"/>
        <v>-0.67666706854701808</v>
      </c>
      <c r="X8841" s="2">
        <f ca="1"/>
        <v>36.769506230054731</v>
      </c>
      <c r="AG8841" s="2">
        <f ca="1"/>
        <v>0.43328589370110748</v>
      </c>
      <c r="AH8841" s="2" t="str">
        <f ca="1"/>
        <v>Bad</v>
      </c>
    </row>
    <row r="8842" spans="2:34" x14ac:dyDescent="0.2">
      <c r="B8842" s="2">
        <f ca="1"/>
        <v>0.97960093637888113</v>
      </c>
      <c r="O8842" s="2">
        <f ca="1"/>
        <v>0.72936512830887501</v>
      </c>
      <c r="X8842" s="2">
        <f ca="1"/>
        <v>62.636300523458281</v>
      </c>
      <c r="AG8842" s="2">
        <f ca="1"/>
        <v>0.20812097860869438</v>
      </c>
      <c r="AH8842" s="2" t="str">
        <f ca="1"/>
        <v>OK</v>
      </c>
    </row>
    <row r="8843" spans="2:34" x14ac:dyDescent="0.2">
      <c r="B8843" s="2">
        <f ca="1"/>
        <v>0.34903086657396543</v>
      </c>
      <c r="O8843" s="2">
        <f ca="1"/>
        <v>-0.34422458805526168</v>
      </c>
      <c r="X8843" s="2">
        <f ca="1"/>
        <v>31.898093810073096</v>
      </c>
      <c r="AG8843" s="2">
        <f ca="1"/>
        <v>0.69642491413766994</v>
      </c>
      <c r="AH8843" s="2" t="str">
        <f ca="1"/>
        <v>Bad</v>
      </c>
    </row>
    <row r="8844" spans="2:34" x14ac:dyDescent="0.2">
      <c r="B8844" s="2">
        <f ca="1"/>
        <v>0.12889620322729178</v>
      </c>
      <c r="O8844" s="2">
        <f ca="1"/>
        <v>1.5410869876543978</v>
      </c>
      <c r="X8844" s="2">
        <f ca="1"/>
        <v>46.746444447518996</v>
      </c>
      <c r="AG8844" s="2">
        <f ca="1"/>
        <v>0.25636447378756233</v>
      </c>
      <c r="AH8844" s="2" t="str">
        <f ca="1"/>
        <v>OK</v>
      </c>
    </row>
    <row r="8845" spans="2:34" x14ac:dyDescent="0.2">
      <c r="B8845" s="2">
        <f ca="1"/>
        <v>0.54490025389844665</v>
      </c>
      <c r="O8845" s="2">
        <f ca="1"/>
        <v>-0.98466065096128097</v>
      </c>
      <c r="X8845" s="2">
        <f ca="1"/>
        <v>54.654174935323411</v>
      </c>
      <c r="AG8845" s="2">
        <f ca="1"/>
        <v>0.67214906859607382</v>
      </c>
      <c r="AH8845" s="2" t="str">
        <f ca="1"/>
        <v>Bad</v>
      </c>
    </row>
    <row r="8846" spans="2:34" x14ac:dyDescent="0.2">
      <c r="B8846" s="2">
        <f ca="1"/>
        <v>0.40736015088361466</v>
      </c>
      <c r="O8846" s="2">
        <f ca="1"/>
        <v>0.54263900292553746</v>
      </c>
      <c r="X8846" s="2">
        <f ca="1"/>
        <v>38.569656799343889</v>
      </c>
      <c r="AG8846" s="2">
        <f ca="1"/>
        <v>0.84312156382237746</v>
      </c>
      <c r="AH8846" s="2" t="str">
        <f ca="1"/>
        <v>Bad</v>
      </c>
    </row>
    <row r="8847" spans="2:34" x14ac:dyDescent="0.2">
      <c r="B8847" s="2">
        <f ca="1"/>
        <v>0.47288394511943066</v>
      </c>
      <c r="O8847" s="2">
        <f ca="1"/>
        <v>-0.26608340073427428</v>
      </c>
      <c r="X8847" s="2">
        <f ca="1"/>
        <v>48.455705593575317</v>
      </c>
      <c r="AG8847" s="2">
        <f ca="1"/>
        <v>0.75467528468189693</v>
      </c>
      <c r="AH8847" s="2" t="str">
        <f ca="1"/>
        <v>Bad</v>
      </c>
    </row>
    <row r="8848" spans="2:34" x14ac:dyDescent="0.2">
      <c r="B8848" s="2">
        <f ca="1"/>
        <v>0.41545633130144632</v>
      </c>
      <c r="O8848" s="2">
        <f ca="1"/>
        <v>0.25759017113299021</v>
      </c>
      <c r="X8848" s="2">
        <f ca="1"/>
        <v>50.647172843443691</v>
      </c>
      <c r="AG8848" s="2">
        <f ca="1"/>
        <v>0.75416306632899976</v>
      </c>
      <c r="AH8848" s="2" t="str">
        <f ca="1"/>
        <v>Bad</v>
      </c>
    </row>
    <row r="8849" spans="2:34" x14ac:dyDescent="0.2">
      <c r="B8849" s="2">
        <f ca="1"/>
        <v>0.73323951614030647</v>
      </c>
      <c r="O8849" s="2">
        <f ca="1"/>
        <v>-1.6348537758394719</v>
      </c>
      <c r="X8849" s="2">
        <f ca="1"/>
        <v>67.999931942722043</v>
      </c>
      <c r="AG8849" s="2">
        <f ca="1"/>
        <v>0.81952231283727883</v>
      </c>
      <c r="AH8849" s="2" t="str">
        <f ca="1"/>
        <v>Bad</v>
      </c>
    </row>
    <row r="8850" spans="2:34" x14ac:dyDescent="0.2">
      <c r="B8850" s="2">
        <f ca="1"/>
        <v>0.2570666285580081</v>
      </c>
      <c r="O8850" s="2">
        <f ca="1"/>
        <v>-0.9424072397125105</v>
      </c>
      <c r="X8850" s="2">
        <f ca="1"/>
        <v>58.945043576084338</v>
      </c>
      <c r="AG8850" s="2">
        <f ca="1"/>
        <v>0.8837865668080509</v>
      </c>
      <c r="AH8850" s="2" t="str">
        <f ca="1"/>
        <v>Bad</v>
      </c>
    </row>
    <row r="8851" spans="2:34" x14ac:dyDescent="0.2">
      <c r="B8851" s="2">
        <f ca="1"/>
        <v>0.64982541927091497</v>
      </c>
      <c r="O8851" s="2">
        <f ca="1"/>
        <v>1.495963134477835</v>
      </c>
      <c r="X8851" s="2">
        <f ca="1"/>
        <v>47.595660652216225</v>
      </c>
      <c r="AG8851" s="2">
        <f ca="1"/>
        <v>0.67501888623550066</v>
      </c>
      <c r="AH8851" s="2" t="str">
        <f ca="1"/>
        <v>Bad</v>
      </c>
    </row>
    <row r="8852" spans="2:34" x14ac:dyDescent="0.2">
      <c r="B8852" s="2">
        <f ca="1"/>
        <v>0.8612639656430805</v>
      </c>
      <c r="O8852" s="2">
        <f ca="1"/>
        <v>1.4859325184194696</v>
      </c>
      <c r="X8852" s="2">
        <f ca="1"/>
        <v>38.162486515677628</v>
      </c>
      <c r="AG8852" s="2">
        <f ca="1"/>
        <v>0.37824725741660381</v>
      </c>
      <c r="AH8852" s="2" t="str">
        <f ca="1"/>
        <v>OK</v>
      </c>
    </row>
    <row r="8853" spans="2:34" x14ac:dyDescent="0.2">
      <c r="B8853" s="2">
        <f ca="1"/>
        <v>0.8844098901884947</v>
      </c>
      <c r="O8853" s="2">
        <f ca="1"/>
        <v>-0.42924057115532638</v>
      </c>
      <c r="X8853" s="2">
        <f ca="1"/>
        <v>58.773853677262593</v>
      </c>
      <c r="AG8853" s="2">
        <f ca="1"/>
        <v>0.12043228871364131</v>
      </c>
      <c r="AH8853" s="2" t="str">
        <f ca="1"/>
        <v>OK</v>
      </c>
    </row>
    <row r="8854" spans="2:34" x14ac:dyDescent="0.2">
      <c r="B8854" s="2">
        <f ca="1"/>
        <v>0.58908083935567523</v>
      </c>
      <c r="O8854" s="2">
        <f ca="1"/>
        <v>1.4071887228115758</v>
      </c>
      <c r="X8854" s="2">
        <f ca="1"/>
        <v>42.671228180331113</v>
      </c>
      <c r="AG8854" s="2">
        <f ca="1"/>
        <v>1.2452842342859816E-2</v>
      </c>
      <c r="AH8854" s="2" t="str">
        <f ca="1"/>
        <v>Good</v>
      </c>
    </row>
    <row r="8855" spans="2:34" x14ac:dyDescent="0.2">
      <c r="B8855" s="2">
        <f ca="1"/>
        <v>0.6041024882038335</v>
      </c>
      <c r="O8855" s="2">
        <f ca="1"/>
        <v>1.7011811745579146</v>
      </c>
      <c r="X8855" s="2">
        <f ca="1"/>
        <v>32.139131514676961</v>
      </c>
      <c r="AG8855" s="2">
        <f ca="1"/>
        <v>0.96749816368119856</v>
      </c>
      <c r="AH8855" s="2" t="str">
        <f ca="1"/>
        <v>Bad</v>
      </c>
    </row>
    <row r="8856" spans="2:34" x14ac:dyDescent="0.2">
      <c r="B8856" s="2">
        <f ca="1"/>
        <v>0.41358976465156072</v>
      </c>
      <c r="O8856" s="2">
        <f ca="1"/>
        <v>0.19567118636314018</v>
      </c>
      <c r="X8856" s="2">
        <f ca="1"/>
        <v>54.761795857438059</v>
      </c>
      <c r="AG8856" s="2">
        <f ca="1"/>
        <v>0.63022301803000347</v>
      </c>
      <c r="AH8856" s="2" t="str">
        <f ca="1"/>
        <v>Bad</v>
      </c>
    </row>
    <row r="8857" spans="2:34" x14ac:dyDescent="0.2">
      <c r="B8857" s="2">
        <f ca="1"/>
        <v>0.38195807682555238</v>
      </c>
      <c r="O8857" s="2">
        <f ca="1"/>
        <v>-0.38352797971109281</v>
      </c>
      <c r="X8857" s="2">
        <f ca="1"/>
        <v>59.87392285339044</v>
      </c>
      <c r="AG8857" s="2">
        <f ca="1"/>
        <v>0.85466649666274863</v>
      </c>
      <c r="AH8857" s="2" t="str">
        <f ca="1"/>
        <v>Bad</v>
      </c>
    </row>
    <row r="8858" spans="2:34" x14ac:dyDescent="0.2">
      <c r="B8858" s="2">
        <f ca="1"/>
        <v>0.60783824774226436</v>
      </c>
      <c r="O8858" s="2">
        <f ca="1"/>
        <v>2.1538698542410102</v>
      </c>
      <c r="X8858" s="2">
        <f ca="1"/>
        <v>54.481150146355624</v>
      </c>
      <c r="AG8858" s="2">
        <f ca="1"/>
        <v>0.1466438202853908</v>
      </c>
      <c r="AH8858" s="2" t="str">
        <f ca="1"/>
        <v>OK</v>
      </c>
    </row>
    <row r="8859" spans="2:34" x14ac:dyDescent="0.2">
      <c r="B8859" s="2">
        <f ca="1"/>
        <v>0.62039032354283319</v>
      </c>
      <c r="O8859" s="2">
        <f ca="1"/>
        <v>1.0878080079218686</v>
      </c>
      <c r="X8859" s="2">
        <f ca="1"/>
        <v>62.780029431870766</v>
      </c>
      <c r="AG8859" s="2">
        <f ca="1"/>
        <v>0.99564056217603425</v>
      </c>
      <c r="AH8859" s="2" t="str">
        <f ca="1"/>
        <v>Bad</v>
      </c>
    </row>
    <row r="8860" spans="2:34" x14ac:dyDescent="0.2">
      <c r="B8860" s="2">
        <f ca="1"/>
        <v>0.92254881948760703</v>
      </c>
      <c r="O8860" s="2">
        <f ca="1"/>
        <v>0.13863524929868754</v>
      </c>
      <c r="X8860" s="2">
        <f ca="1"/>
        <v>84.115239528024262</v>
      </c>
      <c r="AG8860" s="2">
        <f ca="1"/>
        <v>0.60604701340790368</v>
      </c>
      <c r="AH8860" s="2" t="str">
        <f ca="1"/>
        <v>Bad</v>
      </c>
    </row>
    <row r="8861" spans="2:34" x14ac:dyDescent="0.2">
      <c r="B8861" s="2">
        <f ca="1"/>
        <v>0.75510625707477708</v>
      </c>
      <c r="O8861" s="2">
        <f ca="1"/>
        <v>0.66342094869250368</v>
      </c>
      <c r="X8861" s="2">
        <f ca="1"/>
        <v>49.479095858097153</v>
      </c>
      <c r="AG8861" s="2">
        <f ca="1"/>
        <v>0.87504883452221915</v>
      </c>
      <c r="AH8861" s="2" t="str">
        <f ca="1"/>
        <v>Bad</v>
      </c>
    </row>
    <row r="8862" spans="2:34" x14ac:dyDescent="0.2">
      <c r="B8862" s="2">
        <f ca="1"/>
        <v>0.82341318831808907</v>
      </c>
      <c r="O8862" s="2">
        <f ca="1"/>
        <v>-0.10030251264849029</v>
      </c>
      <c r="X8862" s="2">
        <f ca="1"/>
        <v>59.615682033915</v>
      </c>
      <c r="AG8862" s="2">
        <f ca="1"/>
        <v>0.29104741334600215</v>
      </c>
      <c r="AH8862" s="2" t="str">
        <f ca="1"/>
        <v>OK</v>
      </c>
    </row>
    <row r="8863" spans="2:34" x14ac:dyDescent="0.2">
      <c r="B8863" s="2">
        <f ca="1"/>
        <v>0.20179328236439664</v>
      </c>
      <c r="O8863" s="2">
        <f ca="1"/>
        <v>8.5426452578482401E-2</v>
      </c>
      <c r="X8863" s="2">
        <f ca="1"/>
        <v>37.509004757953683</v>
      </c>
      <c r="AG8863" s="2">
        <f ca="1"/>
        <v>0.88029994999119632</v>
      </c>
      <c r="AH8863" s="2" t="str">
        <f ca="1"/>
        <v>Bad</v>
      </c>
    </row>
    <row r="8864" spans="2:34" x14ac:dyDescent="0.2">
      <c r="B8864" s="2">
        <f ca="1"/>
        <v>0.10089318672904457</v>
      </c>
      <c r="O8864" s="2">
        <f ca="1"/>
        <v>-0.34131897852371645</v>
      </c>
      <c r="X8864" s="2">
        <f ca="1"/>
        <v>27.231308542774045</v>
      </c>
      <c r="AG8864" s="2">
        <f ca="1"/>
        <v>2.6086538341528742E-2</v>
      </c>
      <c r="AH8864" s="2" t="str">
        <f ca="1"/>
        <v>Good</v>
      </c>
    </row>
    <row r="8865" spans="2:34" x14ac:dyDescent="0.2">
      <c r="B8865" s="2">
        <f ca="1"/>
        <v>0.28986622177316357</v>
      </c>
      <c r="O8865" s="2">
        <f ca="1"/>
        <v>0.47619155614098868</v>
      </c>
      <c r="X8865" s="2">
        <f ca="1"/>
        <v>43.109405002717068</v>
      </c>
      <c r="AG8865" s="2">
        <f ca="1"/>
        <v>1.4157165956990791E-2</v>
      </c>
      <c r="AH8865" s="2" t="str">
        <f ca="1"/>
        <v>Good</v>
      </c>
    </row>
    <row r="8866" spans="2:34" x14ac:dyDescent="0.2">
      <c r="B8866" s="2">
        <f ca="1"/>
        <v>0.30254253609130299</v>
      </c>
      <c r="O8866" s="2">
        <f ca="1"/>
        <v>-0.67925373941606926</v>
      </c>
      <c r="X8866" s="2">
        <f ca="1"/>
        <v>51.590901442909328</v>
      </c>
      <c r="AG8866" s="2">
        <f ca="1"/>
        <v>0.84700141246842064</v>
      </c>
      <c r="AH8866" s="2" t="str">
        <f ca="1"/>
        <v>Bad</v>
      </c>
    </row>
    <row r="8867" spans="2:34" x14ac:dyDescent="0.2">
      <c r="B8867" s="2">
        <f ca="1"/>
        <v>0.25456064784161447</v>
      </c>
      <c r="O8867" s="2">
        <f ca="1"/>
        <v>0.86382824784864487</v>
      </c>
      <c r="X8867" s="2">
        <f ca="1"/>
        <v>57.012499290843309</v>
      </c>
      <c r="AG8867" s="2">
        <f ca="1"/>
        <v>0.11382575826490759</v>
      </c>
      <c r="AH8867" s="2" t="str">
        <f ca="1"/>
        <v>OK</v>
      </c>
    </row>
    <row r="8868" spans="2:34" x14ac:dyDescent="0.2">
      <c r="B8868" s="2">
        <f ca="1"/>
        <v>0.71292652077489405</v>
      </c>
      <c r="O8868" s="2">
        <f ca="1"/>
        <v>-2.6392119446196909</v>
      </c>
      <c r="X8868" s="2">
        <f ca="1"/>
        <v>34.088343650420185</v>
      </c>
      <c r="AG8868" s="2">
        <f ca="1"/>
        <v>9.4960332389684599E-2</v>
      </c>
      <c r="AH8868" s="2" t="str">
        <f ca="1"/>
        <v>OK</v>
      </c>
    </row>
    <row r="8869" spans="2:34" x14ac:dyDescent="0.2">
      <c r="B8869" s="2">
        <f ca="1"/>
        <v>0.19330343469176459</v>
      </c>
      <c r="O8869" s="2">
        <f ca="1"/>
        <v>0.19719850248740992</v>
      </c>
      <c r="X8869" s="2">
        <f ca="1"/>
        <v>51.770513052212905</v>
      </c>
      <c r="AG8869" s="2">
        <f ca="1"/>
        <v>0.1104259474413114</v>
      </c>
      <c r="AH8869" s="2" t="str">
        <f ca="1"/>
        <v>OK</v>
      </c>
    </row>
    <row r="8870" spans="2:34" x14ac:dyDescent="0.2">
      <c r="B8870" s="2">
        <f ca="1"/>
        <v>0.51571112598125479</v>
      </c>
      <c r="O8870" s="2">
        <f ca="1"/>
        <v>-2.3614598999839957</v>
      </c>
      <c r="X8870" s="2">
        <f ca="1"/>
        <v>33.228127598927493</v>
      </c>
      <c r="AG8870" s="2">
        <f ca="1"/>
        <v>0.62150593184564662</v>
      </c>
      <c r="AH8870" s="2" t="str">
        <f ca="1"/>
        <v>Bad</v>
      </c>
    </row>
    <row r="8871" spans="2:34" x14ac:dyDescent="0.2">
      <c r="B8871" s="2">
        <f ca="1"/>
        <v>0.12271006935392692</v>
      </c>
      <c r="O8871" s="2">
        <f ca="1"/>
        <v>-0.67260696344759874</v>
      </c>
      <c r="X8871" s="2">
        <f ca="1"/>
        <v>71.132141215414663</v>
      </c>
      <c r="AG8871" s="2">
        <f ca="1"/>
        <v>0.96365123980960754</v>
      </c>
      <c r="AH8871" s="2" t="str">
        <f ca="1"/>
        <v>Bad</v>
      </c>
    </row>
    <row r="8872" spans="2:34" x14ac:dyDescent="0.2">
      <c r="B8872" s="2">
        <f ca="1"/>
        <v>0.41472724583131693</v>
      </c>
      <c r="O8872" s="2">
        <f ca="1"/>
        <v>-0.48903563226023283</v>
      </c>
      <c r="X8872" s="2">
        <f ca="1"/>
        <v>55.122283674464079</v>
      </c>
      <c r="AG8872" s="2">
        <f ca="1"/>
        <v>0.26983502420065242</v>
      </c>
      <c r="AH8872" s="2" t="str">
        <f ca="1"/>
        <v>OK</v>
      </c>
    </row>
    <row r="8873" spans="2:34" x14ac:dyDescent="0.2">
      <c r="B8873" s="2">
        <f ca="1"/>
        <v>0.63693042936101629</v>
      </c>
      <c r="O8873" s="2">
        <f ca="1"/>
        <v>-5.3685690692797459E-2</v>
      </c>
      <c r="X8873" s="2">
        <f ca="1"/>
        <v>43.070609075337948</v>
      </c>
      <c r="AG8873" s="2">
        <f ca="1"/>
        <v>0.93939124330340307</v>
      </c>
      <c r="AH8873" s="2" t="str">
        <f ca="1"/>
        <v>Bad</v>
      </c>
    </row>
    <row r="8874" spans="2:34" x14ac:dyDescent="0.2">
      <c r="B8874" s="2">
        <f ca="1"/>
        <v>0.51033785604424997</v>
      </c>
      <c r="O8874" s="2">
        <f ca="1"/>
        <v>0.52358629499102283</v>
      </c>
      <c r="X8874" s="2">
        <f ca="1"/>
        <v>71.816638446717803</v>
      </c>
      <c r="AG8874" s="2">
        <f ca="1"/>
        <v>5.569651910489859E-2</v>
      </c>
      <c r="AH8874" s="2" t="str">
        <f ca="1"/>
        <v>OK</v>
      </c>
    </row>
    <row r="8875" spans="2:34" x14ac:dyDescent="0.2">
      <c r="B8875" s="2">
        <f ca="1"/>
        <v>0.61258443400069362</v>
      </c>
      <c r="O8875" s="2">
        <f ca="1"/>
        <v>0.7386852518066912</v>
      </c>
      <c r="X8875" s="2">
        <f ca="1"/>
        <v>42.958685134394628</v>
      </c>
      <c r="AG8875" s="2">
        <f ca="1"/>
        <v>0.73813740318349108</v>
      </c>
      <c r="AH8875" s="2" t="str">
        <f ca="1"/>
        <v>Bad</v>
      </c>
    </row>
    <row r="8876" spans="2:34" x14ac:dyDescent="0.2">
      <c r="B8876" s="2">
        <f ca="1"/>
        <v>0.50536604196908241</v>
      </c>
      <c r="O8876" s="2">
        <f ca="1"/>
        <v>1.3212917795283825</v>
      </c>
      <c r="X8876" s="2">
        <f ca="1"/>
        <v>54.839967458947569</v>
      </c>
      <c r="AG8876" s="2">
        <f ca="1"/>
        <v>0.28387496150729929</v>
      </c>
      <c r="AH8876" s="2" t="str">
        <f ca="1"/>
        <v>OK</v>
      </c>
    </row>
    <row r="8877" spans="2:34" x14ac:dyDescent="0.2">
      <c r="B8877" s="2">
        <f ca="1"/>
        <v>7.9682407154531454E-2</v>
      </c>
      <c r="O8877" s="2">
        <f ca="1"/>
        <v>-1.1806797699481502</v>
      </c>
      <c r="X8877" s="2">
        <f ca="1"/>
        <v>34.159691334198534</v>
      </c>
      <c r="AG8877" s="2">
        <f ca="1"/>
        <v>3.9696654565522405E-2</v>
      </c>
      <c r="AH8877" s="2" t="str">
        <f ca="1"/>
        <v>Good</v>
      </c>
    </row>
    <row r="8878" spans="2:34" x14ac:dyDescent="0.2">
      <c r="B8878" s="2">
        <f ca="1"/>
        <v>0.61183625293761756</v>
      </c>
      <c r="O8878" s="2">
        <f ca="1"/>
        <v>0.52567489044296845</v>
      </c>
      <c r="X8878" s="2">
        <f ca="1"/>
        <v>49.976921150545849</v>
      </c>
      <c r="AG8878" s="2">
        <f ca="1"/>
        <v>0.8883806029163186</v>
      </c>
      <c r="AH8878" s="2" t="str">
        <f ca="1"/>
        <v>Bad</v>
      </c>
    </row>
    <row r="8879" spans="2:34" x14ac:dyDescent="0.2">
      <c r="B8879" s="2">
        <f ca="1"/>
        <v>0.42632574736911977</v>
      </c>
      <c r="O8879" s="2">
        <f ca="1"/>
        <v>-0.81449133783905703</v>
      </c>
      <c r="X8879" s="2">
        <f ca="1"/>
        <v>38.485836079567321</v>
      </c>
      <c r="AG8879" s="2">
        <f ca="1"/>
        <v>0.75582435924625879</v>
      </c>
      <c r="AH8879" s="2" t="str">
        <f ca="1"/>
        <v>Bad</v>
      </c>
    </row>
    <row r="8880" spans="2:34" x14ac:dyDescent="0.2">
      <c r="B8880" s="2">
        <f ca="1"/>
        <v>0.52257096558292182</v>
      </c>
      <c r="O8880" s="2">
        <f ca="1"/>
        <v>-0.37766602072154892</v>
      </c>
      <c r="X8880" s="2">
        <f ca="1"/>
        <v>30.908196083514198</v>
      </c>
      <c r="AG8880" s="2">
        <f ca="1"/>
        <v>0.4646913069086176</v>
      </c>
      <c r="AH8880" s="2" t="str">
        <f ca="1"/>
        <v>Bad</v>
      </c>
    </row>
    <row r="8881" spans="2:34" x14ac:dyDescent="0.2">
      <c r="B8881" s="2">
        <f ca="1"/>
        <v>0.56744528874660616</v>
      </c>
      <c r="O8881" s="2">
        <f ca="1"/>
        <v>-0.41747147469130019</v>
      </c>
      <c r="X8881" s="2">
        <f ca="1"/>
        <v>35.854048531486235</v>
      </c>
      <c r="AG8881" s="2">
        <f ca="1"/>
        <v>0.42753608042271307</v>
      </c>
      <c r="AH8881" s="2" t="str">
        <f ca="1"/>
        <v>Bad</v>
      </c>
    </row>
    <row r="8882" spans="2:34" x14ac:dyDescent="0.2">
      <c r="B8882" s="2">
        <f ca="1"/>
        <v>0.32378465702482306</v>
      </c>
      <c r="O8882" s="2">
        <f ca="1"/>
        <v>-2.0825653208230053</v>
      </c>
      <c r="X8882" s="2">
        <f ca="1"/>
        <v>47.62368921594657</v>
      </c>
      <c r="AG8882" s="2">
        <f ca="1"/>
        <v>3.9437645343071814E-2</v>
      </c>
      <c r="AH8882" s="2" t="str">
        <f ca="1"/>
        <v>Good</v>
      </c>
    </row>
    <row r="8883" spans="2:34" x14ac:dyDescent="0.2">
      <c r="B8883" s="2">
        <f ca="1"/>
        <v>5.4655509350423293E-2</v>
      </c>
      <c r="O8883" s="2">
        <f ca="1"/>
        <v>-1.7383804311960291</v>
      </c>
      <c r="X8883" s="2">
        <f ca="1"/>
        <v>48.224976756794518</v>
      </c>
      <c r="AG8883" s="2">
        <f ca="1"/>
        <v>0.27696565056809885</v>
      </c>
      <c r="AH8883" s="2" t="str">
        <f ca="1"/>
        <v>OK</v>
      </c>
    </row>
    <row r="8884" spans="2:34" x14ac:dyDescent="0.2">
      <c r="B8884" s="2">
        <f ca="1"/>
        <v>0.20908277565765432</v>
      </c>
      <c r="O8884" s="2">
        <f ca="1"/>
        <v>-0.21553203873709265</v>
      </c>
      <c r="X8884" s="2">
        <f ca="1"/>
        <v>32.399785777886173</v>
      </c>
      <c r="AG8884" s="2">
        <f ca="1"/>
        <v>0.72921806756728458</v>
      </c>
      <c r="AH8884" s="2" t="str">
        <f ca="1"/>
        <v>Bad</v>
      </c>
    </row>
    <row r="8885" spans="2:34" x14ac:dyDescent="0.2">
      <c r="B8885" s="2">
        <f ca="1"/>
        <v>0.48902656687399859</v>
      </c>
      <c r="O8885" s="2">
        <f ca="1"/>
        <v>0.95843303013282044</v>
      </c>
      <c r="X8885" s="2">
        <f ca="1"/>
        <v>43.041795735457711</v>
      </c>
      <c r="AG8885" s="2">
        <f ca="1"/>
        <v>0.55289724266616513</v>
      </c>
      <c r="AH8885" s="2" t="str">
        <f ca="1"/>
        <v>Bad</v>
      </c>
    </row>
    <row r="8886" spans="2:34" x14ac:dyDescent="0.2">
      <c r="B8886" s="2">
        <f ca="1"/>
        <v>0.16263032129844124</v>
      </c>
      <c r="O8886" s="2">
        <f ca="1"/>
        <v>-6.7545582136639901E-2</v>
      </c>
      <c r="X8886" s="2">
        <f ca="1"/>
        <v>42.118988150910035</v>
      </c>
      <c r="AG8886" s="2">
        <f ca="1"/>
        <v>0.12989974248452185</v>
      </c>
      <c r="AH8886" s="2" t="str">
        <f ca="1"/>
        <v>OK</v>
      </c>
    </row>
    <row r="8887" spans="2:34" x14ac:dyDescent="0.2">
      <c r="B8887" s="2">
        <f ca="1"/>
        <v>0.48892519534538392</v>
      </c>
      <c r="O8887" s="2">
        <f ca="1"/>
        <v>-0.26009917958234974</v>
      </c>
      <c r="X8887" s="2">
        <f ca="1"/>
        <v>60.517431975402133</v>
      </c>
      <c r="AG8887" s="2">
        <f ca="1"/>
        <v>0.33268010501734002</v>
      </c>
      <c r="AH8887" s="2" t="str">
        <f ca="1"/>
        <v>OK</v>
      </c>
    </row>
    <row r="8888" spans="2:34" x14ac:dyDescent="0.2">
      <c r="B8888" s="2">
        <f ca="1"/>
        <v>0.80599770810884519</v>
      </c>
      <c r="O8888" s="2">
        <f ca="1"/>
        <v>-0.18775425402053705</v>
      </c>
      <c r="X8888" s="2">
        <f ca="1"/>
        <v>77.502500153848473</v>
      </c>
      <c r="AG8888" s="2">
        <f ca="1"/>
        <v>0.41206374681589675</v>
      </c>
      <c r="AH8888" s="2" t="str">
        <f ca="1"/>
        <v>Bad</v>
      </c>
    </row>
    <row r="8889" spans="2:34" x14ac:dyDescent="0.2">
      <c r="B8889" s="2">
        <f ca="1"/>
        <v>0.86481014624338459</v>
      </c>
      <c r="O8889" s="2">
        <f ca="1"/>
        <v>0.18443188838677235</v>
      </c>
      <c r="X8889" s="2">
        <f ca="1"/>
        <v>46.330436228675524</v>
      </c>
      <c r="AG8889" s="2">
        <f ca="1"/>
        <v>0.98712890563053057</v>
      </c>
      <c r="AH8889" s="2" t="str">
        <f ca="1"/>
        <v>Bad</v>
      </c>
    </row>
    <row r="8890" spans="2:34" x14ac:dyDescent="0.2">
      <c r="B8890" s="2">
        <f ca="1"/>
        <v>0.87148245433189331</v>
      </c>
      <c r="O8890" s="2">
        <f ca="1"/>
        <v>-0.69089776011961557</v>
      </c>
      <c r="X8890" s="2">
        <f ca="1"/>
        <v>52.518310341037179</v>
      </c>
      <c r="AG8890" s="2">
        <f ca="1"/>
        <v>0.19606219497611432</v>
      </c>
      <c r="AH8890" s="2" t="str">
        <f ca="1"/>
        <v>OK</v>
      </c>
    </row>
    <row r="8891" spans="2:34" x14ac:dyDescent="0.2">
      <c r="B8891" s="2">
        <f ca="1"/>
        <v>0.52355560313041805</v>
      </c>
      <c r="O8891" s="2">
        <f ca="1"/>
        <v>-0.97569436420601252</v>
      </c>
      <c r="X8891" s="2">
        <f ca="1"/>
        <v>35.089088038718437</v>
      </c>
      <c r="AG8891" s="2">
        <f ca="1"/>
        <v>0.90753285540339879</v>
      </c>
      <c r="AH8891" s="2" t="str">
        <f ca="1"/>
        <v>Bad</v>
      </c>
    </row>
    <row r="8892" spans="2:34" x14ac:dyDescent="0.2">
      <c r="B8892" s="2">
        <f ca="1"/>
        <v>0.93114212414318187</v>
      </c>
      <c r="O8892" s="2">
        <f ca="1"/>
        <v>-0.1988975894538606</v>
      </c>
      <c r="X8892" s="2">
        <f ca="1"/>
        <v>54.604106603686866</v>
      </c>
      <c r="AG8892" s="2">
        <f ca="1"/>
        <v>0.51434073561923332</v>
      </c>
      <c r="AH8892" s="2" t="str">
        <f ca="1"/>
        <v>Bad</v>
      </c>
    </row>
    <row r="8893" spans="2:34" x14ac:dyDescent="0.2">
      <c r="B8893" s="2">
        <f ca="1"/>
        <v>0.31327078985062884</v>
      </c>
      <c r="O8893" s="2">
        <f ca="1"/>
        <v>-0.59058237699348648</v>
      </c>
      <c r="X8893" s="2">
        <f ca="1"/>
        <v>62.175640934853782</v>
      </c>
      <c r="AG8893" s="2">
        <f ca="1"/>
        <v>0.66379001078002475</v>
      </c>
      <c r="AH8893" s="2" t="str">
        <f ca="1"/>
        <v>Bad</v>
      </c>
    </row>
    <row r="8894" spans="2:34" x14ac:dyDescent="0.2">
      <c r="B8894" s="2">
        <f ca="1"/>
        <v>0.70635333357328078</v>
      </c>
      <c r="O8894" s="2">
        <f ca="1"/>
        <v>0.74170285347922427</v>
      </c>
      <c r="X8894" s="2">
        <f ca="1"/>
        <v>102.36730048908936</v>
      </c>
      <c r="AG8894" s="2">
        <f ca="1"/>
        <v>0.30097741821153146</v>
      </c>
      <c r="AH8894" s="2" t="str">
        <f ca="1"/>
        <v>OK</v>
      </c>
    </row>
    <row r="8895" spans="2:34" x14ac:dyDescent="0.2">
      <c r="B8895" s="2">
        <f ca="1"/>
        <v>0.87417569411612206</v>
      </c>
      <c r="O8895" s="2">
        <f ca="1"/>
        <v>0.75319930942768676</v>
      </c>
      <c r="X8895" s="2">
        <f ca="1"/>
        <v>42.105790462498227</v>
      </c>
      <c r="AG8895" s="2">
        <f ca="1"/>
        <v>0.12225245807862439</v>
      </c>
      <c r="AH8895" s="2" t="str">
        <f ca="1"/>
        <v>OK</v>
      </c>
    </row>
    <row r="8896" spans="2:34" x14ac:dyDescent="0.2">
      <c r="B8896" s="2">
        <f ca="1"/>
        <v>8.7484702712146145E-3</v>
      </c>
      <c r="O8896" s="2">
        <f ca="1"/>
        <v>0.87592843530933218</v>
      </c>
      <c r="X8896" s="2">
        <f ca="1"/>
        <v>50.478900757038978</v>
      </c>
      <c r="AG8896" s="2">
        <f ca="1"/>
        <v>0.28366230789426261</v>
      </c>
      <c r="AH8896" s="2" t="str">
        <f ca="1"/>
        <v>OK</v>
      </c>
    </row>
    <row r="8897" spans="2:34" x14ac:dyDescent="0.2">
      <c r="B8897" s="2">
        <f ca="1"/>
        <v>0.13292344092874142</v>
      </c>
      <c r="O8897" s="2">
        <f ca="1"/>
        <v>-0.89797237520719964</v>
      </c>
      <c r="X8897" s="2">
        <f ca="1"/>
        <v>72.032903757581593</v>
      </c>
      <c r="AG8897" s="2">
        <f ca="1"/>
        <v>0.66917672495374725</v>
      </c>
      <c r="AH8897" s="2" t="str">
        <f ca="1"/>
        <v>Bad</v>
      </c>
    </row>
    <row r="8898" spans="2:34" x14ac:dyDescent="0.2">
      <c r="B8898" s="2">
        <f ca="1"/>
        <v>0.22198067116448206</v>
      </c>
      <c r="O8898" s="2">
        <f ca="1"/>
        <v>0.49710103735704575</v>
      </c>
      <c r="X8898" s="2">
        <f ca="1"/>
        <v>61.192215490915345</v>
      </c>
      <c r="AG8898" s="2">
        <f ca="1"/>
        <v>0.65196001571116913</v>
      </c>
      <c r="AH8898" s="2" t="str">
        <f ca="1"/>
        <v>Bad</v>
      </c>
    </row>
    <row r="8899" spans="2:34" x14ac:dyDescent="0.2">
      <c r="B8899" s="2">
        <f ca="1"/>
        <v>0.12555151639895157</v>
      </c>
      <c r="O8899" s="2">
        <f ca="1"/>
        <v>-0.40913135156920621</v>
      </c>
      <c r="X8899" s="2">
        <f ca="1"/>
        <v>48.873116830062955</v>
      </c>
      <c r="AG8899" s="2">
        <f ca="1"/>
        <v>0.38886172710551303</v>
      </c>
      <c r="AH8899" s="2" t="str">
        <f ca="1"/>
        <v>OK</v>
      </c>
    </row>
    <row r="8900" spans="2:34" x14ac:dyDescent="0.2">
      <c r="B8900" s="2">
        <f ca="1"/>
        <v>0.65182157011625752</v>
      </c>
      <c r="O8900" s="2">
        <f ca="1"/>
        <v>-4.775178459940669E-4</v>
      </c>
      <c r="X8900" s="2">
        <f ca="1"/>
        <v>70.885821141182134</v>
      </c>
      <c r="AG8900" s="2">
        <f ca="1"/>
        <v>0.24730169170000726</v>
      </c>
      <c r="AH8900" s="2" t="str">
        <f ca="1"/>
        <v>OK</v>
      </c>
    </row>
    <row r="8901" spans="2:34" x14ac:dyDescent="0.2">
      <c r="B8901" s="2">
        <f ca="1"/>
        <v>0.90130597319521644</v>
      </c>
      <c r="O8901" s="2">
        <f ca="1"/>
        <v>-1.4500102027397919</v>
      </c>
      <c r="X8901" s="2">
        <f ca="1"/>
        <v>69.532864413369865</v>
      </c>
      <c r="AG8901" s="2">
        <f ca="1"/>
        <v>0.58756472901146739</v>
      </c>
      <c r="AH8901" s="2" t="str">
        <f ca="1"/>
        <v>Bad</v>
      </c>
    </row>
    <row r="8902" spans="2:34" x14ac:dyDescent="0.2">
      <c r="B8902" s="2">
        <f ca="1"/>
        <v>4.7406706666059728E-2</v>
      </c>
      <c r="O8902" s="2">
        <f ca="1"/>
        <v>0.66266375758979124</v>
      </c>
      <c r="X8902" s="2">
        <f ca="1"/>
        <v>38.817458304196947</v>
      </c>
      <c r="AG8902" s="2">
        <f ca="1"/>
        <v>0.19405553092396466</v>
      </c>
      <c r="AH8902" s="2" t="str">
        <f ca="1"/>
        <v>OK</v>
      </c>
    </row>
    <row r="8903" spans="2:34" x14ac:dyDescent="0.2">
      <c r="B8903" s="2">
        <f ca="1"/>
        <v>0.45634671137142568</v>
      </c>
      <c r="O8903" s="2">
        <f ca="1"/>
        <v>1.1013236547938652</v>
      </c>
      <c r="X8903" s="2">
        <f ca="1"/>
        <v>73.431542492833245</v>
      </c>
      <c r="AG8903" s="2">
        <f ca="1"/>
        <v>0.22275930291705359</v>
      </c>
      <c r="AH8903" s="2" t="str">
        <f ca="1"/>
        <v>OK</v>
      </c>
    </row>
    <row r="8904" spans="2:34" x14ac:dyDescent="0.2">
      <c r="B8904" s="2">
        <f ca="1"/>
        <v>0.86344741496349164</v>
      </c>
      <c r="O8904" s="2">
        <f ca="1"/>
        <v>2.1113682247741372</v>
      </c>
      <c r="X8904" s="2">
        <f ca="1"/>
        <v>32.088180058886522</v>
      </c>
      <c r="AG8904" s="2">
        <f ca="1"/>
        <v>0.49469326243523493</v>
      </c>
      <c r="AH8904" s="2" t="str">
        <f ca="1"/>
        <v>Bad</v>
      </c>
    </row>
    <row r="8905" spans="2:34" x14ac:dyDescent="0.2">
      <c r="B8905" s="2">
        <f ca="1"/>
        <v>0.65370115044766619</v>
      </c>
      <c r="O8905" s="2">
        <f ca="1"/>
        <v>-1.4570687333931138</v>
      </c>
      <c r="X8905" s="2">
        <f ca="1"/>
        <v>49.888974684879557</v>
      </c>
      <c r="AG8905" s="2">
        <f ca="1"/>
        <v>0.74135592245583615</v>
      </c>
      <c r="AH8905" s="2" t="str">
        <f ca="1"/>
        <v>Bad</v>
      </c>
    </row>
    <row r="8906" spans="2:34" x14ac:dyDescent="0.2">
      <c r="B8906" s="2">
        <f ca="1"/>
        <v>0.93911769265462364</v>
      </c>
      <c r="O8906" s="2">
        <f ca="1"/>
        <v>-0.68199769864065729</v>
      </c>
      <c r="X8906" s="2">
        <f ca="1"/>
        <v>41.282601849632492</v>
      </c>
      <c r="AG8906" s="2">
        <f ca="1"/>
        <v>0.3379100380555442</v>
      </c>
      <c r="AH8906" s="2" t="str">
        <f ca="1"/>
        <v>OK</v>
      </c>
    </row>
    <row r="8907" spans="2:34" x14ac:dyDescent="0.2">
      <c r="B8907" s="2">
        <f ca="1"/>
        <v>0.44091074410278619</v>
      </c>
      <c r="O8907" s="2">
        <f ca="1"/>
        <v>-2.3777411754152111</v>
      </c>
      <c r="X8907" s="2">
        <f ca="1"/>
        <v>31.321758406635812</v>
      </c>
      <c r="AG8907" s="2">
        <f ca="1"/>
        <v>0.35401256992760111</v>
      </c>
      <c r="AH8907" s="2" t="str">
        <f ca="1"/>
        <v>OK</v>
      </c>
    </row>
    <row r="8908" spans="2:34" x14ac:dyDescent="0.2">
      <c r="B8908" s="2">
        <f ca="1"/>
        <v>1.4377035160830776E-2</v>
      </c>
      <c r="O8908" s="2">
        <f ca="1"/>
        <v>0.38123699283665236</v>
      </c>
      <c r="X8908" s="2">
        <f ca="1"/>
        <v>51.368780382851213</v>
      </c>
      <c r="AG8908" s="2">
        <f ca="1"/>
        <v>0.24350193294164146</v>
      </c>
      <c r="AH8908" s="2" t="str">
        <f ca="1"/>
        <v>OK</v>
      </c>
    </row>
    <row r="8909" spans="2:34" x14ac:dyDescent="0.2">
      <c r="B8909" s="2">
        <f ca="1"/>
        <v>0.58483301196930038</v>
      </c>
      <c r="O8909" s="2">
        <f ca="1"/>
        <v>0.25999502995989598</v>
      </c>
      <c r="X8909" s="2">
        <f ca="1"/>
        <v>34.633565955742561</v>
      </c>
      <c r="AG8909" s="2">
        <f ca="1"/>
        <v>0.42166792139162057</v>
      </c>
      <c r="AH8909" s="2" t="str">
        <f ca="1"/>
        <v>Bad</v>
      </c>
    </row>
    <row r="8910" spans="2:34" x14ac:dyDescent="0.2">
      <c r="B8910" s="2">
        <f ca="1"/>
        <v>0.93130825011414586</v>
      </c>
      <c r="O8910" s="2">
        <f ca="1"/>
        <v>-1.1197749249593618</v>
      </c>
      <c r="X8910" s="2">
        <f ca="1"/>
        <v>61.944015620197504</v>
      </c>
      <c r="AG8910" s="2">
        <f ca="1"/>
        <v>0.10554691580175479</v>
      </c>
      <c r="AH8910" s="2" t="str">
        <f ca="1"/>
        <v>OK</v>
      </c>
    </row>
    <row r="8911" spans="2:34" x14ac:dyDescent="0.2">
      <c r="B8911" s="2">
        <f ca="1"/>
        <v>0.46930111787987894</v>
      </c>
      <c r="O8911" s="2">
        <f ca="1"/>
        <v>0.25664588276679251</v>
      </c>
      <c r="X8911" s="2">
        <f ca="1"/>
        <v>56.338444178524398</v>
      </c>
      <c r="AG8911" s="2">
        <f ca="1"/>
        <v>0.48630722352984312</v>
      </c>
      <c r="AH8911" s="2" t="str">
        <f ca="1"/>
        <v>Bad</v>
      </c>
    </row>
    <row r="8912" spans="2:34" x14ac:dyDescent="0.2">
      <c r="B8912" s="2">
        <f ca="1"/>
        <v>0.40239923842974967</v>
      </c>
      <c r="O8912" s="2">
        <f ca="1"/>
        <v>0.84014182595658837</v>
      </c>
      <c r="X8912" s="2">
        <f ca="1"/>
        <v>50.285558097135031</v>
      </c>
      <c r="AG8912" s="2">
        <f ca="1"/>
        <v>0.7554398417637036</v>
      </c>
      <c r="AH8912" s="2" t="str">
        <f ca="1"/>
        <v>Bad</v>
      </c>
    </row>
    <row r="8913" spans="2:34" x14ac:dyDescent="0.2">
      <c r="B8913" s="2">
        <f ca="1"/>
        <v>7.8305943218392127E-2</v>
      </c>
      <c r="O8913" s="2">
        <f ca="1"/>
        <v>-0.28422269885633195</v>
      </c>
      <c r="X8913" s="2">
        <f ca="1"/>
        <v>58.966307263799543</v>
      </c>
      <c r="AG8913" s="2">
        <f ca="1"/>
        <v>0.61412163417669796</v>
      </c>
      <c r="AH8913" s="2" t="str">
        <f ca="1"/>
        <v>Bad</v>
      </c>
    </row>
    <row r="8914" spans="2:34" x14ac:dyDescent="0.2">
      <c r="B8914" s="2">
        <f ca="1"/>
        <v>8.185727231005191E-2</v>
      </c>
      <c r="O8914" s="2">
        <f ca="1"/>
        <v>0.35346155552039843</v>
      </c>
      <c r="X8914" s="2">
        <f ca="1"/>
        <v>84.592630761269589</v>
      </c>
      <c r="AG8914" s="2">
        <f ca="1"/>
        <v>0.88152302033594854</v>
      </c>
      <c r="AH8914" s="2" t="str">
        <f ca="1"/>
        <v>Bad</v>
      </c>
    </row>
    <row r="8915" spans="2:34" x14ac:dyDescent="0.2">
      <c r="B8915" s="2">
        <f ca="1"/>
        <v>0.67586616125273102</v>
      </c>
      <c r="O8915" s="2">
        <f ca="1"/>
        <v>-0.32324373419376806</v>
      </c>
      <c r="X8915" s="2">
        <f ca="1"/>
        <v>24.477283480949652</v>
      </c>
      <c r="AG8915" s="2">
        <f ca="1"/>
        <v>0.35605825593497409</v>
      </c>
      <c r="AH8915" s="2" t="str">
        <f ca="1"/>
        <v>OK</v>
      </c>
    </row>
    <row r="8916" spans="2:34" x14ac:dyDescent="0.2">
      <c r="B8916" s="2">
        <f ca="1"/>
        <v>0.69011275648179349</v>
      </c>
      <c r="O8916" s="2">
        <f ca="1"/>
        <v>0.22793987851942993</v>
      </c>
      <c r="X8916" s="2">
        <f ca="1"/>
        <v>38.743997205433253</v>
      </c>
      <c r="AG8916" s="2">
        <f ca="1"/>
        <v>0.21125362738538001</v>
      </c>
      <c r="AH8916" s="2" t="str">
        <f ca="1"/>
        <v>OK</v>
      </c>
    </row>
    <row r="8917" spans="2:34" x14ac:dyDescent="0.2">
      <c r="B8917" s="2">
        <f ca="1"/>
        <v>0.50601042370858385</v>
      </c>
      <c r="O8917" s="2">
        <f ca="1"/>
        <v>0.38046384011342893</v>
      </c>
      <c r="X8917" s="2">
        <f ca="1"/>
        <v>64.608670984490857</v>
      </c>
      <c r="AG8917" s="2">
        <f ca="1"/>
        <v>0.71905160354560893</v>
      </c>
      <c r="AH8917" s="2" t="str">
        <f ca="1"/>
        <v>Bad</v>
      </c>
    </row>
    <row r="8918" spans="2:34" x14ac:dyDescent="0.2">
      <c r="B8918" s="2">
        <f ca="1"/>
        <v>4.5442552137900494E-2</v>
      </c>
      <c r="O8918" s="2">
        <f ca="1"/>
        <v>1.5224385464348944</v>
      </c>
      <c r="X8918" s="2">
        <f ca="1"/>
        <v>30.345419470110066</v>
      </c>
      <c r="AG8918" s="2">
        <f ca="1"/>
        <v>5.3959123773114737E-2</v>
      </c>
      <c r="AH8918" s="2" t="str">
        <f ca="1"/>
        <v>OK</v>
      </c>
    </row>
    <row r="8919" spans="2:34" x14ac:dyDescent="0.2">
      <c r="B8919" s="2">
        <f ca="1"/>
        <v>0.17838574141259711</v>
      </c>
      <c r="O8919" s="2">
        <f ca="1"/>
        <v>-0.70292508562774869</v>
      </c>
      <c r="X8919" s="2">
        <f ca="1"/>
        <v>61.337862614454295</v>
      </c>
      <c r="AG8919" s="2">
        <f ca="1"/>
        <v>0.80661530744520538</v>
      </c>
      <c r="AH8919" s="2" t="str">
        <f ca="1"/>
        <v>Bad</v>
      </c>
    </row>
    <row r="8920" spans="2:34" x14ac:dyDescent="0.2">
      <c r="B8920" s="2">
        <f ca="1"/>
        <v>0.10248102411504489</v>
      </c>
      <c r="O8920" s="2">
        <f ca="1"/>
        <v>-0.46437035453492398</v>
      </c>
      <c r="X8920" s="2">
        <f ca="1"/>
        <v>61.405342314627163</v>
      </c>
      <c r="AG8920" s="2">
        <f ca="1"/>
        <v>0.25650160329244631</v>
      </c>
      <c r="AH8920" s="2" t="str">
        <f ca="1"/>
        <v>OK</v>
      </c>
    </row>
    <row r="8921" spans="2:34" x14ac:dyDescent="0.2">
      <c r="B8921" s="2">
        <f ca="1"/>
        <v>0.41471414086024994</v>
      </c>
      <c r="O8921" s="2">
        <f ca="1"/>
        <v>0.90229372018387943</v>
      </c>
      <c r="X8921" s="2">
        <f ca="1"/>
        <v>52.674782823714388</v>
      </c>
      <c r="AG8921" s="2">
        <f ca="1"/>
        <v>0.48969285522628803</v>
      </c>
      <c r="AH8921" s="2" t="str">
        <f ca="1"/>
        <v>Bad</v>
      </c>
    </row>
    <row r="8922" spans="2:34" x14ac:dyDescent="0.2">
      <c r="B8922" s="2">
        <f ca="1"/>
        <v>0.6516169550300317</v>
      </c>
      <c r="O8922" s="2">
        <f ca="1"/>
        <v>0.27553521158614391</v>
      </c>
      <c r="X8922" s="2">
        <f ca="1"/>
        <v>49.027512546563443</v>
      </c>
      <c r="AG8922" s="2">
        <f ca="1"/>
        <v>0.54320787425207762</v>
      </c>
      <c r="AH8922" s="2" t="str">
        <f ca="1"/>
        <v>Bad</v>
      </c>
    </row>
    <row r="8923" spans="2:34" x14ac:dyDescent="0.2">
      <c r="B8923" s="2">
        <f ca="1"/>
        <v>0.49887839675321555</v>
      </c>
      <c r="O8923" s="2">
        <f ca="1"/>
        <v>0.6290453124060319</v>
      </c>
      <c r="X8923" s="2">
        <f ca="1"/>
        <v>26.40550149712756</v>
      </c>
      <c r="AG8923" s="2">
        <f ca="1"/>
        <v>0.49935002349250301</v>
      </c>
      <c r="AH8923" s="2" t="str">
        <f ca="1"/>
        <v>Bad</v>
      </c>
    </row>
    <row r="8924" spans="2:34" x14ac:dyDescent="0.2">
      <c r="B8924" s="2">
        <f ca="1"/>
        <v>0.91993064030806004</v>
      </c>
      <c r="O8924" s="2">
        <f ca="1"/>
        <v>-0.17982807733373535</v>
      </c>
      <c r="X8924" s="2">
        <f ca="1"/>
        <v>35.017649318381544</v>
      </c>
      <c r="AG8924" s="2">
        <f ca="1"/>
        <v>0.662674723396254</v>
      </c>
      <c r="AH8924" s="2" t="str">
        <f ca="1"/>
        <v>Bad</v>
      </c>
    </row>
    <row r="8925" spans="2:34" x14ac:dyDescent="0.2">
      <c r="B8925" s="2">
        <f ca="1"/>
        <v>0.74538519005510206</v>
      </c>
      <c r="O8925" s="2">
        <f ca="1"/>
        <v>-0.59945092967948033</v>
      </c>
      <c r="X8925" s="2">
        <f ca="1"/>
        <v>56.425737066685173</v>
      </c>
      <c r="AG8925" s="2">
        <f ca="1"/>
        <v>0.27381098843535101</v>
      </c>
      <c r="AH8925" s="2" t="str">
        <f ca="1"/>
        <v>OK</v>
      </c>
    </row>
    <row r="8926" spans="2:34" x14ac:dyDescent="0.2">
      <c r="B8926" s="2">
        <f ca="1"/>
        <v>0.32383290566534839</v>
      </c>
      <c r="O8926" s="2">
        <f ca="1"/>
        <v>-0.73066441687957784</v>
      </c>
      <c r="X8926" s="2">
        <f ca="1"/>
        <v>74.183931033566083</v>
      </c>
      <c r="AG8926" s="2">
        <f ca="1"/>
        <v>0.47511093712216157</v>
      </c>
      <c r="AH8926" s="2" t="str">
        <f ca="1"/>
        <v>Bad</v>
      </c>
    </row>
    <row r="8927" spans="2:34" x14ac:dyDescent="0.2">
      <c r="B8927" s="2">
        <f ca="1"/>
        <v>0.79796792866596222</v>
      </c>
      <c r="O8927" s="2">
        <f ca="1"/>
        <v>-1.8252627900580303</v>
      </c>
      <c r="X8927" s="2">
        <f ca="1"/>
        <v>79.496739203738798</v>
      </c>
      <c r="AG8927" s="2">
        <f ca="1"/>
        <v>0.11815873757412909</v>
      </c>
      <c r="AH8927" s="2" t="str">
        <f ca="1"/>
        <v>OK</v>
      </c>
    </row>
    <row r="8928" spans="2:34" x14ac:dyDescent="0.2">
      <c r="B8928" s="2">
        <f ca="1"/>
        <v>0.12631227659934718</v>
      </c>
      <c r="O8928" s="2">
        <f ca="1"/>
        <v>0.35238596865240696</v>
      </c>
      <c r="X8928" s="2">
        <f ca="1"/>
        <v>43.59882924322568</v>
      </c>
      <c r="AG8928" s="2">
        <f ca="1"/>
        <v>0.18529106196877088</v>
      </c>
      <c r="AH8928" s="2" t="str">
        <f ca="1"/>
        <v>OK</v>
      </c>
    </row>
    <row r="8929" spans="2:34" x14ac:dyDescent="0.2">
      <c r="B8929" s="2">
        <f ca="1"/>
        <v>0.67973077872890464</v>
      </c>
      <c r="O8929" s="2">
        <f ca="1"/>
        <v>0.36845437008465376</v>
      </c>
      <c r="X8929" s="2">
        <f ca="1"/>
        <v>52.237462922439228</v>
      </c>
      <c r="AG8929" s="2">
        <f ca="1"/>
        <v>0.5090989492288247</v>
      </c>
      <c r="AH8929" s="2" t="str">
        <f ca="1"/>
        <v>Bad</v>
      </c>
    </row>
    <row r="8930" spans="2:34" x14ac:dyDescent="0.2">
      <c r="B8930" s="2">
        <f ca="1"/>
        <v>0.44509749737668969</v>
      </c>
      <c r="O8930" s="2">
        <f ca="1"/>
        <v>0.69286851735233235</v>
      </c>
      <c r="X8930" s="2">
        <f ca="1"/>
        <v>35.493741038798483</v>
      </c>
      <c r="AG8930" s="2">
        <f ca="1"/>
        <v>0.92139904051629351</v>
      </c>
      <c r="AH8930" s="2" t="str">
        <f ca="1"/>
        <v>Bad</v>
      </c>
    </row>
    <row r="8931" spans="2:34" x14ac:dyDescent="0.2">
      <c r="B8931" s="2">
        <f ca="1"/>
        <v>0.70807906764638062</v>
      </c>
      <c r="O8931" s="2">
        <f ca="1"/>
        <v>0.53845920643222933</v>
      </c>
      <c r="X8931" s="2">
        <f ca="1"/>
        <v>72.093185090747653</v>
      </c>
      <c r="AG8931" s="2">
        <f ca="1"/>
        <v>0.42847320914466014</v>
      </c>
      <c r="AH8931" s="2" t="str">
        <f ca="1"/>
        <v>Bad</v>
      </c>
    </row>
    <row r="8932" spans="2:34" x14ac:dyDescent="0.2">
      <c r="B8932" s="2">
        <f ca="1"/>
        <v>0.90139171611310243</v>
      </c>
      <c r="O8932" s="2">
        <f ca="1"/>
        <v>-0.13131549143853097</v>
      </c>
      <c r="X8932" s="2">
        <f ca="1"/>
        <v>56.116568774682882</v>
      </c>
      <c r="AG8932" s="2">
        <f ca="1"/>
        <v>0.9186324294389927</v>
      </c>
      <c r="AH8932" s="2" t="str">
        <f ca="1"/>
        <v>Bad</v>
      </c>
    </row>
    <row r="8933" spans="2:34" x14ac:dyDescent="0.2">
      <c r="B8933" s="2">
        <f ca="1"/>
        <v>0.49833037158337001</v>
      </c>
      <c r="O8933" s="2">
        <f ca="1"/>
        <v>1.4092531717498571E-2</v>
      </c>
      <c r="X8933" s="2">
        <f ca="1"/>
        <v>34.7885532041537</v>
      </c>
      <c r="AG8933" s="2">
        <f ca="1"/>
        <v>0.39283580775208993</v>
      </c>
      <c r="AH8933" s="2" t="str">
        <f ca="1"/>
        <v>OK</v>
      </c>
    </row>
    <row r="8934" spans="2:34" x14ac:dyDescent="0.2">
      <c r="B8934" s="2">
        <f ca="1"/>
        <v>0.63031189316738434</v>
      </c>
      <c r="O8934" s="2">
        <f ca="1"/>
        <v>-1.2309078075950353</v>
      </c>
      <c r="X8934" s="2">
        <f ca="1"/>
        <v>47.652329923750976</v>
      </c>
      <c r="AG8934" s="2">
        <f ca="1"/>
        <v>0.98856259092443954</v>
      </c>
      <c r="AH8934" s="2" t="str">
        <f ca="1"/>
        <v>Bad</v>
      </c>
    </row>
    <row r="8935" spans="2:34" x14ac:dyDescent="0.2">
      <c r="B8935" s="2">
        <f ca="1"/>
        <v>0.27540892237382542</v>
      </c>
      <c r="O8935" s="2">
        <f ca="1"/>
        <v>7.8302488211758642E-2</v>
      </c>
      <c r="X8935" s="2">
        <f ca="1"/>
        <v>36.925043791288388</v>
      </c>
      <c r="AG8935" s="2">
        <f ca="1"/>
        <v>0.79802317981818205</v>
      </c>
      <c r="AH8935" s="2" t="str">
        <f ca="1"/>
        <v>Bad</v>
      </c>
    </row>
    <row r="8936" spans="2:34" x14ac:dyDescent="0.2">
      <c r="B8936" s="2">
        <f ca="1"/>
        <v>0.34971628698223434</v>
      </c>
      <c r="O8936" s="2">
        <f ca="1"/>
        <v>-0.90068152117709166</v>
      </c>
      <c r="X8936" s="2">
        <f ca="1"/>
        <v>73.53876935566241</v>
      </c>
      <c r="AG8936" s="2">
        <f ca="1"/>
        <v>0.78379864941574251</v>
      </c>
      <c r="AH8936" s="2" t="str">
        <f ca="1"/>
        <v>Bad</v>
      </c>
    </row>
    <row r="8937" spans="2:34" x14ac:dyDescent="0.2">
      <c r="B8937" s="2">
        <f ca="1"/>
        <v>0.23139921646308403</v>
      </c>
      <c r="O8937" s="2">
        <f ca="1"/>
        <v>0.41119391916989106</v>
      </c>
      <c r="X8937" s="2">
        <f ca="1"/>
        <v>31.595993686088324</v>
      </c>
      <c r="AG8937" s="2">
        <f ca="1"/>
        <v>0.89549675391608052</v>
      </c>
      <c r="AH8937" s="2" t="str">
        <f ca="1"/>
        <v>Bad</v>
      </c>
    </row>
    <row r="8938" spans="2:34" x14ac:dyDescent="0.2">
      <c r="B8938" s="2">
        <f ca="1"/>
        <v>0.14034145322645486</v>
      </c>
      <c r="O8938" s="2">
        <f ca="1"/>
        <v>-0.95174958911264651</v>
      </c>
      <c r="X8938" s="2">
        <f ca="1"/>
        <v>59.3016330423592</v>
      </c>
      <c r="AG8938" s="2">
        <f ca="1"/>
        <v>3.7640031865568968E-2</v>
      </c>
      <c r="AH8938" s="2" t="str">
        <f ca="1"/>
        <v>Good</v>
      </c>
    </row>
    <row r="8939" spans="2:34" x14ac:dyDescent="0.2">
      <c r="B8939" s="2">
        <f ca="1"/>
        <v>0.72732477566167963</v>
      </c>
      <c r="O8939" s="2">
        <f ca="1"/>
        <v>0.32482627949667292</v>
      </c>
      <c r="X8939" s="2">
        <f ca="1"/>
        <v>70.228247719511657</v>
      </c>
      <c r="AG8939" s="2">
        <f ca="1"/>
        <v>9.0289515741149851E-2</v>
      </c>
      <c r="AH8939" s="2" t="str">
        <f ca="1"/>
        <v>OK</v>
      </c>
    </row>
    <row r="8940" spans="2:34" x14ac:dyDescent="0.2">
      <c r="B8940" s="2">
        <f ca="1"/>
        <v>0.83689070516149933</v>
      </c>
      <c r="O8940" s="2">
        <f ca="1"/>
        <v>-0.63893934085653414</v>
      </c>
      <c r="X8940" s="2">
        <f ca="1"/>
        <v>56.932843816316414</v>
      </c>
      <c r="AG8940" s="2">
        <f ca="1"/>
        <v>0.99268825231145819</v>
      </c>
      <c r="AH8940" s="2" t="str">
        <f ca="1"/>
        <v>Bad</v>
      </c>
    </row>
    <row r="8941" spans="2:34" x14ac:dyDescent="0.2">
      <c r="B8941" s="2">
        <f ca="1"/>
        <v>0.75485546941350368</v>
      </c>
      <c r="O8941" s="2">
        <f ca="1"/>
        <v>2.1125760369482607</v>
      </c>
      <c r="X8941" s="2">
        <f ca="1"/>
        <v>33.757161559396003</v>
      </c>
      <c r="AG8941" s="2">
        <f ca="1"/>
        <v>0.39799456525984911</v>
      </c>
      <c r="AH8941" s="2" t="str">
        <f ca="1"/>
        <v>OK</v>
      </c>
    </row>
    <row r="8942" spans="2:34" x14ac:dyDescent="0.2">
      <c r="B8942" s="2">
        <f ca="1"/>
        <v>0.12678959092978226</v>
      </c>
      <c r="O8942" s="2">
        <f ca="1"/>
        <v>0.50485713002907362</v>
      </c>
      <c r="X8942" s="2">
        <f ca="1"/>
        <v>78.893238994356324</v>
      </c>
      <c r="AG8942" s="2">
        <f ca="1"/>
        <v>0.21415317979950332</v>
      </c>
      <c r="AH8942" s="2" t="str">
        <f ca="1"/>
        <v>OK</v>
      </c>
    </row>
    <row r="8943" spans="2:34" x14ac:dyDescent="0.2">
      <c r="B8943" s="2">
        <f ca="1"/>
        <v>0.13807655957764076</v>
      </c>
      <c r="O8943" s="2">
        <f ca="1"/>
        <v>-1.1100135480058702</v>
      </c>
      <c r="X8943" s="2">
        <f ca="1"/>
        <v>44.08319987195884</v>
      </c>
      <c r="AG8943" s="2">
        <f ca="1"/>
        <v>0.9456174291246684</v>
      </c>
      <c r="AH8943" s="2" t="str">
        <f ca="1"/>
        <v>Bad</v>
      </c>
    </row>
    <row r="8944" spans="2:34" x14ac:dyDescent="0.2">
      <c r="B8944" s="2">
        <f ca="1"/>
        <v>0.32697560761529831</v>
      </c>
      <c r="O8944" s="2">
        <f ca="1"/>
        <v>1.2981290454909888</v>
      </c>
      <c r="X8944" s="2">
        <f ca="1"/>
        <v>35.747952916812949</v>
      </c>
      <c r="AG8944" s="2">
        <f ca="1"/>
        <v>0.61624608831386918</v>
      </c>
      <c r="AH8944" s="2" t="str">
        <f ca="1"/>
        <v>Bad</v>
      </c>
    </row>
    <row r="8945" spans="2:34" x14ac:dyDescent="0.2">
      <c r="B8945" s="2">
        <f ca="1"/>
        <v>0.51628862630669214</v>
      </c>
      <c r="O8945" s="2">
        <f ca="1"/>
        <v>0.10800676418476558</v>
      </c>
      <c r="X8945" s="2">
        <f ca="1"/>
        <v>36.798277546443813</v>
      </c>
      <c r="AG8945" s="2">
        <f ca="1"/>
        <v>0.47929412344807698</v>
      </c>
      <c r="AH8945" s="2" t="str">
        <f ca="1"/>
        <v>Bad</v>
      </c>
    </row>
    <row r="8946" spans="2:34" x14ac:dyDescent="0.2">
      <c r="B8946" s="2">
        <f ca="1"/>
        <v>0.59199290167172403</v>
      </c>
      <c r="O8946" s="2">
        <f ca="1"/>
        <v>1.3974852316519384</v>
      </c>
      <c r="X8946" s="2">
        <f ca="1"/>
        <v>47.440383073856289</v>
      </c>
      <c r="AG8946" s="2">
        <f ca="1"/>
        <v>0.11022059812387841</v>
      </c>
      <c r="AH8946" s="2" t="str">
        <f ca="1"/>
        <v>OK</v>
      </c>
    </row>
    <row r="8947" spans="2:34" x14ac:dyDescent="0.2">
      <c r="B8947" s="2">
        <f ca="1"/>
        <v>0.76558106595700526</v>
      </c>
      <c r="O8947" s="2">
        <f ca="1"/>
        <v>0.71426796807822546</v>
      </c>
      <c r="X8947" s="2">
        <f ca="1"/>
        <v>59.499532333141417</v>
      </c>
      <c r="AG8947" s="2">
        <f ca="1"/>
        <v>0.98058530588306247</v>
      </c>
      <c r="AH8947" s="2" t="str">
        <f ca="1"/>
        <v>Bad</v>
      </c>
    </row>
    <row r="8948" spans="2:34" x14ac:dyDescent="0.2">
      <c r="B8948" s="2">
        <f ca="1"/>
        <v>0.96849836087959718</v>
      </c>
      <c r="O8948" s="2">
        <f ca="1"/>
        <v>-1.689429966965954</v>
      </c>
      <c r="X8948" s="2">
        <f ca="1"/>
        <v>45.324621820378937</v>
      </c>
      <c r="AG8948" s="2">
        <f ca="1"/>
        <v>9.883240650049685E-2</v>
      </c>
      <c r="AH8948" s="2" t="str">
        <f ca="1"/>
        <v>OK</v>
      </c>
    </row>
    <row r="8949" spans="2:34" x14ac:dyDescent="0.2">
      <c r="B8949" s="2">
        <f ca="1"/>
        <v>0.45742218833317194</v>
      </c>
      <c r="O8949" s="2">
        <f ca="1"/>
        <v>-1.4172576254007687</v>
      </c>
      <c r="X8949" s="2">
        <f ca="1"/>
        <v>55.685948830616347</v>
      </c>
      <c r="AG8949" s="2">
        <f ca="1"/>
        <v>0.92937921532853651</v>
      </c>
      <c r="AH8949" s="2" t="str">
        <f ca="1"/>
        <v>Bad</v>
      </c>
    </row>
    <row r="8950" spans="2:34" x14ac:dyDescent="0.2">
      <c r="B8950" s="2">
        <f ca="1"/>
        <v>0.89491138156634653</v>
      </c>
      <c r="O8950" s="2">
        <f ca="1"/>
        <v>0.97545618658241218</v>
      </c>
      <c r="X8950" s="2">
        <f ca="1"/>
        <v>39.127168349097637</v>
      </c>
      <c r="AG8950" s="2">
        <f ca="1"/>
        <v>0.99164973155766112</v>
      </c>
      <c r="AH8950" s="2" t="str">
        <f ca="1"/>
        <v>Bad</v>
      </c>
    </row>
    <row r="8951" spans="2:34" x14ac:dyDescent="0.2">
      <c r="B8951" s="2">
        <f ca="1"/>
        <v>0.12261548924822496</v>
      </c>
      <c r="O8951" s="2">
        <f ca="1"/>
        <v>0.91003462312519079</v>
      </c>
      <c r="X8951" s="2">
        <f ca="1"/>
        <v>45.773875384730957</v>
      </c>
      <c r="AG8951" s="2">
        <f ca="1"/>
        <v>0.88432323696273896</v>
      </c>
      <c r="AH8951" s="2" t="str">
        <f ca="1"/>
        <v>Bad</v>
      </c>
    </row>
    <row r="8952" spans="2:34" x14ac:dyDescent="0.2">
      <c r="B8952" s="2">
        <f ca="1"/>
        <v>0.67706205154095356</v>
      </c>
      <c r="O8952" s="2">
        <f ca="1"/>
        <v>0.53307867089584327</v>
      </c>
      <c r="X8952" s="2">
        <f ca="1"/>
        <v>65.529812176828173</v>
      </c>
      <c r="AG8952" s="2">
        <f ca="1"/>
        <v>0.143277309982065</v>
      </c>
      <c r="AH8952" s="2" t="str">
        <f ca="1"/>
        <v>OK</v>
      </c>
    </row>
    <row r="8953" spans="2:34" x14ac:dyDescent="0.2">
      <c r="B8953" s="2">
        <f ca="1"/>
        <v>0.6402794021210485</v>
      </c>
      <c r="O8953" s="2">
        <f ca="1"/>
        <v>2.2559932509535354</v>
      </c>
      <c r="X8953" s="2">
        <f ca="1"/>
        <v>61.270584797936401</v>
      </c>
      <c r="AG8953" s="2">
        <f ca="1"/>
        <v>9.1506083856639053E-2</v>
      </c>
      <c r="AH8953" s="2" t="str">
        <f ca="1"/>
        <v>OK</v>
      </c>
    </row>
    <row r="8954" spans="2:34" x14ac:dyDescent="0.2">
      <c r="B8954" s="2">
        <f ca="1"/>
        <v>5.2369335019556207E-2</v>
      </c>
      <c r="O8954" s="2">
        <f ca="1"/>
        <v>-0.73801231343664353</v>
      </c>
      <c r="X8954" s="2">
        <f ca="1"/>
        <v>27.815532926443321</v>
      </c>
      <c r="AG8954" s="2">
        <f ca="1"/>
        <v>0.74127476752214361</v>
      </c>
      <c r="AH8954" s="2" t="str">
        <f ca="1"/>
        <v>Bad</v>
      </c>
    </row>
    <row r="8955" spans="2:34" x14ac:dyDescent="0.2">
      <c r="B8955" s="2">
        <f ca="1"/>
        <v>0.33890461593071497</v>
      </c>
      <c r="O8955" s="2">
        <f ca="1"/>
        <v>6.5292991536957681E-2</v>
      </c>
      <c r="X8955" s="2">
        <f ca="1"/>
        <v>51.560249268461718</v>
      </c>
      <c r="AG8955" s="2">
        <f ca="1"/>
        <v>0.6833717686967149</v>
      </c>
      <c r="AH8955" s="2" t="str">
        <f ca="1"/>
        <v>Bad</v>
      </c>
    </row>
    <row r="8956" spans="2:34" x14ac:dyDescent="0.2">
      <c r="B8956" s="2">
        <f ca="1"/>
        <v>0.88194104109599736</v>
      </c>
      <c r="O8956" s="2">
        <f ca="1"/>
        <v>1.5221170693021251</v>
      </c>
      <c r="X8956" s="2">
        <f ca="1"/>
        <v>54.257357977246372</v>
      </c>
      <c r="AG8956" s="2">
        <f ca="1"/>
        <v>0.11385428659951247</v>
      </c>
      <c r="AH8956" s="2" t="str">
        <f ca="1"/>
        <v>OK</v>
      </c>
    </row>
    <row r="8957" spans="2:34" x14ac:dyDescent="0.2">
      <c r="B8957" s="2">
        <f ca="1"/>
        <v>0.97146890645144546</v>
      </c>
      <c r="O8957" s="2">
        <f ca="1"/>
        <v>-0.65064249938008245</v>
      </c>
      <c r="X8957" s="2">
        <f ca="1"/>
        <v>51.5368413583574</v>
      </c>
      <c r="AG8957" s="2">
        <f ca="1"/>
        <v>0.78924376966452447</v>
      </c>
      <c r="AH8957" s="2" t="str">
        <f ca="1"/>
        <v>Bad</v>
      </c>
    </row>
    <row r="8958" spans="2:34" x14ac:dyDescent="0.2">
      <c r="B8958" s="2">
        <f ca="1"/>
        <v>0.17010601146511406</v>
      </c>
      <c r="O8958" s="2">
        <f ca="1"/>
        <v>-0.57395454857491945</v>
      </c>
      <c r="X8958" s="2">
        <f ca="1"/>
        <v>45.658009104499662</v>
      </c>
      <c r="AG8958" s="2">
        <f ca="1"/>
        <v>0.80703171120903905</v>
      </c>
      <c r="AH8958" s="2" t="str">
        <f ca="1"/>
        <v>Bad</v>
      </c>
    </row>
    <row r="8959" spans="2:34" x14ac:dyDescent="0.2">
      <c r="B8959" s="2">
        <f ca="1"/>
        <v>0.82560520222958389</v>
      </c>
      <c r="O8959" s="2">
        <f ca="1"/>
        <v>-0.35355027406282113</v>
      </c>
      <c r="X8959" s="2">
        <f ca="1"/>
        <v>41.608527846143659</v>
      </c>
      <c r="AG8959" s="2">
        <f ca="1"/>
        <v>0.35799394282975494</v>
      </c>
      <c r="AH8959" s="2" t="str">
        <f ca="1"/>
        <v>OK</v>
      </c>
    </row>
    <row r="8960" spans="2:34" x14ac:dyDescent="0.2">
      <c r="B8960" s="2">
        <f ca="1"/>
        <v>6.8309656087435222E-2</v>
      </c>
      <c r="O8960" s="2">
        <f ca="1"/>
        <v>-2.309269887425576E-2</v>
      </c>
      <c r="X8960" s="2">
        <f ca="1"/>
        <v>79.291152086292243</v>
      </c>
      <c r="AG8960" s="2">
        <f ca="1"/>
        <v>0.76822868400636435</v>
      </c>
      <c r="AH8960" s="2" t="str">
        <f ca="1"/>
        <v>Bad</v>
      </c>
    </row>
    <row r="8961" spans="2:34" x14ac:dyDescent="0.2">
      <c r="B8961" s="2">
        <f ca="1"/>
        <v>0.39145353476042133</v>
      </c>
      <c r="O8961" s="2">
        <f ca="1"/>
        <v>0.10669641666743782</v>
      </c>
      <c r="X8961" s="2">
        <f ca="1"/>
        <v>45.126419779409218</v>
      </c>
      <c r="AG8961" s="2">
        <f ca="1"/>
        <v>0.83582447415862204</v>
      </c>
      <c r="AH8961" s="2" t="str">
        <f ca="1"/>
        <v>Bad</v>
      </c>
    </row>
    <row r="8962" spans="2:34" x14ac:dyDescent="0.2">
      <c r="B8962" s="2">
        <f ca="1"/>
        <v>0.87372978356019337</v>
      </c>
      <c r="O8962" s="2">
        <f ca="1"/>
        <v>1.5460469012548752</v>
      </c>
      <c r="X8962" s="2">
        <f ca="1"/>
        <v>37.300399407125354</v>
      </c>
      <c r="AG8962" s="2">
        <f ca="1"/>
        <v>0.53157929977962293</v>
      </c>
      <c r="AH8962" s="2" t="str">
        <f ca="1"/>
        <v>Bad</v>
      </c>
    </row>
    <row r="8963" spans="2:34" x14ac:dyDescent="0.2">
      <c r="B8963" s="2">
        <f ca="1"/>
        <v>5.5259469122919347E-2</v>
      </c>
      <c r="O8963" s="2">
        <f ca="1"/>
        <v>0.74706454046643844</v>
      </c>
      <c r="X8963" s="2">
        <f ca="1"/>
        <v>98.540214419768574</v>
      </c>
      <c r="AG8963" s="2">
        <f ca="1"/>
        <v>0.404917542530848</v>
      </c>
      <c r="AH8963" s="2" t="str">
        <f ca="1"/>
        <v>Bad</v>
      </c>
    </row>
    <row r="8964" spans="2:34" x14ac:dyDescent="0.2">
      <c r="B8964" s="2">
        <f ca="1"/>
        <v>0.13990624254253503</v>
      </c>
      <c r="O8964" s="2">
        <f ca="1"/>
        <v>1.5536300464150346E-2</v>
      </c>
      <c r="X8964" s="2">
        <f ca="1"/>
        <v>63.755052618179711</v>
      </c>
      <c r="AG8964" s="2">
        <f ca="1"/>
        <v>0.20809914302970789</v>
      </c>
      <c r="AH8964" s="2" t="str">
        <f ca="1"/>
        <v>OK</v>
      </c>
    </row>
    <row r="8965" spans="2:34" x14ac:dyDescent="0.2">
      <c r="B8965" s="2">
        <f ca="1"/>
        <v>0.63249155022420456</v>
      </c>
      <c r="O8965" s="2">
        <f ca="1"/>
        <v>-1.0326539916066833</v>
      </c>
      <c r="X8965" s="2">
        <f ca="1"/>
        <v>49.881914863140544</v>
      </c>
      <c r="AG8965" s="2">
        <f ca="1"/>
        <v>9.5705005299291823E-2</v>
      </c>
      <c r="AH8965" s="2" t="str">
        <f ca="1"/>
        <v>OK</v>
      </c>
    </row>
    <row r="8966" spans="2:34" x14ac:dyDescent="0.2">
      <c r="B8966" s="2">
        <f ca="1"/>
        <v>0.14316124412577436</v>
      </c>
      <c r="O8966" s="2">
        <f ca="1"/>
        <v>-0.409620495079208</v>
      </c>
      <c r="X8966" s="2">
        <f ca="1"/>
        <v>65.887494606394895</v>
      </c>
      <c r="AG8966" s="2">
        <f ca="1"/>
        <v>0.25286255035734517</v>
      </c>
      <c r="AH8966" s="2" t="str">
        <f ca="1"/>
        <v>OK</v>
      </c>
    </row>
    <row r="8967" spans="2:34" x14ac:dyDescent="0.2">
      <c r="B8967" s="2">
        <f ca="1"/>
        <v>0.34479464463329101</v>
      </c>
      <c r="O8967" s="2">
        <f ca="1"/>
        <v>-0.94055254437626234</v>
      </c>
      <c r="X8967" s="2">
        <f ca="1"/>
        <v>44.12304474379588</v>
      </c>
      <c r="AG8967" s="2">
        <f ca="1"/>
        <v>0.35226627978973424</v>
      </c>
      <c r="AH8967" s="2" t="str">
        <f ca="1"/>
        <v>OK</v>
      </c>
    </row>
    <row r="8968" spans="2:34" x14ac:dyDescent="0.2">
      <c r="B8968" s="2">
        <f ca="1"/>
        <v>0.86457344851519657</v>
      </c>
      <c r="O8968" s="2">
        <f ca="1"/>
        <v>-0.97781362652639614</v>
      </c>
      <c r="X8968" s="2">
        <f ca="1"/>
        <v>49.728908793668793</v>
      </c>
      <c r="AG8968" s="2">
        <f ca="1"/>
        <v>0.52685967468811334</v>
      </c>
      <c r="AH8968" s="2" t="str">
        <f ca="1"/>
        <v>Bad</v>
      </c>
    </row>
    <row r="8969" spans="2:34" x14ac:dyDescent="0.2">
      <c r="B8969" s="2">
        <f ca="1"/>
        <v>6.557179456526141E-2</v>
      </c>
      <c r="O8969" s="2">
        <f ca="1"/>
        <v>-0.19424713980650452</v>
      </c>
      <c r="X8969" s="2">
        <f ca="1"/>
        <v>67.885833211962336</v>
      </c>
      <c r="AG8969" s="2">
        <f ca="1"/>
        <v>0.76804365386492135</v>
      </c>
      <c r="AH8969" s="2" t="str">
        <f ca="1"/>
        <v>Bad</v>
      </c>
    </row>
    <row r="8970" spans="2:34" x14ac:dyDescent="0.2">
      <c r="B8970" s="2">
        <f ca="1"/>
        <v>0.56474347547599102</v>
      </c>
      <c r="O8970" s="2">
        <f ca="1"/>
        <v>-2.6019817333529884</v>
      </c>
      <c r="X8970" s="2">
        <f ca="1"/>
        <v>36.968952150052118</v>
      </c>
      <c r="AG8970" s="2">
        <f ca="1"/>
        <v>7.6761908935049306E-2</v>
      </c>
      <c r="AH8970" s="2" t="str">
        <f ca="1"/>
        <v>OK</v>
      </c>
    </row>
    <row r="8971" spans="2:34" x14ac:dyDescent="0.2">
      <c r="B8971" s="2">
        <f ca="1"/>
        <v>8.3205894590425933E-2</v>
      </c>
      <c r="O8971" s="2">
        <f ca="1"/>
        <v>5.3899650245516594E-2</v>
      </c>
      <c r="X8971" s="2">
        <f ca="1"/>
        <v>49.330888502936816</v>
      </c>
      <c r="AG8971" s="2">
        <f ca="1"/>
        <v>8.1484349606638196E-2</v>
      </c>
      <c r="AH8971" s="2" t="str">
        <f ca="1"/>
        <v>OK</v>
      </c>
    </row>
    <row r="8972" spans="2:34" x14ac:dyDescent="0.2">
      <c r="B8972" s="2">
        <f ca="1"/>
        <v>0.23743013173294281</v>
      </c>
      <c r="O8972" s="2">
        <f ca="1"/>
        <v>-0.54850093045364079</v>
      </c>
      <c r="X8972" s="2">
        <f ca="1"/>
        <v>64.345903397320598</v>
      </c>
      <c r="AG8972" s="2">
        <f ca="1"/>
        <v>6.0907657821860584E-2</v>
      </c>
      <c r="AH8972" s="2" t="str">
        <f ca="1"/>
        <v>OK</v>
      </c>
    </row>
    <row r="8973" spans="2:34" x14ac:dyDescent="0.2">
      <c r="B8973" s="2">
        <f ca="1"/>
        <v>0.48947156564062388</v>
      </c>
      <c r="O8973" s="2">
        <f ca="1"/>
        <v>-0.5107192984626171</v>
      </c>
      <c r="X8973" s="2">
        <f ca="1"/>
        <v>33.14005405880625</v>
      </c>
      <c r="AG8973" s="2">
        <f ca="1"/>
        <v>0.80063375113088053</v>
      </c>
      <c r="AH8973" s="2" t="str">
        <f ca="1"/>
        <v>Bad</v>
      </c>
    </row>
    <row r="8974" spans="2:34" x14ac:dyDescent="0.2">
      <c r="B8974" s="2">
        <f ca="1"/>
        <v>0.4657039955445601</v>
      </c>
      <c r="O8974" s="2">
        <f ca="1"/>
        <v>-3.7309767890919332E-2</v>
      </c>
      <c r="X8974" s="2">
        <f ca="1"/>
        <v>55.354131465491207</v>
      </c>
      <c r="AG8974" s="2">
        <f ca="1"/>
        <v>0.49784805987112279</v>
      </c>
      <c r="AH8974" s="2" t="str">
        <f ca="1"/>
        <v>Bad</v>
      </c>
    </row>
    <row r="8975" spans="2:34" x14ac:dyDescent="0.2">
      <c r="B8975" s="2">
        <f ca="1"/>
        <v>0.18402643226817128</v>
      </c>
      <c r="O8975" s="2">
        <f ca="1"/>
        <v>1.3130877370205283</v>
      </c>
      <c r="X8975" s="2">
        <f ca="1"/>
        <v>67.83775274012639</v>
      </c>
      <c r="AG8975" s="2">
        <f ca="1"/>
        <v>0.27102230491625345</v>
      </c>
      <c r="AH8975" s="2" t="str">
        <f ca="1"/>
        <v>OK</v>
      </c>
    </row>
    <row r="8976" spans="2:34" x14ac:dyDescent="0.2">
      <c r="B8976" s="2">
        <f ca="1"/>
        <v>0.71208860892963588</v>
      </c>
      <c r="O8976" s="2">
        <f ca="1"/>
        <v>-0.79145012908763201</v>
      </c>
      <c r="X8976" s="2">
        <f ca="1"/>
        <v>40.15979634552582</v>
      </c>
      <c r="AG8976" s="2">
        <f ca="1"/>
        <v>0.35366865334633801</v>
      </c>
      <c r="AH8976" s="2" t="str">
        <f ca="1"/>
        <v>OK</v>
      </c>
    </row>
    <row r="8977" spans="2:34" x14ac:dyDescent="0.2">
      <c r="B8977" s="2">
        <f ca="1"/>
        <v>0.37882243086090828</v>
      </c>
      <c r="O8977" s="2">
        <f ca="1"/>
        <v>1.0185688453839872</v>
      </c>
      <c r="X8977" s="2">
        <f ca="1"/>
        <v>48.682255014765865</v>
      </c>
      <c r="AG8977" s="2">
        <f ca="1"/>
        <v>9.9361861041144195E-2</v>
      </c>
      <c r="AH8977" s="2" t="str">
        <f ca="1"/>
        <v>OK</v>
      </c>
    </row>
    <row r="8978" spans="2:34" x14ac:dyDescent="0.2">
      <c r="B8978" s="2">
        <f ca="1"/>
        <v>0.69708397691618207</v>
      </c>
      <c r="O8978" s="2">
        <f ca="1"/>
        <v>-1.0653371952657915</v>
      </c>
      <c r="X8978" s="2">
        <f ca="1"/>
        <v>26.342106097850831</v>
      </c>
      <c r="AG8978" s="2">
        <f ca="1"/>
        <v>0.93853863934849135</v>
      </c>
      <c r="AH8978" s="2" t="str">
        <f ca="1"/>
        <v>Bad</v>
      </c>
    </row>
    <row r="8979" spans="2:34" x14ac:dyDescent="0.2">
      <c r="B8979" s="2">
        <f ca="1"/>
        <v>0.98246206780552714</v>
      </c>
      <c r="O8979" s="2">
        <f ca="1"/>
        <v>0.717661957448123</v>
      </c>
      <c r="X8979" s="2">
        <f ca="1"/>
        <v>31.615263605630012</v>
      </c>
      <c r="AG8979" s="2">
        <f ca="1"/>
        <v>0.91997694137155173</v>
      </c>
      <c r="AH8979" s="2" t="str">
        <f ca="1"/>
        <v>Bad</v>
      </c>
    </row>
    <row r="8980" spans="2:34" x14ac:dyDescent="0.2">
      <c r="B8980" s="2">
        <f ca="1"/>
        <v>0.34296635211025372</v>
      </c>
      <c r="O8980" s="2">
        <f ca="1"/>
        <v>6.8748895301127655E-2</v>
      </c>
      <c r="X8980" s="2">
        <f ca="1"/>
        <v>34.89788102888182</v>
      </c>
      <c r="AG8980" s="2">
        <f ca="1"/>
        <v>0.84505150177040256</v>
      </c>
      <c r="AH8980" s="2" t="str">
        <f ca="1"/>
        <v>Bad</v>
      </c>
    </row>
    <row r="8981" spans="2:34" x14ac:dyDescent="0.2">
      <c r="B8981" s="2">
        <f ca="1"/>
        <v>0.58669895433631192</v>
      </c>
      <c r="O8981" s="2">
        <f ca="1"/>
        <v>-0.2303048765025548</v>
      </c>
      <c r="X8981" s="2">
        <f ca="1"/>
        <v>56.247767830061335</v>
      </c>
      <c r="AG8981" s="2">
        <f ca="1"/>
        <v>0.3863817253377646</v>
      </c>
      <c r="AH8981" s="2" t="str">
        <f ca="1"/>
        <v>OK</v>
      </c>
    </row>
    <row r="8982" spans="2:34" x14ac:dyDescent="0.2">
      <c r="B8982" s="2">
        <f ca="1"/>
        <v>0.8063789496156093</v>
      </c>
      <c r="O8982" s="2">
        <f ca="1"/>
        <v>0.13496905305549051</v>
      </c>
      <c r="X8982" s="2">
        <f ca="1"/>
        <v>37.97379429687058</v>
      </c>
      <c r="AG8982" s="2">
        <f ca="1"/>
        <v>0.61330988581923762</v>
      </c>
      <c r="AH8982" s="2" t="str">
        <f ca="1"/>
        <v>Bad</v>
      </c>
    </row>
    <row r="8983" spans="2:34" x14ac:dyDescent="0.2">
      <c r="B8983" s="2">
        <f ca="1"/>
        <v>0.36292773374591825</v>
      </c>
      <c r="O8983" s="2">
        <f ca="1"/>
        <v>0.33466669185862497</v>
      </c>
      <c r="X8983" s="2">
        <f ca="1"/>
        <v>60.393313159580629</v>
      </c>
      <c r="AG8983" s="2">
        <f ca="1"/>
        <v>0.68535205615860595</v>
      </c>
      <c r="AH8983" s="2" t="str">
        <f ca="1"/>
        <v>Bad</v>
      </c>
    </row>
    <row r="8984" spans="2:34" x14ac:dyDescent="0.2">
      <c r="B8984" s="2">
        <f ca="1"/>
        <v>0.19499077212659977</v>
      </c>
      <c r="O8984" s="2">
        <f ca="1"/>
        <v>0.27459753169443263</v>
      </c>
      <c r="X8984" s="2">
        <f ca="1"/>
        <v>52.6399647888407</v>
      </c>
      <c r="AG8984" s="2">
        <f ca="1"/>
        <v>0.32885102943013145</v>
      </c>
      <c r="AH8984" s="2" t="str">
        <f ca="1"/>
        <v>OK</v>
      </c>
    </row>
    <row r="8985" spans="2:34" x14ac:dyDescent="0.2">
      <c r="B8985" s="2">
        <f ca="1"/>
        <v>0.36229549924008531</v>
      </c>
      <c r="O8985" s="2">
        <f ca="1"/>
        <v>-0.11072122032909334</v>
      </c>
      <c r="X8985" s="2">
        <f ca="1"/>
        <v>42.332637777068953</v>
      </c>
      <c r="AG8985" s="2">
        <f ca="1"/>
        <v>0.14666607255066522</v>
      </c>
      <c r="AH8985" s="2" t="str">
        <f ca="1"/>
        <v>OK</v>
      </c>
    </row>
    <row r="8986" spans="2:34" x14ac:dyDescent="0.2">
      <c r="B8986" s="2">
        <f ca="1"/>
        <v>0.30236782682682106</v>
      </c>
      <c r="O8986" s="2">
        <f ca="1"/>
        <v>0.35365533792162607</v>
      </c>
      <c r="X8986" s="2">
        <f ca="1"/>
        <v>85.106976761315124</v>
      </c>
      <c r="AG8986" s="2">
        <f ca="1"/>
        <v>0.47584768229380203</v>
      </c>
      <c r="AH8986" s="2" t="str">
        <f ca="1"/>
        <v>Bad</v>
      </c>
    </row>
    <row r="8987" spans="2:34" x14ac:dyDescent="0.2">
      <c r="B8987" s="2">
        <f ca="1"/>
        <v>6.4087953568172873E-2</v>
      </c>
      <c r="O8987" s="2">
        <f ca="1"/>
        <v>-0.38528316172911165</v>
      </c>
      <c r="X8987" s="2">
        <f ca="1"/>
        <v>35.593135339189807</v>
      </c>
      <c r="AG8987" s="2">
        <f ca="1"/>
        <v>1.0643857179763572E-2</v>
      </c>
      <c r="AH8987" s="2" t="str">
        <f ca="1"/>
        <v>Good</v>
      </c>
    </row>
    <row r="8988" spans="2:34" x14ac:dyDescent="0.2">
      <c r="B8988" s="2">
        <f ca="1"/>
        <v>0.25701574217150025</v>
      </c>
      <c r="O8988" s="2">
        <f ca="1"/>
        <v>-0.99176430832364804</v>
      </c>
      <c r="X8988" s="2">
        <f ca="1"/>
        <v>43.374189409701877</v>
      </c>
      <c r="AG8988" s="2">
        <f ca="1"/>
        <v>0.16026679410213118</v>
      </c>
      <c r="AH8988" s="2" t="str">
        <f ca="1"/>
        <v>OK</v>
      </c>
    </row>
    <row r="8989" spans="2:34" x14ac:dyDescent="0.2">
      <c r="B8989" s="2">
        <f ca="1"/>
        <v>0.29173558684794787</v>
      </c>
      <c r="O8989" s="2">
        <f ca="1"/>
        <v>0.25613921325011385</v>
      </c>
      <c r="X8989" s="2">
        <f ca="1"/>
        <v>70.58129160339071</v>
      </c>
      <c r="AG8989" s="2">
        <f ca="1"/>
        <v>0.39321387268418473</v>
      </c>
      <c r="AH8989" s="2" t="str">
        <f ca="1"/>
        <v>OK</v>
      </c>
    </row>
    <row r="8990" spans="2:34" x14ac:dyDescent="0.2">
      <c r="B8990" s="2">
        <f ca="1"/>
        <v>0.24018465677602485</v>
      </c>
      <c r="O8990" s="2">
        <f ca="1"/>
        <v>-0.20816054680873286</v>
      </c>
      <c r="X8990" s="2">
        <f ca="1"/>
        <v>19.38953300221209</v>
      </c>
      <c r="AG8990" s="2">
        <f ca="1"/>
        <v>0.36990402235144137</v>
      </c>
      <c r="AH8990" s="2" t="str">
        <f ca="1"/>
        <v>OK</v>
      </c>
    </row>
    <row r="8991" spans="2:34" x14ac:dyDescent="0.2">
      <c r="B8991" s="2">
        <f ca="1"/>
        <v>0.44488187331176765</v>
      </c>
      <c r="O8991" s="2">
        <f ca="1"/>
        <v>0.33301342593647393</v>
      </c>
      <c r="X8991" s="2">
        <f ca="1"/>
        <v>64.404122457919428</v>
      </c>
      <c r="AG8991" s="2">
        <f ca="1"/>
        <v>0.34855480064173316</v>
      </c>
      <c r="AH8991" s="2" t="str">
        <f ca="1"/>
        <v>OK</v>
      </c>
    </row>
    <row r="8992" spans="2:34" x14ac:dyDescent="0.2">
      <c r="B8992" s="2">
        <f ca="1"/>
        <v>0.83762043531422825</v>
      </c>
      <c r="O8992" s="2">
        <f ca="1"/>
        <v>-0.49523638484061622</v>
      </c>
      <c r="X8992" s="2">
        <f ca="1"/>
        <v>70.70023913681996</v>
      </c>
      <c r="AG8992" s="2">
        <f ca="1"/>
        <v>0.78332539413068658</v>
      </c>
      <c r="AH8992" s="2" t="str">
        <f ca="1"/>
        <v>Bad</v>
      </c>
    </row>
    <row r="8993" spans="2:34" x14ac:dyDescent="0.2">
      <c r="B8993" s="2">
        <f ca="1"/>
        <v>0.34620795351081868</v>
      </c>
      <c r="O8993" s="2">
        <f ca="1"/>
        <v>-1.2504537724719258</v>
      </c>
      <c r="X8993" s="2">
        <f ca="1"/>
        <v>58.755389284031992</v>
      </c>
      <c r="AG8993" s="2">
        <f ca="1"/>
        <v>0.10837693360158096</v>
      </c>
      <c r="AH8993" s="2" t="str">
        <f ca="1"/>
        <v>OK</v>
      </c>
    </row>
    <row r="8994" spans="2:34" x14ac:dyDescent="0.2">
      <c r="B8994" s="2">
        <f ca="1"/>
        <v>0.99626385360484138</v>
      </c>
      <c r="O8994" s="2">
        <f ca="1"/>
        <v>0.25051979323956974</v>
      </c>
      <c r="X8994" s="2">
        <f ca="1"/>
        <v>46.73932343651672</v>
      </c>
      <c r="AG8994" s="2">
        <f ca="1"/>
        <v>0.56089950420164225</v>
      </c>
      <c r="AH8994" s="2" t="str">
        <f ca="1"/>
        <v>Bad</v>
      </c>
    </row>
    <row r="8995" spans="2:34" x14ac:dyDescent="0.2">
      <c r="B8995" s="2">
        <f ca="1"/>
        <v>0.95606259140727068</v>
      </c>
      <c r="O8995" s="2">
        <f ca="1"/>
        <v>-0.17058864764704157</v>
      </c>
      <c r="X8995" s="2">
        <f ca="1"/>
        <v>36.123153004401061</v>
      </c>
      <c r="AG8995" s="2">
        <f ca="1"/>
        <v>0.13532383119733327</v>
      </c>
      <c r="AH8995" s="2" t="str">
        <f ca="1"/>
        <v>OK</v>
      </c>
    </row>
    <row r="8996" spans="2:34" x14ac:dyDescent="0.2">
      <c r="B8996" s="2">
        <f ca="1"/>
        <v>0.34479709940482417</v>
      </c>
      <c r="O8996" s="2">
        <f ca="1"/>
        <v>1.0542971537047021</v>
      </c>
      <c r="X8996" s="2">
        <f ca="1"/>
        <v>78.450856660740698</v>
      </c>
      <c r="AG8996" s="2">
        <f ca="1"/>
        <v>0.22668304414868223</v>
      </c>
      <c r="AH8996" s="2" t="str">
        <f ca="1"/>
        <v>OK</v>
      </c>
    </row>
    <row r="8997" spans="2:34" x14ac:dyDescent="0.2">
      <c r="B8997" s="2">
        <f ca="1"/>
        <v>0.37387258361914921</v>
      </c>
      <c r="O8997" s="2">
        <f ca="1"/>
        <v>-2.1129354857359637</v>
      </c>
      <c r="X8997" s="2">
        <f ca="1"/>
        <v>59.956295887786283</v>
      </c>
      <c r="AG8997" s="2">
        <f ca="1"/>
        <v>0.38471599573726345</v>
      </c>
      <c r="AH8997" s="2" t="str">
        <f ca="1"/>
        <v>OK</v>
      </c>
    </row>
    <row r="8998" spans="2:34" x14ac:dyDescent="0.2">
      <c r="B8998" s="2">
        <f ca="1"/>
        <v>0.18111284718489751</v>
      </c>
      <c r="O8998" s="2">
        <f ca="1"/>
        <v>3.292653186651322</v>
      </c>
      <c r="X8998" s="2">
        <f ca="1"/>
        <v>39.859296579656302</v>
      </c>
      <c r="AG8998" s="2">
        <f ca="1"/>
        <v>0.58740294299193319</v>
      </c>
      <c r="AH8998" s="2" t="str">
        <f ca="1"/>
        <v>Bad</v>
      </c>
    </row>
    <row r="8999" spans="2:34" x14ac:dyDescent="0.2">
      <c r="B8999" s="2">
        <f ca="1"/>
        <v>0.53683094558157451</v>
      </c>
      <c r="O8999" s="2">
        <f ca="1"/>
        <v>-0.16268893819571889</v>
      </c>
      <c r="X8999" s="2">
        <f ca="1"/>
        <v>44.497796405710474</v>
      </c>
      <c r="AG8999" s="2">
        <f ca="1"/>
        <v>0.73767107896243789</v>
      </c>
      <c r="AH8999" s="2" t="str">
        <f ca="1"/>
        <v>Bad</v>
      </c>
    </row>
    <row r="9000" spans="2:34" x14ac:dyDescent="0.2">
      <c r="B9000" s="2">
        <f ca="1"/>
        <v>0.41079974751246695</v>
      </c>
      <c r="O9000" s="2">
        <f ca="1"/>
        <v>-0.95142992904590318</v>
      </c>
      <c r="X9000" s="2">
        <f ca="1"/>
        <v>39.8143544045301</v>
      </c>
      <c r="AG9000" s="2">
        <f ca="1"/>
        <v>0.26095612263543355</v>
      </c>
      <c r="AH9000" s="2" t="str">
        <f ca="1"/>
        <v>OK</v>
      </c>
    </row>
    <row r="9001" spans="2:34" x14ac:dyDescent="0.2">
      <c r="B9001" s="2">
        <f ca="1"/>
        <v>0.6171601876643138</v>
      </c>
      <c r="O9001" s="2">
        <f ca="1"/>
        <v>0.76211269193436082</v>
      </c>
      <c r="X9001" s="2">
        <f ca="1"/>
        <v>47.17783269619504</v>
      </c>
      <c r="AG9001" s="2">
        <f ca="1"/>
        <v>6.5850044007400799E-2</v>
      </c>
      <c r="AH9001" s="2" t="str">
        <f ca="1"/>
        <v>OK</v>
      </c>
    </row>
    <row r="9002" spans="2:34" x14ac:dyDescent="0.2">
      <c r="B9002" s="2">
        <f ca="1"/>
        <v>9.8128171815828003E-2</v>
      </c>
      <c r="O9002" s="2">
        <f ca="1"/>
        <v>1.3759008528347738</v>
      </c>
      <c r="X9002" s="2">
        <f ca="1"/>
        <v>54.893150268418381</v>
      </c>
      <c r="AG9002" s="2">
        <f ca="1"/>
        <v>0.42382983071267155</v>
      </c>
      <c r="AH9002" s="2" t="str">
        <f ca="1"/>
        <v>Bad</v>
      </c>
    </row>
    <row r="9003" spans="2:34" x14ac:dyDescent="0.2">
      <c r="B9003" s="2">
        <f ca="1"/>
        <v>0.70509161792584929</v>
      </c>
      <c r="O9003" s="2">
        <f ca="1"/>
        <v>0.86012660721336565</v>
      </c>
      <c r="X9003" s="2">
        <f ca="1"/>
        <v>57.250564398231241</v>
      </c>
      <c r="AG9003" s="2">
        <f ca="1"/>
        <v>0.47602043995626664</v>
      </c>
      <c r="AH9003" s="2" t="str">
        <f ca="1"/>
        <v>Bad</v>
      </c>
    </row>
    <row r="9004" spans="2:34" x14ac:dyDescent="0.2">
      <c r="B9004" s="2">
        <f ca="1"/>
        <v>0.35558970660128164</v>
      </c>
      <c r="O9004" s="2">
        <f ca="1"/>
        <v>1.8045308212378148</v>
      </c>
      <c r="X9004" s="2">
        <f ca="1"/>
        <v>33.829168422326376</v>
      </c>
      <c r="AG9004" s="2">
        <f ca="1"/>
        <v>0.27436979253668148</v>
      </c>
      <c r="AH9004" s="2" t="str">
        <f ca="1"/>
        <v>OK</v>
      </c>
    </row>
    <row r="9005" spans="2:34" x14ac:dyDescent="0.2">
      <c r="B9005" s="2">
        <f ca="1"/>
        <v>5.0141415931108657E-3</v>
      </c>
      <c r="O9005" s="2">
        <f ca="1"/>
        <v>0.72019619958477421</v>
      </c>
      <c r="X9005" s="2">
        <f ca="1"/>
        <v>61.50312295628359</v>
      </c>
      <c r="AG9005" s="2">
        <f ca="1"/>
        <v>0.93473302141495496</v>
      </c>
      <c r="AH9005" s="2" t="str">
        <f ca="1"/>
        <v>Bad</v>
      </c>
    </row>
    <row r="9006" spans="2:34" x14ac:dyDescent="0.2">
      <c r="B9006" s="2">
        <f ca="1"/>
        <v>0.66865503532247739</v>
      </c>
      <c r="O9006" s="2">
        <f ca="1"/>
        <v>-0.5457440344209169</v>
      </c>
      <c r="X9006" s="2">
        <f ca="1"/>
        <v>42.97725360616208</v>
      </c>
      <c r="AG9006" s="2">
        <f ca="1"/>
        <v>0.11977137837026164</v>
      </c>
      <c r="AH9006" s="2" t="str">
        <f ca="1"/>
        <v>OK</v>
      </c>
    </row>
    <row r="9007" spans="2:34" x14ac:dyDescent="0.2">
      <c r="B9007" s="2">
        <f ca="1"/>
        <v>1.9294962413528127E-2</v>
      </c>
      <c r="O9007" s="2">
        <f ca="1"/>
        <v>0.67008381807119743</v>
      </c>
      <c r="X9007" s="2">
        <f ca="1"/>
        <v>32.474662395149444</v>
      </c>
      <c r="AG9007" s="2">
        <f ca="1"/>
        <v>3.1435938576087841E-2</v>
      </c>
      <c r="AH9007" s="2" t="str">
        <f ca="1"/>
        <v>Good</v>
      </c>
    </row>
    <row r="9008" spans="2:34" x14ac:dyDescent="0.2">
      <c r="B9008" s="2">
        <f ca="1"/>
        <v>0.49706413371955271</v>
      </c>
      <c r="O9008" s="2">
        <f ca="1"/>
        <v>-0.58265579976411808</v>
      </c>
      <c r="X9008" s="2">
        <f ca="1"/>
        <v>46.808675683559713</v>
      </c>
      <c r="AG9008" s="2">
        <f ca="1"/>
        <v>0.79377933737222039</v>
      </c>
      <c r="AH9008" s="2" t="str">
        <f ca="1"/>
        <v>Bad</v>
      </c>
    </row>
    <row r="9009" spans="2:34" x14ac:dyDescent="0.2">
      <c r="B9009" s="2">
        <f ca="1"/>
        <v>0.50892561444299855</v>
      </c>
      <c r="O9009" s="2">
        <f ca="1"/>
        <v>-0.7319650224388794</v>
      </c>
      <c r="X9009" s="2">
        <f ca="1"/>
        <v>59.538419224192332</v>
      </c>
      <c r="AG9009" s="2">
        <f ca="1"/>
        <v>0.18833487528109427</v>
      </c>
      <c r="AH9009" s="2" t="str">
        <f ca="1"/>
        <v>OK</v>
      </c>
    </row>
    <row r="9010" spans="2:34" x14ac:dyDescent="0.2">
      <c r="B9010" s="2">
        <f ca="1"/>
        <v>2.3642081331266995E-2</v>
      </c>
      <c r="O9010" s="2">
        <f ca="1"/>
        <v>0.35663751391836745</v>
      </c>
      <c r="X9010" s="2">
        <f ca="1"/>
        <v>53.792212450547254</v>
      </c>
      <c r="AG9010" s="2">
        <f ca="1"/>
        <v>0.3656546135574934</v>
      </c>
      <c r="AH9010" s="2" t="str">
        <f ca="1"/>
        <v>OK</v>
      </c>
    </row>
    <row r="9011" spans="2:34" x14ac:dyDescent="0.2">
      <c r="B9011" s="2">
        <f ca="1"/>
        <v>0.8641804083671667</v>
      </c>
      <c r="O9011" s="2">
        <f ca="1"/>
        <v>-1.1808993577865821</v>
      </c>
      <c r="X9011" s="2">
        <f ca="1"/>
        <v>51.462292603381357</v>
      </c>
      <c r="AG9011" s="2">
        <f ca="1"/>
        <v>0.57963797406990314</v>
      </c>
      <c r="AH9011" s="2" t="str">
        <f ca="1"/>
        <v>Bad</v>
      </c>
    </row>
    <row r="9012" spans="2:34" x14ac:dyDescent="0.2">
      <c r="B9012" s="2">
        <f ca="1"/>
        <v>0.12467919468519972</v>
      </c>
      <c r="O9012" s="2">
        <f ca="1"/>
        <v>1.6027944941931351E-2</v>
      </c>
      <c r="X9012" s="2">
        <f ca="1"/>
        <v>56.683032874988541</v>
      </c>
      <c r="AG9012" s="2">
        <f ca="1"/>
        <v>0.16257310554300575</v>
      </c>
      <c r="AH9012" s="2" t="str">
        <f ca="1"/>
        <v>OK</v>
      </c>
    </row>
    <row r="9013" spans="2:34" x14ac:dyDescent="0.2">
      <c r="B9013" s="2">
        <f ca="1"/>
        <v>0.28108794539783277</v>
      </c>
      <c r="O9013" s="2">
        <f ca="1"/>
        <v>-1.8363363578886545</v>
      </c>
      <c r="X9013" s="2">
        <f ca="1"/>
        <v>55.019060878614034</v>
      </c>
      <c r="AG9013" s="2">
        <f ca="1"/>
        <v>7.0919986904025345E-2</v>
      </c>
      <c r="AH9013" s="2" t="str">
        <f ca="1"/>
        <v>OK</v>
      </c>
    </row>
    <row r="9014" spans="2:34" x14ac:dyDescent="0.2">
      <c r="B9014" s="2">
        <f ca="1"/>
        <v>0.51308738799970532</v>
      </c>
      <c r="O9014" s="2">
        <f ca="1"/>
        <v>1.6554769652753694</v>
      </c>
      <c r="X9014" s="2">
        <f ca="1"/>
        <v>29.351240806217159</v>
      </c>
      <c r="AG9014" s="2">
        <f ca="1"/>
        <v>0.27725728274189376</v>
      </c>
      <c r="AH9014" s="2" t="str">
        <f ca="1"/>
        <v>OK</v>
      </c>
    </row>
    <row r="9015" spans="2:34" x14ac:dyDescent="0.2">
      <c r="B9015" s="2">
        <f ca="1"/>
        <v>0.12750707820831808</v>
      </c>
      <c r="O9015" s="2">
        <f ca="1"/>
        <v>0.60339101270144102</v>
      </c>
      <c r="X9015" s="2">
        <f ca="1"/>
        <v>44.007370050004788</v>
      </c>
      <c r="AG9015" s="2">
        <f ca="1"/>
        <v>0.83573275342509978</v>
      </c>
      <c r="AH9015" s="2" t="str">
        <f ca="1"/>
        <v>Bad</v>
      </c>
    </row>
    <row r="9016" spans="2:34" x14ac:dyDescent="0.2">
      <c r="B9016" s="2">
        <f ca="1"/>
        <v>0.54750808451422084</v>
      </c>
      <c r="O9016" s="2">
        <f ca="1"/>
        <v>0.33368429354186369</v>
      </c>
      <c r="X9016" s="2">
        <f ca="1"/>
        <v>52.491824288659743</v>
      </c>
      <c r="AG9016" s="2">
        <f ca="1"/>
        <v>0.39103117399807452</v>
      </c>
      <c r="AH9016" s="2" t="str">
        <f ca="1"/>
        <v>OK</v>
      </c>
    </row>
    <row r="9017" spans="2:34" x14ac:dyDescent="0.2">
      <c r="B9017" s="2">
        <f ca="1"/>
        <v>0.1829200649532412</v>
      </c>
      <c r="O9017" s="2">
        <f ca="1"/>
        <v>-0.87131705346620458</v>
      </c>
      <c r="X9017" s="2">
        <f ca="1"/>
        <v>34.582995375415599</v>
      </c>
      <c r="AG9017" s="2">
        <f ca="1"/>
        <v>0.79827456509808337</v>
      </c>
      <c r="AH9017" s="2" t="str">
        <f ca="1"/>
        <v>Bad</v>
      </c>
    </row>
    <row r="9018" spans="2:34" x14ac:dyDescent="0.2">
      <c r="B9018" s="2">
        <f ca="1"/>
        <v>0.75429354762016643</v>
      </c>
      <c r="O9018" s="2">
        <f ca="1"/>
        <v>-1.3514606726499896</v>
      </c>
      <c r="X9018" s="2">
        <f ca="1"/>
        <v>43.123878112631751</v>
      </c>
      <c r="AG9018" s="2">
        <f ca="1"/>
        <v>0.20940656056952101</v>
      </c>
      <c r="AH9018" s="2" t="str">
        <f ca="1"/>
        <v>OK</v>
      </c>
    </row>
    <row r="9019" spans="2:34" x14ac:dyDescent="0.2">
      <c r="B9019" s="2">
        <f ca="1"/>
        <v>0.39679631073749788</v>
      </c>
      <c r="O9019" s="2">
        <f ca="1"/>
        <v>-0.78877619350689931</v>
      </c>
      <c r="X9019" s="2">
        <f ca="1"/>
        <v>52.869237316406782</v>
      </c>
      <c r="AG9019" s="2">
        <f ca="1"/>
        <v>0.32489180987914934</v>
      </c>
      <c r="AH9019" s="2" t="str">
        <f ca="1"/>
        <v>OK</v>
      </c>
    </row>
    <row r="9020" spans="2:34" x14ac:dyDescent="0.2">
      <c r="B9020" s="2">
        <f ca="1"/>
        <v>0.3063816410650273</v>
      </c>
      <c r="O9020" s="2">
        <f ca="1"/>
        <v>1.2847431703007908</v>
      </c>
      <c r="X9020" s="2">
        <f ca="1"/>
        <v>73.543852528746584</v>
      </c>
      <c r="AG9020" s="2">
        <f ca="1"/>
        <v>0.89985344086712193</v>
      </c>
      <c r="AH9020" s="2" t="str">
        <f ca="1"/>
        <v>Bad</v>
      </c>
    </row>
    <row r="9021" spans="2:34" x14ac:dyDescent="0.2">
      <c r="B9021" s="2">
        <f ca="1"/>
        <v>0.82423556884002935</v>
      </c>
      <c r="O9021" s="2">
        <f ca="1"/>
        <v>-0.35385564822928472</v>
      </c>
      <c r="X9021" s="2">
        <f ca="1"/>
        <v>66.924375285604313</v>
      </c>
      <c r="AG9021" s="2">
        <f ca="1"/>
        <v>0.61877727435660779</v>
      </c>
      <c r="AH9021" s="2" t="str">
        <f ca="1"/>
        <v>Bad</v>
      </c>
    </row>
    <row r="9022" spans="2:34" x14ac:dyDescent="0.2">
      <c r="B9022" s="2">
        <f ca="1"/>
        <v>0.47721602267059438</v>
      </c>
      <c r="O9022" s="2">
        <f ca="1"/>
        <v>-1.1030917142362282</v>
      </c>
      <c r="X9022" s="2">
        <f ca="1"/>
        <v>63.877792080823966</v>
      </c>
      <c r="AG9022" s="2">
        <f ca="1"/>
        <v>0.87433854710986569</v>
      </c>
      <c r="AH9022" s="2" t="str">
        <f ca="1"/>
        <v>Bad</v>
      </c>
    </row>
    <row r="9023" spans="2:34" x14ac:dyDescent="0.2">
      <c r="B9023" s="2">
        <f ca="1"/>
        <v>3.2832380511550685E-2</v>
      </c>
      <c r="O9023" s="2">
        <f ca="1"/>
        <v>7.661977654154993E-2</v>
      </c>
      <c r="X9023" s="2">
        <f ca="1"/>
        <v>31.724794965623353</v>
      </c>
      <c r="AG9023" s="2">
        <f ca="1"/>
        <v>0.68385561586080112</v>
      </c>
      <c r="AH9023" s="2" t="str">
        <f ca="1"/>
        <v>Bad</v>
      </c>
    </row>
    <row r="9024" spans="2:34" x14ac:dyDescent="0.2">
      <c r="B9024" s="2">
        <f ca="1"/>
        <v>0.92800852848237758</v>
      </c>
      <c r="O9024" s="2">
        <f ca="1"/>
        <v>1.1116751795970585</v>
      </c>
      <c r="X9024" s="2">
        <f ca="1"/>
        <v>44.178840537088533</v>
      </c>
      <c r="AG9024" s="2">
        <f ca="1"/>
        <v>0.55934122403510922</v>
      </c>
      <c r="AH9024" s="2" t="str">
        <f ca="1"/>
        <v>Bad</v>
      </c>
    </row>
    <row r="9025" spans="2:34" x14ac:dyDescent="0.2">
      <c r="B9025" s="2">
        <f ca="1"/>
        <v>0.40652088858239122</v>
      </c>
      <c r="O9025" s="2">
        <f ca="1"/>
        <v>1.0320714473411972</v>
      </c>
      <c r="X9025" s="2">
        <f ca="1"/>
        <v>48.768678514376766</v>
      </c>
      <c r="AG9025" s="2">
        <f ca="1"/>
        <v>0.34811347912907298</v>
      </c>
      <c r="AH9025" s="2" t="str">
        <f ca="1"/>
        <v>OK</v>
      </c>
    </row>
    <row r="9026" spans="2:34" x14ac:dyDescent="0.2">
      <c r="B9026" s="2">
        <f ca="1"/>
        <v>0.69526317481003286</v>
      </c>
      <c r="O9026" s="2">
        <f ca="1"/>
        <v>-1.3151366122346528</v>
      </c>
      <c r="X9026" s="2">
        <f ca="1"/>
        <v>61.895632080970174</v>
      </c>
      <c r="AG9026" s="2">
        <f ca="1"/>
        <v>0.83906577536025972</v>
      </c>
      <c r="AH9026" s="2" t="str">
        <f ca="1"/>
        <v>Bad</v>
      </c>
    </row>
    <row r="9027" spans="2:34" x14ac:dyDescent="0.2">
      <c r="B9027" s="2">
        <f ca="1"/>
        <v>0.45324480416794644</v>
      </c>
      <c r="O9027" s="2">
        <f ca="1"/>
        <v>1.4841784338965793</v>
      </c>
      <c r="X9027" s="2">
        <f ca="1"/>
        <v>44.653127371314071</v>
      </c>
      <c r="AG9027" s="2">
        <f ca="1"/>
        <v>0.22842869928253728</v>
      </c>
      <c r="AH9027" s="2" t="str">
        <f ca="1"/>
        <v>OK</v>
      </c>
    </row>
    <row r="9028" spans="2:34" x14ac:dyDescent="0.2">
      <c r="B9028" s="2">
        <f ca="1"/>
        <v>0.7356759851740422</v>
      </c>
      <c r="O9028" s="2">
        <f ca="1"/>
        <v>0.92514431947969422</v>
      </c>
      <c r="X9028" s="2">
        <f ca="1"/>
        <v>66.568008053918561</v>
      </c>
      <c r="AG9028" s="2">
        <f ca="1"/>
        <v>0.67932900610859548</v>
      </c>
      <c r="AH9028" s="2" t="str">
        <f ca="1"/>
        <v>Bad</v>
      </c>
    </row>
    <row r="9029" spans="2:34" x14ac:dyDescent="0.2">
      <c r="B9029" s="2">
        <f ca="1"/>
        <v>0.34009678385805509</v>
      </c>
      <c r="O9029" s="2">
        <f ca="1"/>
        <v>3.7790129854998869E-2</v>
      </c>
      <c r="X9029" s="2">
        <f ca="1"/>
        <v>93.85401529136206</v>
      </c>
      <c r="AG9029" s="2">
        <f ca="1"/>
        <v>0.16254302473652893</v>
      </c>
      <c r="AH9029" s="2" t="str">
        <f ca="1"/>
        <v>OK</v>
      </c>
    </row>
    <row r="9030" spans="2:34" x14ac:dyDescent="0.2">
      <c r="B9030" s="2">
        <f ca="1"/>
        <v>0.32602193830280091</v>
      </c>
      <c r="O9030" s="2">
        <f ca="1"/>
        <v>1.8722474779264324</v>
      </c>
      <c r="X9030" s="2">
        <f ca="1"/>
        <v>41.694791783826332</v>
      </c>
      <c r="AG9030" s="2">
        <f ca="1"/>
        <v>0.47033758813189119</v>
      </c>
      <c r="AH9030" s="2" t="str">
        <f ca="1"/>
        <v>Bad</v>
      </c>
    </row>
    <row r="9031" spans="2:34" x14ac:dyDescent="0.2">
      <c r="B9031" s="2">
        <f ca="1"/>
        <v>0.31494927524947203</v>
      </c>
      <c r="O9031" s="2">
        <f ca="1"/>
        <v>-0.72725840641759765</v>
      </c>
      <c r="X9031" s="2">
        <f ca="1"/>
        <v>37.984022204486273</v>
      </c>
      <c r="AG9031" s="2">
        <f ca="1"/>
        <v>0.3919923579177238</v>
      </c>
      <c r="AH9031" s="2" t="str">
        <f ca="1"/>
        <v>OK</v>
      </c>
    </row>
    <row r="9032" spans="2:34" x14ac:dyDescent="0.2">
      <c r="B9032" s="2">
        <f ca="1"/>
        <v>0.11109391340881136</v>
      </c>
      <c r="O9032" s="2">
        <f ca="1"/>
        <v>1.6608954116251364</v>
      </c>
      <c r="X9032" s="2">
        <f ca="1"/>
        <v>82.838820475915696</v>
      </c>
      <c r="AG9032" s="2">
        <f ca="1"/>
        <v>0.3650429051614632</v>
      </c>
      <c r="AH9032" s="2" t="str">
        <f ca="1"/>
        <v>OK</v>
      </c>
    </row>
    <row r="9033" spans="2:34" x14ac:dyDescent="0.2">
      <c r="B9033" s="2">
        <f ca="1"/>
        <v>0.27541373944439784</v>
      </c>
      <c r="O9033" s="2">
        <f ca="1"/>
        <v>1.5850425427140216</v>
      </c>
      <c r="X9033" s="2">
        <f ca="1"/>
        <v>47.086367483115467</v>
      </c>
      <c r="AG9033" s="2">
        <f ca="1"/>
        <v>0.35399994199845608</v>
      </c>
      <c r="AH9033" s="2" t="str">
        <f ca="1"/>
        <v>OK</v>
      </c>
    </row>
    <row r="9034" spans="2:34" x14ac:dyDescent="0.2">
      <c r="B9034" s="2">
        <f ca="1"/>
        <v>7.7663393136075731E-2</v>
      </c>
      <c r="O9034" s="2">
        <f ca="1"/>
        <v>1.4773419511515631</v>
      </c>
      <c r="X9034" s="2">
        <f ca="1"/>
        <v>36.842497279197069</v>
      </c>
      <c r="AG9034" s="2">
        <f ca="1"/>
        <v>0.98811110766544785</v>
      </c>
      <c r="AH9034" s="2" t="str">
        <f ca="1"/>
        <v>Bad</v>
      </c>
    </row>
    <row r="9035" spans="2:34" x14ac:dyDescent="0.2">
      <c r="B9035" s="2">
        <f ca="1"/>
        <v>0.14318069247813714</v>
      </c>
      <c r="O9035" s="2">
        <f ca="1"/>
        <v>-1.189770238543076</v>
      </c>
      <c r="X9035" s="2">
        <f ca="1"/>
        <v>69.735964353558174</v>
      </c>
      <c r="AG9035" s="2">
        <f ca="1"/>
        <v>0.88413580397000824</v>
      </c>
      <c r="AH9035" s="2" t="str">
        <f ca="1"/>
        <v>Bad</v>
      </c>
    </row>
    <row r="9036" spans="2:34" x14ac:dyDescent="0.2">
      <c r="B9036" s="2">
        <f ca="1"/>
        <v>0.43418735731427693</v>
      </c>
      <c r="O9036" s="2">
        <f ca="1"/>
        <v>-2.0940353996898589</v>
      </c>
      <c r="X9036" s="2">
        <f ca="1"/>
        <v>48.691879825783282</v>
      </c>
      <c r="AG9036" s="2">
        <f ca="1"/>
        <v>0.37716069259182561</v>
      </c>
      <c r="AH9036" s="2" t="str">
        <f ca="1"/>
        <v>OK</v>
      </c>
    </row>
    <row r="9037" spans="2:34" x14ac:dyDescent="0.2">
      <c r="B9037" s="2">
        <f ca="1"/>
        <v>0.1097110256179179</v>
      </c>
      <c r="O9037" s="2">
        <f ca="1"/>
        <v>2.2760339818044857</v>
      </c>
      <c r="X9037" s="2">
        <f ca="1"/>
        <v>40.469878466693523</v>
      </c>
      <c r="AG9037" s="2">
        <f ca="1"/>
        <v>0.78718265495837936</v>
      </c>
      <c r="AH9037" s="2" t="str">
        <f ca="1"/>
        <v>Bad</v>
      </c>
    </row>
    <row r="9038" spans="2:34" x14ac:dyDescent="0.2">
      <c r="B9038" s="2">
        <f ca="1"/>
        <v>0.98085085815859485</v>
      </c>
      <c r="O9038" s="2">
        <f ca="1"/>
        <v>-0.77679694910912589</v>
      </c>
      <c r="X9038" s="2">
        <f ca="1"/>
        <v>93.647228044139226</v>
      </c>
      <c r="AG9038" s="2">
        <f ca="1"/>
        <v>0.13528501246795854</v>
      </c>
      <c r="AH9038" s="2" t="str">
        <f ca="1"/>
        <v>OK</v>
      </c>
    </row>
    <row r="9039" spans="2:34" x14ac:dyDescent="0.2">
      <c r="B9039" s="2">
        <f ca="1"/>
        <v>0.47663736708460247</v>
      </c>
      <c r="O9039" s="2">
        <f ca="1"/>
        <v>-0.60680089438558016</v>
      </c>
      <c r="X9039" s="2">
        <f ca="1"/>
        <v>76.857793945746408</v>
      </c>
      <c r="AG9039" s="2">
        <f ca="1"/>
        <v>0.78821239060200154</v>
      </c>
      <c r="AH9039" s="2" t="str">
        <f ca="1"/>
        <v>Bad</v>
      </c>
    </row>
    <row r="9040" spans="2:34" x14ac:dyDescent="0.2">
      <c r="B9040" s="2">
        <f ca="1"/>
        <v>0.23654303692011114</v>
      </c>
      <c r="O9040" s="2">
        <f ca="1"/>
        <v>-2.1341117305699542</v>
      </c>
      <c r="X9040" s="2">
        <f ca="1"/>
        <v>60.768065022309344</v>
      </c>
      <c r="AG9040" s="2">
        <f ca="1"/>
        <v>0.67503371518919608</v>
      </c>
      <c r="AH9040" s="2" t="str">
        <f ca="1"/>
        <v>Bad</v>
      </c>
    </row>
    <row r="9041" spans="2:34" x14ac:dyDescent="0.2">
      <c r="B9041" s="2">
        <f ca="1"/>
        <v>7.8349463620671855E-2</v>
      </c>
      <c r="O9041" s="2">
        <f ca="1"/>
        <v>-1.0495341697360141</v>
      </c>
      <c r="X9041" s="2">
        <f ca="1"/>
        <v>53.742227611817881</v>
      </c>
      <c r="AG9041" s="2">
        <f ca="1"/>
        <v>0.65400652036465989</v>
      </c>
      <c r="AH9041" s="2" t="str">
        <f ca="1"/>
        <v>Bad</v>
      </c>
    </row>
    <row r="9042" spans="2:34" x14ac:dyDescent="0.2">
      <c r="B9042" s="2">
        <f ca="1"/>
        <v>0.35539564577904481</v>
      </c>
      <c r="O9042" s="2">
        <f ca="1"/>
        <v>0.37417617161087802</v>
      </c>
      <c r="X9042" s="2">
        <f ca="1"/>
        <v>52.4753805818182</v>
      </c>
      <c r="AG9042" s="2">
        <f ca="1"/>
        <v>0.63090817995403103</v>
      </c>
      <c r="AH9042" s="2" t="str">
        <f ca="1"/>
        <v>Bad</v>
      </c>
    </row>
    <row r="9043" spans="2:34" x14ac:dyDescent="0.2">
      <c r="B9043" s="2">
        <f ca="1"/>
        <v>0.24635110629923251</v>
      </c>
      <c r="O9043" s="2">
        <f ca="1"/>
        <v>0.95313510777794863</v>
      </c>
      <c r="X9043" s="2">
        <f ca="1"/>
        <v>34.976128540514246</v>
      </c>
      <c r="AG9043" s="2">
        <f ca="1"/>
        <v>0.65825217854152251</v>
      </c>
      <c r="AH9043" s="2" t="str">
        <f ca="1"/>
        <v>Bad</v>
      </c>
    </row>
    <row r="9044" spans="2:34" x14ac:dyDescent="0.2">
      <c r="B9044" s="2">
        <f ca="1"/>
        <v>0.72731164010719929</v>
      </c>
      <c r="O9044" s="2">
        <f ca="1"/>
        <v>3.5514491428144702E-2</v>
      </c>
      <c r="X9044" s="2">
        <f ca="1"/>
        <v>45.938937298416953</v>
      </c>
      <c r="AG9044" s="2">
        <f ca="1"/>
        <v>0.44008987088167317</v>
      </c>
      <c r="AH9044" s="2" t="str">
        <f ca="1"/>
        <v>Bad</v>
      </c>
    </row>
    <row r="9045" spans="2:34" x14ac:dyDescent="0.2">
      <c r="B9045" s="2">
        <f ca="1"/>
        <v>0.73149177763232909</v>
      </c>
      <c r="O9045" s="2">
        <f ca="1"/>
        <v>-0.43161408001035884</v>
      </c>
      <c r="X9045" s="2">
        <f ca="1"/>
        <v>47.473322473306595</v>
      </c>
      <c r="AG9045" s="2">
        <f ca="1"/>
        <v>0.82647145948210943</v>
      </c>
      <c r="AH9045" s="2" t="str">
        <f ca="1"/>
        <v>Bad</v>
      </c>
    </row>
    <row r="9046" spans="2:34" x14ac:dyDescent="0.2">
      <c r="B9046" s="2">
        <f ca="1"/>
        <v>9.1941272611923752E-2</v>
      </c>
      <c r="O9046" s="2">
        <f ca="1"/>
        <v>-2.5868228007101198E-2</v>
      </c>
      <c r="X9046" s="2">
        <f ca="1"/>
        <v>50.571987428180741</v>
      </c>
      <c r="AG9046" s="2">
        <f ca="1"/>
        <v>0.34004785854499087</v>
      </c>
      <c r="AH9046" s="2" t="str">
        <f ca="1"/>
        <v>OK</v>
      </c>
    </row>
    <row r="9047" spans="2:34" x14ac:dyDescent="0.2">
      <c r="B9047" s="2">
        <f ca="1"/>
        <v>0.34020757971859727</v>
      </c>
      <c r="O9047" s="2">
        <f ca="1"/>
        <v>-3.3849740623563163E-2</v>
      </c>
      <c r="X9047" s="2">
        <f ca="1"/>
        <v>67.581449840418145</v>
      </c>
      <c r="AG9047" s="2">
        <f ca="1"/>
        <v>0.16767321002509616</v>
      </c>
      <c r="AH9047" s="2" t="str">
        <f ca="1"/>
        <v>OK</v>
      </c>
    </row>
    <row r="9048" spans="2:34" x14ac:dyDescent="0.2">
      <c r="B9048" s="2">
        <f ca="1"/>
        <v>0.96654809611230452</v>
      </c>
      <c r="O9048" s="2">
        <f ca="1"/>
        <v>-0.95879771104823297</v>
      </c>
      <c r="X9048" s="2">
        <f ca="1"/>
        <v>26.177551500267793</v>
      </c>
      <c r="AG9048" s="2">
        <f ca="1"/>
        <v>0.68905216509502409</v>
      </c>
      <c r="AH9048" s="2" t="str">
        <f ca="1"/>
        <v>Bad</v>
      </c>
    </row>
    <row r="9049" spans="2:34" x14ac:dyDescent="0.2">
      <c r="B9049" s="2">
        <f ca="1"/>
        <v>1.373586665378923E-2</v>
      </c>
      <c r="O9049" s="2">
        <f ca="1"/>
        <v>-0.7797550362793445</v>
      </c>
      <c r="X9049" s="2">
        <f ca="1"/>
        <v>51.863602923390687</v>
      </c>
      <c r="AG9049" s="2">
        <f ca="1"/>
        <v>0.65100815955116853</v>
      </c>
      <c r="AH9049" s="2" t="str">
        <f ca="1"/>
        <v>Bad</v>
      </c>
    </row>
    <row r="9050" spans="2:34" x14ac:dyDescent="0.2">
      <c r="B9050" s="2">
        <f ca="1"/>
        <v>0.65129176839813607</v>
      </c>
      <c r="O9050" s="2">
        <f ca="1"/>
        <v>2.3754193312835019</v>
      </c>
      <c r="X9050" s="2">
        <f ca="1"/>
        <v>59.726006071240612</v>
      </c>
      <c r="AG9050" s="2">
        <f ca="1"/>
        <v>0.87713454724633033</v>
      </c>
      <c r="AH9050" s="2" t="str">
        <f ca="1"/>
        <v>Bad</v>
      </c>
    </row>
    <row r="9051" spans="2:34" x14ac:dyDescent="0.2">
      <c r="B9051" s="2">
        <f ca="1"/>
        <v>0.17601735202833346</v>
      </c>
      <c r="O9051" s="2">
        <f ca="1"/>
        <v>-0.91006983831212673</v>
      </c>
      <c r="X9051" s="2">
        <f ca="1"/>
        <v>50.686458004938835</v>
      </c>
      <c r="AG9051" s="2">
        <f ca="1"/>
        <v>0.15387906974945875</v>
      </c>
      <c r="AH9051" s="2" t="str">
        <f ca="1"/>
        <v>OK</v>
      </c>
    </row>
    <row r="9052" spans="2:34" x14ac:dyDescent="0.2">
      <c r="B9052" s="2">
        <f ca="1"/>
        <v>0.39388041110628191</v>
      </c>
      <c r="O9052" s="2">
        <f ca="1"/>
        <v>-1.5014487310542808</v>
      </c>
      <c r="X9052" s="2">
        <f ca="1"/>
        <v>44.973324409949612</v>
      </c>
      <c r="AG9052" s="2">
        <f ca="1"/>
        <v>0.37511981697233332</v>
      </c>
      <c r="AH9052" s="2" t="str">
        <f ca="1"/>
        <v>OK</v>
      </c>
    </row>
    <row r="9053" spans="2:34" x14ac:dyDescent="0.2">
      <c r="B9053" s="2">
        <f ca="1"/>
        <v>0.24499776462659684</v>
      </c>
      <c r="O9053" s="2">
        <f ca="1"/>
        <v>0.50615686508956448</v>
      </c>
      <c r="X9053" s="2">
        <f ca="1"/>
        <v>30.63320229312334</v>
      </c>
      <c r="AG9053" s="2">
        <f ca="1"/>
        <v>0.70734919555865328</v>
      </c>
      <c r="AH9053" s="2" t="str">
        <f ca="1"/>
        <v>Bad</v>
      </c>
    </row>
    <row r="9054" spans="2:34" x14ac:dyDescent="0.2">
      <c r="B9054" s="2">
        <f ca="1"/>
        <v>0.56322609164776316</v>
      </c>
      <c r="O9054" s="2">
        <f ca="1"/>
        <v>1.3486293599574319</v>
      </c>
      <c r="X9054" s="2">
        <f ca="1"/>
        <v>59.099667281846457</v>
      </c>
      <c r="AG9054" s="2">
        <f ca="1"/>
        <v>0.84696956359634035</v>
      </c>
      <c r="AH9054" s="2" t="str">
        <f ca="1"/>
        <v>Bad</v>
      </c>
    </row>
    <row r="9055" spans="2:34" x14ac:dyDescent="0.2">
      <c r="B9055" s="2">
        <f ca="1"/>
        <v>0.1251224064732892</v>
      </c>
      <c r="O9055" s="2">
        <f ca="1"/>
        <v>-0.24597666945458246</v>
      </c>
      <c r="X9055" s="2">
        <f ca="1"/>
        <v>86.834185952263198</v>
      </c>
      <c r="AG9055" s="2">
        <f ca="1"/>
        <v>0.47212147156029505</v>
      </c>
      <c r="AH9055" s="2" t="str">
        <f ca="1"/>
        <v>Bad</v>
      </c>
    </row>
    <row r="9056" spans="2:34" x14ac:dyDescent="0.2">
      <c r="B9056" s="2">
        <f ca="1"/>
        <v>9.9924130606531492E-2</v>
      </c>
      <c r="O9056" s="2">
        <f ca="1"/>
        <v>0.64639669240600195</v>
      </c>
      <c r="X9056" s="2">
        <f ca="1"/>
        <v>57.705616712246353</v>
      </c>
      <c r="AG9056" s="2">
        <f ca="1"/>
        <v>0.46528170180470307</v>
      </c>
      <c r="AH9056" s="2" t="str">
        <f ca="1"/>
        <v>Bad</v>
      </c>
    </row>
    <row r="9057" spans="2:34" x14ac:dyDescent="0.2">
      <c r="B9057" s="2">
        <f ca="1"/>
        <v>0.90056475019026538</v>
      </c>
      <c r="O9057" s="2">
        <f ca="1"/>
        <v>-0.90324433189626674</v>
      </c>
      <c r="X9057" s="2">
        <f ca="1"/>
        <v>58.184063438156635</v>
      </c>
      <c r="AG9057" s="2">
        <f ca="1"/>
        <v>1.9443448292964183E-2</v>
      </c>
      <c r="AH9057" s="2" t="str">
        <f ca="1"/>
        <v>Good</v>
      </c>
    </row>
    <row r="9058" spans="2:34" x14ac:dyDescent="0.2">
      <c r="B9058" s="2">
        <f ca="1"/>
        <v>3.9475301565756293E-2</v>
      </c>
      <c r="O9058" s="2">
        <f ca="1"/>
        <v>-0.31681624470879244</v>
      </c>
      <c r="X9058" s="2">
        <f ca="1"/>
        <v>44.540577771701805</v>
      </c>
      <c r="AG9058" s="2">
        <f ca="1"/>
        <v>0.27710384605166394</v>
      </c>
      <c r="AH9058" s="2" t="str">
        <f ca="1"/>
        <v>OK</v>
      </c>
    </row>
    <row r="9059" spans="2:34" x14ac:dyDescent="0.2">
      <c r="B9059" s="2">
        <f ca="1"/>
        <v>0.4304031472036709</v>
      </c>
      <c r="O9059" s="2">
        <f ca="1"/>
        <v>8.5332125022780758E-2</v>
      </c>
      <c r="X9059" s="2">
        <f ca="1"/>
        <v>30.164261200364429</v>
      </c>
      <c r="AG9059" s="2">
        <f ca="1"/>
        <v>0.27473352834594711</v>
      </c>
      <c r="AH9059" s="2" t="str">
        <f ca="1"/>
        <v>OK</v>
      </c>
    </row>
    <row r="9060" spans="2:34" x14ac:dyDescent="0.2">
      <c r="B9060" s="2">
        <f ca="1"/>
        <v>0.29626019232857925</v>
      </c>
      <c r="O9060" s="2">
        <f ca="1"/>
        <v>0.83375014943605652</v>
      </c>
      <c r="X9060" s="2">
        <f ca="1"/>
        <v>45.244827143225777</v>
      </c>
      <c r="AG9060" s="2">
        <f ca="1"/>
        <v>0.15440602138142112</v>
      </c>
      <c r="AH9060" s="2" t="str">
        <f ca="1"/>
        <v>OK</v>
      </c>
    </row>
    <row r="9061" spans="2:34" x14ac:dyDescent="0.2">
      <c r="B9061" s="2">
        <f ca="1"/>
        <v>0.63381355502269043</v>
      </c>
      <c r="O9061" s="2">
        <f ca="1"/>
        <v>9.103681954351027E-2</v>
      </c>
      <c r="X9061" s="2">
        <f ca="1"/>
        <v>53.723600552971007</v>
      </c>
      <c r="AG9061" s="2">
        <f ca="1"/>
        <v>7.0272800345575925E-2</v>
      </c>
      <c r="AH9061" s="2" t="str">
        <f ca="1"/>
        <v>OK</v>
      </c>
    </row>
    <row r="9062" spans="2:34" x14ac:dyDescent="0.2">
      <c r="B9062" s="2">
        <f ca="1"/>
        <v>0.12111733407712832</v>
      </c>
      <c r="O9062" s="2">
        <f ca="1"/>
        <v>1.1370682333942999</v>
      </c>
      <c r="X9062" s="2">
        <f ca="1"/>
        <v>30.924745142861013</v>
      </c>
      <c r="AG9062" s="2">
        <f ca="1"/>
        <v>0.32696414497563731</v>
      </c>
      <c r="AH9062" s="2" t="str">
        <f ca="1"/>
        <v>OK</v>
      </c>
    </row>
    <row r="9063" spans="2:34" x14ac:dyDescent="0.2">
      <c r="B9063" s="2">
        <f ca="1"/>
        <v>0.82538542448743901</v>
      </c>
      <c r="O9063" s="2">
        <f ca="1"/>
        <v>1.197422022233362</v>
      </c>
      <c r="X9063" s="2">
        <f ca="1"/>
        <v>62.345023206306635</v>
      </c>
      <c r="AG9063" s="2">
        <f ca="1"/>
        <v>0.89240952862943335</v>
      </c>
      <c r="AH9063" s="2" t="str">
        <f ca="1"/>
        <v>Bad</v>
      </c>
    </row>
    <row r="9064" spans="2:34" x14ac:dyDescent="0.2">
      <c r="B9064" s="2">
        <f ca="1"/>
        <v>0.76973483698505452</v>
      </c>
      <c r="O9064" s="2">
        <f ca="1"/>
        <v>-1.3794567043957986</v>
      </c>
      <c r="X9064" s="2">
        <f ca="1"/>
        <v>65.195011178905133</v>
      </c>
      <c r="AG9064" s="2">
        <f ca="1"/>
        <v>0.84070423941076045</v>
      </c>
      <c r="AH9064" s="2" t="str">
        <f ca="1"/>
        <v>Bad</v>
      </c>
    </row>
    <row r="9065" spans="2:34" x14ac:dyDescent="0.2">
      <c r="B9065" s="2">
        <f ca="1"/>
        <v>0.6268105262087853</v>
      </c>
      <c r="O9065" s="2">
        <f ca="1"/>
        <v>-1.0843390229438707</v>
      </c>
      <c r="X9065" s="2">
        <f ca="1"/>
        <v>54.49455756211038</v>
      </c>
      <c r="AG9065" s="2">
        <f ca="1"/>
        <v>9.1980342256811065E-2</v>
      </c>
      <c r="AH9065" s="2" t="str">
        <f ca="1"/>
        <v>OK</v>
      </c>
    </row>
    <row r="9066" spans="2:34" x14ac:dyDescent="0.2">
      <c r="B9066" s="2">
        <f ca="1"/>
        <v>0.15621716219296111</v>
      </c>
      <c r="O9066" s="2">
        <f ca="1"/>
        <v>0.74154427937208667</v>
      </c>
      <c r="X9066" s="2">
        <f ca="1"/>
        <v>60.489223621791758</v>
      </c>
      <c r="AG9066" s="2">
        <f ca="1"/>
        <v>0.52526783747623185</v>
      </c>
      <c r="AH9066" s="2" t="str">
        <f ca="1"/>
        <v>Bad</v>
      </c>
    </row>
    <row r="9067" spans="2:34" x14ac:dyDescent="0.2">
      <c r="B9067" s="2">
        <f ca="1"/>
        <v>0.20656058510076347</v>
      </c>
      <c r="O9067" s="2">
        <f ca="1"/>
        <v>0.84267173005553486</v>
      </c>
      <c r="X9067" s="2">
        <f ca="1"/>
        <v>56.723526249286785</v>
      </c>
      <c r="AG9067" s="2">
        <f ca="1"/>
        <v>0.19815136682157353</v>
      </c>
      <c r="AH9067" s="2" t="str">
        <f ca="1"/>
        <v>OK</v>
      </c>
    </row>
    <row r="9068" spans="2:34" x14ac:dyDescent="0.2">
      <c r="B9068" s="2">
        <f ca="1"/>
        <v>0.10380761247809289</v>
      </c>
      <c r="O9068" s="2">
        <f ca="1"/>
        <v>-1.175822780288692</v>
      </c>
      <c r="X9068" s="2">
        <f ca="1"/>
        <v>37.007288560350624</v>
      </c>
      <c r="AG9068" s="2">
        <f ca="1"/>
        <v>0.41002005377463657</v>
      </c>
      <c r="AH9068" s="2" t="str">
        <f ca="1"/>
        <v>Bad</v>
      </c>
    </row>
    <row r="9069" spans="2:34" x14ac:dyDescent="0.2">
      <c r="B9069" s="2">
        <f ca="1"/>
        <v>0.85940065492497286</v>
      </c>
      <c r="O9069" s="2">
        <f ca="1"/>
        <v>-0.37126057103436444</v>
      </c>
      <c r="X9069" s="2">
        <f ca="1"/>
        <v>31.968037940818409</v>
      </c>
      <c r="AG9069" s="2">
        <f ca="1"/>
        <v>0.79656528148169348</v>
      </c>
      <c r="AH9069" s="2" t="str">
        <f ca="1"/>
        <v>Bad</v>
      </c>
    </row>
    <row r="9070" spans="2:34" x14ac:dyDescent="0.2">
      <c r="B9070" s="2">
        <f ca="1"/>
        <v>1.7776336192850906E-2</v>
      </c>
      <c r="O9070" s="2">
        <f ca="1"/>
        <v>0.62674051042098289</v>
      </c>
      <c r="X9070" s="2">
        <f ca="1"/>
        <v>43.023963919968608</v>
      </c>
      <c r="AG9070" s="2">
        <f ca="1"/>
        <v>0.83903642258840461</v>
      </c>
      <c r="AH9070" s="2" t="str">
        <f ca="1"/>
        <v>Bad</v>
      </c>
    </row>
    <row r="9071" spans="2:34" x14ac:dyDescent="0.2">
      <c r="B9071" s="2">
        <f ca="1"/>
        <v>0.65407715467329441</v>
      </c>
      <c r="O9071" s="2">
        <f ca="1"/>
        <v>-0.30819070354514677</v>
      </c>
      <c r="X9071" s="2">
        <f ca="1"/>
        <v>38.860597546528339</v>
      </c>
      <c r="AG9071" s="2">
        <f ca="1"/>
        <v>0.71449958555805848</v>
      </c>
      <c r="AH9071" s="2" t="str">
        <f ca="1"/>
        <v>Bad</v>
      </c>
    </row>
    <row r="9072" spans="2:34" x14ac:dyDescent="0.2">
      <c r="B9072" s="2">
        <f ca="1"/>
        <v>0.1568171406922112</v>
      </c>
      <c r="O9072" s="2">
        <f ca="1"/>
        <v>1.0139181862701598</v>
      </c>
      <c r="X9072" s="2">
        <f ca="1"/>
        <v>43.588931963366846</v>
      </c>
      <c r="AG9072" s="2">
        <f ca="1"/>
        <v>0.82945129973577569</v>
      </c>
      <c r="AH9072" s="2" t="str">
        <f ca="1"/>
        <v>Bad</v>
      </c>
    </row>
    <row r="9073" spans="2:34" x14ac:dyDescent="0.2">
      <c r="B9073" s="2">
        <f ca="1"/>
        <v>8.5064761975819358E-3</v>
      </c>
      <c r="O9073" s="2">
        <f ca="1"/>
        <v>-0.29423820587173644</v>
      </c>
      <c r="X9073" s="2">
        <f ca="1"/>
        <v>49.071833851551617</v>
      </c>
      <c r="AG9073" s="2">
        <f ca="1"/>
        <v>0.29988302221369145</v>
      </c>
      <c r="AH9073" s="2" t="str">
        <f ca="1"/>
        <v>OK</v>
      </c>
    </row>
    <row r="9074" spans="2:34" x14ac:dyDescent="0.2">
      <c r="B9074" s="2">
        <f ca="1"/>
        <v>0.37464775837350284</v>
      </c>
      <c r="O9074" s="2">
        <f ca="1"/>
        <v>1.0798001446812497</v>
      </c>
      <c r="X9074" s="2">
        <f ca="1"/>
        <v>24.938711467764417</v>
      </c>
      <c r="AG9074" s="2">
        <f ca="1"/>
        <v>0.75730930799710716</v>
      </c>
      <c r="AH9074" s="2" t="str">
        <f ca="1"/>
        <v>Bad</v>
      </c>
    </row>
    <row r="9075" spans="2:34" x14ac:dyDescent="0.2">
      <c r="B9075" s="2">
        <f ca="1"/>
        <v>0.10877833347926202</v>
      </c>
      <c r="O9075" s="2">
        <f ca="1"/>
        <v>0.32781143418470243</v>
      </c>
      <c r="X9075" s="2">
        <f ca="1"/>
        <v>44.26375459371144</v>
      </c>
      <c r="AG9075" s="2">
        <f ca="1"/>
        <v>0.62797547334094128</v>
      </c>
      <c r="AH9075" s="2" t="str">
        <f ca="1"/>
        <v>Bad</v>
      </c>
    </row>
    <row r="9076" spans="2:34" x14ac:dyDescent="0.2">
      <c r="B9076" s="2">
        <f ca="1"/>
        <v>0.20062795755326657</v>
      </c>
      <c r="O9076" s="2">
        <f ca="1"/>
        <v>1.2891718203657432</v>
      </c>
      <c r="X9076" s="2">
        <f ca="1"/>
        <v>56.12537069128998</v>
      </c>
      <c r="AG9076" s="2">
        <f ca="1"/>
        <v>0.48750202476212445</v>
      </c>
      <c r="AH9076" s="2" t="str">
        <f ca="1"/>
        <v>Bad</v>
      </c>
    </row>
    <row r="9077" spans="2:34" x14ac:dyDescent="0.2">
      <c r="B9077" s="2">
        <f ca="1"/>
        <v>0.90131876472477201</v>
      </c>
      <c r="O9077" s="2">
        <f ca="1"/>
        <v>0.59122221916988815</v>
      </c>
      <c r="X9077" s="2">
        <f ca="1"/>
        <v>43.927556311611518</v>
      </c>
      <c r="AG9077" s="2">
        <f ca="1"/>
        <v>0.90744068622358198</v>
      </c>
      <c r="AH9077" s="2" t="str">
        <f ca="1"/>
        <v>Bad</v>
      </c>
    </row>
    <row r="9078" spans="2:34" x14ac:dyDescent="0.2">
      <c r="B9078" s="2">
        <f ca="1"/>
        <v>0.57073578065806796</v>
      </c>
      <c r="O9078" s="2">
        <f ca="1"/>
        <v>7.1576416272828611E-2</v>
      </c>
      <c r="X9078" s="2">
        <f ca="1"/>
        <v>29.928356778269524</v>
      </c>
      <c r="AG9078" s="2">
        <f ca="1"/>
        <v>0.11686046624546487</v>
      </c>
      <c r="AH9078" s="2" t="str">
        <f ca="1"/>
        <v>OK</v>
      </c>
    </row>
    <row r="9079" spans="2:34" x14ac:dyDescent="0.2">
      <c r="B9079" s="2">
        <f ca="1"/>
        <v>0.83894166975633144</v>
      </c>
      <c r="O9079" s="2">
        <f ca="1"/>
        <v>-0.45747445532723963</v>
      </c>
      <c r="X9079" s="2">
        <f ca="1"/>
        <v>69.341597623723061</v>
      </c>
      <c r="AG9079" s="2">
        <f ca="1"/>
        <v>0.61644850999341294</v>
      </c>
      <c r="AH9079" s="2" t="str">
        <f ca="1"/>
        <v>Bad</v>
      </c>
    </row>
    <row r="9080" spans="2:34" x14ac:dyDescent="0.2">
      <c r="B9080" s="2">
        <f ca="1"/>
        <v>0.67672007747140328</v>
      </c>
      <c r="O9080" s="2">
        <f ca="1"/>
        <v>0.98861262862102484</v>
      </c>
      <c r="X9080" s="2">
        <f ca="1"/>
        <v>73.532978340311701</v>
      </c>
      <c r="AG9080" s="2">
        <f ca="1"/>
        <v>0.22028338867102248</v>
      </c>
      <c r="AH9080" s="2" t="str">
        <f ca="1"/>
        <v>OK</v>
      </c>
    </row>
    <row r="9081" spans="2:34" x14ac:dyDescent="0.2">
      <c r="B9081" s="2">
        <f ca="1"/>
        <v>0.48333342981766769</v>
      </c>
      <c r="O9081" s="2">
        <f ca="1"/>
        <v>0.49748282592502929</v>
      </c>
      <c r="X9081" s="2">
        <f ca="1"/>
        <v>30.249182856310583</v>
      </c>
      <c r="AG9081" s="2">
        <f ca="1"/>
        <v>0.73392756458231267</v>
      </c>
      <c r="AH9081" s="2" t="str">
        <f ca="1"/>
        <v>Bad</v>
      </c>
    </row>
    <row r="9082" spans="2:34" x14ac:dyDescent="0.2">
      <c r="B9082" s="2">
        <f ca="1"/>
        <v>0.40089018191787518</v>
      </c>
      <c r="O9082" s="2">
        <f ca="1"/>
        <v>-0.77183040431441674</v>
      </c>
      <c r="X9082" s="2">
        <f ca="1"/>
        <v>39.959517873528043</v>
      </c>
      <c r="AG9082" s="2">
        <f ca="1"/>
        <v>0.13704062600176004</v>
      </c>
      <c r="AH9082" s="2" t="str">
        <f ca="1"/>
        <v>OK</v>
      </c>
    </row>
    <row r="9083" spans="2:34" x14ac:dyDescent="0.2">
      <c r="B9083" s="2">
        <f ca="1"/>
        <v>0.33053153050925754</v>
      </c>
      <c r="O9083" s="2">
        <f ca="1"/>
        <v>6.794597865326979E-2</v>
      </c>
      <c r="X9083" s="2">
        <f ca="1"/>
        <v>48.462900419370591</v>
      </c>
      <c r="AG9083" s="2">
        <f ca="1"/>
        <v>0.24585626018789597</v>
      </c>
      <c r="AH9083" s="2" t="str">
        <f ca="1"/>
        <v>OK</v>
      </c>
    </row>
    <row r="9084" spans="2:34" x14ac:dyDescent="0.2">
      <c r="B9084" s="2">
        <f ca="1"/>
        <v>0.65597578261856526</v>
      </c>
      <c r="O9084" s="2">
        <f ca="1"/>
        <v>-8.1804420808797351E-2</v>
      </c>
      <c r="X9084" s="2">
        <f ca="1"/>
        <v>66.508617881496775</v>
      </c>
      <c r="AG9084" s="2">
        <f ca="1"/>
        <v>0.56295617271991705</v>
      </c>
      <c r="AH9084" s="2" t="str">
        <f ca="1"/>
        <v>Bad</v>
      </c>
    </row>
    <row r="9085" spans="2:34" x14ac:dyDescent="0.2">
      <c r="B9085" s="2">
        <f ca="1"/>
        <v>0.45086361985309087</v>
      </c>
      <c r="O9085" s="2">
        <f ca="1"/>
        <v>-1.6682402112567241</v>
      </c>
      <c r="X9085" s="2">
        <f ca="1"/>
        <v>30.775143052154608</v>
      </c>
      <c r="AG9085" s="2">
        <f ca="1"/>
        <v>0.47734286898821621</v>
      </c>
      <c r="AH9085" s="2" t="str">
        <f ca="1"/>
        <v>Bad</v>
      </c>
    </row>
    <row r="9086" spans="2:34" x14ac:dyDescent="0.2">
      <c r="B9086" s="2">
        <f ca="1"/>
        <v>0.77480183366030286</v>
      </c>
      <c r="O9086" s="2">
        <f ca="1"/>
        <v>3.3950754229508932E-2</v>
      </c>
      <c r="X9086" s="2">
        <f ca="1"/>
        <v>39.699437928041384</v>
      </c>
      <c r="AG9086" s="2">
        <f ca="1"/>
        <v>0.12094207312528105</v>
      </c>
      <c r="AH9086" s="2" t="str">
        <f ca="1"/>
        <v>OK</v>
      </c>
    </row>
    <row r="9087" spans="2:34" x14ac:dyDescent="0.2">
      <c r="B9087" s="2">
        <f ca="1"/>
        <v>0.80476689506720245</v>
      </c>
      <c r="O9087" s="2">
        <f ca="1"/>
        <v>1.1760822047312676</v>
      </c>
      <c r="X9087" s="2">
        <f ca="1"/>
        <v>33.660581836921132</v>
      </c>
      <c r="AG9087" s="2">
        <f ca="1"/>
        <v>7.7655710051614868E-2</v>
      </c>
      <c r="AH9087" s="2" t="str">
        <f ca="1"/>
        <v>OK</v>
      </c>
    </row>
    <row r="9088" spans="2:34" x14ac:dyDescent="0.2">
      <c r="B9088" s="2">
        <f ca="1"/>
        <v>2.7590466355915666E-2</v>
      </c>
      <c r="O9088" s="2">
        <f ca="1"/>
        <v>0.7899225445586</v>
      </c>
      <c r="X9088" s="2">
        <f ca="1"/>
        <v>50.352647171894709</v>
      </c>
      <c r="AG9088" s="2">
        <f ca="1"/>
        <v>0.93684689030332091</v>
      </c>
      <c r="AH9088" s="2" t="str">
        <f ca="1"/>
        <v>Bad</v>
      </c>
    </row>
    <row r="9089" spans="2:34" x14ac:dyDescent="0.2">
      <c r="B9089" s="2">
        <f ca="1"/>
        <v>1.2301825443022718E-2</v>
      </c>
      <c r="O9089" s="2">
        <f ca="1"/>
        <v>-0.24228924885326317</v>
      </c>
      <c r="X9089" s="2">
        <f ca="1"/>
        <v>15.822191322959414</v>
      </c>
      <c r="AG9089" s="2">
        <f ca="1"/>
        <v>0.75382012638496709</v>
      </c>
      <c r="AH9089" s="2" t="str">
        <f ca="1"/>
        <v>Bad</v>
      </c>
    </row>
    <row r="9090" spans="2:34" x14ac:dyDescent="0.2">
      <c r="B9090" s="2">
        <f ca="1"/>
        <v>0.99724420749891762</v>
      </c>
      <c r="O9090" s="2">
        <f ca="1"/>
        <v>1.0373874241982128</v>
      </c>
      <c r="X9090" s="2">
        <f ca="1"/>
        <v>37.807639145071775</v>
      </c>
      <c r="AG9090" s="2">
        <f ca="1"/>
        <v>0.68099955134177836</v>
      </c>
      <c r="AH9090" s="2" t="str">
        <f ca="1"/>
        <v>Bad</v>
      </c>
    </row>
    <row r="9091" spans="2:34" x14ac:dyDescent="0.2">
      <c r="B9091" s="2">
        <f ca="1"/>
        <v>0.41871882183234965</v>
      </c>
      <c r="O9091" s="2">
        <f ca="1"/>
        <v>-0.18430703704419688</v>
      </c>
      <c r="X9091" s="2">
        <f ca="1"/>
        <v>30.812811195098632</v>
      </c>
      <c r="AG9091" s="2">
        <f ca="1"/>
        <v>8.7597490197338201E-2</v>
      </c>
      <c r="AH9091" s="2" t="str">
        <f ca="1"/>
        <v>OK</v>
      </c>
    </row>
    <row r="9092" spans="2:34" x14ac:dyDescent="0.2">
      <c r="B9092" s="2">
        <f ca="1"/>
        <v>0.20663826726535972</v>
      </c>
      <c r="O9092" s="2">
        <f ca="1"/>
        <v>-2.1835676011866427</v>
      </c>
      <c r="X9092" s="2">
        <f ca="1"/>
        <v>40.571282155752755</v>
      </c>
      <c r="AG9092" s="2">
        <f ca="1"/>
        <v>0.49256247377548279</v>
      </c>
      <c r="AH9092" s="2" t="str">
        <f ca="1"/>
        <v>Bad</v>
      </c>
    </row>
    <row r="9093" spans="2:34" x14ac:dyDescent="0.2">
      <c r="B9093" s="2">
        <f ca="1"/>
        <v>0.78621476176173477</v>
      </c>
      <c r="O9093" s="2">
        <f ca="1"/>
        <v>0.16965143003524585</v>
      </c>
      <c r="X9093" s="2">
        <f ca="1"/>
        <v>66.369928640132073</v>
      </c>
      <c r="AG9093" s="2">
        <f ca="1"/>
        <v>0.70788277666543786</v>
      </c>
      <c r="AH9093" s="2" t="str">
        <f ca="1"/>
        <v>Bad</v>
      </c>
    </row>
    <row r="9094" spans="2:34" x14ac:dyDescent="0.2">
      <c r="B9094" s="2">
        <f ca="1"/>
        <v>0.6431814755226688</v>
      </c>
      <c r="O9094" s="2">
        <f ca="1"/>
        <v>0.99797850629109397</v>
      </c>
      <c r="X9094" s="2">
        <f ca="1"/>
        <v>30.9379859939332</v>
      </c>
      <c r="AG9094" s="2">
        <f ca="1"/>
        <v>0.99289124256306138</v>
      </c>
      <c r="AH9094" s="2" t="str">
        <f ca="1"/>
        <v>Bad</v>
      </c>
    </row>
    <row r="9095" spans="2:34" x14ac:dyDescent="0.2">
      <c r="B9095" s="2">
        <f ca="1"/>
        <v>7.0814538409076144E-2</v>
      </c>
      <c r="O9095" s="2">
        <f ca="1"/>
        <v>0.3386280908414534</v>
      </c>
      <c r="X9095" s="2">
        <f ca="1"/>
        <v>44.167996347583873</v>
      </c>
      <c r="AG9095" s="2">
        <f ca="1"/>
        <v>0.89696506436484147</v>
      </c>
      <c r="AH9095" s="2" t="str">
        <f ca="1"/>
        <v>Bad</v>
      </c>
    </row>
    <row r="9096" spans="2:34" x14ac:dyDescent="0.2">
      <c r="B9096" s="2">
        <f ca="1"/>
        <v>6.8918169362082171E-2</v>
      </c>
      <c r="O9096" s="2">
        <f ca="1"/>
        <v>1.7474736131539759</v>
      </c>
      <c r="X9096" s="2">
        <f ca="1"/>
        <v>57.919458445502784</v>
      </c>
      <c r="AG9096" s="2">
        <f ca="1"/>
        <v>0.34365545539950859</v>
      </c>
      <c r="AH9096" s="2" t="str">
        <f ca="1"/>
        <v>OK</v>
      </c>
    </row>
    <row r="9097" spans="2:34" x14ac:dyDescent="0.2">
      <c r="B9097" s="2">
        <f ca="1"/>
        <v>0.26006414604450323</v>
      </c>
      <c r="O9097" s="2">
        <f ca="1"/>
        <v>1.2488866766202511</v>
      </c>
      <c r="X9097" s="2">
        <f ca="1"/>
        <v>70.919779774522439</v>
      </c>
      <c r="AG9097" s="2">
        <f ca="1"/>
        <v>0.44957770553127796</v>
      </c>
      <c r="AH9097" s="2" t="str">
        <f ca="1"/>
        <v>Bad</v>
      </c>
    </row>
    <row r="9098" spans="2:34" x14ac:dyDescent="0.2">
      <c r="B9098" s="2">
        <f ca="1"/>
        <v>0.17691875369158927</v>
      </c>
      <c r="O9098" s="2">
        <f ca="1"/>
        <v>-0.37633172215335881</v>
      </c>
      <c r="X9098" s="2">
        <f ca="1"/>
        <v>47.850203683479577</v>
      </c>
      <c r="AG9098" s="2">
        <f ca="1"/>
        <v>0.89539052085169546</v>
      </c>
      <c r="AH9098" s="2" t="str">
        <f ca="1"/>
        <v>Bad</v>
      </c>
    </row>
    <row r="9099" spans="2:34" x14ac:dyDescent="0.2">
      <c r="B9099" s="2">
        <f ca="1"/>
        <v>7.838053253743027E-2</v>
      </c>
      <c r="O9099" s="2">
        <f ca="1"/>
        <v>-0.90210706706718935</v>
      </c>
      <c r="X9099" s="2">
        <f ca="1"/>
        <v>50.219819036069268</v>
      </c>
      <c r="AG9099" s="2">
        <f ca="1"/>
        <v>0.26089308138955936</v>
      </c>
      <c r="AH9099" s="2" t="str">
        <f ca="1"/>
        <v>OK</v>
      </c>
    </row>
    <row r="9100" spans="2:34" x14ac:dyDescent="0.2">
      <c r="B9100" s="2">
        <f ca="1"/>
        <v>0.83485316254534769</v>
      </c>
      <c r="O9100" s="2">
        <f ca="1"/>
        <v>0.55093367729801968</v>
      </c>
      <c r="X9100" s="2">
        <f ca="1"/>
        <v>53.569668157338526</v>
      </c>
      <c r="AG9100" s="2">
        <f ca="1"/>
        <v>0.66884872837214737</v>
      </c>
      <c r="AH9100" s="2" t="str">
        <f ca="1"/>
        <v>Bad</v>
      </c>
    </row>
    <row r="9101" spans="2:34" x14ac:dyDescent="0.2">
      <c r="B9101" s="2">
        <f ca="1"/>
        <v>0.43014210488698046</v>
      </c>
      <c r="O9101" s="2">
        <f ca="1"/>
        <v>-8.938811548935871E-2</v>
      </c>
      <c r="X9101" s="2">
        <f ca="1"/>
        <v>41.165301169649588</v>
      </c>
      <c r="AG9101" s="2">
        <f ca="1"/>
        <v>0.28561406170476422</v>
      </c>
      <c r="AH9101" s="2" t="str">
        <f ca="1"/>
        <v>OK</v>
      </c>
    </row>
    <row r="9102" spans="2:34" x14ac:dyDescent="0.2">
      <c r="B9102" s="2">
        <f ca="1"/>
        <v>0.8392999935332297</v>
      </c>
      <c r="O9102" s="2">
        <f ca="1"/>
        <v>-0.60106503063817107</v>
      </c>
      <c r="X9102" s="2">
        <f ca="1"/>
        <v>47.115861817889801</v>
      </c>
      <c r="AG9102" s="2">
        <f ca="1"/>
        <v>0.34172004650910037</v>
      </c>
      <c r="AH9102" s="2" t="str">
        <f ca="1"/>
        <v>OK</v>
      </c>
    </row>
    <row r="9103" spans="2:34" x14ac:dyDescent="0.2">
      <c r="B9103" s="2">
        <f ca="1"/>
        <v>0.74748671281839063</v>
      </c>
      <c r="O9103" s="2">
        <f ca="1"/>
        <v>1.3028703003976692</v>
      </c>
      <c r="X9103" s="2">
        <f ca="1"/>
        <v>40.521956549522109</v>
      </c>
      <c r="AG9103" s="2">
        <f ca="1"/>
        <v>0.21688857844680398</v>
      </c>
      <c r="AH9103" s="2" t="str">
        <f ca="1"/>
        <v>OK</v>
      </c>
    </row>
    <row r="9104" spans="2:34" x14ac:dyDescent="0.2">
      <c r="B9104" s="2">
        <f ca="1"/>
        <v>0.50124066321466043</v>
      </c>
      <c r="O9104" s="2">
        <f ca="1"/>
        <v>-1.8639857501918204</v>
      </c>
      <c r="X9104" s="2">
        <f ca="1"/>
        <v>35.631322838190357</v>
      </c>
      <c r="AG9104" s="2">
        <f ca="1"/>
        <v>0.26331203870704267</v>
      </c>
      <c r="AH9104" s="2" t="str">
        <f ca="1"/>
        <v>OK</v>
      </c>
    </row>
    <row r="9105" spans="2:34" x14ac:dyDescent="0.2">
      <c r="B9105" s="2">
        <f ca="1"/>
        <v>0.64105309518649589</v>
      </c>
      <c r="O9105" s="2">
        <f ca="1"/>
        <v>0.40558868622717925</v>
      </c>
      <c r="X9105" s="2">
        <f ca="1"/>
        <v>59.527060799354302</v>
      </c>
      <c r="AG9105" s="2">
        <f ca="1"/>
        <v>0.19899669972555611</v>
      </c>
      <c r="AH9105" s="2" t="str">
        <f ca="1"/>
        <v>OK</v>
      </c>
    </row>
    <row r="9106" spans="2:34" x14ac:dyDescent="0.2">
      <c r="B9106" s="2">
        <f ca="1"/>
        <v>0.81246793093484571</v>
      </c>
      <c r="O9106" s="2">
        <f ca="1"/>
        <v>1.8166988636710428</v>
      </c>
      <c r="X9106" s="2">
        <f ca="1"/>
        <v>38.799011586335482</v>
      </c>
      <c r="AG9106" s="2">
        <f ca="1"/>
        <v>0.43181818300150288</v>
      </c>
      <c r="AH9106" s="2" t="str">
        <f ca="1"/>
        <v>Bad</v>
      </c>
    </row>
    <row r="9107" spans="2:34" x14ac:dyDescent="0.2">
      <c r="B9107" s="2">
        <f ca="1"/>
        <v>0.23441355576085443</v>
      </c>
      <c r="O9107" s="2">
        <f ca="1"/>
        <v>-0.30481538833508204</v>
      </c>
      <c r="X9107" s="2">
        <f ca="1"/>
        <v>41.018787888386015</v>
      </c>
      <c r="AG9107" s="2">
        <f ca="1"/>
        <v>0.39156574956319701</v>
      </c>
      <c r="AH9107" s="2" t="str">
        <f ca="1"/>
        <v>OK</v>
      </c>
    </row>
    <row r="9108" spans="2:34" x14ac:dyDescent="0.2">
      <c r="B9108" s="2">
        <f ca="1"/>
        <v>0.87517995025498485</v>
      </c>
      <c r="O9108" s="2">
        <f ca="1"/>
        <v>-0.38346771684988207</v>
      </c>
      <c r="X9108" s="2">
        <f ca="1"/>
        <v>30.349180527330741</v>
      </c>
      <c r="AG9108" s="2">
        <f ca="1"/>
        <v>0.48294254925747993</v>
      </c>
      <c r="AH9108" s="2" t="str">
        <f ca="1"/>
        <v>Bad</v>
      </c>
    </row>
    <row r="9109" spans="2:34" x14ac:dyDescent="0.2">
      <c r="B9109" s="2">
        <f ca="1"/>
        <v>0.87868189503924077</v>
      </c>
      <c r="O9109" s="2">
        <f ca="1"/>
        <v>-0.4245578043751892</v>
      </c>
      <c r="X9109" s="2">
        <f ca="1"/>
        <v>43.802020400314504</v>
      </c>
      <c r="AG9109" s="2">
        <f ca="1"/>
        <v>0.8331532514084079</v>
      </c>
      <c r="AH9109" s="2" t="str">
        <f ca="1"/>
        <v>Bad</v>
      </c>
    </row>
    <row r="9110" spans="2:34" x14ac:dyDescent="0.2">
      <c r="B9110" s="2">
        <f ca="1"/>
        <v>0.17077760019960686</v>
      </c>
      <c r="O9110" s="2">
        <f ca="1"/>
        <v>-0.41794081611460437</v>
      </c>
      <c r="X9110" s="2">
        <f ca="1"/>
        <v>49.081313392250991</v>
      </c>
      <c r="AG9110" s="2">
        <f ca="1"/>
        <v>0.58453108488316685</v>
      </c>
      <c r="AH9110" s="2" t="str">
        <f ca="1"/>
        <v>Bad</v>
      </c>
    </row>
    <row r="9111" spans="2:34" x14ac:dyDescent="0.2">
      <c r="B9111" s="2">
        <f ca="1"/>
        <v>0.50819576665353594</v>
      </c>
      <c r="O9111" s="2">
        <f ca="1"/>
        <v>2.2757465039983575</v>
      </c>
      <c r="X9111" s="2">
        <f ca="1"/>
        <v>18.910744507716785</v>
      </c>
      <c r="AG9111" s="2">
        <f ca="1"/>
        <v>0.71659497826778162</v>
      </c>
      <c r="AH9111" s="2" t="str">
        <f ca="1"/>
        <v>Bad</v>
      </c>
    </row>
    <row r="9112" spans="2:34" x14ac:dyDescent="0.2">
      <c r="B9112" s="2">
        <f ca="1"/>
        <v>0.51088974323702963</v>
      </c>
      <c r="O9112" s="2">
        <f ca="1"/>
        <v>-0.87579622721427453</v>
      </c>
      <c r="X9112" s="2">
        <f ca="1"/>
        <v>42.273476468564155</v>
      </c>
      <c r="AG9112" s="2">
        <f ca="1"/>
        <v>0.50156758685374991</v>
      </c>
      <c r="AH9112" s="2" t="str">
        <f ca="1"/>
        <v>Bad</v>
      </c>
    </row>
    <row r="9113" spans="2:34" x14ac:dyDescent="0.2">
      <c r="B9113" s="2">
        <f ca="1"/>
        <v>0.7131037945776828</v>
      </c>
      <c r="O9113" s="2">
        <f ca="1"/>
        <v>0.58637307133064764</v>
      </c>
      <c r="X9113" s="2">
        <f ca="1"/>
        <v>66.272007486152319</v>
      </c>
      <c r="AG9113" s="2">
        <f ca="1"/>
        <v>0.56836460706739556</v>
      </c>
      <c r="AH9113" s="2" t="str">
        <f ca="1"/>
        <v>Bad</v>
      </c>
    </row>
    <row r="9114" spans="2:34" x14ac:dyDescent="0.2">
      <c r="B9114" s="2">
        <f ca="1"/>
        <v>0.40002996273521152</v>
      </c>
      <c r="O9114" s="2">
        <f ca="1"/>
        <v>0.34077354952358929</v>
      </c>
      <c r="X9114" s="2">
        <f ca="1"/>
        <v>66.94364173125328</v>
      </c>
      <c r="AG9114" s="2">
        <f ca="1"/>
        <v>0.17739658454031848</v>
      </c>
      <c r="AH9114" s="2" t="str">
        <f ca="1"/>
        <v>OK</v>
      </c>
    </row>
    <row r="9115" spans="2:34" x14ac:dyDescent="0.2">
      <c r="B9115" s="2">
        <f ca="1"/>
        <v>0.59343745888454857</v>
      </c>
      <c r="O9115" s="2">
        <f ca="1"/>
        <v>-1.2957933767487357</v>
      </c>
      <c r="X9115" s="2">
        <f ca="1"/>
        <v>22.142140671730687</v>
      </c>
      <c r="AG9115" s="2">
        <f ca="1"/>
        <v>0.44758931065163132</v>
      </c>
      <c r="AH9115" s="2" t="str">
        <f ca="1"/>
        <v>Bad</v>
      </c>
    </row>
    <row r="9116" spans="2:34" x14ac:dyDescent="0.2">
      <c r="B9116" s="2">
        <f ca="1"/>
        <v>0.81518440332407582</v>
      </c>
      <c r="O9116" s="2">
        <f ca="1"/>
        <v>1.9394380343298163</v>
      </c>
      <c r="X9116" s="2">
        <f ca="1"/>
        <v>56.257845867925703</v>
      </c>
      <c r="AG9116" s="2">
        <f ca="1"/>
        <v>0.23022810414612027</v>
      </c>
      <c r="AH9116" s="2" t="str">
        <f ca="1"/>
        <v>OK</v>
      </c>
    </row>
    <row r="9117" spans="2:34" x14ac:dyDescent="0.2">
      <c r="B9117" s="2">
        <f ca="1"/>
        <v>0.75474967206822585</v>
      </c>
      <c r="O9117" s="2">
        <f ca="1"/>
        <v>-0.3583307028056098</v>
      </c>
      <c r="X9117" s="2">
        <f ca="1"/>
        <v>48.474959026344195</v>
      </c>
      <c r="AG9117" s="2">
        <f ca="1"/>
        <v>0.93433955754361375</v>
      </c>
      <c r="AH9117" s="2" t="str">
        <f ca="1"/>
        <v>Bad</v>
      </c>
    </row>
    <row r="9118" spans="2:34" x14ac:dyDescent="0.2">
      <c r="B9118" s="2">
        <f ca="1"/>
        <v>0.20682646266035154</v>
      </c>
      <c r="O9118" s="2">
        <f ca="1"/>
        <v>1.8574066168184755</v>
      </c>
      <c r="X9118" s="2">
        <f ca="1"/>
        <v>54.391032238505758</v>
      </c>
      <c r="AG9118" s="2">
        <f ca="1"/>
        <v>0.27639603401473711</v>
      </c>
      <c r="AH9118" s="2" t="str">
        <f ca="1"/>
        <v>OK</v>
      </c>
    </row>
    <row r="9119" spans="2:34" x14ac:dyDescent="0.2">
      <c r="B9119" s="2">
        <f ca="1"/>
        <v>0.91136260543061032</v>
      </c>
      <c r="O9119" s="2">
        <f ca="1"/>
        <v>6.4161882377819612E-2</v>
      </c>
      <c r="X9119" s="2">
        <f ca="1"/>
        <v>66.87437232175543</v>
      </c>
      <c r="AG9119" s="2">
        <f ca="1"/>
        <v>0.87054439504927728</v>
      </c>
      <c r="AH9119" s="2" t="str">
        <f ca="1"/>
        <v>Bad</v>
      </c>
    </row>
    <row r="9120" spans="2:34" x14ac:dyDescent="0.2">
      <c r="B9120" s="2">
        <f ca="1"/>
        <v>0.22642914105407508</v>
      </c>
      <c r="O9120" s="2">
        <f ca="1"/>
        <v>-0.76635261068526594</v>
      </c>
      <c r="X9120" s="2">
        <f ca="1"/>
        <v>50.325906431523954</v>
      </c>
      <c r="AG9120" s="2">
        <f ca="1"/>
        <v>0.76013687104303185</v>
      </c>
      <c r="AH9120" s="2" t="str">
        <f ca="1"/>
        <v>Bad</v>
      </c>
    </row>
    <row r="9121" spans="2:34" x14ac:dyDescent="0.2">
      <c r="B9121" s="2">
        <f ca="1"/>
        <v>0.49639549349435619</v>
      </c>
      <c r="O9121" s="2">
        <f ca="1"/>
        <v>-0.3084301899344829</v>
      </c>
      <c r="X9121" s="2">
        <f ca="1"/>
        <v>83.371436627808407</v>
      </c>
      <c r="AG9121" s="2">
        <f ca="1"/>
        <v>0.96696471129611572</v>
      </c>
      <c r="AH9121" s="2" t="str">
        <f ca="1"/>
        <v>Bad</v>
      </c>
    </row>
    <row r="9122" spans="2:34" x14ac:dyDescent="0.2">
      <c r="B9122" s="2">
        <f ca="1"/>
        <v>0.69547888183638618</v>
      </c>
      <c r="O9122" s="2">
        <f ca="1"/>
        <v>-1.4690422909072816</v>
      </c>
      <c r="X9122" s="2">
        <f ca="1"/>
        <v>46.758775773238391</v>
      </c>
      <c r="AG9122" s="2">
        <f ca="1"/>
        <v>0.55762309497305584</v>
      </c>
      <c r="AH9122" s="2" t="str">
        <f ca="1"/>
        <v>Bad</v>
      </c>
    </row>
    <row r="9123" spans="2:34" x14ac:dyDescent="0.2">
      <c r="B9123" s="2">
        <f ca="1"/>
        <v>0.33198972411834138</v>
      </c>
      <c r="O9123" s="2">
        <f ca="1"/>
        <v>-0.53531054315408455</v>
      </c>
      <c r="X9123" s="2">
        <f ca="1"/>
        <v>59.295087420285412</v>
      </c>
      <c r="AG9123" s="2">
        <f ca="1"/>
        <v>0.66036464922867477</v>
      </c>
      <c r="AH9123" s="2" t="str">
        <f ca="1"/>
        <v>Bad</v>
      </c>
    </row>
    <row r="9124" spans="2:34" x14ac:dyDescent="0.2">
      <c r="B9124" s="2">
        <f ca="1"/>
        <v>0.98740663367719206</v>
      </c>
      <c r="O9124" s="2">
        <f ca="1"/>
        <v>-0.42825399016485755</v>
      </c>
      <c r="X9124" s="2">
        <f ca="1"/>
        <v>62.710638982903774</v>
      </c>
      <c r="AG9124" s="2">
        <f ca="1"/>
        <v>0.34224162822629745</v>
      </c>
      <c r="AH9124" s="2" t="str">
        <f ca="1"/>
        <v>OK</v>
      </c>
    </row>
    <row r="9125" spans="2:34" x14ac:dyDescent="0.2">
      <c r="B9125" s="2">
        <f ca="1"/>
        <v>0.56463316961291721</v>
      </c>
      <c r="O9125" s="2">
        <f ca="1"/>
        <v>0.36884792038701958</v>
      </c>
      <c r="X9125" s="2">
        <f ca="1"/>
        <v>51.701585404922128</v>
      </c>
      <c r="AG9125" s="2">
        <f ca="1"/>
        <v>0.10937791697875654</v>
      </c>
      <c r="AH9125" s="2" t="str">
        <f ca="1"/>
        <v>OK</v>
      </c>
    </row>
    <row r="9126" spans="2:34" x14ac:dyDescent="0.2">
      <c r="B9126" s="2">
        <f ca="1"/>
        <v>0.12223668038616231</v>
      </c>
      <c r="O9126" s="2">
        <f ca="1"/>
        <v>-2.7542003243864355</v>
      </c>
      <c r="X9126" s="2">
        <f ca="1"/>
        <v>35.074713664762015</v>
      </c>
      <c r="AG9126" s="2">
        <f ca="1"/>
        <v>0.6764394525150299</v>
      </c>
      <c r="AH9126" s="2" t="str">
        <f ca="1"/>
        <v>Bad</v>
      </c>
    </row>
    <row r="9127" spans="2:34" x14ac:dyDescent="0.2">
      <c r="B9127" s="2">
        <f ca="1"/>
        <v>0.31708193505730442</v>
      </c>
      <c r="O9127" s="2">
        <f ca="1"/>
        <v>0.16904985890487928</v>
      </c>
      <c r="X9127" s="2">
        <f ca="1"/>
        <v>40.46354677928602</v>
      </c>
      <c r="AG9127" s="2">
        <f ca="1"/>
        <v>0.60444719551785187</v>
      </c>
      <c r="AH9127" s="2" t="str">
        <f ca="1"/>
        <v>Bad</v>
      </c>
    </row>
    <row r="9128" spans="2:34" x14ac:dyDescent="0.2">
      <c r="B9128" s="2">
        <f ca="1"/>
        <v>0.63593348226390112</v>
      </c>
      <c r="O9128" s="2">
        <f ca="1"/>
        <v>-0.1197417023905035</v>
      </c>
      <c r="X9128" s="2">
        <f ca="1"/>
        <v>61.866818488898915</v>
      </c>
      <c r="AG9128" s="2">
        <f ca="1"/>
        <v>0.92522975138332075</v>
      </c>
      <c r="AH9128" s="2" t="str">
        <f ca="1"/>
        <v>Bad</v>
      </c>
    </row>
    <row r="9129" spans="2:34" x14ac:dyDescent="0.2">
      <c r="B9129" s="2">
        <f ca="1"/>
        <v>0.23083514500852376</v>
      </c>
      <c r="O9129" s="2">
        <f ca="1"/>
        <v>0.41303480957234323</v>
      </c>
      <c r="X9129" s="2">
        <f ca="1"/>
        <v>28.031319519292683</v>
      </c>
      <c r="AG9129" s="2">
        <f ca="1"/>
        <v>9.9111935187541578E-2</v>
      </c>
      <c r="AH9129" s="2" t="str">
        <f ca="1"/>
        <v>OK</v>
      </c>
    </row>
    <row r="9130" spans="2:34" x14ac:dyDescent="0.2">
      <c r="B9130" s="2">
        <f ca="1"/>
        <v>0.28339731910025501</v>
      </c>
      <c r="O9130" s="2">
        <f ca="1"/>
        <v>-0.2214318281805408</v>
      </c>
      <c r="X9130" s="2">
        <f ca="1"/>
        <v>55.175105133080436</v>
      </c>
      <c r="AG9130" s="2">
        <f ca="1"/>
        <v>6.5231611862822003E-2</v>
      </c>
      <c r="AH9130" s="2" t="str">
        <f ca="1"/>
        <v>OK</v>
      </c>
    </row>
    <row r="9131" spans="2:34" x14ac:dyDescent="0.2">
      <c r="B9131" s="2">
        <f ca="1"/>
        <v>0.75132705137836475</v>
      </c>
      <c r="O9131" s="2">
        <f ca="1"/>
        <v>-0.43099773281309767</v>
      </c>
      <c r="X9131" s="2">
        <f ca="1"/>
        <v>47.657521727349774</v>
      </c>
      <c r="AG9131" s="2">
        <f ca="1"/>
        <v>0.72284139959848503</v>
      </c>
      <c r="AH9131" s="2" t="str">
        <f ca="1"/>
        <v>Bad</v>
      </c>
    </row>
    <row r="9132" spans="2:34" x14ac:dyDescent="0.2">
      <c r="B9132" s="2">
        <f ca="1"/>
        <v>0.37302971850977729</v>
      </c>
      <c r="O9132" s="2">
        <f ca="1"/>
        <v>-6.999120254813318E-2</v>
      </c>
      <c r="X9132" s="2">
        <f ca="1"/>
        <v>49.131018134952853</v>
      </c>
      <c r="AG9132" s="2">
        <f ca="1"/>
        <v>9.2589604570968209E-2</v>
      </c>
      <c r="AH9132" s="2" t="str">
        <f ca="1"/>
        <v>OK</v>
      </c>
    </row>
    <row r="9133" spans="2:34" x14ac:dyDescent="0.2">
      <c r="B9133" s="2">
        <f ca="1"/>
        <v>0.83580364107905547</v>
      </c>
      <c r="O9133" s="2">
        <f ca="1"/>
        <v>-0.19671215416477955</v>
      </c>
      <c r="X9133" s="2">
        <f ca="1"/>
        <v>49.92475258589559</v>
      </c>
      <c r="AG9133" s="2">
        <f ca="1"/>
        <v>0.28405440278872551</v>
      </c>
      <c r="AH9133" s="2" t="str">
        <f ca="1"/>
        <v>OK</v>
      </c>
    </row>
    <row r="9134" spans="2:34" x14ac:dyDescent="0.2">
      <c r="B9134" s="2">
        <f ca="1"/>
        <v>0.21143793501570274</v>
      </c>
      <c r="O9134" s="2">
        <f ca="1"/>
        <v>-1.3381757935054981</v>
      </c>
      <c r="X9134" s="2">
        <f ca="1"/>
        <v>57.068811833186103</v>
      </c>
      <c r="AG9134" s="2">
        <f ca="1"/>
        <v>0.31831686926463876</v>
      </c>
      <c r="AH9134" s="2" t="str">
        <f ca="1"/>
        <v>OK</v>
      </c>
    </row>
    <row r="9135" spans="2:34" x14ac:dyDescent="0.2">
      <c r="B9135" s="2">
        <f ca="1"/>
        <v>0.57855431681331804</v>
      </c>
      <c r="O9135" s="2">
        <f ca="1"/>
        <v>-1.1341326408364738</v>
      </c>
      <c r="X9135" s="2">
        <f ca="1"/>
        <v>48.571528000256905</v>
      </c>
      <c r="AG9135" s="2">
        <f ca="1"/>
        <v>8.4627092291089667E-4</v>
      </c>
      <c r="AH9135" s="2" t="str">
        <f ca="1"/>
        <v>Good</v>
      </c>
    </row>
    <row r="9136" spans="2:34" x14ac:dyDescent="0.2">
      <c r="B9136" s="2">
        <f ca="1"/>
        <v>0.59322339054362438</v>
      </c>
      <c r="O9136" s="2">
        <f ca="1"/>
        <v>-3.2670644192238909E-3</v>
      </c>
      <c r="X9136" s="2">
        <f ca="1"/>
        <v>34.444912688824864</v>
      </c>
      <c r="AG9136" s="2">
        <f ca="1"/>
        <v>0.91119919605653132</v>
      </c>
      <c r="AH9136" s="2" t="str">
        <f ca="1"/>
        <v>Bad</v>
      </c>
    </row>
    <row r="9137" spans="2:34" x14ac:dyDescent="0.2">
      <c r="B9137" s="2">
        <f ca="1"/>
        <v>0.16562868306394529</v>
      </c>
      <c r="O9137" s="2">
        <f ca="1"/>
        <v>-0.33737794571003987</v>
      </c>
      <c r="X9137" s="2">
        <f ca="1"/>
        <v>49.196827765784185</v>
      </c>
      <c r="AG9137" s="2">
        <f ca="1"/>
        <v>0.11449028323383437</v>
      </c>
      <c r="AH9137" s="2" t="str">
        <f ca="1"/>
        <v>OK</v>
      </c>
    </row>
    <row r="9138" spans="2:34" x14ac:dyDescent="0.2">
      <c r="B9138" s="2">
        <f ca="1"/>
        <v>0.35090903336579826</v>
      </c>
      <c r="O9138" s="2">
        <f ca="1"/>
        <v>1.7209841163108166</v>
      </c>
      <c r="X9138" s="2">
        <f ca="1"/>
        <v>48.968165549469525</v>
      </c>
      <c r="AG9138" s="2">
        <f ca="1"/>
        <v>0.64703119871760695</v>
      </c>
      <c r="AH9138" s="2" t="str">
        <f ca="1"/>
        <v>Bad</v>
      </c>
    </row>
    <row r="9139" spans="2:34" x14ac:dyDescent="0.2">
      <c r="B9139" s="2">
        <f ca="1"/>
        <v>0.27728250174774827</v>
      </c>
      <c r="O9139" s="2">
        <f ca="1"/>
        <v>-0.14094148312841073</v>
      </c>
      <c r="X9139" s="2">
        <f ca="1"/>
        <v>35.369225428969742</v>
      </c>
      <c r="AG9139" s="2">
        <f ca="1"/>
        <v>0.31796297707856613</v>
      </c>
      <c r="AH9139" s="2" t="str">
        <f ca="1"/>
        <v>OK</v>
      </c>
    </row>
    <row r="9140" spans="2:34" x14ac:dyDescent="0.2">
      <c r="B9140" s="2">
        <f ca="1"/>
        <v>0.4602353761705702</v>
      </c>
      <c r="O9140" s="2">
        <f ca="1"/>
        <v>0.59156464992916846</v>
      </c>
      <c r="X9140" s="2">
        <f ca="1"/>
        <v>44.193548402848258</v>
      </c>
      <c r="AG9140" s="2">
        <f ca="1"/>
        <v>0.44377487709581254</v>
      </c>
      <c r="AH9140" s="2" t="str">
        <f ca="1"/>
        <v>Bad</v>
      </c>
    </row>
    <row r="9141" spans="2:34" x14ac:dyDescent="0.2">
      <c r="B9141" s="2">
        <f ca="1"/>
        <v>0.84250591244760353</v>
      </c>
      <c r="O9141" s="2">
        <f ca="1"/>
        <v>0.11735292656356557</v>
      </c>
      <c r="X9141" s="2">
        <f ca="1"/>
        <v>34.550800894564581</v>
      </c>
      <c r="AG9141" s="2">
        <f ca="1"/>
        <v>0.32069513052761667</v>
      </c>
      <c r="AH9141" s="2" t="str">
        <f ca="1"/>
        <v>OK</v>
      </c>
    </row>
    <row r="9142" spans="2:34" x14ac:dyDescent="0.2">
      <c r="B9142" s="2">
        <f ca="1"/>
        <v>0.20869055489633537</v>
      </c>
      <c r="O9142" s="2">
        <f ca="1"/>
        <v>0.71267156649250873</v>
      </c>
      <c r="X9142" s="2">
        <f ca="1"/>
        <v>55.201793805588494</v>
      </c>
      <c r="AG9142" s="2">
        <f ca="1"/>
        <v>0.85778857809990883</v>
      </c>
      <c r="AH9142" s="2" t="str">
        <f ca="1"/>
        <v>Bad</v>
      </c>
    </row>
    <row r="9143" spans="2:34" x14ac:dyDescent="0.2">
      <c r="B9143" s="2">
        <f ca="1"/>
        <v>0.18641872457020536</v>
      </c>
      <c r="O9143" s="2">
        <f ca="1"/>
        <v>0.9748154616169239</v>
      </c>
      <c r="X9143" s="2">
        <f ca="1"/>
        <v>31.817272342520845</v>
      </c>
      <c r="AG9143" s="2">
        <f ca="1"/>
        <v>0.60180581815379863</v>
      </c>
      <c r="AH9143" s="2" t="str">
        <f ca="1"/>
        <v>Bad</v>
      </c>
    </row>
    <row r="9144" spans="2:34" x14ac:dyDescent="0.2">
      <c r="B9144" s="2">
        <f ca="1"/>
        <v>0.45168412083207787</v>
      </c>
      <c r="O9144" s="2">
        <f ca="1"/>
        <v>-5.4220704443530915E-2</v>
      </c>
      <c r="X9144" s="2">
        <f ca="1"/>
        <v>48.679720136743256</v>
      </c>
      <c r="AG9144" s="2">
        <f ca="1"/>
        <v>0.39302914367984942</v>
      </c>
      <c r="AH9144" s="2" t="str">
        <f ca="1"/>
        <v>OK</v>
      </c>
    </row>
    <row r="9145" spans="2:34" x14ac:dyDescent="0.2">
      <c r="B9145" s="2">
        <f ca="1"/>
        <v>0.23857149778601672</v>
      </c>
      <c r="O9145" s="2">
        <f ca="1"/>
        <v>-1.4205526747115682</v>
      </c>
      <c r="X9145" s="2">
        <f ca="1"/>
        <v>52.903350194025549</v>
      </c>
      <c r="AG9145" s="2">
        <f ca="1"/>
        <v>0.33183801017100478</v>
      </c>
      <c r="AH9145" s="2" t="str">
        <f ca="1"/>
        <v>OK</v>
      </c>
    </row>
    <row r="9146" spans="2:34" x14ac:dyDescent="0.2">
      <c r="B9146" s="2">
        <f ca="1"/>
        <v>0.62037215325626827</v>
      </c>
      <c r="O9146" s="2">
        <f ca="1"/>
        <v>-0.27107606328661399</v>
      </c>
      <c r="X9146" s="2">
        <f ca="1"/>
        <v>42.233326031300102</v>
      </c>
      <c r="AG9146" s="2">
        <f ca="1"/>
        <v>0.18886312445401199</v>
      </c>
      <c r="AH9146" s="2" t="str">
        <f ca="1"/>
        <v>OK</v>
      </c>
    </row>
    <row r="9147" spans="2:34" x14ac:dyDescent="0.2">
      <c r="B9147" s="2">
        <f ca="1"/>
        <v>0.14617728428235055</v>
      </c>
      <c r="O9147" s="2">
        <f ca="1"/>
        <v>0.18245413427911478</v>
      </c>
      <c r="X9147" s="2">
        <f ca="1"/>
        <v>50.991408027446752</v>
      </c>
      <c r="AG9147" s="2">
        <f ca="1"/>
        <v>0.40808289725126357</v>
      </c>
      <c r="AH9147" s="2" t="str">
        <f ca="1"/>
        <v>Bad</v>
      </c>
    </row>
    <row r="9148" spans="2:34" x14ac:dyDescent="0.2">
      <c r="B9148" s="2">
        <f ca="1"/>
        <v>3.6314257140279693E-4</v>
      </c>
      <c r="O9148" s="2">
        <f ca="1"/>
        <v>0.85431334922714786</v>
      </c>
      <c r="X9148" s="2">
        <f ca="1"/>
        <v>42.072859713638607</v>
      </c>
      <c r="AG9148" s="2">
        <f ca="1"/>
        <v>0.66775059770876877</v>
      </c>
      <c r="AH9148" s="2" t="str">
        <f ca="1"/>
        <v>Bad</v>
      </c>
    </row>
    <row r="9149" spans="2:34" x14ac:dyDescent="0.2">
      <c r="B9149" s="2">
        <f ca="1"/>
        <v>0.51600426976293345</v>
      </c>
      <c r="O9149" s="2">
        <f ca="1"/>
        <v>0.25058958240108409</v>
      </c>
      <c r="X9149" s="2">
        <f ca="1"/>
        <v>56.973713073155892</v>
      </c>
      <c r="AG9149" s="2">
        <f ca="1"/>
        <v>0.65574206677184455</v>
      </c>
      <c r="AH9149" s="2" t="str">
        <f ca="1"/>
        <v>Bad</v>
      </c>
    </row>
    <row r="9150" spans="2:34" x14ac:dyDescent="0.2">
      <c r="B9150" s="2">
        <f ca="1"/>
        <v>0.78430491454349371</v>
      </c>
      <c r="O9150" s="2">
        <f ca="1"/>
        <v>-0.73804190346487197</v>
      </c>
      <c r="X9150" s="2">
        <f ca="1"/>
        <v>29.301498676592278</v>
      </c>
      <c r="AG9150" s="2">
        <f ca="1"/>
        <v>0.33909509578542174</v>
      </c>
      <c r="AH9150" s="2" t="str">
        <f ca="1"/>
        <v>OK</v>
      </c>
    </row>
    <row r="9151" spans="2:34" x14ac:dyDescent="0.2">
      <c r="B9151" s="2">
        <f ca="1"/>
        <v>0.99030120216963002</v>
      </c>
      <c r="O9151" s="2">
        <f ca="1"/>
        <v>0.530390876553821</v>
      </c>
      <c r="X9151" s="2">
        <f ca="1"/>
        <v>38.64415138936495</v>
      </c>
      <c r="AG9151" s="2">
        <f ca="1"/>
        <v>0.62651287511681852</v>
      </c>
      <c r="AH9151" s="2" t="str">
        <f ca="1"/>
        <v>Bad</v>
      </c>
    </row>
    <row r="9152" spans="2:34" x14ac:dyDescent="0.2">
      <c r="B9152" s="2">
        <f ca="1"/>
        <v>0.30822121096469401</v>
      </c>
      <c r="O9152" s="2">
        <f ca="1"/>
        <v>0.85062611136651456</v>
      </c>
      <c r="X9152" s="2">
        <f ca="1"/>
        <v>53.452938694783342</v>
      </c>
      <c r="AG9152" s="2">
        <f ca="1"/>
        <v>0.24965180045002211</v>
      </c>
      <c r="AH9152" s="2" t="str">
        <f ca="1"/>
        <v>OK</v>
      </c>
    </row>
    <row r="9153" spans="2:34" x14ac:dyDescent="0.2">
      <c r="B9153" s="2">
        <f ca="1"/>
        <v>0.93483455118346215</v>
      </c>
      <c r="O9153" s="2">
        <f ca="1"/>
        <v>0.52675970065138189</v>
      </c>
      <c r="X9153" s="2">
        <f ca="1"/>
        <v>67.489781480906402</v>
      </c>
      <c r="AG9153" s="2">
        <f ca="1"/>
        <v>0.92319333019506722</v>
      </c>
      <c r="AH9153" s="2" t="str">
        <f ca="1"/>
        <v>Bad</v>
      </c>
    </row>
    <row r="9154" spans="2:34" x14ac:dyDescent="0.2">
      <c r="B9154" s="2">
        <f ca="1"/>
        <v>0.10673146085779894</v>
      </c>
      <c r="O9154" s="2">
        <f ca="1"/>
        <v>-0.78027736984346041</v>
      </c>
      <c r="X9154" s="2">
        <f ca="1"/>
        <v>48.926423403124872</v>
      </c>
      <c r="AG9154" s="2">
        <f ca="1"/>
        <v>0.29885441571935845</v>
      </c>
      <c r="AH9154" s="2" t="str">
        <f ca="1"/>
        <v>OK</v>
      </c>
    </row>
    <row r="9155" spans="2:34" x14ac:dyDescent="0.2">
      <c r="B9155" s="2">
        <f ca="1"/>
        <v>0.27311478863388738</v>
      </c>
      <c r="O9155" s="2">
        <f ca="1"/>
        <v>1.1052367717420539</v>
      </c>
      <c r="X9155" s="2">
        <f ca="1"/>
        <v>52.627198724282593</v>
      </c>
      <c r="AG9155" s="2">
        <f ca="1"/>
        <v>0.41760169675284819</v>
      </c>
      <c r="AH9155" s="2" t="str">
        <f ca="1"/>
        <v>Bad</v>
      </c>
    </row>
    <row r="9156" spans="2:34" x14ac:dyDescent="0.2">
      <c r="B9156" s="2">
        <f ca="1"/>
        <v>0.73778814605765608</v>
      </c>
      <c r="O9156" s="2">
        <f ca="1"/>
        <v>1.5483028583238156</v>
      </c>
      <c r="X9156" s="2">
        <f ca="1"/>
        <v>61.712327041929449</v>
      </c>
      <c r="AG9156" s="2">
        <f ca="1"/>
        <v>2.1550875189914942E-2</v>
      </c>
      <c r="AH9156" s="2" t="str">
        <f ca="1"/>
        <v>Good</v>
      </c>
    </row>
    <row r="9157" spans="2:34" x14ac:dyDescent="0.2">
      <c r="B9157" s="2">
        <f ca="1"/>
        <v>0.14557865176563345</v>
      </c>
      <c r="O9157" s="2">
        <f ca="1"/>
        <v>-0.27392584482720861</v>
      </c>
      <c r="X9157" s="2">
        <f ca="1"/>
        <v>47.955635078777476</v>
      </c>
      <c r="AG9157" s="2">
        <f ca="1"/>
        <v>0.72512375397437845</v>
      </c>
      <c r="AH9157" s="2" t="str">
        <f ca="1"/>
        <v>Bad</v>
      </c>
    </row>
    <row r="9158" spans="2:34" x14ac:dyDescent="0.2">
      <c r="B9158" s="2">
        <f ca="1"/>
        <v>0.55683697495336171</v>
      </c>
      <c r="O9158" s="2">
        <f ca="1"/>
        <v>-0.48089503983462623</v>
      </c>
      <c r="X9158" s="2">
        <f ca="1"/>
        <v>55.363377572817321</v>
      </c>
      <c r="AG9158" s="2">
        <f ca="1"/>
        <v>0.42676654119109103</v>
      </c>
      <c r="AH9158" s="2" t="str">
        <f ca="1"/>
        <v>Bad</v>
      </c>
    </row>
    <row r="9159" spans="2:34" x14ac:dyDescent="0.2">
      <c r="B9159" s="2">
        <f ca="1"/>
        <v>0.26280898197943148</v>
      </c>
      <c r="O9159" s="2">
        <f ca="1"/>
        <v>0.47982285717364509</v>
      </c>
      <c r="X9159" s="2">
        <f ca="1"/>
        <v>61.718852435020601</v>
      </c>
      <c r="AG9159" s="2">
        <f ca="1"/>
        <v>0.42196006375874884</v>
      </c>
      <c r="AH9159" s="2" t="str">
        <f ca="1"/>
        <v>Bad</v>
      </c>
    </row>
    <row r="9160" spans="2:34" x14ac:dyDescent="0.2">
      <c r="B9160" s="2">
        <f ca="1"/>
        <v>0.23863053102369647</v>
      </c>
      <c r="O9160" s="2">
        <f ca="1"/>
        <v>0.23656497829812173</v>
      </c>
      <c r="X9160" s="2">
        <f ca="1"/>
        <v>76.417712708765876</v>
      </c>
      <c r="AG9160" s="2">
        <f ca="1"/>
        <v>0.78660826461506206</v>
      </c>
      <c r="AH9160" s="2" t="str">
        <f ca="1"/>
        <v>Bad</v>
      </c>
    </row>
    <row r="9161" spans="2:34" x14ac:dyDescent="0.2">
      <c r="B9161" s="2">
        <f ca="1"/>
        <v>0.41491219809118984</v>
      </c>
      <c r="O9161" s="2">
        <f ca="1"/>
        <v>-0.4615962567281735</v>
      </c>
      <c r="X9161" s="2">
        <f ca="1"/>
        <v>59.444196682941168</v>
      </c>
      <c r="AG9161" s="2">
        <f ca="1"/>
        <v>0.85202290098537703</v>
      </c>
      <c r="AH9161" s="2" t="str">
        <f ca="1"/>
        <v>Bad</v>
      </c>
    </row>
    <row r="9162" spans="2:34" x14ac:dyDescent="0.2">
      <c r="B9162" s="2">
        <f ca="1"/>
        <v>0.96840439277240242</v>
      </c>
      <c r="O9162" s="2">
        <f ca="1"/>
        <v>-0.82963868705022481</v>
      </c>
      <c r="X9162" s="2">
        <f ca="1"/>
        <v>23.229622325259719</v>
      </c>
      <c r="AG9162" s="2">
        <f ca="1"/>
        <v>7.0851440486570105E-3</v>
      </c>
      <c r="AH9162" s="2" t="str">
        <f ca="1"/>
        <v>Good</v>
      </c>
    </row>
    <row r="9163" spans="2:34" x14ac:dyDescent="0.2">
      <c r="B9163" s="2">
        <f ca="1"/>
        <v>9.3824226569131142E-2</v>
      </c>
      <c r="O9163" s="2">
        <f ca="1"/>
        <v>0.18586418498257584</v>
      </c>
      <c r="X9163" s="2">
        <f ca="1"/>
        <v>42.097028189951786</v>
      </c>
      <c r="AG9163" s="2">
        <f ca="1"/>
        <v>0.82447679347497971</v>
      </c>
      <c r="AH9163" s="2" t="str">
        <f ca="1"/>
        <v>Bad</v>
      </c>
    </row>
    <row r="9164" spans="2:34" x14ac:dyDescent="0.2">
      <c r="B9164" s="2">
        <f ca="1"/>
        <v>8.8307583526210376E-3</v>
      </c>
      <c r="O9164" s="2">
        <f ca="1"/>
        <v>0.36612850136207165</v>
      </c>
      <c r="X9164" s="2">
        <f ca="1"/>
        <v>31.830235708633783</v>
      </c>
      <c r="AG9164" s="2">
        <f ca="1"/>
        <v>0.11939123292365794</v>
      </c>
      <c r="AH9164" s="2" t="str">
        <f ca="1"/>
        <v>OK</v>
      </c>
    </row>
    <row r="9165" spans="2:34" x14ac:dyDescent="0.2">
      <c r="B9165" s="2">
        <f ca="1"/>
        <v>0.24740659293687406</v>
      </c>
      <c r="O9165" s="2">
        <f ca="1"/>
        <v>1.6886733096227224</v>
      </c>
      <c r="X9165" s="2">
        <f ca="1"/>
        <v>59.896061120858732</v>
      </c>
      <c r="AG9165" s="2">
        <f ca="1"/>
        <v>0.4938622883806012</v>
      </c>
      <c r="AH9165" s="2" t="str">
        <f ca="1"/>
        <v>Bad</v>
      </c>
    </row>
    <row r="9166" spans="2:34" x14ac:dyDescent="0.2">
      <c r="B9166" s="2">
        <f ca="1"/>
        <v>0.74854057718876654</v>
      </c>
      <c r="O9166" s="2">
        <f ca="1"/>
        <v>0.27296948263290621</v>
      </c>
      <c r="X9166" s="2">
        <f ca="1"/>
        <v>36.600253630568659</v>
      </c>
      <c r="AG9166" s="2">
        <f ca="1"/>
        <v>1.0738640789090592E-2</v>
      </c>
      <c r="AH9166" s="2" t="str">
        <f ca="1"/>
        <v>Good</v>
      </c>
    </row>
    <row r="9167" spans="2:34" x14ac:dyDescent="0.2">
      <c r="B9167" s="2">
        <f ca="1"/>
        <v>0.9124284337509152</v>
      </c>
      <c r="O9167" s="2">
        <f ca="1"/>
        <v>-0.34328984699744675</v>
      </c>
      <c r="X9167" s="2">
        <f ca="1"/>
        <v>69.631470329257667</v>
      </c>
      <c r="AG9167" s="2">
        <f ca="1"/>
        <v>0.75180658426047375</v>
      </c>
      <c r="AH9167" s="2" t="str">
        <f ca="1"/>
        <v>Bad</v>
      </c>
    </row>
    <row r="9168" spans="2:34" x14ac:dyDescent="0.2">
      <c r="B9168" s="2">
        <f ca="1"/>
        <v>0.54241395978426876</v>
      </c>
      <c r="O9168" s="2">
        <f ca="1"/>
        <v>-1.9220797977438788</v>
      </c>
      <c r="X9168" s="2">
        <f ca="1"/>
        <v>52.987419723906811</v>
      </c>
      <c r="AG9168" s="2">
        <f ca="1"/>
        <v>2.2529161748039428E-3</v>
      </c>
      <c r="AH9168" s="2" t="str">
        <f ca="1"/>
        <v>Good</v>
      </c>
    </row>
    <row r="9169" spans="2:34" x14ac:dyDescent="0.2">
      <c r="B9169" s="2">
        <f ca="1"/>
        <v>0.29272211283107374</v>
      </c>
      <c r="O9169" s="2">
        <f ca="1"/>
        <v>0.54270179112949568</v>
      </c>
      <c r="X9169" s="2">
        <f ca="1"/>
        <v>37.778617124935451</v>
      </c>
      <c r="AG9169" s="2">
        <f ca="1"/>
        <v>0.91340838829294912</v>
      </c>
      <c r="AH9169" s="2" t="str">
        <f ca="1"/>
        <v>Bad</v>
      </c>
    </row>
    <row r="9170" spans="2:34" x14ac:dyDescent="0.2">
      <c r="B9170" s="2">
        <f ca="1"/>
        <v>0.89785504603408217</v>
      </c>
      <c r="O9170" s="2">
        <f ca="1"/>
        <v>1.5086029247046988</v>
      </c>
      <c r="X9170" s="2">
        <f ca="1"/>
        <v>73.291619588790383</v>
      </c>
      <c r="AG9170" s="2">
        <f ca="1"/>
        <v>0.20368020568088463</v>
      </c>
      <c r="AH9170" s="2" t="str">
        <f ca="1"/>
        <v>OK</v>
      </c>
    </row>
    <row r="9171" spans="2:34" x14ac:dyDescent="0.2">
      <c r="B9171" s="2">
        <f ca="1"/>
        <v>0.40261139122808332</v>
      </c>
      <c r="O9171" s="2">
        <f ca="1"/>
        <v>0.80702828015096417</v>
      </c>
      <c r="X9171" s="2">
        <f ca="1"/>
        <v>66.181140171871192</v>
      </c>
      <c r="AG9171" s="2">
        <f ca="1"/>
        <v>0.15386484858697935</v>
      </c>
      <c r="AH9171" s="2" t="str">
        <f ca="1"/>
        <v>OK</v>
      </c>
    </row>
    <row r="9172" spans="2:34" x14ac:dyDescent="0.2">
      <c r="B9172" s="2">
        <f ca="1"/>
        <v>0.17538828224197411</v>
      </c>
      <c r="O9172" s="2">
        <f ca="1"/>
        <v>0.98912031542115519</v>
      </c>
      <c r="X9172" s="2">
        <f ca="1"/>
        <v>42.876060129028431</v>
      </c>
      <c r="AG9172" s="2">
        <f ca="1"/>
        <v>4.0382260796183456E-3</v>
      </c>
      <c r="AH9172" s="2" t="str">
        <f ca="1"/>
        <v>Good</v>
      </c>
    </row>
    <row r="9173" spans="2:34" x14ac:dyDescent="0.2">
      <c r="B9173" s="2">
        <f ca="1"/>
        <v>0.74016134031878211</v>
      </c>
      <c r="O9173" s="2">
        <f ca="1"/>
        <v>-0.64742897400907007</v>
      </c>
      <c r="X9173" s="2">
        <f ca="1"/>
        <v>40.278959903518448</v>
      </c>
      <c r="AG9173" s="2">
        <f ca="1"/>
        <v>0.75307879156494351</v>
      </c>
      <c r="AH9173" s="2" t="str">
        <f ca="1"/>
        <v>Bad</v>
      </c>
    </row>
    <row r="9174" spans="2:34" x14ac:dyDescent="0.2">
      <c r="B9174" s="2">
        <f ca="1"/>
        <v>0.48474493754835968</v>
      </c>
      <c r="O9174" s="2">
        <f ca="1"/>
        <v>4.1211520306752528E-2</v>
      </c>
      <c r="X9174" s="2">
        <f ca="1"/>
        <v>36.080001225402384</v>
      </c>
      <c r="AG9174" s="2">
        <f ca="1"/>
        <v>0.84182806653437781</v>
      </c>
      <c r="AH9174" s="2" t="str">
        <f ca="1"/>
        <v>Bad</v>
      </c>
    </row>
    <row r="9175" spans="2:34" x14ac:dyDescent="0.2">
      <c r="B9175" s="2">
        <f ca="1"/>
        <v>0.20363984151502268</v>
      </c>
      <c r="O9175" s="2">
        <f ca="1"/>
        <v>0.83148351467916037</v>
      </c>
      <c r="X9175" s="2">
        <f ca="1"/>
        <v>68.387915378069678</v>
      </c>
      <c r="AG9175" s="2">
        <f ca="1"/>
        <v>0.13756374724289011</v>
      </c>
      <c r="AH9175" s="2" t="str">
        <f ca="1"/>
        <v>OK</v>
      </c>
    </row>
    <row r="9176" spans="2:34" x14ac:dyDescent="0.2">
      <c r="B9176" s="2">
        <f ca="1"/>
        <v>0.89054259035833927</v>
      </c>
      <c r="O9176" s="2">
        <f ca="1"/>
        <v>0.34725750656879784</v>
      </c>
      <c r="X9176" s="2">
        <f ca="1"/>
        <v>64.339373835779</v>
      </c>
      <c r="AG9176" s="2">
        <f ca="1"/>
        <v>0.17623783101002011</v>
      </c>
      <c r="AH9176" s="2" t="str">
        <f ca="1"/>
        <v>OK</v>
      </c>
    </row>
    <row r="9177" spans="2:34" x14ac:dyDescent="0.2">
      <c r="B9177" s="2">
        <f ca="1"/>
        <v>3.6711769638220426E-2</v>
      </c>
      <c r="O9177" s="2">
        <f ca="1"/>
        <v>-0.82658531346010977</v>
      </c>
      <c r="X9177" s="2">
        <f ca="1"/>
        <v>47.46040090112389</v>
      </c>
      <c r="AG9177" s="2">
        <f ca="1"/>
        <v>0.20106163123121923</v>
      </c>
      <c r="AH9177" s="2" t="str">
        <f ca="1"/>
        <v>OK</v>
      </c>
    </row>
    <row r="9178" spans="2:34" x14ac:dyDescent="0.2">
      <c r="B9178" s="2">
        <f ca="1"/>
        <v>0.90987655714816529</v>
      </c>
      <c r="O9178" s="2">
        <f ca="1"/>
        <v>0.65382630720754775</v>
      </c>
      <c r="X9178" s="2">
        <f ca="1"/>
        <v>24.327053612836803</v>
      </c>
      <c r="AG9178" s="2">
        <f ca="1"/>
        <v>0.82162754100783975</v>
      </c>
      <c r="AH9178" s="2" t="str">
        <f ca="1"/>
        <v>Bad</v>
      </c>
    </row>
    <row r="9179" spans="2:34" x14ac:dyDescent="0.2">
      <c r="B9179" s="2">
        <f ca="1"/>
        <v>0.6472133528670847</v>
      </c>
      <c r="O9179" s="2">
        <f ca="1"/>
        <v>0.60404193714053622</v>
      </c>
      <c r="X9179" s="2">
        <f ca="1"/>
        <v>73.939572073959781</v>
      </c>
      <c r="AG9179" s="2">
        <f ca="1"/>
        <v>0.39110183237812901</v>
      </c>
      <c r="AH9179" s="2" t="str">
        <f ca="1"/>
        <v>OK</v>
      </c>
    </row>
    <row r="9180" spans="2:34" x14ac:dyDescent="0.2">
      <c r="B9180" s="2">
        <f ca="1"/>
        <v>4.0945822148142685E-2</v>
      </c>
      <c r="O9180" s="2">
        <f ca="1"/>
        <v>1.5500580525876575</v>
      </c>
      <c r="X9180" s="2">
        <f ca="1"/>
        <v>79.791941938834697</v>
      </c>
      <c r="AG9180" s="2">
        <f ca="1"/>
        <v>0.56053225651887106</v>
      </c>
      <c r="AH9180" s="2" t="str">
        <f ca="1"/>
        <v>Bad</v>
      </c>
    </row>
    <row r="9181" spans="2:34" x14ac:dyDescent="0.2">
      <c r="B9181" s="2">
        <f ca="1"/>
        <v>0.23214888269820277</v>
      </c>
      <c r="O9181" s="2">
        <f ca="1"/>
        <v>0.19452752878499419</v>
      </c>
      <c r="X9181" s="2">
        <f ca="1"/>
        <v>35.845290750189342</v>
      </c>
      <c r="AG9181" s="2">
        <f ca="1"/>
        <v>0.45505717811594337</v>
      </c>
      <c r="AH9181" s="2" t="str">
        <f ca="1"/>
        <v>Bad</v>
      </c>
    </row>
    <row r="9182" spans="2:34" x14ac:dyDescent="0.2">
      <c r="B9182" s="2">
        <f ca="1"/>
        <v>0.31401881670051601</v>
      </c>
      <c r="O9182" s="2">
        <f ca="1"/>
        <v>0.98294735026838509</v>
      </c>
      <c r="X9182" s="2">
        <f ca="1"/>
        <v>59.446936050019914</v>
      </c>
      <c r="AG9182" s="2">
        <f ca="1"/>
        <v>0.11091863129064916</v>
      </c>
      <c r="AH9182" s="2" t="str">
        <f ca="1"/>
        <v>OK</v>
      </c>
    </row>
    <row r="9183" spans="2:34" x14ac:dyDescent="0.2">
      <c r="B9183" s="2">
        <f ca="1"/>
        <v>0.89085790662095232</v>
      </c>
      <c r="O9183" s="2">
        <f ca="1"/>
        <v>5.9576833947447706E-2</v>
      </c>
      <c r="X9183" s="2">
        <f ca="1"/>
        <v>51.156738237899503</v>
      </c>
      <c r="AG9183" s="2">
        <f ca="1"/>
        <v>0.26755718555426977</v>
      </c>
      <c r="AH9183" s="2" t="str">
        <f ca="1"/>
        <v>OK</v>
      </c>
    </row>
    <row r="9184" spans="2:34" x14ac:dyDescent="0.2">
      <c r="B9184" s="2">
        <f ca="1"/>
        <v>1.6062057532244545E-3</v>
      </c>
      <c r="O9184" s="2">
        <f ca="1"/>
        <v>-0.1561304180375743</v>
      </c>
      <c r="X9184" s="2">
        <f ca="1"/>
        <v>24.021235240310581</v>
      </c>
      <c r="AG9184" s="2">
        <f ca="1"/>
        <v>6.9187435798546471E-2</v>
      </c>
      <c r="AH9184" s="2" t="str">
        <f ca="1"/>
        <v>OK</v>
      </c>
    </row>
    <row r="9185" spans="2:34" x14ac:dyDescent="0.2">
      <c r="B9185" s="2">
        <f ca="1"/>
        <v>0.42882505779331126</v>
      </c>
      <c r="O9185" s="2">
        <f ca="1"/>
        <v>-1.6934969246441103</v>
      </c>
      <c r="X9185" s="2">
        <f ca="1"/>
        <v>62.454708421641598</v>
      </c>
      <c r="AG9185" s="2">
        <f ca="1"/>
        <v>0.6825329685626631</v>
      </c>
      <c r="AH9185" s="2" t="str">
        <f ca="1"/>
        <v>Bad</v>
      </c>
    </row>
    <row r="9186" spans="2:34" x14ac:dyDescent="0.2">
      <c r="B9186" s="2">
        <f ca="1"/>
        <v>0.89160297214644424</v>
      </c>
      <c r="O9186" s="2">
        <f ca="1"/>
        <v>-1.3029671614358924</v>
      </c>
      <c r="X9186" s="2">
        <f ca="1"/>
        <v>52.478453087048884</v>
      </c>
      <c r="AG9186" s="2">
        <f ca="1"/>
        <v>0.28431052749899788</v>
      </c>
      <c r="AH9186" s="2" t="str">
        <f ca="1"/>
        <v>OK</v>
      </c>
    </row>
    <row r="9187" spans="2:34" x14ac:dyDescent="0.2">
      <c r="B9187" s="2">
        <f ca="1"/>
        <v>0.42059553506801617</v>
      </c>
      <c r="O9187" s="2">
        <f ca="1"/>
        <v>-1.1392772426923621</v>
      </c>
      <c r="X9187" s="2">
        <f ca="1"/>
        <v>33.83129948412175</v>
      </c>
      <c r="AG9187" s="2">
        <f ca="1"/>
        <v>0.11975710718382193</v>
      </c>
      <c r="AH9187" s="2" t="str">
        <f ca="1"/>
        <v>OK</v>
      </c>
    </row>
    <row r="9188" spans="2:34" x14ac:dyDescent="0.2">
      <c r="B9188" s="2">
        <f ca="1"/>
        <v>0.85829536925691197</v>
      </c>
      <c r="O9188" s="2">
        <f ca="1"/>
        <v>-0.76411580928471123</v>
      </c>
      <c r="X9188" s="2">
        <f ca="1"/>
        <v>34.238464278735911</v>
      </c>
      <c r="AG9188" s="2">
        <f ca="1"/>
        <v>6.1610895947898925E-3</v>
      </c>
      <c r="AH9188" s="2" t="str">
        <f ca="1"/>
        <v>Good</v>
      </c>
    </row>
    <row r="9189" spans="2:34" x14ac:dyDescent="0.2">
      <c r="B9189" s="2">
        <f ca="1"/>
        <v>0.48561496606024623</v>
      </c>
      <c r="O9189" s="2">
        <f ca="1"/>
        <v>-0.65425076045109054</v>
      </c>
      <c r="X9189" s="2">
        <f ca="1"/>
        <v>49.153407890055846</v>
      </c>
      <c r="AG9189" s="2">
        <f ca="1"/>
        <v>0.64181269195927881</v>
      </c>
      <c r="AH9189" s="2" t="str">
        <f ca="1"/>
        <v>Bad</v>
      </c>
    </row>
    <row r="9190" spans="2:34" x14ac:dyDescent="0.2">
      <c r="B9190" s="2">
        <f ca="1"/>
        <v>0.8026792139406278</v>
      </c>
      <c r="O9190" s="2">
        <f ca="1"/>
        <v>-1.0291080546812699</v>
      </c>
      <c r="X9190" s="2">
        <f ca="1"/>
        <v>31.410254008115817</v>
      </c>
      <c r="AG9190" s="2">
        <f ca="1"/>
        <v>0.23295187963764619</v>
      </c>
      <c r="AH9190" s="2" t="str">
        <f ca="1"/>
        <v>OK</v>
      </c>
    </row>
    <row r="9191" spans="2:34" x14ac:dyDescent="0.2">
      <c r="B9191" s="2">
        <f ca="1"/>
        <v>0.30937178599172399</v>
      </c>
      <c r="O9191" s="2">
        <f ca="1"/>
        <v>1.3122354720767972</v>
      </c>
      <c r="X9191" s="2">
        <f ca="1"/>
        <v>49.850814983808853</v>
      </c>
      <c r="AG9191" s="2">
        <f ca="1"/>
        <v>7.2930442007165919E-2</v>
      </c>
      <c r="AH9191" s="2" t="str">
        <f ca="1"/>
        <v>OK</v>
      </c>
    </row>
    <row r="9192" spans="2:34" x14ac:dyDescent="0.2">
      <c r="B9192" s="2">
        <f ca="1"/>
        <v>3.4678015704514564E-2</v>
      </c>
      <c r="O9192" s="2">
        <f ca="1"/>
        <v>-1.3692842453550123</v>
      </c>
      <c r="X9192" s="2">
        <f ca="1"/>
        <v>83.634597223148788</v>
      </c>
      <c r="AG9192" s="2">
        <f ca="1"/>
        <v>0.4170838873311431</v>
      </c>
      <c r="AH9192" s="2" t="str">
        <f ca="1"/>
        <v>Bad</v>
      </c>
    </row>
    <row r="9193" spans="2:34" x14ac:dyDescent="0.2">
      <c r="B9193" s="2">
        <f ca="1"/>
        <v>4.5282835762817442E-2</v>
      </c>
      <c r="O9193" s="2">
        <f ca="1"/>
        <v>-2.7580681848616462</v>
      </c>
      <c r="X9193" s="2">
        <f ca="1"/>
        <v>42.7515771290064</v>
      </c>
      <c r="AG9193" s="2">
        <f ca="1"/>
        <v>0.74877031251938408</v>
      </c>
      <c r="AH9193" s="2" t="str">
        <f ca="1"/>
        <v>Bad</v>
      </c>
    </row>
    <row r="9194" spans="2:34" x14ac:dyDescent="0.2">
      <c r="B9194" s="2">
        <f ca="1"/>
        <v>0.99185016350855504</v>
      </c>
      <c r="O9194" s="2">
        <f ca="1"/>
        <v>6.1446408780464347E-2</v>
      </c>
      <c r="X9194" s="2">
        <f ca="1"/>
        <v>48.427772509686434</v>
      </c>
      <c r="AG9194" s="2">
        <f ca="1"/>
        <v>0.59939020571263324</v>
      </c>
      <c r="AH9194" s="2" t="str">
        <f ca="1"/>
        <v>Bad</v>
      </c>
    </row>
    <row r="9195" spans="2:34" x14ac:dyDescent="0.2">
      <c r="B9195" s="2">
        <f ca="1"/>
        <v>0.85714214838700054</v>
      </c>
      <c r="O9195" s="2">
        <f ca="1"/>
        <v>0.91222413697229088</v>
      </c>
      <c r="X9195" s="2">
        <f ca="1"/>
        <v>39.000608902564068</v>
      </c>
      <c r="AG9195" s="2">
        <f ca="1"/>
        <v>0.76216983428621998</v>
      </c>
      <c r="AH9195" s="2" t="str">
        <f ca="1"/>
        <v>Bad</v>
      </c>
    </row>
    <row r="9196" spans="2:34" x14ac:dyDescent="0.2">
      <c r="B9196" s="2">
        <f ca="1"/>
        <v>0.8459523141416927</v>
      </c>
      <c r="O9196" s="2">
        <f ca="1"/>
        <v>0.57562046113096621</v>
      </c>
      <c r="X9196" s="2">
        <f ca="1"/>
        <v>51.768167941326283</v>
      </c>
      <c r="AG9196" s="2">
        <f ca="1"/>
        <v>0.24427907897284284</v>
      </c>
      <c r="AH9196" s="2" t="str">
        <f ca="1"/>
        <v>OK</v>
      </c>
    </row>
    <row r="9197" spans="2:34" x14ac:dyDescent="0.2">
      <c r="B9197" s="2">
        <f ca="1"/>
        <v>0.12718292192775471</v>
      </c>
      <c r="O9197" s="2">
        <f ca="1"/>
        <v>0.56209213212537101</v>
      </c>
      <c r="X9197" s="2">
        <f ca="1"/>
        <v>31.872648080200378</v>
      </c>
      <c r="AG9197" s="2">
        <f ca="1"/>
        <v>0.73804161381557454</v>
      </c>
      <c r="AH9197" s="2" t="str">
        <f ca="1"/>
        <v>Bad</v>
      </c>
    </row>
    <row r="9198" spans="2:34" x14ac:dyDescent="0.2">
      <c r="B9198" s="2">
        <f ca="1"/>
        <v>0.5597587016932779</v>
      </c>
      <c r="O9198" s="2">
        <f ca="1"/>
        <v>-0.62188721844740835</v>
      </c>
      <c r="X9198" s="2">
        <f ca="1"/>
        <v>31.983679852657531</v>
      </c>
      <c r="AG9198" s="2">
        <f ca="1"/>
        <v>0.27169383833270166</v>
      </c>
      <c r="AH9198" s="2" t="str">
        <f ca="1"/>
        <v>OK</v>
      </c>
    </row>
    <row r="9199" spans="2:34" x14ac:dyDescent="0.2">
      <c r="B9199" s="2">
        <f ca="1"/>
        <v>0.40038649889409261</v>
      </c>
      <c r="O9199" s="2">
        <f ca="1"/>
        <v>0.28242158056049366</v>
      </c>
      <c r="X9199" s="2">
        <f ca="1"/>
        <v>44.507203248880167</v>
      </c>
      <c r="AG9199" s="2">
        <f ca="1"/>
        <v>0.41166477784561062</v>
      </c>
      <c r="AH9199" s="2" t="str">
        <f ca="1"/>
        <v>Bad</v>
      </c>
    </row>
    <row r="9200" spans="2:34" x14ac:dyDescent="0.2">
      <c r="B9200" s="2">
        <f ca="1"/>
        <v>0.15655510959096297</v>
      </c>
      <c r="O9200" s="2">
        <f ca="1"/>
        <v>1.0205649797517837</v>
      </c>
      <c r="X9200" s="2">
        <f ca="1"/>
        <v>55.772234914243555</v>
      </c>
      <c r="AG9200" s="2">
        <f ca="1"/>
        <v>0.60264609944629743</v>
      </c>
      <c r="AH9200" s="2" t="str">
        <f ca="1"/>
        <v>Bad</v>
      </c>
    </row>
    <row r="9201" spans="2:34" x14ac:dyDescent="0.2">
      <c r="B9201" s="2">
        <f ca="1"/>
        <v>0.47397231078803226</v>
      </c>
      <c r="O9201" s="2">
        <f ca="1"/>
        <v>1.3443285849614304</v>
      </c>
      <c r="X9201" s="2">
        <f ca="1"/>
        <v>43.907643919429873</v>
      </c>
      <c r="AG9201" s="2">
        <f ca="1"/>
        <v>0.38519305316625418</v>
      </c>
      <c r="AH9201" s="2" t="str">
        <f ca="1"/>
        <v>OK</v>
      </c>
    </row>
    <row r="9202" spans="2:34" x14ac:dyDescent="0.2">
      <c r="B9202" s="2">
        <f ca="1"/>
        <v>0.23391427728497605</v>
      </c>
      <c r="O9202" s="2">
        <f ca="1"/>
        <v>-5.5481160685542832E-2</v>
      </c>
      <c r="X9202" s="2">
        <f ca="1"/>
        <v>65.002149250431756</v>
      </c>
      <c r="AG9202" s="2">
        <f ca="1"/>
        <v>0.70119236459950862</v>
      </c>
      <c r="AH9202" s="2" t="str">
        <f ca="1"/>
        <v>Bad</v>
      </c>
    </row>
    <row r="9203" spans="2:34" x14ac:dyDescent="0.2">
      <c r="B9203" s="2">
        <f ca="1"/>
        <v>0.12673813857018157</v>
      </c>
      <c r="O9203" s="2">
        <f ca="1"/>
        <v>-9.995267968422529E-2</v>
      </c>
      <c r="X9203" s="2">
        <f ca="1"/>
        <v>25.313997934355847</v>
      </c>
      <c r="AG9203" s="2">
        <f ca="1"/>
        <v>0.18950417360871441</v>
      </c>
      <c r="AH9203" s="2" t="str">
        <f ca="1"/>
        <v>OK</v>
      </c>
    </row>
    <row r="9204" spans="2:34" x14ac:dyDescent="0.2">
      <c r="B9204" s="2">
        <f ca="1"/>
        <v>0.57251013474741508</v>
      </c>
      <c r="O9204" s="2">
        <f ca="1"/>
        <v>1.1255335059327918</v>
      </c>
      <c r="X9204" s="2">
        <f ca="1"/>
        <v>68.311879146958475</v>
      </c>
      <c r="AG9204" s="2">
        <f ca="1"/>
        <v>7.2398176216551091E-2</v>
      </c>
      <c r="AH9204" s="2" t="str">
        <f ca="1"/>
        <v>OK</v>
      </c>
    </row>
    <row r="9205" spans="2:34" x14ac:dyDescent="0.2">
      <c r="B9205" s="2">
        <f ca="1"/>
        <v>0.91501355396492157</v>
      </c>
      <c r="O9205" s="2">
        <f ca="1"/>
        <v>-0.67147997429342388</v>
      </c>
      <c r="X9205" s="2">
        <f ca="1"/>
        <v>31.683657048194455</v>
      </c>
      <c r="AG9205" s="2">
        <f ca="1"/>
        <v>9.5802161176597345E-2</v>
      </c>
      <c r="AH9205" s="2" t="str">
        <f ca="1"/>
        <v>OK</v>
      </c>
    </row>
    <row r="9206" spans="2:34" x14ac:dyDescent="0.2">
      <c r="B9206" s="2">
        <f ca="1"/>
        <v>0.36395554777754624</v>
      </c>
      <c r="O9206" s="2">
        <f ca="1"/>
        <v>0.76014531607486036</v>
      </c>
      <c r="X9206" s="2">
        <f ca="1"/>
        <v>83.284739033233549</v>
      </c>
      <c r="AG9206" s="2">
        <f ca="1"/>
        <v>0.94797558665367254</v>
      </c>
      <c r="AH9206" s="2" t="str">
        <f ca="1"/>
        <v>Bad</v>
      </c>
    </row>
    <row r="9207" spans="2:34" x14ac:dyDescent="0.2">
      <c r="B9207" s="2">
        <f ca="1"/>
        <v>0.16774107991005582</v>
      </c>
      <c r="O9207" s="2">
        <f ca="1"/>
        <v>1.4277254078755892</v>
      </c>
      <c r="X9207" s="2">
        <f ca="1"/>
        <v>48.49224537583482</v>
      </c>
      <c r="AG9207" s="2">
        <f ca="1"/>
        <v>0.62673371448060688</v>
      </c>
      <c r="AH9207" s="2" t="str">
        <f ca="1"/>
        <v>Bad</v>
      </c>
    </row>
    <row r="9208" spans="2:34" x14ac:dyDescent="0.2">
      <c r="B9208" s="2">
        <f ca="1"/>
        <v>0.63502666978021471</v>
      </c>
      <c r="O9208" s="2">
        <f ca="1"/>
        <v>-0.12978917262710757</v>
      </c>
      <c r="X9208" s="2">
        <f ca="1"/>
        <v>44.465333673795556</v>
      </c>
      <c r="AG9208" s="2">
        <f ca="1"/>
        <v>0.43420548426487082</v>
      </c>
      <c r="AH9208" s="2" t="str">
        <f ca="1"/>
        <v>Bad</v>
      </c>
    </row>
    <row r="9209" spans="2:34" x14ac:dyDescent="0.2">
      <c r="B9209" s="2">
        <f ca="1"/>
        <v>0.28174908107788932</v>
      </c>
      <c r="O9209" s="2">
        <f ca="1"/>
        <v>0.16615990529348659</v>
      </c>
      <c r="X9209" s="2">
        <f ca="1"/>
        <v>26.316669404312183</v>
      </c>
      <c r="AG9209" s="2">
        <f ca="1"/>
        <v>0.3053835105579259</v>
      </c>
      <c r="AH9209" s="2" t="str">
        <f ca="1"/>
        <v>OK</v>
      </c>
    </row>
    <row r="9210" spans="2:34" x14ac:dyDescent="0.2">
      <c r="B9210" s="2">
        <f ca="1"/>
        <v>0.64090956105496333</v>
      </c>
      <c r="O9210" s="2">
        <f ca="1"/>
        <v>-1.194041703134235</v>
      </c>
      <c r="X9210" s="2">
        <f ca="1"/>
        <v>37.680810560960616</v>
      </c>
      <c r="AG9210" s="2">
        <f ca="1"/>
        <v>0.48156466434541856</v>
      </c>
      <c r="AH9210" s="2" t="str">
        <f ca="1"/>
        <v>Bad</v>
      </c>
    </row>
    <row r="9211" spans="2:34" x14ac:dyDescent="0.2">
      <c r="B9211" s="2">
        <f ca="1"/>
        <v>0.56571541265720726</v>
      </c>
      <c r="O9211" s="2">
        <f ca="1"/>
        <v>1.8911888406668311</v>
      </c>
      <c r="X9211" s="2">
        <f ca="1"/>
        <v>46.300896506272693</v>
      </c>
      <c r="AG9211" s="2">
        <f ca="1"/>
        <v>0.45343153246329293</v>
      </c>
      <c r="AH9211" s="2" t="str">
        <f ca="1"/>
        <v>Bad</v>
      </c>
    </row>
    <row r="9212" spans="2:34" x14ac:dyDescent="0.2">
      <c r="B9212" s="2">
        <f ca="1"/>
        <v>0.42650082587114846</v>
      </c>
      <c r="O9212" s="2">
        <f ca="1"/>
        <v>-0.71104041565574105</v>
      </c>
      <c r="X9212" s="2">
        <f ca="1"/>
        <v>46.302121762340853</v>
      </c>
      <c r="AG9212" s="2">
        <f ca="1"/>
        <v>0.95951251419411276</v>
      </c>
      <c r="AH9212" s="2" t="str">
        <f ca="1"/>
        <v>Bad</v>
      </c>
    </row>
    <row r="9213" spans="2:34" x14ac:dyDescent="0.2">
      <c r="B9213" s="2">
        <f ca="1"/>
        <v>0.85240469552030285</v>
      </c>
      <c r="O9213" s="2">
        <f ca="1"/>
        <v>-0.96406653562547451</v>
      </c>
      <c r="X9213" s="2">
        <f ca="1"/>
        <v>55.691804897456443</v>
      </c>
      <c r="AG9213" s="2">
        <f ca="1"/>
        <v>0.3128466780182968</v>
      </c>
      <c r="AH9213" s="2" t="str">
        <f ca="1"/>
        <v>OK</v>
      </c>
    </row>
    <row r="9214" spans="2:34" x14ac:dyDescent="0.2">
      <c r="B9214" s="2">
        <f ca="1"/>
        <v>0.23924159331746586</v>
      </c>
      <c r="O9214" s="2">
        <f ca="1"/>
        <v>-1.1131962344333046</v>
      </c>
      <c r="X9214" s="2">
        <f ca="1"/>
        <v>27.262619227862221</v>
      </c>
      <c r="AG9214" s="2">
        <f ca="1"/>
        <v>0.65608648507373979</v>
      </c>
      <c r="AH9214" s="2" t="str">
        <f ca="1"/>
        <v>Bad</v>
      </c>
    </row>
    <row r="9215" spans="2:34" x14ac:dyDescent="0.2">
      <c r="B9215" s="2">
        <f ca="1"/>
        <v>9.2634773090763511E-2</v>
      </c>
      <c r="O9215" s="2">
        <f ca="1"/>
        <v>-0.751203108300602</v>
      </c>
      <c r="X9215" s="2">
        <f ca="1"/>
        <v>32.849546095205341</v>
      </c>
      <c r="AG9215" s="2">
        <f ca="1"/>
        <v>0.6709795826320144</v>
      </c>
      <c r="AH9215" s="2" t="str">
        <f ca="1"/>
        <v>Bad</v>
      </c>
    </row>
    <row r="9216" spans="2:34" x14ac:dyDescent="0.2">
      <c r="B9216" s="2">
        <f ca="1"/>
        <v>0.20830932871349495</v>
      </c>
      <c r="O9216" s="2">
        <f ca="1"/>
        <v>-0.46987355240454698</v>
      </c>
      <c r="X9216" s="2">
        <f ca="1"/>
        <v>27.773167891711296</v>
      </c>
      <c r="AG9216" s="2">
        <f ca="1"/>
        <v>1.9354906588709087E-2</v>
      </c>
      <c r="AH9216" s="2" t="str">
        <f ca="1"/>
        <v>Good</v>
      </c>
    </row>
    <row r="9217" spans="2:34" x14ac:dyDescent="0.2">
      <c r="B9217" s="2">
        <f ca="1"/>
        <v>0.61931201540452152</v>
      </c>
      <c r="O9217" s="2">
        <f ca="1"/>
        <v>-8.3472079360152024E-2</v>
      </c>
      <c r="X9217" s="2">
        <f ca="1"/>
        <v>34.264273621365085</v>
      </c>
      <c r="AG9217" s="2">
        <f ca="1"/>
        <v>0.60403053790133665</v>
      </c>
      <c r="AH9217" s="2" t="str">
        <f ca="1"/>
        <v>Bad</v>
      </c>
    </row>
    <row r="9218" spans="2:34" x14ac:dyDescent="0.2">
      <c r="B9218" s="2">
        <f ca="1"/>
        <v>8.6769063635613763E-2</v>
      </c>
      <c r="O9218" s="2">
        <f ca="1"/>
        <v>1.933397998458402</v>
      </c>
      <c r="X9218" s="2">
        <f ca="1"/>
        <v>51.223212854095046</v>
      </c>
      <c r="AG9218" s="2">
        <f ca="1"/>
        <v>3.4966142069990491E-2</v>
      </c>
      <c r="AH9218" s="2" t="str">
        <f ca="1"/>
        <v>Good</v>
      </c>
    </row>
    <row r="9219" spans="2:34" x14ac:dyDescent="0.2">
      <c r="B9219" s="2">
        <f ca="1"/>
        <v>0.31039314552227526</v>
      </c>
      <c r="O9219" s="2">
        <f ca="1"/>
        <v>-0.59515855350457958</v>
      </c>
      <c r="X9219" s="2">
        <f ca="1"/>
        <v>46.65391094317453</v>
      </c>
      <c r="AG9219" s="2">
        <f ca="1"/>
        <v>0.63155237757044236</v>
      </c>
      <c r="AH9219" s="2" t="str">
        <f ca="1"/>
        <v>Bad</v>
      </c>
    </row>
    <row r="9220" spans="2:34" x14ac:dyDescent="0.2">
      <c r="B9220" s="2">
        <f ca="1"/>
        <v>0.11806008629071729</v>
      </c>
      <c r="O9220" s="2">
        <f ca="1"/>
        <v>0.22569731622917058</v>
      </c>
      <c r="X9220" s="2">
        <f ca="1"/>
        <v>32.903011562603474</v>
      </c>
      <c r="AG9220" s="2">
        <f ca="1"/>
        <v>0.54407403049471004</v>
      </c>
      <c r="AH9220" s="2" t="str">
        <f ca="1"/>
        <v>Bad</v>
      </c>
    </row>
    <row r="9221" spans="2:34" x14ac:dyDescent="0.2">
      <c r="B9221" s="2">
        <f ca="1"/>
        <v>5.001391516504694E-2</v>
      </c>
      <c r="O9221" s="2">
        <f ca="1"/>
        <v>0.11754665784747483</v>
      </c>
      <c r="X9221" s="2">
        <f ca="1"/>
        <v>37.482821499938836</v>
      </c>
      <c r="AG9221" s="2">
        <f ca="1"/>
        <v>0.52275815355765176</v>
      </c>
      <c r="AH9221" s="2" t="str">
        <f ca="1"/>
        <v>Bad</v>
      </c>
    </row>
    <row r="9222" spans="2:34" x14ac:dyDescent="0.2">
      <c r="B9222" s="2">
        <f ca="1"/>
        <v>0.98478292806857159</v>
      </c>
      <c r="O9222" s="2">
        <f ca="1"/>
        <v>0.81378746190262186</v>
      </c>
      <c r="X9222" s="2">
        <f ca="1"/>
        <v>75.748443267534697</v>
      </c>
      <c r="AG9222" s="2">
        <f ca="1"/>
        <v>0.73995509420821515</v>
      </c>
      <c r="AH9222" s="2" t="str">
        <f ca="1"/>
        <v>Bad</v>
      </c>
    </row>
    <row r="9223" spans="2:34" x14ac:dyDescent="0.2">
      <c r="B9223" s="2">
        <f ca="1"/>
        <v>7.7300141716518667E-4</v>
      </c>
      <c r="O9223" s="2">
        <f ca="1"/>
        <v>-0.14598532586513818</v>
      </c>
      <c r="X9223" s="2">
        <f ca="1"/>
        <v>39.792854740160848</v>
      </c>
      <c r="AG9223" s="2">
        <f ca="1"/>
        <v>7.2206791819872107E-2</v>
      </c>
      <c r="AH9223" s="2" t="str">
        <f ca="1"/>
        <v>OK</v>
      </c>
    </row>
    <row r="9224" spans="2:34" x14ac:dyDescent="0.2">
      <c r="B9224" s="2">
        <f ca="1"/>
        <v>0.87231632380193536</v>
      </c>
      <c r="O9224" s="2">
        <f ca="1"/>
        <v>1.6938339553899424</v>
      </c>
      <c r="X9224" s="2">
        <f ca="1"/>
        <v>36.722507466108439</v>
      </c>
      <c r="AG9224" s="2">
        <f ca="1"/>
        <v>0.47732133730305315</v>
      </c>
      <c r="AH9224" s="2" t="str">
        <f ca="1"/>
        <v>Bad</v>
      </c>
    </row>
    <row r="9225" spans="2:34" x14ac:dyDescent="0.2">
      <c r="B9225" s="2">
        <f ca="1"/>
        <v>0.13887590012885931</v>
      </c>
      <c r="O9225" s="2">
        <f ca="1"/>
        <v>0.94962281427157824</v>
      </c>
      <c r="X9225" s="2">
        <f ca="1"/>
        <v>31.12801824338738</v>
      </c>
      <c r="AG9225" s="2">
        <f ca="1"/>
        <v>1.4036713883977647E-2</v>
      </c>
      <c r="AH9225" s="2" t="str">
        <f ca="1"/>
        <v>Good</v>
      </c>
    </row>
    <row r="9226" spans="2:34" x14ac:dyDescent="0.2">
      <c r="B9226" s="2">
        <f ca="1"/>
        <v>0.4895390918752367</v>
      </c>
      <c r="O9226" s="2">
        <f ca="1"/>
        <v>-0.279533753315927</v>
      </c>
      <c r="X9226" s="2">
        <f ca="1"/>
        <v>39.60575146081591</v>
      </c>
      <c r="AG9226" s="2">
        <f ca="1"/>
        <v>0.95106171311062959</v>
      </c>
      <c r="AH9226" s="2" t="str">
        <f ca="1"/>
        <v>Bad</v>
      </c>
    </row>
    <row r="9227" spans="2:34" x14ac:dyDescent="0.2">
      <c r="B9227" s="2">
        <f ca="1"/>
        <v>0.83058542003627345</v>
      </c>
      <c r="O9227" s="2">
        <f ca="1"/>
        <v>-1.9637937792305322</v>
      </c>
      <c r="X9227" s="2">
        <f ca="1"/>
        <v>27.734289766634014</v>
      </c>
      <c r="AG9227" s="2">
        <f ca="1"/>
        <v>0.16589590329004267</v>
      </c>
      <c r="AH9227" s="2" t="str">
        <f ca="1"/>
        <v>OK</v>
      </c>
    </row>
    <row r="9228" spans="2:34" x14ac:dyDescent="0.2">
      <c r="B9228" s="2">
        <f ca="1"/>
        <v>0.1000432374174145</v>
      </c>
      <c r="O9228" s="2">
        <f ca="1"/>
        <v>1.0094780886481747</v>
      </c>
      <c r="X9228" s="2">
        <f ca="1"/>
        <v>41.882570404630542</v>
      </c>
      <c r="AG9228" s="2">
        <f ca="1"/>
        <v>4.2022644261189068E-2</v>
      </c>
      <c r="AH9228" s="2" t="str">
        <f ca="1"/>
        <v>Good</v>
      </c>
    </row>
    <row r="9229" spans="2:34" x14ac:dyDescent="0.2">
      <c r="B9229" s="2">
        <f ca="1"/>
        <v>0.52204784792186731</v>
      </c>
      <c r="O9229" s="2">
        <f ca="1"/>
        <v>0.80751310402150467</v>
      </c>
      <c r="X9229" s="2">
        <f ca="1"/>
        <v>53.58245102574827</v>
      </c>
      <c r="AG9229" s="2">
        <f ca="1"/>
        <v>0.50783911991024988</v>
      </c>
      <c r="AH9229" s="2" t="str">
        <f ca="1"/>
        <v>Bad</v>
      </c>
    </row>
    <row r="9230" spans="2:34" x14ac:dyDescent="0.2">
      <c r="B9230" s="2">
        <f ca="1"/>
        <v>0.31294941443389068</v>
      </c>
      <c r="O9230" s="2">
        <f ca="1"/>
        <v>-0.38226946258643446</v>
      </c>
      <c r="X9230" s="2">
        <f ca="1"/>
        <v>48.289231574617666</v>
      </c>
      <c r="AG9230" s="2">
        <f ca="1"/>
        <v>0.325932523767551</v>
      </c>
      <c r="AH9230" s="2" t="str">
        <f ca="1"/>
        <v>OK</v>
      </c>
    </row>
    <row r="9231" spans="2:34" x14ac:dyDescent="0.2">
      <c r="B9231" s="2">
        <f ca="1"/>
        <v>0.82710627229511613</v>
      </c>
      <c r="O9231" s="2">
        <f ca="1"/>
        <v>-1.9874285126362239E-2</v>
      </c>
      <c r="X9231" s="2">
        <f ca="1"/>
        <v>35.703346424292363</v>
      </c>
      <c r="AG9231" s="2">
        <f ca="1"/>
        <v>0.29042748968872467</v>
      </c>
      <c r="AH9231" s="2" t="str">
        <f ca="1"/>
        <v>OK</v>
      </c>
    </row>
    <row r="9232" spans="2:34" x14ac:dyDescent="0.2">
      <c r="B9232" s="2">
        <f ca="1"/>
        <v>0.17401287216095551</v>
      </c>
      <c r="O9232" s="2">
        <f ca="1"/>
        <v>0.97930899093125867</v>
      </c>
      <c r="X9232" s="2">
        <f ca="1"/>
        <v>48.344341359456692</v>
      </c>
      <c r="AG9232" s="2">
        <f ca="1"/>
        <v>0.20109453942882327</v>
      </c>
      <c r="AH9232" s="2" t="str">
        <f ca="1"/>
        <v>OK</v>
      </c>
    </row>
    <row r="9233" spans="2:34" x14ac:dyDescent="0.2">
      <c r="B9233" s="2">
        <f ca="1"/>
        <v>0.64902453631693624</v>
      </c>
      <c r="O9233" s="2">
        <f ca="1"/>
        <v>-0.30302312218742794</v>
      </c>
      <c r="X9233" s="2">
        <f ca="1"/>
        <v>48.304369218277792</v>
      </c>
      <c r="AG9233" s="2">
        <f ca="1"/>
        <v>0.19566602113372866</v>
      </c>
      <c r="AH9233" s="2" t="str">
        <f ca="1"/>
        <v>OK</v>
      </c>
    </row>
    <row r="9234" spans="2:34" x14ac:dyDescent="0.2">
      <c r="B9234" s="2">
        <f ca="1"/>
        <v>0.62773305553782555</v>
      </c>
      <c r="O9234" s="2">
        <f ca="1"/>
        <v>0.4647466665453272</v>
      </c>
      <c r="X9234" s="2">
        <f ca="1"/>
        <v>72.338261404239972</v>
      </c>
      <c r="AG9234" s="2">
        <f ca="1"/>
        <v>0.73231023663095485</v>
      </c>
      <c r="AH9234" s="2" t="str">
        <f ca="1"/>
        <v>Bad</v>
      </c>
    </row>
    <row r="9235" spans="2:34" x14ac:dyDescent="0.2">
      <c r="B9235" s="2">
        <f ca="1"/>
        <v>0.29713539694308011</v>
      </c>
      <c r="O9235" s="2">
        <f ca="1"/>
        <v>-1.152977344988686</v>
      </c>
      <c r="X9235" s="2">
        <f ca="1"/>
        <v>61.281504246039134</v>
      </c>
      <c r="AG9235" s="2">
        <f ca="1"/>
        <v>0.6886166359896857</v>
      </c>
      <c r="AH9235" s="2" t="str">
        <f ca="1"/>
        <v>Bad</v>
      </c>
    </row>
    <row r="9236" spans="2:34" x14ac:dyDescent="0.2">
      <c r="B9236" s="2">
        <f ca="1"/>
        <v>0.39780883132767952</v>
      </c>
      <c r="O9236" s="2">
        <f ca="1"/>
        <v>-1.8853386232512104</v>
      </c>
      <c r="X9236" s="2">
        <f ca="1"/>
        <v>37.009437308086802</v>
      </c>
      <c r="AG9236" s="2">
        <f ca="1"/>
        <v>6.8911943982952195E-2</v>
      </c>
      <c r="AH9236" s="2" t="str">
        <f ca="1"/>
        <v>OK</v>
      </c>
    </row>
    <row r="9237" spans="2:34" x14ac:dyDescent="0.2">
      <c r="B9237" s="2">
        <f ca="1"/>
        <v>4.3087088107593319E-2</v>
      </c>
      <c r="O9237" s="2">
        <f ca="1"/>
        <v>-0.56168751085695123</v>
      </c>
      <c r="X9237" s="2">
        <f ca="1"/>
        <v>42.441591182655429</v>
      </c>
      <c r="AG9237" s="2">
        <f ca="1"/>
        <v>0.71182119978560432</v>
      </c>
      <c r="AH9237" s="2" t="str">
        <f ca="1"/>
        <v>Bad</v>
      </c>
    </row>
    <row r="9238" spans="2:34" x14ac:dyDescent="0.2">
      <c r="B9238" s="2">
        <f ca="1"/>
        <v>0.18301975986426866</v>
      </c>
      <c r="O9238" s="2">
        <f ca="1"/>
        <v>-0.40441061713685994</v>
      </c>
      <c r="X9238" s="2">
        <f ca="1"/>
        <v>33.598082480978682</v>
      </c>
      <c r="AG9238" s="2">
        <f ca="1"/>
        <v>0.67794574440805278</v>
      </c>
      <c r="AH9238" s="2" t="str">
        <f ca="1"/>
        <v>Bad</v>
      </c>
    </row>
    <row r="9239" spans="2:34" x14ac:dyDescent="0.2">
      <c r="B9239" s="2">
        <f ca="1"/>
        <v>0.85449346496674505</v>
      </c>
      <c r="O9239" s="2">
        <f ca="1"/>
        <v>-0.83120187221169972</v>
      </c>
      <c r="X9239" s="2">
        <f ca="1"/>
        <v>19.900426619457054</v>
      </c>
      <c r="AG9239" s="2">
        <f ca="1"/>
        <v>0.72053079063286019</v>
      </c>
      <c r="AH9239" s="2" t="str">
        <f ca="1"/>
        <v>Bad</v>
      </c>
    </row>
    <row r="9240" spans="2:34" x14ac:dyDescent="0.2">
      <c r="B9240" s="2">
        <f ca="1"/>
        <v>0.10602257127530734</v>
      </c>
      <c r="O9240" s="2">
        <f ca="1"/>
        <v>-1.3864533977804803</v>
      </c>
      <c r="X9240" s="2">
        <f ca="1"/>
        <v>65.136813044115783</v>
      </c>
      <c r="AG9240" s="2">
        <f ca="1"/>
        <v>0.22061974319667121</v>
      </c>
      <c r="AH9240" s="2" t="str">
        <f ca="1"/>
        <v>OK</v>
      </c>
    </row>
    <row r="9241" spans="2:34" x14ac:dyDescent="0.2">
      <c r="B9241" s="2">
        <f ca="1"/>
        <v>0.23423861938963131</v>
      </c>
      <c r="O9241" s="2">
        <f ca="1"/>
        <v>-0.24978726541532992</v>
      </c>
      <c r="X9241" s="2">
        <f ca="1"/>
        <v>41.000775668026563</v>
      </c>
      <c r="AG9241" s="2">
        <f ca="1"/>
        <v>0.52324740236616951</v>
      </c>
      <c r="AH9241" s="2" t="str">
        <f ca="1"/>
        <v>Bad</v>
      </c>
    </row>
    <row r="9242" spans="2:34" x14ac:dyDescent="0.2">
      <c r="B9242" s="2">
        <f ca="1"/>
        <v>0.41428493441477765</v>
      </c>
      <c r="O9242" s="2">
        <f ca="1"/>
        <v>-1.5713693306085066</v>
      </c>
      <c r="X9242" s="2">
        <f ca="1"/>
        <v>43.723547458968312</v>
      </c>
      <c r="AG9242" s="2">
        <f ca="1"/>
        <v>0.29683987938210765</v>
      </c>
      <c r="AH9242" s="2" t="str">
        <f ca="1"/>
        <v>OK</v>
      </c>
    </row>
    <row r="9243" spans="2:34" x14ac:dyDescent="0.2">
      <c r="B9243" s="2">
        <f ca="1"/>
        <v>0.63047807286793334</v>
      </c>
      <c r="O9243" s="2">
        <f ca="1"/>
        <v>-9.8869953358158305E-2</v>
      </c>
      <c r="X9243" s="2">
        <f ca="1"/>
        <v>31.260986864050079</v>
      </c>
      <c r="AG9243" s="2">
        <f ca="1"/>
        <v>0.74686785448751514</v>
      </c>
      <c r="AH9243" s="2" t="str">
        <f ca="1"/>
        <v>Bad</v>
      </c>
    </row>
    <row r="9244" spans="2:34" x14ac:dyDescent="0.2">
      <c r="B9244" s="2">
        <f ca="1"/>
        <v>0.3872043093381845</v>
      </c>
      <c r="O9244" s="2">
        <f ca="1"/>
        <v>-1.1335490278755229</v>
      </c>
      <c r="X9244" s="2">
        <f ca="1"/>
        <v>36.228047820009195</v>
      </c>
      <c r="AG9244" s="2">
        <f ca="1"/>
        <v>5.294301265929402E-2</v>
      </c>
      <c r="AH9244" s="2" t="str">
        <f ca="1"/>
        <v>OK</v>
      </c>
    </row>
    <row r="9245" spans="2:34" x14ac:dyDescent="0.2">
      <c r="B9245" s="2">
        <f ca="1"/>
        <v>0.92697005265037347</v>
      </c>
      <c r="O9245" s="2">
        <f ca="1"/>
        <v>-0.50471814913032809</v>
      </c>
      <c r="X9245" s="2">
        <f ca="1"/>
        <v>55.610341038840815</v>
      </c>
      <c r="AG9245" s="2">
        <f ca="1"/>
        <v>0.5693972971613992</v>
      </c>
      <c r="AH9245" s="2" t="str">
        <f ca="1"/>
        <v>Bad</v>
      </c>
    </row>
    <row r="9246" spans="2:34" x14ac:dyDescent="0.2">
      <c r="B9246" s="2">
        <f ca="1"/>
        <v>0.45597864514192299</v>
      </c>
      <c r="O9246" s="2">
        <f ca="1"/>
        <v>0.79261636850141293</v>
      </c>
      <c r="X9246" s="2">
        <f ca="1"/>
        <v>50.225383296125408</v>
      </c>
      <c r="AG9246" s="2">
        <f ca="1"/>
        <v>0.30643694875733329</v>
      </c>
      <c r="AH9246" s="2" t="str">
        <f ca="1"/>
        <v>OK</v>
      </c>
    </row>
    <row r="9247" spans="2:34" x14ac:dyDescent="0.2">
      <c r="B9247" s="2">
        <f ca="1"/>
        <v>0.95605723913091634</v>
      </c>
      <c r="O9247" s="2">
        <f ca="1"/>
        <v>0.47827479371578735</v>
      </c>
      <c r="X9247" s="2">
        <f ca="1"/>
        <v>73.696659930448405</v>
      </c>
      <c r="AG9247" s="2">
        <f ca="1"/>
        <v>0.20562178941141784</v>
      </c>
      <c r="AH9247" s="2" t="str">
        <f ca="1"/>
        <v>OK</v>
      </c>
    </row>
    <row r="9248" spans="2:34" x14ac:dyDescent="0.2">
      <c r="B9248" s="2">
        <f ca="1"/>
        <v>0.38636669177721794</v>
      </c>
      <c r="O9248" s="2">
        <f ca="1"/>
        <v>0.54002739391744525</v>
      </c>
      <c r="X9248" s="2">
        <f ca="1"/>
        <v>50.020814970380272</v>
      </c>
      <c r="AG9248" s="2">
        <f ca="1"/>
        <v>0.33783646331394612</v>
      </c>
      <c r="AH9248" s="2" t="str">
        <f ca="1"/>
        <v>OK</v>
      </c>
    </row>
    <row r="9249" spans="2:34" x14ac:dyDescent="0.2">
      <c r="B9249" s="2">
        <f ca="1"/>
        <v>0.59809323440553031</v>
      </c>
      <c r="O9249" s="2">
        <f ca="1"/>
        <v>-0.43774816767552394</v>
      </c>
      <c r="X9249" s="2">
        <f ca="1"/>
        <v>46.945971020848738</v>
      </c>
      <c r="AG9249" s="2">
        <f ca="1"/>
        <v>0.63946933773377523</v>
      </c>
      <c r="AH9249" s="2" t="str">
        <f ca="1"/>
        <v>Bad</v>
      </c>
    </row>
    <row r="9250" spans="2:34" x14ac:dyDescent="0.2">
      <c r="B9250" s="2">
        <f ca="1"/>
        <v>0.43686168724877272</v>
      </c>
      <c r="O9250" s="2">
        <f ca="1"/>
        <v>6.3315303022131023E-2</v>
      </c>
      <c r="X9250" s="2">
        <f ca="1"/>
        <v>49.558674442435503</v>
      </c>
      <c r="AG9250" s="2">
        <f ca="1"/>
        <v>0.24543777851883242</v>
      </c>
      <c r="AH9250" s="2" t="str">
        <f ca="1"/>
        <v>OK</v>
      </c>
    </row>
    <row r="9251" spans="2:34" x14ac:dyDescent="0.2">
      <c r="B9251" s="2">
        <f ca="1"/>
        <v>0.70928328714092848</v>
      </c>
      <c r="O9251" s="2">
        <f ca="1"/>
        <v>0.3705046385790905</v>
      </c>
      <c r="X9251" s="2">
        <f ca="1"/>
        <v>54.091844195238039</v>
      </c>
      <c r="AG9251" s="2">
        <f ca="1"/>
        <v>0.34805239340873095</v>
      </c>
      <c r="AH9251" s="2" t="str">
        <f ca="1"/>
        <v>OK</v>
      </c>
    </row>
    <row r="9252" spans="2:34" x14ac:dyDescent="0.2">
      <c r="B9252" s="2">
        <f ca="1"/>
        <v>0.27721766707542805</v>
      </c>
      <c r="O9252" s="2">
        <f ca="1"/>
        <v>-0.32309092711689474</v>
      </c>
      <c r="X9252" s="2">
        <f ca="1"/>
        <v>57.981166197966552</v>
      </c>
      <c r="AG9252" s="2">
        <f ca="1"/>
        <v>0.45729119476848146</v>
      </c>
      <c r="AH9252" s="2" t="str">
        <f ca="1"/>
        <v>Bad</v>
      </c>
    </row>
    <row r="9253" spans="2:34" x14ac:dyDescent="0.2">
      <c r="B9253" s="2">
        <f ca="1"/>
        <v>0.64516698101875436</v>
      </c>
      <c r="O9253" s="2">
        <f ca="1"/>
        <v>0.75272600670836098</v>
      </c>
      <c r="X9253" s="2">
        <f ca="1"/>
        <v>37.868953060785302</v>
      </c>
      <c r="AG9253" s="2">
        <f ca="1"/>
        <v>0.44170933567683379</v>
      </c>
      <c r="AH9253" s="2" t="str">
        <f ca="1"/>
        <v>Bad</v>
      </c>
    </row>
    <row r="9254" spans="2:34" x14ac:dyDescent="0.2">
      <c r="B9254" s="2">
        <f ca="1"/>
        <v>0.38235644615419506</v>
      </c>
      <c r="O9254" s="2">
        <f ca="1"/>
        <v>-0.68581071142253791</v>
      </c>
      <c r="X9254" s="2">
        <f ca="1"/>
        <v>74.929137078796614</v>
      </c>
      <c r="AG9254" s="2">
        <f ca="1"/>
        <v>0.64437598524897632</v>
      </c>
      <c r="AH9254" s="2" t="str">
        <f ca="1"/>
        <v>Bad</v>
      </c>
    </row>
    <row r="9255" spans="2:34" x14ac:dyDescent="0.2">
      <c r="B9255" s="2">
        <f ca="1"/>
        <v>0.19532026428406213</v>
      </c>
      <c r="O9255" s="2">
        <f ca="1"/>
        <v>-1.0082282275030614E-2</v>
      </c>
      <c r="X9255" s="2">
        <f ca="1"/>
        <v>66.628070353537424</v>
      </c>
      <c r="AG9255" s="2">
        <f ca="1"/>
        <v>0.58669976906274779</v>
      </c>
      <c r="AH9255" s="2" t="str">
        <f ca="1"/>
        <v>Bad</v>
      </c>
    </row>
    <row r="9256" spans="2:34" x14ac:dyDescent="0.2">
      <c r="B9256" s="2">
        <f ca="1"/>
        <v>0.37281192676726049</v>
      </c>
      <c r="O9256" s="2">
        <f ca="1"/>
        <v>0.80967309323560277</v>
      </c>
      <c r="X9256" s="2">
        <f ca="1"/>
        <v>42.897196805895405</v>
      </c>
      <c r="AG9256" s="2">
        <f ca="1"/>
        <v>0.21230671465632933</v>
      </c>
      <c r="AH9256" s="2" t="str">
        <f ca="1"/>
        <v>OK</v>
      </c>
    </row>
    <row r="9257" spans="2:34" x14ac:dyDescent="0.2">
      <c r="B9257" s="2">
        <f ca="1"/>
        <v>0.3155268282570074</v>
      </c>
      <c r="O9257" s="2">
        <f ca="1"/>
        <v>2.521143839215757E-2</v>
      </c>
      <c r="X9257" s="2">
        <f ca="1"/>
        <v>79.476226581667959</v>
      </c>
      <c r="AG9257" s="2">
        <f ca="1"/>
        <v>0.95996375667312073</v>
      </c>
      <c r="AH9257" s="2" t="str">
        <f ca="1"/>
        <v>Bad</v>
      </c>
    </row>
    <row r="9258" spans="2:34" x14ac:dyDescent="0.2">
      <c r="B9258" s="2">
        <f ca="1"/>
        <v>0.20149972885985412</v>
      </c>
      <c r="O9258" s="2">
        <f ca="1"/>
        <v>-1.2855375961214499</v>
      </c>
      <c r="X9258" s="2">
        <f ca="1"/>
        <v>38.479703071732736</v>
      </c>
      <c r="AG9258" s="2">
        <f ca="1"/>
        <v>0.46441871185746586</v>
      </c>
      <c r="AH9258" s="2" t="str">
        <f ca="1"/>
        <v>Bad</v>
      </c>
    </row>
    <row r="9259" spans="2:34" x14ac:dyDescent="0.2">
      <c r="B9259" s="2">
        <f ca="1"/>
        <v>0.58240733502255315</v>
      </c>
      <c r="O9259" s="2">
        <f ca="1"/>
        <v>-1.3350388548304568</v>
      </c>
      <c r="X9259" s="2">
        <f ca="1"/>
        <v>42.136270698883095</v>
      </c>
      <c r="AG9259" s="2">
        <f ca="1"/>
        <v>0.91852643944878531</v>
      </c>
      <c r="AH9259" s="2" t="str">
        <f ca="1"/>
        <v>Bad</v>
      </c>
    </row>
    <row r="9260" spans="2:34" x14ac:dyDescent="0.2">
      <c r="B9260" s="2">
        <f ca="1"/>
        <v>0.90265114862521911</v>
      </c>
      <c r="O9260" s="2">
        <f ca="1"/>
        <v>-0.47887081047304192</v>
      </c>
      <c r="X9260" s="2">
        <f ca="1"/>
        <v>49.669449059742512</v>
      </c>
      <c r="AG9260" s="2">
        <f ca="1"/>
        <v>0.74394352326584023</v>
      </c>
      <c r="AH9260" s="2" t="str">
        <f ca="1"/>
        <v>Bad</v>
      </c>
    </row>
    <row r="9261" spans="2:34" x14ac:dyDescent="0.2">
      <c r="B9261" s="2">
        <f ca="1"/>
        <v>0.46818398934228411</v>
      </c>
      <c r="O9261" s="2">
        <f ca="1"/>
        <v>1.583661860753879</v>
      </c>
      <c r="X9261" s="2">
        <f ca="1"/>
        <v>42.115405508431678</v>
      </c>
      <c r="AG9261" s="2">
        <f ca="1"/>
        <v>7.3787179445788276E-2</v>
      </c>
      <c r="AH9261" s="2" t="str">
        <f ca="1"/>
        <v>OK</v>
      </c>
    </row>
    <row r="9262" spans="2:34" x14ac:dyDescent="0.2">
      <c r="B9262" s="2">
        <f ca="1"/>
        <v>4.2329863635719667E-2</v>
      </c>
      <c r="O9262" s="2">
        <f ca="1"/>
        <v>0.13775390709732097</v>
      </c>
      <c r="X9262" s="2">
        <f ca="1"/>
        <v>62.215695651509904</v>
      </c>
      <c r="AG9262" s="2">
        <f ca="1"/>
        <v>0.30914190986692569</v>
      </c>
      <c r="AH9262" s="2" t="str">
        <f ca="1"/>
        <v>OK</v>
      </c>
    </row>
    <row r="9263" spans="2:34" x14ac:dyDescent="0.2">
      <c r="B9263" s="2">
        <f ca="1"/>
        <v>0.77897881104409206</v>
      </c>
      <c r="O9263" s="2">
        <f ca="1"/>
        <v>-1.397484813005535E-2</v>
      </c>
      <c r="X9263" s="2">
        <f ca="1"/>
        <v>42.634243222959569</v>
      </c>
      <c r="AG9263" s="2">
        <f ca="1"/>
        <v>0.30255735043592669</v>
      </c>
      <c r="AH9263" s="2" t="str">
        <f ca="1"/>
        <v>OK</v>
      </c>
    </row>
    <row r="9264" spans="2:34" x14ac:dyDescent="0.2">
      <c r="B9264" s="2">
        <f ca="1"/>
        <v>0.7567622730945216</v>
      </c>
      <c r="O9264" s="2">
        <f ca="1"/>
        <v>0.11240668125895717</v>
      </c>
      <c r="X9264" s="2">
        <f ca="1"/>
        <v>45.83193212524634</v>
      </c>
      <c r="AG9264" s="2">
        <f ca="1"/>
        <v>0.51383378615496467</v>
      </c>
      <c r="AH9264" s="2" t="str">
        <f ca="1"/>
        <v>Bad</v>
      </c>
    </row>
    <row r="9265" spans="2:34" x14ac:dyDescent="0.2">
      <c r="B9265" s="2">
        <f ca="1"/>
        <v>0.79481870800994758</v>
      </c>
      <c r="O9265" s="2">
        <f ca="1"/>
        <v>-0.27535796691926034</v>
      </c>
      <c r="X9265" s="2">
        <f ca="1"/>
        <v>52.111193883250934</v>
      </c>
      <c r="AG9265" s="2">
        <f ca="1"/>
        <v>0.22053259189211727</v>
      </c>
      <c r="AH9265" s="2" t="str">
        <f ca="1"/>
        <v>OK</v>
      </c>
    </row>
    <row r="9266" spans="2:34" x14ac:dyDescent="0.2">
      <c r="B9266" s="2">
        <f ca="1"/>
        <v>0.78136156634575094</v>
      </c>
      <c r="O9266" s="2">
        <f ca="1"/>
        <v>-0.30846075466659312</v>
      </c>
      <c r="X9266" s="2">
        <f ca="1"/>
        <v>17.678132542516575</v>
      </c>
      <c r="AG9266" s="2">
        <f ca="1"/>
        <v>0.74161321331536056</v>
      </c>
      <c r="AH9266" s="2" t="str">
        <f ca="1"/>
        <v>Bad</v>
      </c>
    </row>
    <row r="9267" spans="2:34" x14ac:dyDescent="0.2">
      <c r="B9267" s="2">
        <f ca="1"/>
        <v>0.32396255369267779</v>
      </c>
      <c r="O9267" s="2">
        <f ca="1"/>
        <v>-0.93607865575078975</v>
      </c>
      <c r="X9267" s="2">
        <f ca="1"/>
        <v>46.485955096932521</v>
      </c>
      <c r="AG9267" s="2">
        <f ca="1"/>
        <v>0.66368123228392895</v>
      </c>
      <c r="AH9267" s="2" t="str">
        <f ca="1"/>
        <v>Bad</v>
      </c>
    </row>
    <row r="9268" spans="2:34" x14ac:dyDescent="0.2">
      <c r="B9268" s="2">
        <f ca="1"/>
        <v>0.25659513806070255</v>
      </c>
      <c r="O9268" s="2">
        <f ca="1"/>
        <v>-0.66730957197550311</v>
      </c>
      <c r="X9268" s="2">
        <f ca="1"/>
        <v>53.269707749888767</v>
      </c>
      <c r="AG9268" s="2">
        <f ca="1"/>
        <v>0.80119870941017091</v>
      </c>
      <c r="AH9268" s="2" t="str">
        <f ca="1"/>
        <v>Bad</v>
      </c>
    </row>
    <row r="9269" spans="2:34" x14ac:dyDescent="0.2">
      <c r="B9269" s="2">
        <f ca="1"/>
        <v>0.25990224733082501</v>
      </c>
      <c r="O9269" s="2">
        <f ca="1"/>
        <v>-0.63761668882139455</v>
      </c>
      <c r="X9269" s="2">
        <f ca="1"/>
        <v>32.121226987880142</v>
      </c>
      <c r="AG9269" s="2">
        <f ca="1"/>
        <v>0.37586681513134645</v>
      </c>
      <c r="AH9269" s="2" t="str">
        <f ca="1"/>
        <v>OK</v>
      </c>
    </row>
    <row r="9270" spans="2:34" x14ac:dyDescent="0.2">
      <c r="B9270" s="2">
        <f ca="1"/>
        <v>0.6886843840234802</v>
      </c>
      <c r="O9270" s="2">
        <f ca="1"/>
        <v>-0.89989592182786449</v>
      </c>
      <c r="X9270" s="2">
        <f ca="1"/>
        <v>56.475203347723507</v>
      </c>
      <c r="AG9270" s="2">
        <f ca="1"/>
        <v>0.70632167697352388</v>
      </c>
      <c r="AH9270" s="2" t="str">
        <f ca="1"/>
        <v>Bad</v>
      </c>
    </row>
    <row r="9271" spans="2:34" x14ac:dyDescent="0.2">
      <c r="B9271" s="2">
        <f ca="1"/>
        <v>0.15447172069271198</v>
      </c>
      <c r="O9271" s="2">
        <f ca="1"/>
        <v>-1.2159438056309593</v>
      </c>
      <c r="X9271" s="2">
        <f ca="1"/>
        <v>62.833116465697699</v>
      </c>
      <c r="AG9271" s="2">
        <f ca="1"/>
        <v>0.22623910960802607</v>
      </c>
      <c r="AH9271" s="2" t="str">
        <f ca="1"/>
        <v>OK</v>
      </c>
    </row>
    <row r="9272" spans="2:34" x14ac:dyDescent="0.2">
      <c r="B9272" s="2">
        <f ca="1"/>
        <v>0.24336133206086341</v>
      </c>
      <c r="O9272" s="2">
        <f ca="1"/>
        <v>-0.5077476517447792</v>
      </c>
      <c r="X9272" s="2">
        <f ca="1"/>
        <v>41.824816173287971</v>
      </c>
      <c r="AG9272" s="2">
        <f ca="1"/>
        <v>0.29518153563854499</v>
      </c>
      <c r="AH9272" s="2" t="str">
        <f ca="1"/>
        <v>OK</v>
      </c>
    </row>
    <row r="9273" spans="2:34" x14ac:dyDescent="0.2">
      <c r="B9273" s="2">
        <f ca="1"/>
        <v>0.75423328003650303</v>
      </c>
      <c r="O9273" s="2">
        <f ca="1"/>
        <v>0.62086713766787394</v>
      </c>
      <c r="X9273" s="2">
        <f ca="1"/>
        <v>27.66614208697121</v>
      </c>
      <c r="AG9273" s="2">
        <f ca="1"/>
        <v>0.39929759249432206</v>
      </c>
      <c r="AH9273" s="2" t="str">
        <f ca="1"/>
        <v>OK</v>
      </c>
    </row>
    <row r="9274" spans="2:34" x14ac:dyDescent="0.2">
      <c r="B9274" s="2">
        <f ca="1"/>
        <v>1.5716796453808524E-2</v>
      </c>
      <c r="O9274" s="2">
        <f ca="1"/>
        <v>-0.51754289871426484</v>
      </c>
      <c r="X9274" s="2">
        <f ca="1"/>
        <v>42.565451771890849</v>
      </c>
      <c r="AG9274" s="2">
        <f ca="1"/>
        <v>0.44757229174653479</v>
      </c>
      <c r="AH9274" s="2" t="str">
        <f ca="1"/>
        <v>Bad</v>
      </c>
    </row>
    <row r="9275" spans="2:34" x14ac:dyDescent="0.2">
      <c r="B9275" s="2">
        <f ca="1"/>
        <v>0.17402047374227614</v>
      </c>
      <c r="O9275" s="2">
        <f ca="1"/>
        <v>0.47044462952983229</v>
      </c>
      <c r="X9275" s="2">
        <f ca="1"/>
        <v>39.257415660165371</v>
      </c>
      <c r="AG9275" s="2">
        <f ca="1"/>
        <v>0.50390364925918441</v>
      </c>
      <c r="AH9275" s="2" t="str">
        <f ca="1"/>
        <v>Bad</v>
      </c>
    </row>
    <row r="9276" spans="2:34" x14ac:dyDescent="0.2">
      <c r="B9276" s="2">
        <f ca="1"/>
        <v>0.35342594961405971</v>
      </c>
      <c r="O9276" s="2">
        <f ca="1"/>
        <v>1.5900807660764409</v>
      </c>
      <c r="X9276" s="2">
        <f ca="1"/>
        <v>70.729072842751876</v>
      </c>
      <c r="AG9276" s="2">
        <f ca="1"/>
        <v>0.88057554523774551</v>
      </c>
      <c r="AH9276" s="2" t="str">
        <f ca="1"/>
        <v>Bad</v>
      </c>
    </row>
    <row r="9277" spans="2:34" x14ac:dyDescent="0.2">
      <c r="B9277" s="2">
        <f ca="1"/>
        <v>0.52200471857529251</v>
      </c>
      <c r="O9277" s="2">
        <f ca="1"/>
        <v>-1.5829629540478978</v>
      </c>
      <c r="X9277" s="2">
        <f ca="1"/>
        <v>48.072601527901249</v>
      </c>
      <c r="AG9277" s="2">
        <f ca="1"/>
        <v>0.46610532632334478</v>
      </c>
      <c r="AH9277" s="2" t="str">
        <f ca="1"/>
        <v>Bad</v>
      </c>
    </row>
    <row r="9278" spans="2:34" x14ac:dyDescent="0.2">
      <c r="B9278" s="2">
        <f ca="1"/>
        <v>0.10921378136308335</v>
      </c>
      <c r="O9278" s="2">
        <f ca="1"/>
        <v>-0.34042589041856564</v>
      </c>
      <c r="X9278" s="2">
        <f ca="1"/>
        <v>41.534333460652761</v>
      </c>
      <c r="AG9278" s="2">
        <f ca="1"/>
        <v>0.35599528401228553</v>
      </c>
      <c r="AH9278" s="2" t="str">
        <f ca="1"/>
        <v>OK</v>
      </c>
    </row>
    <row r="9279" spans="2:34" x14ac:dyDescent="0.2">
      <c r="B9279" s="2">
        <f ca="1"/>
        <v>0.67982132987270805</v>
      </c>
      <c r="O9279" s="2">
        <f ca="1"/>
        <v>0.54514640716853235</v>
      </c>
      <c r="X9279" s="2">
        <f ca="1"/>
        <v>26.16863468664571</v>
      </c>
      <c r="AG9279" s="2">
        <f ca="1"/>
        <v>0.83775906073845063</v>
      </c>
      <c r="AH9279" s="2" t="str">
        <f ca="1"/>
        <v>Bad</v>
      </c>
    </row>
    <row r="9280" spans="2:34" x14ac:dyDescent="0.2">
      <c r="B9280" s="2">
        <f ca="1"/>
        <v>0.8596595077120468</v>
      </c>
      <c r="O9280" s="2">
        <f ca="1"/>
        <v>-1.0578918446802468</v>
      </c>
      <c r="X9280" s="2">
        <f ca="1"/>
        <v>42.677251686744071</v>
      </c>
      <c r="AG9280" s="2">
        <f ca="1"/>
        <v>0.33573794944758495</v>
      </c>
      <c r="AH9280" s="2" t="str">
        <f ca="1"/>
        <v>OK</v>
      </c>
    </row>
    <row r="9281" spans="2:34" x14ac:dyDescent="0.2">
      <c r="B9281" s="2">
        <f ca="1"/>
        <v>0.49706102785916384</v>
      </c>
      <c r="O9281" s="2">
        <f ca="1"/>
        <v>0.97457468861263774</v>
      </c>
      <c r="X9281" s="2">
        <f ca="1"/>
        <v>52.639812070940017</v>
      </c>
      <c r="AG9281" s="2">
        <f ca="1"/>
        <v>0.83959061754505648</v>
      </c>
      <c r="AH9281" s="2" t="str">
        <f ca="1"/>
        <v>Bad</v>
      </c>
    </row>
    <row r="9282" spans="2:34" x14ac:dyDescent="0.2">
      <c r="B9282" s="2">
        <f ca="1"/>
        <v>0.54299707074486658</v>
      </c>
      <c r="O9282" s="2">
        <f ca="1"/>
        <v>-1.068568123549843</v>
      </c>
      <c r="X9282" s="2">
        <f ca="1"/>
        <v>63.627974543211664</v>
      </c>
      <c r="AG9282" s="2">
        <f ca="1"/>
        <v>0.42167194136347419</v>
      </c>
      <c r="AH9282" s="2" t="str">
        <f ca="1"/>
        <v>Bad</v>
      </c>
    </row>
    <row r="9283" spans="2:34" x14ac:dyDescent="0.2">
      <c r="B9283" s="2">
        <f ca="1"/>
        <v>0.42206588167747761</v>
      </c>
      <c r="O9283" s="2">
        <f ca="1"/>
        <v>2.1478566186997816</v>
      </c>
      <c r="X9283" s="2">
        <f ca="1"/>
        <v>68.88444168193368</v>
      </c>
      <c r="AG9283" s="2">
        <f ca="1"/>
        <v>0.98309997089756429</v>
      </c>
      <c r="AH9283" s="2" t="str">
        <f ca="1"/>
        <v>Bad</v>
      </c>
    </row>
    <row r="9284" spans="2:34" x14ac:dyDescent="0.2">
      <c r="B9284" s="2">
        <f ca="1"/>
        <v>0.1472544402691951</v>
      </c>
      <c r="O9284" s="2">
        <f ca="1"/>
        <v>0.59719005379452839</v>
      </c>
      <c r="X9284" s="2">
        <f ca="1"/>
        <v>61.826437879269761</v>
      </c>
      <c r="AG9284" s="2">
        <f ca="1"/>
        <v>1.7831294124051489E-2</v>
      </c>
      <c r="AH9284" s="2" t="str">
        <f ca="1"/>
        <v>Good</v>
      </c>
    </row>
    <row r="9285" spans="2:34" x14ac:dyDescent="0.2">
      <c r="B9285" s="2">
        <f ca="1"/>
        <v>0.55087019474896959</v>
      </c>
      <c r="O9285" s="2">
        <f ca="1"/>
        <v>-0.55051206160165722</v>
      </c>
      <c r="X9285" s="2">
        <f ca="1"/>
        <v>47.596377002700393</v>
      </c>
      <c r="AG9285" s="2">
        <f ca="1"/>
        <v>0.35890542675577342</v>
      </c>
      <c r="AH9285" s="2" t="str">
        <f ca="1"/>
        <v>OK</v>
      </c>
    </row>
    <row r="9286" spans="2:34" x14ac:dyDescent="0.2">
      <c r="B9286" s="2">
        <f ca="1"/>
        <v>0.80350501826950849</v>
      </c>
      <c r="O9286" s="2">
        <f ca="1"/>
        <v>0.47555517455805568</v>
      </c>
      <c r="X9286" s="2">
        <f ca="1"/>
        <v>34.853013133052599</v>
      </c>
      <c r="AG9286" s="2">
        <f ca="1"/>
        <v>0.34058157058098071</v>
      </c>
      <c r="AH9286" s="2" t="str">
        <f ca="1"/>
        <v>OK</v>
      </c>
    </row>
    <row r="9287" spans="2:34" x14ac:dyDescent="0.2">
      <c r="B9287" s="2">
        <f ca="1"/>
        <v>0.73988862018841561</v>
      </c>
      <c r="O9287" s="2">
        <f ca="1"/>
        <v>-0.30623153528241609</v>
      </c>
      <c r="X9287" s="2">
        <f ca="1"/>
        <v>70.950178138889186</v>
      </c>
      <c r="AG9287" s="2">
        <f ca="1"/>
        <v>0.211575469882477</v>
      </c>
      <c r="AH9287" s="2" t="str">
        <f ca="1"/>
        <v>OK</v>
      </c>
    </row>
    <row r="9288" spans="2:34" x14ac:dyDescent="0.2">
      <c r="B9288" s="2">
        <f ca="1"/>
        <v>0.64875837206080922</v>
      </c>
      <c r="O9288" s="2">
        <f ca="1"/>
        <v>0.48568665831612656</v>
      </c>
      <c r="X9288" s="2">
        <f ca="1"/>
        <v>52.283210696622724</v>
      </c>
      <c r="AG9288" s="2">
        <f ca="1"/>
        <v>0.10375399100944716</v>
      </c>
      <c r="AH9288" s="2" t="str">
        <f ca="1"/>
        <v>OK</v>
      </c>
    </row>
    <row r="9289" spans="2:34" x14ac:dyDescent="0.2">
      <c r="B9289" s="2">
        <f ca="1"/>
        <v>0.40396528259796738</v>
      </c>
      <c r="O9289" s="2">
        <f ca="1"/>
        <v>0.82291430961228695</v>
      </c>
      <c r="X9289" s="2">
        <f ca="1"/>
        <v>46.655560166900258</v>
      </c>
      <c r="AG9289" s="2">
        <f ca="1"/>
        <v>0.53532593207605572</v>
      </c>
      <c r="AH9289" s="2" t="str">
        <f ca="1"/>
        <v>Bad</v>
      </c>
    </row>
    <row r="9290" spans="2:34" x14ac:dyDescent="0.2">
      <c r="B9290" s="2">
        <f ca="1"/>
        <v>0.52356824275568314</v>
      </c>
      <c r="O9290" s="2">
        <f ca="1"/>
        <v>0.5588588270682433</v>
      </c>
      <c r="X9290" s="2">
        <f ca="1"/>
        <v>49.917361353724807</v>
      </c>
      <c r="AG9290" s="2">
        <f ca="1"/>
        <v>0.50082653381800246</v>
      </c>
      <c r="AH9290" s="2" t="str">
        <f ca="1"/>
        <v>Bad</v>
      </c>
    </row>
    <row r="9291" spans="2:34" x14ac:dyDescent="0.2">
      <c r="B9291" s="2">
        <f ca="1"/>
        <v>0.13560085420211188</v>
      </c>
      <c r="O9291" s="2">
        <f ca="1"/>
        <v>-2.6870622332028925E-2</v>
      </c>
      <c r="X9291" s="2">
        <f ca="1"/>
        <v>65.665455808377203</v>
      </c>
      <c r="AG9291" s="2">
        <f ca="1"/>
        <v>0.9771720366549228</v>
      </c>
      <c r="AH9291" s="2" t="str">
        <f ca="1"/>
        <v>Bad</v>
      </c>
    </row>
    <row r="9292" spans="2:34" x14ac:dyDescent="0.2">
      <c r="B9292" s="2">
        <f ca="1"/>
        <v>0.79352290469339026</v>
      </c>
      <c r="O9292" s="2">
        <f ca="1"/>
        <v>-0.28767301099272219</v>
      </c>
      <c r="X9292" s="2">
        <f ca="1"/>
        <v>72.162562054458562</v>
      </c>
      <c r="AG9292" s="2">
        <f ca="1"/>
        <v>0.60632825850682637</v>
      </c>
      <c r="AH9292" s="2" t="str">
        <f ca="1"/>
        <v>Bad</v>
      </c>
    </row>
    <row r="9293" spans="2:34" x14ac:dyDescent="0.2">
      <c r="B9293" s="2">
        <f ca="1"/>
        <v>0.47026619422731963</v>
      </c>
      <c r="O9293" s="2">
        <f ca="1"/>
        <v>-2.4146512007605168</v>
      </c>
      <c r="X9293" s="2">
        <f ca="1"/>
        <v>47.577170689703749</v>
      </c>
      <c r="AG9293" s="2">
        <f ca="1"/>
        <v>0.99932797386454775</v>
      </c>
      <c r="AH9293" s="2" t="str">
        <f ca="1"/>
        <v>Bad</v>
      </c>
    </row>
    <row r="9294" spans="2:34" x14ac:dyDescent="0.2">
      <c r="B9294" s="2">
        <f ca="1"/>
        <v>0.53665247707292352</v>
      </c>
      <c r="O9294" s="2">
        <f ca="1"/>
        <v>-0.5974082332157602</v>
      </c>
      <c r="X9294" s="2">
        <f ca="1"/>
        <v>55.164093170001451</v>
      </c>
      <c r="AG9294" s="2">
        <f ca="1"/>
        <v>0.34234531297185766</v>
      </c>
      <c r="AH9294" s="2" t="str">
        <f ca="1"/>
        <v>OK</v>
      </c>
    </row>
    <row r="9295" spans="2:34" x14ac:dyDescent="0.2">
      <c r="B9295" s="2">
        <f ca="1"/>
        <v>0.89904818824800437</v>
      </c>
      <c r="O9295" s="2">
        <f ca="1"/>
        <v>-2.3103394766658361</v>
      </c>
      <c r="X9295" s="2">
        <f ca="1"/>
        <v>54.133817215645735</v>
      </c>
      <c r="AG9295" s="2">
        <f ca="1"/>
        <v>0.34678541568120136</v>
      </c>
      <c r="AH9295" s="2" t="str">
        <f ca="1"/>
        <v>OK</v>
      </c>
    </row>
    <row r="9296" spans="2:34" x14ac:dyDescent="0.2">
      <c r="B9296" s="2">
        <f ca="1"/>
        <v>0.54655021100159407</v>
      </c>
      <c r="O9296" s="2">
        <f ca="1"/>
        <v>-1.9143278406357906</v>
      </c>
      <c r="X9296" s="2">
        <f ca="1"/>
        <v>59.499105275860522</v>
      </c>
      <c r="AG9296" s="2">
        <f ca="1"/>
        <v>0.64845689861312161</v>
      </c>
      <c r="AH9296" s="2" t="str">
        <f ca="1"/>
        <v>Bad</v>
      </c>
    </row>
    <row r="9297" spans="2:34" x14ac:dyDescent="0.2">
      <c r="B9297" s="2">
        <f ca="1"/>
        <v>0.32990450319611697</v>
      </c>
      <c r="O9297" s="2">
        <f ca="1"/>
        <v>1.870131444443373</v>
      </c>
      <c r="X9297" s="2">
        <f ca="1"/>
        <v>43.629032889976017</v>
      </c>
      <c r="AG9297" s="2">
        <f ca="1"/>
        <v>0.82545081344980109</v>
      </c>
      <c r="AH9297" s="2" t="str">
        <f ca="1"/>
        <v>Bad</v>
      </c>
    </row>
    <row r="9298" spans="2:34" x14ac:dyDescent="0.2">
      <c r="B9298" s="2">
        <f ca="1"/>
        <v>0.63431707587395758</v>
      </c>
      <c r="O9298" s="2">
        <f ca="1"/>
        <v>0.73762485425989799</v>
      </c>
      <c r="X9298" s="2">
        <f ca="1"/>
        <v>43.901310291738149</v>
      </c>
      <c r="AG9298" s="2">
        <f ca="1"/>
        <v>7.7027447131950533E-2</v>
      </c>
      <c r="AH9298" s="2" t="str">
        <f ca="1"/>
        <v>OK</v>
      </c>
    </row>
    <row r="9299" spans="2:34" x14ac:dyDescent="0.2">
      <c r="B9299" s="2">
        <f ca="1"/>
        <v>0.40337659307373452</v>
      </c>
      <c r="O9299" s="2">
        <f ca="1"/>
        <v>0.56954495504867397</v>
      </c>
      <c r="X9299" s="2">
        <f ca="1"/>
        <v>45.086074268392608</v>
      </c>
      <c r="AG9299" s="2">
        <f ca="1"/>
        <v>0.11168158677813378</v>
      </c>
      <c r="AH9299" s="2" t="str">
        <f ca="1"/>
        <v>OK</v>
      </c>
    </row>
    <row r="9300" spans="2:34" x14ac:dyDescent="0.2">
      <c r="B9300" s="2">
        <f ca="1"/>
        <v>0.8843817834366352</v>
      </c>
      <c r="O9300" s="2">
        <f ca="1"/>
        <v>0.23404827915719137</v>
      </c>
      <c r="X9300" s="2">
        <f ca="1"/>
        <v>53.33178941336827</v>
      </c>
      <c r="AG9300" s="2">
        <f ca="1"/>
        <v>4.3303274188240648E-2</v>
      </c>
      <c r="AH9300" s="2" t="str">
        <f ca="1"/>
        <v>Good</v>
      </c>
    </row>
    <row r="9301" spans="2:34" x14ac:dyDescent="0.2">
      <c r="B9301" s="2">
        <f ca="1"/>
        <v>0.62723425202985261</v>
      </c>
      <c r="O9301" s="2">
        <f ca="1"/>
        <v>1.4547211527268953</v>
      </c>
      <c r="X9301" s="2">
        <f ca="1"/>
        <v>58.50795033041954</v>
      </c>
      <c r="AG9301" s="2">
        <f ca="1"/>
        <v>0.91576882545114291</v>
      </c>
      <c r="AH9301" s="2" t="str">
        <f ca="1"/>
        <v>Bad</v>
      </c>
    </row>
    <row r="9302" spans="2:34" x14ac:dyDescent="0.2">
      <c r="B9302" s="2">
        <f ca="1"/>
        <v>0.63464677120863011</v>
      </c>
      <c r="O9302" s="2">
        <f ca="1"/>
        <v>2.5140308390269079</v>
      </c>
      <c r="X9302" s="2">
        <f ca="1"/>
        <v>53.756485838731507</v>
      </c>
      <c r="AG9302" s="2">
        <f ca="1"/>
        <v>0.77149039589507984</v>
      </c>
      <c r="AH9302" s="2" t="str">
        <f ca="1"/>
        <v>Bad</v>
      </c>
    </row>
    <row r="9303" spans="2:34" x14ac:dyDescent="0.2">
      <c r="B9303" s="2">
        <f ca="1"/>
        <v>0.70460011587844251</v>
      </c>
      <c r="O9303" s="2">
        <f ca="1"/>
        <v>-0.40202213166085715</v>
      </c>
      <c r="X9303" s="2">
        <f ca="1"/>
        <v>68.835803818947014</v>
      </c>
      <c r="AG9303" s="2">
        <f ca="1"/>
        <v>0.6422768884395369</v>
      </c>
      <c r="AH9303" s="2" t="str">
        <f ca="1"/>
        <v>Bad</v>
      </c>
    </row>
    <row r="9304" spans="2:34" x14ac:dyDescent="0.2">
      <c r="B9304" s="2">
        <f ca="1"/>
        <v>8.3457038050228638E-2</v>
      </c>
      <c r="O9304" s="2">
        <f ca="1"/>
        <v>-0.58723773501755749</v>
      </c>
      <c r="X9304" s="2">
        <f ca="1"/>
        <v>36.833584813762322</v>
      </c>
      <c r="AG9304" s="2">
        <f ca="1"/>
        <v>0.78152568376301979</v>
      </c>
      <c r="AH9304" s="2" t="str">
        <f ca="1"/>
        <v>Bad</v>
      </c>
    </row>
    <row r="9305" spans="2:34" x14ac:dyDescent="0.2">
      <c r="B9305" s="2">
        <f ca="1"/>
        <v>0.44022295806674361</v>
      </c>
      <c r="O9305" s="2">
        <f ca="1"/>
        <v>-1.2805769371779487</v>
      </c>
      <c r="X9305" s="2">
        <f ca="1"/>
        <v>39.01506060674722</v>
      </c>
      <c r="AG9305" s="2">
        <f ca="1"/>
        <v>0.6246501049538582</v>
      </c>
      <c r="AH9305" s="2" t="str">
        <f ca="1"/>
        <v>Bad</v>
      </c>
    </row>
    <row r="9306" spans="2:34" x14ac:dyDescent="0.2">
      <c r="B9306" s="2">
        <f ca="1"/>
        <v>0.55035146115881739</v>
      </c>
      <c r="O9306" s="2">
        <f ca="1"/>
        <v>0.92825782227672538</v>
      </c>
      <c r="X9306" s="2">
        <f ca="1"/>
        <v>29.807611468843799</v>
      </c>
      <c r="AG9306" s="2">
        <f ca="1"/>
        <v>0.86215272153445066</v>
      </c>
      <c r="AH9306" s="2" t="str">
        <f ca="1"/>
        <v>Bad</v>
      </c>
    </row>
    <row r="9307" spans="2:34" x14ac:dyDescent="0.2">
      <c r="B9307" s="2">
        <f ca="1"/>
        <v>0.36962108066041854</v>
      </c>
      <c r="O9307" s="2">
        <f ca="1"/>
        <v>1.3293623748677539</v>
      </c>
      <c r="X9307" s="2">
        <f ca="1"/>
        <v>36.014329594117619</v>
      </c>
      <c r="AG9307" s="2">
        <f ca="1"/>
        <v>0.90077113583840873</v>
      </c>
      <c r="AH9307" s="2" t="str">
        <f ca="1"/>
        <v>Bad</v>
      </c>
    </row>
    <row r="9308" spans="2:34" x14ac:dyDescent="0.2">
      <c r="B9308" s="2">
        <f ca="1"/>
        <v>0.47615766645423108</v>
      </c>
      <c r="O9308" s="2">
        <f ca="1"/>
        <v>-0.31506378252886702</v>
      </c>
      <c r="X9308" s="2">
        <f ca="1"/>
        <v>55.694353192621477</v>
      </c>
      <c r="AG9308" s="2">
        <f ca="1"/>
        <v>0.57285740332610757</v>
      </c>
      <c r="AH9308" s="2" t="str">
        <f ca="1"/>
        <v>Bad</v>
      </c>
    </row>
    <row r="9309" spans="2:34" x14ac:dyDescent="0.2">
      <c r="B9309" s="2">
        <f ca="1"/>
        <v>0.34724287274193899</v>
      </c>
      <c r="O9309" s="2">
        <f ca="1"/>
        <v>0.38387720106448697</v>
      </c>
      <c r="X9309" s="2">
        <f ca="1"/>
        <v>60.065268831658109</v>
      </c>
      <c r="AG9309" s="2">
        <f ca="1"/>
        <v>0.13518934710572506</v>
      </c>
      <c r="AH9309" s="2" t="str">
        <f ca="1"/>
        <v>OK</v>
      </c>
    </row>
    <row r="9310" spans="2:34" x14ac:dyDescent="0.2">
      <c r="B9310" s="2">
        <f ca="1"/>
        <v>0.78383053943818837</v>
      </c>
      <c r="O9310" s="2">
        <f ca="1"/>
        <v>-0.68189226958072124</v>
      </c>
      <c r="X9310" s="2">
        <f ca="1"/>
        <v>39.447354410332537</v>
      </c>
      <c r="AG9310" s="2">
        <f ca="1"/>
        <v>0.20022951816118173</v>
      </c>
      <c r="AH9310" s="2" t="str">
        <f ca="1"/>
        <v>OK</v>
      </c>
    </row>
    <row r="9311" spans="2:34" x14ac:dyDescent="0.2">
      <c r="B9311" s="2">
        <f ca="1"/>
        <v>0.19400238985279961</v>
      </c>
      <c r="O9311" s="2">
        <f ca="1"/>
        <v>0.98537122118745391</v>
      </c>
      <c r="X9311" s="2">
        <f ca="1"/>
        <v>28.490650166093332</v>
      </c>
      <c r="AG9311" s="2">
        <f ca="1"/>
        <v>0.83981623203572076</v>
      </c>
      <c r="AH9311" s="2" t="str">
        <f ca="1"/>
        <v>Bad</v>
      </c>
    </row>
    <row r="9312" spans="2:34" x14ac:dyDescent="0.2">
      <c r="B9312" s="2">
        <f ca="1"/>
        <v>0.1004909636260729</v>
      </c>
      <c r="O9312" s="2">
        <f ca="1"/>
        <v>0.19857117163961224</v>
      </c>
      <c r="X9312" s="2">
        <f ca="1"/>
        <v>65.973883098775559</v>
      </c>
      <c r="AG9312" s="2">
        <f ca="1"/>
        <v>0.34590218480142743</v>
      </c>
      <c r="AH9312" s="2" t="str">
        <f ca="1"/>
        <v>OK</v>
      </c>
    </row>
    <row r="9313" spans="2:34" x14ac:dyDescent="0.2">
      <c r="B9313" s="2">
        <f ca="1"/>
        <v>0.85229365035411653</v>
      </c>
      <c r="O9313" s="2">
        <f ca="1"/>
        <v>-1.6171691947127862</v>
      </c>
      <c r="X9313" s="2">
        <f ca="1"/>
        <v>34.011340779991926</v>
      </c>
      <c r="AG9313" s="2">
        <f ca="1"/>
        <v>0.12927570004706412</v>
      </c>
      <c r="AH9313" s="2" t="str">
        <f ca="1"/>
        <v>OK</v>
      </c>
    </row>
    <row r="9314" spans="2:34" x14ac:dyDescent="0.2">
      <c r="B9314" s="2">
        <f ca="1"/>
        <v>0.68870794577183103</v>
      </c>
      <c r="O9314" s="2">
        <f ca="1"/>
        <v>1.4544403396719281</v>
      </c>
      <c r="X9314" s="2">
        <f ca="1"/>
        <v>27.598105460368558</v>
      </c>
      <c r="AG9314" s="2">
        <f ca="1"/>
        <v>0.95010612740427214</v>
      </c>
      <c r="AH9314" s="2" t="str">
        <f ca="1"/>
        <v>Bad</v>
      </c>
    </row>
    <row r="9315" spans="2:34" x14ac:dyDescent="0.2">
      <c r="B9315" s="2">
        <f ca="1"/>
        <v>0.62334158103943382</v>
      </c>
      <c r="O9315" s="2">
        <f ca="1"/>
        <v>2.8603550709851433</v>
      </c>
      <c r="X9315" s="2">
        <f ca="1"/>
        <v>46.888279722445709</v>
      </c>
      <c r="AG9315" s="2">
        <f ca="1"/>
        <v>0.45138686422853724</v>
      </c>
      <c r="AH9315" s="2" t="str">
        <f ca="1"/>
        <v>Bad</v>
      </c>
    </row>
    <row r="9316" spans="2:34" x14ac:dyDescent="0.2">
      <c r="B9316" s="2">
        <f ca="1"/>
        <v>0.59373980741303356</v>
      </c>
      <c r="O9316" s="2">
        <f ca="1"/>
        <v>1.9061273669053211</v>
      </c>
      <c r="X9316" s="2">
        <f ca="1"/>
        <v>52.541815897201694</v>
      </c>
      <c r="AG9316" s="2">
        <f ca="1"/>
        <v>0.41178361813311892</v>
      </c>
      <c r="AH9316" s="2" t="str">
        <f ca="1"/>
        <v>Bad</v>
      </c>
    </row>
    <row r="9317" spans="2:34" x14ac:dyDescent="0.2">
      <c r="B9317" s="2">
        <f ca="1"/>
        <v>0.2850732590453684</v>
      </c>
      <c r="O9317" s="2">
        <f ca="1"/>
        <v>-0.75844248833604644</v>
      </c>
      <c r="X9317" s="2">
        <f ca="1"/>
        <v>74.460226994547952</v>
      </c>
      <c r="AG9317" s="2">
        <f ca="1"/>
        <v>0.74734440537693736</v>
      </c>
      <c r="AH9317" s="2" t="str">
        <f ca="1"/>
        <v>Bad</v>
      </c>
    </row>
    <row r="9318" spans="2:34" x14ac:dyDescent="0.2">
      <c r="B9318" s="2">
        <f ca="1"/>
        <v>0.13658798038765374</v>
      </c>
      <c r="O9318" s="2">
        <f ca="1"/>
        <v>1.7634579818390801</v>
      </c>
      <c r="X9318" s="2">
        <f ca="1"/>
        <v>33.01751367622667</v>
      </c>
      <c r="AG9318" s="2">
        <f ca="1"/>
        <v>0.35501760270242011</v>
      </c>
      <c r="AH9318" s="2" t="str">
        <f ca="1"/>
        <v>OK</v>
      </c>
    </row>
    <row r="9319" spans="2:34" x14ac:dyDescent="0.2">
      <c r="B9319" s="2">
        <f ca="1"/>
        <v>0.2150582522258957</v>
      </c>
      <c r="O9319" s="2">
        <f ca="1"/>
        <v>-0.88594597071422931</v>
      </c>
      <c r="X9319" s="2">
        <f ca="1"/>
        <v>29.83231344992398</v>
      </c>
      <c r="AG9319" s="2">
        <f ca="1"/>
        <v>0.90748610972205457</v>
      </c>
      <c r="AH9319" s="2" t="str">
        <f ca="1"/>
        <v>Bad</v>
      </c>
    </row>
    <row r="9320" spans="2:34" x14ac:dyDescent="0.2">
      <c r="B9320" s="2">
        <f ca="1"/>
        <v>0.71570238836935518</v>
      </c>
      <c r="O9320" s="2">
        <f ca="1"/>
        <v>-0.76184732364002827</v>
      </c>
      <c r="X9320" s="2">
        <f ca="1"/>
        <v>41.23936863111031</v>
      </c>
      <c r="AG9320" s="2">
        <f ca="1"/>
        <v>0.28223809552799883</v>
      </c>
      <c r="AH9320" s="2" t="str">
        <f ca="1"/>
        <v>OK</v>
      </c>
    </row>
    <row r="9321" spans="2:34" x14ac:dyDescent="0.2">
      <c r="B9321" s="2">
        <f ca="1"/>
        <v>0.93522647940194736</v>
      </c>
      <c r="O9321" s="2">
        <f ca="1"/>
        <v>0.27077662384292234</v>
      </c>
      <c r="X9321" s="2">
        <f ca="1"/>
        <v>70.77341345235358</v>
      </c>
      <c r="AG9321" s="2">
        <f ca="1"/>
        <v>0.94406640870860525</v>
      </c>
      <c r="AH9321" s="2" t="str">
        <f ca="1"/>
        <v>Bad</v>
      </c>
    </row>
    <row r="9322" spans="2:34" x14ac:dyDescent="0.2">
      <c r="B9322" s="2">
        <f ca="1"/>
        <v>0.82582781269346839</v>
      </c>
      <c r="O9322" s="2">
        <f ca="1"/>
        <v>1.2636270434745824</v>
      </c>
      <c r="X9322" s="2">
        <f ca="1"/>
        <v>53.825452847777925</v>
      </c>
      <c r="AG9322" s="2">
        <f ca="1"/>
        <v>0.19159870199209728</v>
      </c>
      <c r="AH9322" s="2" t="str">
        <f ca="1"/>
        <v>OK</v>
      </c>
    </row>
    <row r="9323" spans="2:34" x14ac:dyDescent="0.2">
      <c r="B9323" s="2">
        <f ca="1"/>
        <v>0.77602651837143699</v>
      </c>
      <c r="O9323" s="2">
        <f ca="1"/>
        <v>-1.1076130275946963</v>
      </c>
      <c r="X9323" s="2">
        <f ca="1"/>
        <v>53.916040649725844</v>
      </c>
      <c r="AG9323" s="2">
        <f ca="1"/>
        <v>0.42221357770750401</v>
      </c>
      <c r="AH9323" s="2" t="str">
        <f ca="1"/>
        <v>Bad</v>
      </c>
    </row>
    <row r="9324" spans="2:34" x14ac:dyDescent="0.2">
      <c r="B9324" s="2">
        <f ca="1"/>
        <v>0.95648442989185956</v>
      </c>
      <c r="O9324" s="2">
        <f ca="1"/>
        <v>-0.94739280515126978</v>
      </c>
      <c r="X9324" s="2">
        <f ca="1"/>
        <v>40.581981331522165</v>
      </c>
      <c r="AG9324" s="2">
        <f ca="1"/>
        <v>0.15910527260064566</v>
      </c>
      <c r="AH9324" s="2" t="str">
        <f ca="1"/>
        <v>OK</v>
      </c>
    </row>
    <row r="9325" spans="2:34" x14ac:dyDescent="0.2">
      <c r="B9325" s="2">
        <f ca="1"/>
        <v>3.6571486907587269E-2</v>
      </c>
      <c r="O9325" s="2">
        <f ca="1"/>
        <v>1.7774527238317255</v>
      </c>
      <c r="X9325" s="2">
        <f ca="1"/>
        <v>34.344345948552011</v>
      </c>
      <c r="AG9325" s="2">
        <f ca="1"/>
        <v>0.5690711449959307</v>
      </c>
      <c r="AH9325" s="2" t="str">
        <f ca="1"/>
        <v>Bad</v>
      </c>
    </row>
    <row r="9326" spans="2:34" x14ac:dyDescent="0.2">
      <c r="B9326" s="2">
        <f ca="1"/>
        <v>0.10496145516959965</v>
      </c>
      <c r="O9326" s="2">
        <f ca="1"/>
        <v>-1.516847390972843</v>
      </c>
      <c r="X9326" s="2">
        <f ca="1"/>
        <v>33.525482263817267</v>
      </c>
      <c r="AG9326" s="2">
        <f ca="1"/>
        <v>0.50729879531396427</v>
      </c>
      <c r="AH9326" s="2" t="str">
        <f ca="1"/>
        <v>Bad</v>
      </c>
    </row>
    <row r="9327" spans="2:34" x14ac:dyDescent="0.2">
      <c r="B9327" s="2">
        <f ca="1"/>
        <v>3.5191869635948336E-2</v>
      </c>
      <c r="O9327" s="2">
        <f ca="1"/>
        <v>1.1201840371046161</v>
      </c>
      <c r="X9327" s="2">
        <f ca="1"/>
        <v>102.87626847869626</v>
      </c>
      <c r="AG9327" s="2">
        <f ca="1"/>
        <v>0.24114948086921317</v>
      </c>
      <c r="AH9327" s="2" t="str">
        <f ca="1"/>
        <v>OK</v>
      </c>
    </row>
    <row r="9328" spans="2:34" x14ac:dyDescent="0.2">
      <c r="B9328" s="2">
        <f ca="1"/>
        <v>0.5481633455438939</v>
      </c>
      <c r="O9328" s="2">
        <f ca="1"/>
        <v>-1.7296215270698985</v>
      </c>
      <c r="X9328" s="2">
        <f ca="1"/>
        <v>52.940925039012889</v>
      </c>
      <c r="AG9328" s="2">
        <f ca="1"/>
        <v>0.87013453652005612</v>
      </c>
      <c r="AH9328" s="2" t="str">
        <f ca="1"/>
        <v>Bad</v>
      </c>
    </row>
    <row r="9329" spans="2:34" x14ac:dyDescent="0.2">
      <c r="B9329" s="2">
        <f ca="1"/>
        <v>0.9973623919598229</v>
      </c>
      <c r="O9329" s="2">
        <f ca="1"/>
        <v>1.2472387977237889</v>
      </c>
      <c r="X9329" s="2">
        <f ca="1"/>
        <v>78.893157628113528</v>
      </c>
      <c r="AG9329" s="2">
        <f ca="1"/>
        <v>0.85720761982300875</v>
      </c>
      <c r="AH9329" s="2" t="str">
        <f ca="1"/>
        <v>Bad</v>
      </c>
    </row>
    <row r="9330" spans="2:34" x14ac:dyDescent="0.2">
      <c r="B9330" s="2">
        <f ca="1"/>
        <v>0.53421109961659807</v>
      </c>
      <c r="O9330" s="2">
        <f ca="1"/>
        <v>0.81988238112753242</v>
      </c>
      <c r="X9330" s="2">
        <f ca="1"/>
        <v>26.691675574365604</v>
      </c>
      <c r="AG9330" s="2">
        <f ca="1"/>
        <v>0.42948870481287837</v>
      </c>
      <c r="AH9330" s="2" t="str">
        <f ca="1"/>
        <v>Bad</v>
      </c>
    </row>
    <row r="9331" spans="2:34" x14ac:dyDescent="0.2">
      <c r="B9331" s="2">
        <f ca="1"/>
        <v>0.23507252362360176</v>
      </c>
      <c r="O9331" s="2">
        <f ca="1"/>
        <v>-0.27502341138791575</v>
      </c>
      <c r="X9331" s="2">
        <f ca="1"/>
        <v>40.739010325885403</v>
      </c>
      <c r="AG9331" s="2">
        <f ca="1"/>
        <v>6.2129045649000014E-2</v>
      </c>
      <c r="AH9331" s="2" t="str">
        <f ca="1"/>
        <v>OK</v>
      </c>
    </row>
    <row r="9332" spans="2:34" x14ac:dyDescent="0.2">
      <c r="B9332" s="2">
        <f ca="1"/>
        <v>0.40258152869583119</v>
      </c>
      <c r="O9332" s="2">
        <f ca="1"/>
        <v>-0.23408701464585166</v>
      </c>
      <c r="X9332" s="2">
        <f ca="1"/>
        <v>18.810662058292131</v>
      </c>
      <c r="AG9332" s="2">
        <f ca="1"/>
        <v>0.905299023977165</v>
      </c>
      <c r="AH9332" s="2" t="str">
        <f ca="1"/>
        <v>Bad</v>
      </c>
    </row>
    <row r="9333" spans="2:34" x14ac:dyDescent="0.2">
      <c r="B9333" s="2">
        <f ca="1"/>
        <v>0.47169454804861877</v>
      </c>
      <c r="O9333" s="2">
        <f ca="1"/>
        <v>-1.2436764500647814</v>
      </c>
      <c r="X9333" s="2">
        <f ca="1"/>
        <v>33.216223444277247</v>
      </c>
      <c r="AG9333" s="2">
        <f ca="1"/>
        <v>0.45914659289949955</v>
      </c>
      <c r="AH9333" s="2" t="str">
        <f ca="1"/>
        <v>Bad</v>
      </c>
    </row>
    <row r="9334" spans="2:34" x14ac:dyDescent="0.2">
      <c r="B9334" s="2">
        <f ca="1"/>
        <v>0.60199407313526621</v>
      </c>
      <c r="O9334" s="2">
        <f ca="1"/>
        <v>-0.2951709240859009</v>
      </c>
      <c r="X9334" s="2">
        <f ca="1"/>
        <v>46.045252089847125</v>
      </c>
      <c r="AG9334" s="2">
        <f ca="1"/>
        <v>0.26734267146884072</v>
      </c>
      <c r="AH9334" s="2" t="str">
        <f ca="1"/>
        <v>OK</v>
      </c>
    </row>
    <row r="9335" spans="2:34" x14ac:dyDescent="0.2">
      <c r="B9335" s="2">
        <f ca="1"/>
        <v>2.9427749472921372E-2</v>
      </c>
      <c r="O9335" s="2">
        <f ca="1"/>
        <v>0.19992112820802335</v>
      </c>
      <c r="X9335" s="2">
        <f ca="1"/>
        <v>13.821206224671181</v>
      </c>
      <c r="AG9335" s="2">
        <f ca="1"/>
        <v>0.11729043258336369</v>
      </c>
      <c r="AH9335" s="2" t="str">
        <f ca="1"/>
        <v>OK</v>
      </c>
    </row>
    <row r="9336" spans="2:34" x14ac:dyDescent="0.2">
      <c r="B9336" s="2">
        <f ca="1"/>
        <v>0.73430964488861306</v>
      </c>
      <c r="O9336" s="2">
        <f ca="1"/>
        <v>0.4881070010647684</v>
      </c>
      <c r="X9336" s="2">
        <f ca="1"/>
        <v>90.654524224528956</v>
      </c>
      <c r="AG9336" s="2">
        <f ca="1"/>
        <v>0.81410868085604204</v>
      </c>
      <c r="AH9336" s="2" t="str">
        <f ca="1"/>
        <v>Bad</v>
      </c>
    </row>
    <row r="9337" spans="2:34" x14ac:dyDescent="0.2">
      <c r="B9337" s="2">
        <f ca="1"/>
        <v>0.71557868904670374</v>
      </c>
      <c r="O9337" s="2">
        <f ca="1"/>
        <v>0.12704526397771368</v>
      </c>
      <c r="X9337" s="2">
        <f ca="1"/>
        <v>26.592107005234563</v>
      </c>
      <c r="AG9337" s="2">
        <f ca="1"/>
        <v>0.83650907024851495</v>
      </c>
      <c r="AH9337" s="2" t="str">
        <f ca="1"/>
        <v>Bad</v>
      </c>
    </row>
    <row r="9338" spans="2:34" x14ac:dyDescent="0.2">
      <c r="B9338" s="2">
        <f ca="1"/>
        <v>0.10977348898170791</v>
      </c>
      <c r="O9338" s="2">
        <f ca="1"/>
        <v>5.1331448395277701E-2</v>
      </c>
      <c r="X9338" s="2">
        <f ca="1"/>
        <v>88.418353679813194</v>
      </c>
      <c r="AG9338" s="2">
        <f ca="1"/>
        <v>0.4873698752531892</v>
      </c>
      <c r="AH9338" s="2" t="str">
        <f ca="1"/>
        <v>Bad</v>
      </c>
    </row>
    <row r="9339" spans="2:34" x14ac:dyDescent="0.2">
      <c r="B9339" s="2">
        <f ca="1"/>
        <v>0.61500943105826433</v>
      </c>
      <c r="O9339" s="2">
        <f ca="1"/>
        <v>0.35750017684256186</v>
      </c>
      <c r="X9339" s="2">
        <f ca="1"/>
        <v>68.387150491308461</v>
      </c>
      <c r="AG9339" s="2">
        <f ca="1"/>
        <v>0.83093596164731554</v>
      </c>
      <c r="AH9339" s="2" t="str">
        <f ca="1"/>
        <v>Bad</v>
      </c>
    </row>
    <row r="9340" spans="2:34" x14ac:dyDescent="0.2">
      <c r="B9340" s="2">
        <f ca="1"/>
        <v>0.47624400713611381</v>
      </c>
      <c r="O9340" s="2">
        <f ca="1"/>
        <v>0.1581901586450972</v>
      </c>
      <c r="X9340" s="2">
        <f ca="1"/>
        <v>44.358638319862735</v>
      </c>
      <c r="AG9340" s="2">
        <f ca="1"/>
        <v>0.30501106586385651</v>
      </c>
      <c r="AH9340" s="2" t="str">
        <f ca="1"/>
        <v>OK</v>
      </c>
    </row>
    <row r="9341" spans="2:34" x14ac:dyDescent="0.2">
      <c r="B9341" s="2">
        <f ca="1"/>
        <v>0.55062618239601524</v>
      </c>
      <c r="O9341" s="2">
        <f ca="1"/>
        <v>0.14577147346375874</v>
      </c>
      <c r="X9341" s="2">
        <f ca="1"/>
        <v>41.862371329948729</v>
      </c>
      <c r="AG9341" s="2">
        <f ca="1"/>
        <v>0.30737896471796744</v>
      </c>
      <c r="AH9341" s="2" t="str">
        <f ca="1"/>
        <v>OK</v>
      </c>
    </row>
    <row r="9342" spans="2:34" x14ac:dyDescent="0.2">
      <c r="B9342" s="2">
        <f ca="1"/>
        <v>0.85222324750191114</v>
      </c>
      <c r="O9342" s="2">
        <f ca="1"/>
        <v>1.7954234417180481</v>
      </c>
      <c r="X9342" s="2">
        <f ca="1"/>
        <v>32.913889647297417</v>
      </c>
      <c r="AG9342" s="2">
        <f ca="1"/>
        <v>0.98877953827107401</v>
      </c>
      <c r="AH9342" s="2" t="str">
        <f ca="1"/>
        <v>Bad</v>
      </c>
    </row>
    <row r="9343" spans="2:34" x14ac:dyDescent="0.2">
      <c r="B9343" s="2">
        <f ca="1"/>
        <v>0.29650376569811288</v>
      </c>
      <c r="O9343" s="2">
        <f ca="1"/>
        <v>0.51892767180471833</v>
      </c>
      <c r="X9343" s="2">
        <f ca="1"/>
        <v>63.762848919122774</v>
      </c>
      <c r="AG9343" s="2">
        <f ca="1"/>
        <v>0.38602418429416896</v>
      </c>
      <c r="AH9343" s="2" t="str">
        <f ca="1"/>
        <v>OK</v>
      </c>
    </row>
    <row r="9344" spans="2:34" x14ac:dyDescent="0.2">
      <c r="B9344" s="2">
        <f ca="1"/>
        <v>0.49998998296946984</v>
      </c>
      <c r="O9344" s="2">
        <f ca="1"/>
        <v>-0.27293132090792849</v>
      </c>
      <c r="X9344" s="2">
        <f ca="1"/>
        <v>40.616018177406247</v>
      </c>
      <c r="AG9344" s="2">
        <f ca="1"/>
        <v>0.83858994619057414</v>
      </c>
      <c r="AH9344" s="2" t="str">
        <f ca="1"/>
        <v>Bad</v>
      </c>
    </row>
    <row r="9345" spans="2:34" x14ac:dyDescent="0.2">
      <c r="B9345" s="2">
        <f ca="1"/>
        <v>0.30048023571895666</v>
      </c>
      <c r="O9345" s="2">
        <f ca="1"/>
        <v>1.5222966955585049</v>
      </c>
      <c r="X9345" s="2">
        <f ca="1"/>
        <v>55.219165865717692</v>
      </c>
      <c r="AG9345" s="2">
        <f ca="1"/>
        <v>0.3352248775964306</v>
      </c>
      <c r="AH9345" s="2" t="str">
        <f ca="1"/>
        <v>OK</v>
      </c>
    </row>
    <row r="9346" spans="2:34" x14ac:dyDescent="0.2">
      <c r="B9346" s="2">
        <f ca="1"/>
        <v>0.65444532046701687</v>
      </c>
      <c r="O9346" s="2">
        <f ca="1"/>
        <v>-0.51733941235728587</v>
      </c>
      <c r="X9346" s="2">
        <f ca="1"/>
        <v>68.128858281532246</v>
      </c>
      <c r="AG9346" s="2">
        <f ca="1"/>
        <v>0.23391374796868436</v>
      </c>
      <c r="AH9346" s="2" t="str">
        <f ca="1"/>
        <v>OK</v>
      </c>
    </row>
    <row r="9347" spans="2:34" x14ac:dyDescent="0.2">
      <c r="B9347" s="2">
        <f ca="1"/>
        <v>8.3859926342590541E-2</v>
      </c>
      <c r="O9347" s="2">
        <f ca="1"/>
        <v>-0.24196883955479934</v>
      </c>
      <c r="X9347" s="2">
        <f ca="1"/>
        <v>31.413088773834296</v>
      </c>
      <c r="AG9347" s="2">
        <f ca="1"/>
        <v>0.37901279648700537</v>
      </c>
      <c r="AH9347" s="2" t="str">
        <f ca="1"/>
        <v>OK</v>
      </c>
    </row>
    <row r="9348" spans="2:34" x14ac:dyDescent="0.2">
      <c r="B9348" s="2">
        <f ca="1"/>
        <v>5.6769239285400452E-2</v>
      </c>
      <c r="O9348" s="2">
        <f ca="1"/>
        <v>0.3553983820018175</v>
      </c>
      <c r="X9348" s="2">
        <f ca="1"/>
        <v>70.394729311453816</v>
      </c>
      <c r="AG9348" s="2">
        <f ca="1"/>
        <v>0.63368352549468443</v>
      </c>
      <c r="AH9348" s="2" t="str">
        <f ca="1"/>
        <v>Bad</v>
      </c>
    </row>
    <row r="9349" spans="2:34" x14ac:dyDescent="0.2">
      <c r="B9349" s="2">
        <f ca="1"/>
        <v>0.18698839742653495</v>
      </c>
      <c r="O9349" s="2">
        <f ca="1"/>
        <v>0.12347844224835959</v>
      </c>
      <c r="X9349" s="2">
        <f ca="1"/>
        <v>36.91656075314576</v>
      </c>
      <c r="AG9349" s="2">
        <f ca="1"/>
        <v>0.99346394354519529</v>
      </c>
      <c r="AH9349" s="2" t="str">
        <f ca="1"/>
        <v>Bad</v>
      </c>
    </row>
    <row r="9350" spans="2:34" x14ac:dyDescent="0.2">
      <c r="B9350" s="2">
        <f ca="1"/>
        <v>0.35735419687612069</v>
      </c>
      <c r="O9350" s="2">
        <f ca="1"/>
        <v>1.0229322009362591</v>
      </c>
      <c r="X9350" s="2">
        <f ca="1"/>
        <v>43.717707523930116</v>
      </c>
      <c r="AG9350" s="2">
        <f ca="1"/>
        <v>9.2469325372782185E-2</v>
      </c>
      <c r="AH9350" s="2" t="str">
        <f ca="1"/>
        <v>OK</v>
      </c>
    </row>
    <row r="9351" spans="2:34" x14ac:dyDescent="0.2">
      <c r="B9351" s="2">
        <f ca="1"/>
        <v>0.13440718530684359</v>
      </c>
      <c r="O9351" s="2">
        <f ca="1"/>
        <v>-0.63570117147560679</v>
      </c>
      <c r="X9351" s="2">
        <f ca="1"/>
        <v>62.452123906394561</v>
      </c>
      <c r="AG9351" s="2">
        <f ca="1"/>
        <v>0.85217705082125006</v>
      </c>
      <c r="AH9351" s="2" t="str">
        <f ca="1"/>
        <v>Bad</v>
      </c>
    </row>
    <row r="9352" spans="2:34" x14ac:dyDescent="0.2">
      <c r="B9352" s="2">
        <f ca="1"/>
        <v>8.4958780877442353E-2</v>
      </c>
      <c r="O9352" s="2">
        <f ca="1"/>
        <v>1.3814728329707777</v>
      </c>
      <c r="X9352" s="2">
        <f ca="1"/>
        <v>57.884123874073971</v>
      </c>
      <c r="AG9352" s="2">
        <f ca="1"/>
        <v>0.5102741262681274</v>
      </c>
      <c r="AH9352" s="2" t="str">
        <f ca="1"/>
        <v>Bad</v>
      </c>
    </row>
    <row r="9353" spans="2:34" x14ac:dyDescent="0.2">
      <c r="B9353" s="2">
        <f ca="1"/>
        <v>0.94597658935860252</v>
      </c>
      <c r="O9353" s="2">
        <f ca="1"/>
        <v>0.18065149784903076</v>
      </c>
      <c r="X9353" s="2">
        <f ca="1"/>
        <v>39.595439511411165</v>
      </c>
      <c r="AG9353" s="2">
        <f ca="1"/>
        <v>8.8799709217170175E-2</v>
      </c>
      <c r="AH9353" s="2" t="str">
        <f ca="1"/>
        <v>OK</v>
      </c>
    </row>
    <row r="9354" spans="2:34" x14ac:dyDescent="0.2">
      <c r="B9354" s="2">
        <f ca="1"/>
        <v>0.3544615547489105</v>
      </c>
      <c r="O9354" s="2">
        <f ca="1"/>
        <v>-0.72707628562796567</v>
      </c>
      <c r="X9354" s="2">
        <f ca="1"/>
        <v>82.401900759530463</v>
      </c>
      <c r="AG9354" s="2">
        <f ca="1"/>
        <v>0.72207635070730913</v>
      </c>
      <c r="AH9354" s="2" t="str">
        <f ca="1"/>
        <v>Bad</v>
      </c>
    </row>
    <row r="9355" spans="2:34" x14ac:dyDescent="0.2">
      <c r="B9355" s="2">
        <f ca="1"/>
        <v>0.64436827836761945</v>
      </c>
      <c r="O9355" s="2">
        <f ca="1"/>
        <v>-0.78414267899301437</v>
      </c>
      <c r="X9355" s="2">
        <f ca="1"/>
        <v>46.364079856971692</v>
      </c>
      <c r="AG9355" s="2">
        <f ca="1"/>
        <v>0.22819114824467612</v>
      </c>
      <c r="AH9355" s="2" t="str">
        <f ca="1"/>
        <v>OK</v>
      </c>
    </row>
    <row r="9356" spans="2:34" x14ac:dyDescent="0.2">
      <c r="B9356" s="2">
        <f ca="1"/>
        <v>0.18084675058493338</v>
      </c>
      <c r="O9356" s="2">
        <f ca="1"/>
        <v>1.6527329481872122</v>
      </c>
      <c r="X9356" s="2">
        <f ca="1"/>
        <v>49.980181005134774</v>
      </c>
      <c r="AG9356" s="2">
        <f ca="1"/>
        <v>0.35452719870854099</v>
      </c>
      <c r="AH9356" s="2" t="str">
        <f ca="1"/>
        <v>OK</v>
      </c>
    </row>
    <row r="9357" spans="2:34" x14ac:dyDescent="0.2">
      <c r="B9357" s="2">
        <f ca="1"/>
        <v>0.63597545135717937</v>
      </c>
      <c r="O9357" s="2">
        <f ca="1"/>
        <v>0.41699361189346046</v>
      </c>
      <c r="X9357" s="2">
        <f ca="1"/>
        <v>22.097405499410279</v>
      </c>
      <c r="AG9357" s="2">
        <f ca="1"/>
        <v>0.46234760295062127</v>
      </c>
      <c r="AH9357" s="2" t="str">
        <f ca="1"/>
        <v>Bad</v>
      </c>
    </row>
    <row r="9358" spans="2:34" x14ac:dyDescent="0.2">
      <c r="B9358" s="2">
        <f ca="1"/>
        <v>0.55426833209534165</v>
      </c>
      <c r="O9358" s="2">
        <f ca="1"/>
        <v>-0.3112448708509219</v>
      </c>
      <c r="X9358" s="2">
        <f ca="1"/>
        <v>53.468980838585992</v>
      </c>
      <c r="AG9358" s="2">
        <f ca="1"/>
        <v>0.47914329577583725</v>
      </c>
      <c r="AH9358" s="2" t="str">
        <f ca="1"/>
        <v>Bad</v>
      </c>
    </row>
    <row r="9359" spans="2:34" x14ac:dyDescent="0.2">
      <c r="B9359" s="2">
        <f ca="1"/>
        <v>0.32341833161505451</v>
      </c>
      <c r="O9359" s="2">
        <f ca="1"/>
        <v>-0.48909041174911205</v>
      </c>
      <c r="X9359" s="2">
        <f ca="1"/>
        <v>45.900447942051208</v>
      </c>
      <c r="AG9359" s="2">
        <f ca="1"/>
        <v>0.13175924003065287</v>
      </c>
      <c r="AH9359" s="2" t="str">
        <f ca="1"/>
        <v>OK</v>
      </c>
    </row>
    <row r="9360" spans="2:34" x14ac:dyDescent="0.2">
      <c r="B9360" s="2">
        <f ca="1"/>
        <v>0.81811743794411274</v>
      </c>
      <c r="O9360" s="2">
        <f ca="1"/>
        <v>-0.93915691396847167</v>
      </c>
      <c r="X9360" s="2">
        <f ca="1"/>
        <v>49.286379971849129</v>
      </c>
      <c r="AG9360" s="2">
        <f ca="1"/>
        <v>0.62780927489074712</v>
      </c>
      <c r="AH9360" s="2" t="str">
        <f ca="1"/>
        <v>Bad</v>
      </c>
    </row>
    <row r="9361" spans="2:34" x14ac:dyDescent="0.2">
      <c r="B9361" s="2">
        <f ca="1"/>
        <v>0.73315514279089666</v>
      </c>
      <c r="O9361" s="2">
        <f ca="1"/>
        <v>0.48168931833949491</v>
      </c>
      <c r="X9361" s="2">
        <f ca="1"/>
        <v>73.063714309034395</v>
      </c>
      <c r="AG9361" s="2">
        <f ca="1"/>
        <v>0.75654776766178333</v>
      </c>
      <c r="AH9361" s="2" t="str">
        <f ca="1"/>
        <v>Bad</v>
      </c>
    </row>
    <row r="9362" spans="2:34" x14ac:dyDescent="0.2">
      <c r="B9362" s="2">
        <f ca="1"/>
        <v>0.98966335222166468</v>
      </c>
      <c r="O9362" s="2">
        <f ca="1"/>
        <v>-0.53765824844635057</v>
      </c>
      <c r="X9362" s="2">
        <f ca="1"/>
        <v>59.201271552255591</v>
      </c>
      <c r="AG9362" s="2">
        <f ca="1"/>
        <v>0.48197476772950787</v>
      </c>
      <c r="AH9362" s="2" t="str">
        <f ca="1"/>
        <v>Bad</v>
      </c>
    </row>
    <row r="9363" spans="2:34" x14ac:dyDescent="0.2">
      <c r="B9363" s="2">
        <f ca="1"/>
        <v>0.54205715554781708</v>
      </c>
      <c r="O9363" s="2">
        <f ca="1"/>
        <v>-2.4488082725382889</v>
      </c>
      <c r="X9363" s="2">
        <f ca="1"/>
        <v>58.118389070868915</v>
      </c>
      <c r="AG9363" s="2">
        <f ca="1"/>
        <v>1.1815714912461139E-2</v>
      </c>
      <c r="AH9363" s="2" t="str">
        <f ca="1"/>
        <v>Good</v>
      </c>
    </row>
    <row r="9364" spans="2:34" x14ac:dyDescent="0.2">
      <c r="B9364" s="2">
        <f ca="1"/>
        <v>0.46612286395251634</v>
      </c>
      <c r="O9364" s="2">
        <f ca="1"/>
        <v>-0.37354581676727044</v>
      </c>
      <c r="X9364" s="2">
        <f ca="1"/>
        <v>37.334893951110701</v>
      </c>
      <c r="AG9364" s="2">
        <f ca="1"/>
        <v>0.95688777043111672</v>
      </c>
      <c r="AH9364" s="2" t="str">
        <f ca="1"/>
        <v>Bad</v>
      </c>
    </row>
    <row r="9365" spans="2:34" x14ac:dyDescent="0.2">
      <c r="B9365" s="2">
        <f ca="1"/>
        <v>0.87905198984865729</v>
      </c>
      <c r="O9365" s="2">
        <f ca="1"/>
        <v>-2.0884128313925978</v>
      </c>
      <c r="X9365" s="2">
        <f ca="1"/>
        <v>58.842014881834501</v>
      </c>
      <c r="AG9365" s="2">
        <f ca="1"/>
        <v>0.49869280450244102</v>
      </c>
      <c r="AH9365" s="2" t="str">
        <f ca="1"/>
        <v>Bad</v>
      </c>
    </row>
    <row r="9366" spans="2:34" x14ac:dyDescent="0.2">
      <c r="B9366" s="2">
        <f ca="1"/>
        <v>0.68014739650724887</v>
      </c>
      <c r="O9366" s="2">
        <f ca="1"/>
        <v>0.42778789552005592</v>
      </c>
      <c r="X9366" s="2">
        <f ca="1"/>
        <v>55.441651783009732</v>
      </c>
      <c r="AG9366" s="2">
        <f ca="1"/>
        <v>0.76291397267326078</v>
      </c>
      <c r="AH9366" s="2" t="str">
        <f ca="1"/>
        <v>Bad</v>
      </c>
    </row>
    <row r="9367" spans="2:34" x14ac:dyDescent="0.2">
      <c r="B9367" s="2">
        <f ca="1"/>
        <v>0.2000847082966124</v>
      </c>
      <c r="O9367" s="2">
        <f ca="1"/>
        <v>1.3138079811198859</v>
      </c>
      <c r="X9367" s="2">
        <f ca="1"/>
        <v>78.286076042943492</v>
      </c>
      <c r="AG9367" s="2">
        <f ca="1"/>
        <v>0.8143874735108656</v>
      </c>
      <c r="AH9367" s="2" t="str">
        <f ca="1"/>
        <v>Bad</v>
      </c>
    </row>
    <row r="9368" spans="2:34" x14ac:dyDescent="0.2">
      <c r="B9368" s="2">
        <f ca="1"/>
        <v>0.55039767233542802</v>
      </c>
      <c r="O9368" s="2">
        <f ca="1"/>
        <v>9.1231847665861496E-2</v>
      </c>
      <c r="X9368" s="2">
        <f ca="1"/>
        <v>39.874779430508774</v>
      </c>
      <c r="AG9368" s="2">
        <f ca="1"/>
        <v>0.49005798470101358</v>
      </c>
      <c r="AH9368" s="2" t="str">
        <f ca="1"/>
        <v>Bad</v>
      </c>
    </row>
    <row r="9369" spans="2:34" x14ac:dyDescent="0.2">
      <c r="B9369" s="2">
        <f ca="1"/>
        <v>0.98381985314963272</v>
      </c>
      <c r="O9369" s="2">
        <f ca="1"/>
        <v>1.5084281316195558</v>
      </c>
      <c r="X9369" s="2">
        <f ca="1"/>
        <v>56.858445565055142</v>
      </c>
      <c r="AG9369" s="2">
        <f ca="1"/>
        <v>0.16962535459337569</v>
      </c>
      <c r="AH9369" s="2" t="str">
        <f ca="1"/>
        <v>OK</v>
      </c>
    </row>
    <row r="9370" spans="2:34" x14ac:dyDescent="0.2">
      <c r="B9370" s="2">
        <f ca="1"/>
        <v>0.94642933907403459</v>
      </c>
      <c r="O9370" s="2">
        <f ca="1"/>
        <v>1.0270755713587225</v>
      </c>
      <c r="X9370" s="2">
        <f ca="1"/>
        <v>63.933764852406902</v>
      </c>
      <c r="AG9370" s="2">
        <f ca="1"/>
        <v>0.29903438959470052</v>
      </c>
      <c r="AH9370" s="2" t="str">
        <f ca="1"/>
        <v>OK</v>
      </c>
    </row>
    <row r="9371" spans="2:34" x14ac:dyDescent="0.2">
      <c r="B9371" s="2">
        <f ca="1"/>
        <v>0.55442339757923031</v>
      </c>
      <c r="O9371" s="2">
        <f ca="1"/>
        <v>-2.6099610188103854</v>
      </c>
      <c r="X9371" s="2">
        <f ca="1"/>
        <v>73.547325581209179</v>
      </c>
      <c r="AG9371" s="2">
        <f ca="1"/>
        <v>0.72102611091406543</v>
      </c>
      <c r="AH9371" s="2" t="str">
        <f ca="1"/>
        <v>Bad</v>
      </c>
    </row>
    <row r="9372" spans="2:34" x14ac:dyDescent="0.2">
      <c r="B9372" s="2">
        <f ca="1"/>
        <v>0.10058841592859546</v>
      </c>
      <c r="O9372" s="2">
        <f ca="1"/>
        <v>-0.44577320922347896</v>
      </c>
      <c r="X9372" s="2">
        <f ca="1"/>
        <v>50.331371058659002</v>
      </c>
      <c r="AG9372" s="2">
        <f ca="1"/>
        <v>0.97549244078919251</v>
      </c>
      <c r="AH9372" s="2" t="str">
        <f ca="1"/>
        <v>Bad</v>
      </c>
    </row>
    <row r="9373" spans="2:34" x14ac:dyDescent="0.2">
      <c r="B9373" s="2">
        <f ca="1"/>
        <v>0.5727270565030238</v>
      </c>
      <c r="O9373" s="2">
        <f ca="1"/>
        <v>1.2460029442639589</v>
      </c>
      <c r="X9373" s="2">
        <f ca="1"/>
        <v>41.327499562192962</v>
      </c>
      <c r="AG9373" s="2">
        <f ca="1"/>
        <v>0.62186829570885704</v>
      </c>
      <c r="AH9373" s="2" t="str">
        <f ca="1"/>
        <v>Bad</v>
      </c>
    </row>
    <row r="9374" spans="2:34" x14ac:dyDescent="0.2">
      <c r="B9374" s="2">
        <f ca="1"/>
        <v>0.67935631548468955</v>
      </c>
      <c r="O9374" s="2">
        <f ca="1"/>
        <v>0.79383508854620322</v>
      </c>
      <c r="X9374" s="2">
        <f ca="1"/>
        <v>35.870400973790048</v>
      </c>
      <c r="AG9374" s="2">
        <f ca="1"/>
        <v>0.68396639984160745</v>
      </c>
      <c r="AH9374" s="2" t="str">
        <f ca="1"/>
        <v>Bad</v>
      </c>
    </row>
    <row r="9375" spans="2:34" x14ac:dyDescent="0.2">
      <c r="B9375" s="2">
        <f ca="1"/>
        <v>0.66816984353563691</v>
      </c>
      <c r="O9375" s="2">
        <f ca="1"/>
        <v>1.5060858670058759</v>
      </c>
      <c r="X9375" s="2">
        <f ca="1"/>
        <v>24.890904645732562</v>
      </c>
      <c r="AG9375" s="2">
        <f ca="1"/>
        <v>0.46309491728476848</v>
      </c>
      <c r="AH9375" s="2" t="str">
        <f ca="1"/>
        <v>Bad</v>
      </c>
    </row>
    <row r="9376" spans="2:34" x14ac:dyDescent="0.2">
      <c r="B9376" s="2">
        <f ca="1"/>
        <v>0.30534771237878644</v>
      </c>
      <c r="O9376" s="2">
        <f ca="1"/>
        <v>-0.70110042075051071</v>
      </c>
      <c r="X9376" s="2">
        <f ca="1"/>
        <v>32.373748585377953</v>
      </c>
      <c r="AG9376" s="2">
        <f ca="1"/>
        <v>0.58887192114876918</v>
      </c>
      <c r="AH9376" s="2" t="str">
        <f ca="1"/>
        <v>Bad</v>
      </c>
    </row>
    <row r="9377" spans="2:34" x14ac:dyDescent="0.2">
      <c r="B9377" s="2">
        <f ca="1"/>
        <v>9.2269790419417408E-2</v>
      </c>
      <c r="O9377" s="2">
        <f ca="1"/>
        <v>-0.75573571352321933</v>
      </c>
      <c r="X9377" s="2">
        <f ca="1"/>
        <v>37.810296749084308</v>
      </c>
      <c r="AG9377" s="2">
        <f ca="1"/>
        <v>0.74231217679379569</v>
      </c>
      <c r="AH9377" s="2" t="str">
        <f ca="1"/>
        <v>Bad</v>
      </c>
    </row>
    <row r="9378" spans="2:34" x14ac:dyDescent="0.2">
      <c r="B9378" s="2">
        <f ca="1"/>
        <v>0.29610385895280822</v>
      </c>
      <c r="O9378" s="2">
        <f ca="1"/>
        <v>-0.64606069881740846</v>
      </c>
      <c r="X9378" s="2">
        <f ca="1"/>
        <v>63.583932221298305</v>
      </c>
      <c r="AG9378" s="2">
        <f ca="1"/>
        <v>0.30709720911715732</v>
      </c>
      <c r="AH9378" s="2" t="str">
        <f ca="1"/>
        <v>OK</v>
      </c>
    </row>
    <row r="9379" spans="2:34" x14ac:dyDescent="0.2">
      <c r="B9379" s="2">
        <f ca="1"/>
        <v>2.4858554238704755E-4</v>
      </c>
      <c r="O9379" s="2">
        <f ca="1"/>
        <v>0.33343599882773695</v>
      </c>
      <c r="X9379" s="2">
        <f ca="1"/>
        <v>35.992650651808916</v>
      </c>
      <c r="AG9379" s="2">
        <f ca="1"/>
        <v>0.56433989098045978</v>
      </c>
      <c r="AH9379" s="2" t="str">
        <f ca="1"/>
        <v>Bad</v>
      </c>
    </row>
    <row r="9380" spans="2:34" x14ac:dyDescent="0.2">
      <c r="B9380" s="2">
        <f ca="1"/>
        <v>0.83830758942945982</v>
      </c>
      <c r="O9380" s="2">
        <f ca="1"/>
        <v>-0.85948486985054406</v>
      </c>
      <c r="X9380" s="2">
        <f ca="1"/>
        <v>69.163355620274544</v>
      </c>
      <c r="AG9380" s="2">
        <f ca="1"/>
        <v>0.18418505885576542</v>
      </c>
      <c r="AH9380" s="2" t="str">
        <f ca="1"/>
        <v>OK</v>
      </c>
    </row>
    <row r="9381" spans="2:34" x14ac:dyDescent="0.2">
      <c r="B9381" s="2">
        <f ca="1"/>
        <v>0.48067593960811084</v>
      </c>
      <c r="O9381" s="2">
        <f ca="1"/>
        <v>-1.854853617814662</v>
      </c>
      <c r="X9381" s="2">
        <f ca="1"/>
        <v>52.267256460071536</v>
      </c>
      <c r="AG9381" s="2">
        <f ca="1"/>
        <v>0.68060459841427901</v>
      </c>
      <c r="AH9381" s="2" t="str">
        <f ca="1"/>
        <v>Bad</v>
      </c>
    </row>
    <row r="9382" spans="2:34" x14ac:dyDescent="0.2">
      <c r="B9382" s="2">
        <f ca="1"/>
        <v>0.88200118485743428</v>
      </c>
      <c r="O9382" s="2">
        <f ca="1"/>
        <v>-0.13499633214751486</v>
      </c>
      <c r="X9382" s="2">
        <f ca="1"/>
        <v>29.763168369292856</v>
      </c>
      <c r="AG9382" s="2">
        <f ca="1"/>
        <v>3.3598949719182425E-2</v>
      </c>
      <c r="AH9382" s="2" t="str">
        <f ca="1"/>
        <v>Good</v>
      </c>
    </row>
    <row r="9383" spans="2:34" x14ac:dyDescent="0.2">
      <c r="B9383" s="2">
        <f ca="1"/>
        <v>0.669485718678551</v>
      </c>
      <c r="O9383" s="2">
        <f ca="1"/>
        <v>-1.0121836855997095</v>
      </c>
      <c r="X9383" s="2">
        <f ca="1"/>
        <v>44.151061868873491</v>
      </c>
      <c r="AG9383" s="2">
        <f ca="1"/>
        <v>7.2123882683913232E-2</v>
      </c>
      <c r="AH9383" s="2" t="str">
        <f ca="1"/>
        <v>OK</v>
      </c>
    </row>
    <row r="9384" spans="2:34" x14ac:dyDescent="0.2">
      <c r="B9384" s="2">
        <f ca="1"/>
        <v>0.34057413555776073</v>
      </c>
      <c r="O9384" s="2">
        <f ca="1"/>
        <v>0.2798387051393017</v>
      </c>
      <c r="X9384" s="2">
        <f ca="1"/>
        <v>38.030641307742748</v>
      </c>
      <c r="AG9384" s="2">
        <f ca="1"/>
        <v>0.82679191586791068</v>
      </c>
      <c r="AH9384" s="2" t="str">
        <f ca="1"/>
        <v>Bad</v>
      </c>
    </row>
    <row r="9385" spans="2:34" x14ac:dyDescent="0.2">
      <c r="B9385" s="2">
        <f ca="1"/>
        <v>0.52892475500743297</v>
      </c>
      <c r="O9385" s="2">
        <f ca="1"/>
        <v>-0.45774347777920671</v>
      </c>
      <c r="X9385" s="2">
        <f ca="1"/>
        <v>73.644694512825779</v>
      </c>
      <c r="AG9385" s="2">
        <f ca="1"/>
        <v>0.60693459425024021</v>
      </c>
      <c r="AH9385" s="2" t="str">
        <f ca="1"/>
        <v>Bad</v>
      </c>
    </row>
    <row r="9386" spans="2:34" x14ac:dyDescent="0.2">
      <c r="B9386" s="2">
        <f ca="1"/>
        <v>0.15396650237212506</v>
      </c>
      <c r="O9386" s="2">
        <f ca="1"/>
        <v>0.32812851708420482</v>
      </c>
      <c r="X9386" s="2">
        <f ca="1"/>
        <v>49.049448639589627</v>
      </c>
      <c r="AG9386" s="2">
        <f ca="1"/>
        <v>0.35123844369397883</v>
      </c>
      <c r="AH9386" s="2" t="str">
        <f ca="1"/>
        <v>OK</v>
      </c>
    </row>
    <row r="9387" spans="2:34" x14ac:dyDescent="0.2">
      <c r="B9387" s="2">
        <f ca="1"/>
        <v>0.834238349475805</v>
      </c>
      <c r="O9387" s="2">
        <f ca="1"/>
        <v>8.0590746119839587E-2</v>
      </c>
      <c r="X9387" s="2">
        <f ca="1"/>
        <v>46.174210196563443</v>
      </c>
      <c r="AG9387" s="2">
        <f ca="1"/>
        <v>0.15472188836438794</v>
      </c>
      <c r="AH9387" s="2" t="str">
        <f ca="1"/>
        <v>OK</v>
      </c>
    </row>
    <row r="9388" spans="2:34" x14ac:dyDescent="0.2">
      <c r="B9388" s="2">
        <f ca="1"/>
        <v>0.40929784908297617</v>
      </c>
      <c r="O9388" s="2">
        <f ca="1"/>
        <v>-0.15769294510816143</v>
      </c>
      <c r="X9388" s="2">
        <f ca="1"/>
        <v>42.430338890019129</v>
      </c>
      <c r="AG9388" s="2">
        <f ca="1"/>
        <v>0.65592399719034877</v>
      </c>
      <c r="AH9388" s="2" t="str">
        <f ca="1"/>
        <v>Bad</v>
      </c>
    </row>
    <row r="9389" spans="2:34" x14ac:dyDescent="0.2">
      <c r="B9389" s="2">
        <f ca="1"/>
        <v>0.74167460740640734</v>
      </c>
      <c r="O9389" s="2">
        <f ca="1"/>
        <v>1.8566827499942103E-3</v>
      </c>
      <c r="X9389" s="2">
        <f ca="1"/>
        <v>60.469010990132944</v>
      </c>
      <c r="AG9389" s="2">
        <f ca="1"/>
        <v>0.65701802485271066</v>
      </c>
      <c r="AH9389" s="2" t="str">
        <f ca="1"/>
        <v>Bad</v>
      </c>
    </row>
    <row r="9390" spans="2:34" x14ac:dyDescent="0.2">
      <c r="B9390" s="2">
        <f ca="1"/>
        <v>0.99676342362755332</v>
      </c>
      <c r="O9390" s="2">
        <f ca="1"/>
        <v>-0.65904253461387463</v>
      </c>
      <c r="X9390" s="2">
        <f ca="1"/>
        <v>52.709094733501146</v>
      </c>
      <c r="AG9390" s="2">
        <f ca="1"/>
        <v>0.90547195472960018</v>
      </c>
      <c r="AH9390" s="2" t="str">
        <f ca="1"/>
        <v>Bad</v>
      </c>
    </row>
    <row r="9391" spans="2:34" x14ac:dyDescent="0.2">
      <c r="B9391" s="2">
        <f ca="1"/>
        <v>0.34006862523016834</v>
      </c>
      <c r="O9391" s="2">
        <f ca="1"/>
        <v>-0.68475341683396385</v>
      </c>
      <c r="X9391" s="2">
        <f ca="1"/>
        <v>59.768887052231605</v>
      </c>
      <c r="AG9391" s="2">
        <f ca="1"/>
        <v>0.21061499553408969</v>
      </c>
      <c r="AH9391" s="2" t="str">
        <f ca="1"/>
        <v>OK</v>
      </c>
    </row>
    <row r="9392" spans="2:34" x14ac:dyDescent="0.2">
      <c r="B9392" s="2">
        <f ca="1"/>
        <v>0.72994044370639943</v>
      </c>
      <c r="O9392" s="2">
        <f ca="1"/>
        <v>1.246334063052569</v>
      </c>
      <c r="X9392" s="2">
        <f ca="1"/>
        <v>30.170642926882088</v>
      </c>
      <c r="AG9392" s="2">
        <f ca="1"/>
        <v>0.57152931430991871</v>
      </c>
      <c r="AH9392" s="2" t="str">
        <f ca="1"/>
        <v>Bad</v>
      </c>
    </row>
    <row r="9393" spans="2:34" x14ac:dyDescent="0.2">
      <c r="B9393" s="2">
        <f ca="1"/>
        <v>0.97038799015012445</v>
      </c>
      <c r="O9393" s="2">
        <f ca="1"/>
        <v>-0.25751447493703944</v>
      </c>
      <c r="X9393" s="2">
        <f ca="1"/>
        <v>44.147495535954761</v>
      </c>
      <c r="AG9393" s="2">
        <f ca="1"/>
        <v>0.70436397584996624</v>
      </c>
      <c r="AH9393" s="2" t="str">
        <f ca="1"/>
        <v>Bad</v>
      </c>
    </row>
    <row r="9394" spans="2:34" x14ac:dyDescent="0.2">
      <c r="B9394" s="2">
        <f ca="1"/>
        <v>0.16232735565298828</v>
      </c>
      <c r="O9394" s="2">
        <f ca="1"/>
        <v>-1.0219718383766887</v>
      </c>
      <c r="X9394" s="2">
        <f ca="1"/>
        <v>49.821202142693565</v>
      </c>
      <c r="AG9394" s="2">
        <f ca="1"/>
        <v>0.65650748322370212</v>
      </c>
      <c r="AH9394" s="2" t="str">
        <f ca="1"/>
        <v>Bad</v>
      </c>
    </row>
    <row r="9395" spans="2:34" x14ac:dyDescent="0.2">
      <c r="B9395" s="2">
        <f ca="1"/>
        <v>0.90719812371749953</v>
      </c>
      <c r="O9395" s="2">
        <f ca="1"/>
        <v>0.35427340984660982</v>
      </c>
      <c r="X9395" s="2">
        <f ca="1"/>
        <v>69.01431779465571</v>
      </c>
      <c r="AG9395" s="2">
        <f ca="1"/>
        <v>0.85911225107361977</v>
      </c>
      <c r="AH9395" s="2" t="str">
        <f ca="1"/>
        <v>Bad</v>
      </c>
    </row>
    <row r="9396" spans="2:34" x14ac:dyDescent="0.2">
      <c r="B9396" s="2">
        <f ca="1"/>
        <v>0.108243502275299</v>
      </c>
      <c r="O9396" s="2">
        <f ca="1"/>
        <v>-0.40091208512391902</v>
      </c>
      <c r="X9396" s="2">
        <f ca="1"/>
        <v>21.804010245841816</v>
      </c>
      <c r="AG9396" s="2">
        <f ca="1"/>
        <v>0.67953937328059189</v>
      </c>
      <c r="AH9396" s="2" t="str">
        <f ca="1"/>
        <v>Bad</v>
      </c>
    </row>
    <row r="9397" spans="2:34" x14ac:dyDescent="0.2">
      <c r="B9397" s="2">
        <f ca="1"/>
        <v>0.57704488394584907</v>
      </c>
      <c r="O9397" s="2">
        <f ca="1"/>
        <v>5.1289026813733402E-2</v>
      </c>
      <c r="X9397" s="2">
        <f ca="1"/>
        <v>59.225705279168388</v>
      </c>
      <c r="AG9397" s="2">
        <f ca="1"/>
        <v>0.43119364353391632</v>
      </c>
      <c r="AH9397" s="2" t="str">
        <f ca="1"/>
        <v>Bad</v>
      </c>
    </row>
    <row r="9398" spans="2:34" x14ac:dyDescent="0.2">
      <c r="B9398" s="2">
        <f ca="1"/>
        <v>0.45458037961840891</v>
      </c>
      <c r="O9398" s="2">
        <f ca="1"/>
        <v>2.0224296889580362</v>
      </c>
      <c r="X9398" s="2">
        <f ca="1"/>
        <v>37.492768723862511</v>
      </c>
      <c r="AG9398" s="2">
        <f ca="1"/>
        <v>0.74484337608524021</v>
      </c>
      <c r="AH9398" s="2" t="str">
        <f ca="1"/>
        <v>Bad</v>
      </c>
    </row>
    <row r="9399" spans="2:34" x14ac:dyDescent="0.2">
      <c r="B9399" s="2">
        <f ca="1"/>
        <v>0.18498271248403397</v>
      </c>
      <c r="O9399" s="2">
        <f ca="1"/>
        <v>1.2132517419795001</v>
      </c>
      <c r="X9399" s="2">
        <f ca="1"/>
        <v>48.118545034250417</v>
      </c>
      <c r="AG9399" s="2">
        <f ca="1"/>
        <v>0.76056362486810114</v>
      </c>
      <c r="AH9399" s="2" t="str">
        <f ca="1"/>
        <v>Bad</v>
      </c>
    </row>
    <row r="9400" spans="2:34" x14ac:dyDescent="0.2">
      <c r="B9400" s="2">
        <f ca="1"/>
        <v>0.99595763498977541</v>
      </c>
      <c r="O9400" s="2">
        <f ca="1"/>
        <v>-0.36475589266422237</v>
      </c>
      <c r="X9400" s="2">
        <f ca="1"/>
        <v>65.321418053770174</v>
      </c>
      <c r="AG9400" s="2">
        <f ca="1"/>
        <v>0.55584878589613163</v>
      </c>
      <c r="AH9400" s="2" t="str">
        <f ca="1"/>
        <v>Bad</v>
      </c>
    </row>
    <row r="9401" spans="2:34" x14ac:dyDescent="0.2">
      <c r="B9401" s="2">
        <f ca="1"/>
        <v>0.3314394074359055</v>
      </c>
      <c r="O9401" s="2">
        <f ca="1"/>
        <v>0.74002811782116185</v>
      </c>
      <c r="X9401" s="2">
        <f ca="1"/>
        <v>60.082231937066069</v>
      </c>
      <c r="AG9401" s="2">
        <f ca="1"/>
        <v>0.64242055930674646</v>
      </c>
      <c r="AH9401" s="2" t="str">
        <f ca="1"/>
        <v>Bad</v>
      </c>
    </row>
    <row r="9402" spans="2:34" x14ac:dyDescent="0.2">
      <c r="B9402" s="2">
        <f ca="1"/>
        <v>0.49399797797960399</v>
      </c>
      <c r="O9402" s="2">
        <f ca="1"/>
        <v>-0.72792151813622608</v>
      </c>
      <c r="X9402" s="2">
        <f ca="1"/>
        <v>54.503636157058246</v>
      </c>
      <c r="AG9402" s="2">
        <f ca="1"/>
        <v>7.6534691471554561E-2</v>
      </c>
      <c r="AH9402" s="2" t="str">
        <f ca="1"/>
        <v>OK</v>
      </c>
    </row>
    <row r="9403" spans="2:34" x14ac:dyDescent="0.2">
      <c r="B9403" s="2">
        <f ca="1"/>
        <v>0.56209022865391445</v>
      </c>
      <c r="O9403" s="2">
        <f ca="1"/>
        <v>-2.9209238533500506E-2</v>
      </c>
      <c r="X9403" s="2">
        <f ca="1"/>
        <v>48.549913897687119</v>
      </c>
      <c r="AG9403" s="2">
        <f ca="1"/>
        <v>0.60927964563878567</v>
      </c>
      <c r="AH9403" s="2" t="str">
        <f ca="1"/>
        <v>Bad</v>
      </c>
    </row>
    <row r="9404" spans="2:34" x14ac:dyDescent="0.2">
      <c r="B9404" s="2">
        <f ca="1"/>
        <v>0.56188456120239194</v>
      </c>
      <c r="O9404" s="2">
        <f ca="1"/>
        <v>3.7996304067384967E-2</v>
      </c>
      <c r="X9404" s="2">
        <f ca="1"/>
        <v>65.000561150450864</v>
      </c>
      <c r="AG9404" s="2">
        <f ca="1"/>
        <v>0.39923398511509745</v>
      </c>
      <c r="AH9404" s="2" t="str">
        <f ca="1"/>
        <v>OK</v>
      </c>
    </row>
    <row r="9405" spans="2:34" x14ac:dyDescent="0.2">
      <c r="B9405" s="2">
        <f ca="1"/>
        <v>3.7836151525551642E-2</v>
      </c>
      <c r="O9405" s="2">
        <f ca="1"/>
        <v>-1.0414520092733102</v>
      </c>
      <c r="X9405" s="2">
        <f ca="1"/>
        <v>60.971189679949163</v>
      </c>
      <c r="AG9405" s="2">
        <f ca="1"/>
        <v>0.24687983378698286</v>
      </c>
      <c r="AH9405" s="2" t="str">
        <f ca="1"/>
        <v>OK</v>
      </c>
    </row>
    <row r="9406" spans="2:34" x14ac:dyDescent="0.2">
      <c r="B9406" s="2">
        <f ca="1"/>
        <v>0.23427741381328104</v>
      </c>
      <c r="O9406" s="2">
        <f ca="1"/>
        <v>-0.60594925257538457</v>
      </c>
      <c r="X9406" s="2">
        <f ca="1"/>
        <v>43.255503340239372</v>
      </c>
      <c r="AG9406" s="2">
        <f ca="1"/>
        <v>0.82783084390642703</v>
      </c>
      <c r="AH9406" s="2" t="str">
        <f ca="1"/>
        <v>Bad</v>
      </c>
    </row>
    <row r="9407" spans="2:34" x14ac:dyDescent="0.2">
      <c r="B9407" s="2">
        <f ca="1"/>
        <v>0.78258545338015817</v>
      </c>
      <c r="O9407" s="2">
        <f ca="1"/>
        <v>-0.20107792907986297</v>
      </c>
      <c r="X9407" s="2">
        <f ca="1"/>
        <v>74.403122268173462</v>
      </c>
      <c r="AG9407" s="2">
        <f ca="1"/>
        <v>9.4794536438363997E-2</v>
      </c>
      <c r="AH9407" s="2" t="str">
        <f ca="1"/>
        <v>OK</v>
      </c>
    </row>
    <row r="9408" spans="2:34" x14ac:dyDescent="0.2">
      <c r="B9408" s="2">
        <f ca="1"/>
        <v>0.8788708843612556</v>
      </c>
      <c r="O9408" s="2">
        <f ca="1"/>
        <v>-0.84314876460402888</v>
      </c>
      <c r="X9408" s="2">
        <f ca="1"/>
        <v>37.779935032414805</v>
      </c>
      <c r="AG9408" s="2">
        <f ca="1"/>
        <v>0.83215302170472394</v>
      </c>
      <c r="AH9408" s="2" t="str">
        <f ca="1"/>
        <v>Bad</v>
      </c>
    </row>
    <row r="9409" spans="2:34" x14ac:dyDescent="0.2">
      <c r="B9409" s="2">
        <f ca="1"/>
        <v>0.6744325235613351</v>
      </c>
      <c r="O9409" s="2">
        <f ca="1"/>
        <v>-9.6956304124621126E-2</v>
      </c>
      <c r="X9409" s="2">
        <f ca="1"/>
        <v>58.164129852505503</v>
      </c>
      <c r="AG9409" s="2">
        <f ca="1"/>
        <v>0.33513624561815747</v>
      </c>
      <c r="AH9409" s="2" t="str">
        <f ca="1"/>
        <v>OK</v>
      </c>
    </row>
    <row r="9410" spans="2:34" x14ac:dyDescent="0.2">
      <c r="B9410" s="2">
        <f ca="1"/>
        <v>3.0996697558669961E-2</v>
      </c>
      <c r="O9410" s="2">
        <f ca="1"/>
        <v>-1.3927135642146173</v>
      </c>
      <c r="X9410" s="2">
        <f ca="1"/>
        <v>30.890108491202135</v>
      </c>
      <c r="AG9410" s="2">
        <f ca="1"/>
        <v>0.80774980291613074</v>
      </c>
      <c r="AH9410" s="2" t="str">
        <f ca="1"/>
        <v>Bad</v>
      </c>
    </row>
    <row r="9411" spans="2:34" x14ac:dyDescent="0.2">
      <c r="B9411" s="2">
        <f ca="1"/>
        <v>0.41152204585950547</v>
      </c>
      <c r="O9411" s="2">
        <f ca="1"/>
        <v>1.5727957722178825</v>
      </c>
      <c r="X9411" s="2">
        <f ca="1"/>
        <v>58.791434272000913</v>
      </c>
      <c r="AG9411" s="2">
        <f ca="1"/>
        <v>0.37839149565578789</v>
      </c>
      <c r="AH9411" s="2" t="str">
        <f ca="1"/>
        <v>OK</v>
      </c>
    </row>
    <row r="9412" spans="2:34" x14ac:dyDescent="0.2">
      <c r="B9412" s="2">
        <f ca="1"/>
        <v>0.66219500260416519</v>
      </c>
      <c r="O9412" s="2">
        <f ca="1"/>
        <v>2.4685944526475971</v>
      </c>
      <c r="X9412" s="2">
        <f ca="1"/>
        <v>47.067819734371355</v>
      </c>
      <c r="AG9412" s="2">
        <f ca="1"/>
        <v>0.57368767566511369</v>
      </c>
      <c r="AH9412" s="2" t="str">
        <f ca="1"/>
        <v>Bad</v>
      </c>
    </row>
    <row r="9413" spans="2:34" x14ac:dyDescent="0.2">
      <c r="B9413" s="2">
        <f ca="1"/>
        <v>0.4775915585013919</v>
      </c>
      <c r="O9413" s="2">
        <f ca="1"/>
        <v>-0.6612381846183184</v>
      </c>
      <c r="X9413" s="2">
        <f ca="1"/>
        <v>81.919421264783097</v>
      </c>
      <c r="AG9413" s="2">
        <f ca="1"/>
        <v>0.19147189748440563</v>
      </c>
      <c r="AH9413" s="2" t="str">
        <f ca="1"/>
        <v>OK</v>
      </c>
    </row>
    <row r="9414" spans="2:34" x14ac:dyDescent="0.2">
      <c r="B9414" s="2">
        <f ca="1"/>
        <v>1.912454688258558E-2</v>
      </c>
      <c r="O9414" s="2">
        <f ca="1"/>
        <v>-1.6285200183477122</v>
      </c>
      <c r="X9414" s="2">
        <f ca="1"/>
        <v>50.467013236884114</v>
      </c>
      <c r="AG9414" s="2">
        <f ca="1"/>
        <v>0.50769339656789403</v>
      </c>
      <c r="AH9414" s="2" t="str">
        <f ca="1"/>
        <v>Bad</v>
      </c>
    </row>
    <row r="9415" spans="2:34" x14ac:dyDescent="0.2">
      <c r="B9415" s="2">
        <f ca="1"/>
        <v>0.90721330078226003</v>
      </c>
      <c r="O9415" s="2">
        <f ca="1"/>
        <v>-0.99376519729446622</v>
      </c>
      <c r="X9415" s="2">
        <f ca="1"/>
        <v>54.195511436403933</v>
      </c>
      <c r="AG9415" s="2">
        <f ca="1"/>
        <v>0.48172495881009936</v>
      </c>
      <c r="AH9415" s="2" t="str">
        <f ca="1"/>
        <v>Bad</v>
      </c>
    </row>
    <row r="9416" spans="2:34" x14ac:dyDescent="0.2">
      <c r="B9416" s="2">
        <f ca="1"/>
        <v>8.7963639757842937E-2</v>
      </c>
      <c r="O9416" s="2">
        <f ca="1"/>
        <v>-0.48265879864086308</v>
      </c>
      <c r="X9416" s="2">
        <f ca="1"/>
        <v>57.453121350687859</v>
      </c>
      <c r="AG9416" s="2">
        <f ca="1"/>
        <v>0.90062121180465837</v>
      </c>
      <c r="AH9416" s="2" t="str">
        <f ca="1"/>
        <v>Bad</v>
      </c>
    </row>
    <row r="9417" spans="2:34" x14ac:dyDescent="0.2">
      <c r="B9417" s="2">
        <f ca="1"/>
        <v>0.87897251864244619</v>
      </c>
      <c r="O9417" s="2">
        <f ca="1"/>
        <v>-0.18544128479774574</v>
      </c>
      <c r="X9417" s="2">
        <f ca="1"/>
        <v>36.401782468388696</v>
      </c>
      <c r="AG9417" s="2">
        <f ca="1"/>
        <v>0.505806877105903</v>
      </c>
      <c r="AH9417" s="2" t="str">
        <f ca="1"/>
        <v>Bad</v>
      </c>
    </row>
    <row r="9418" spans="2:34" x14ac:dyDescent="0.2">
      <c r="B9418" s="2">
        <f ca="1"/>
        <v>0.19139561421682227</v>
      </c>
      <c r="O9418" s="2">
        <f ca="1"/>
        <v>0.28601465702505935</v>
      </c>
      <c r="X9418" s="2">
        <f ca="1"/>
        <v>50.536061923962691</v>
      </c>
      <c r="AG9418" s="2">
        <f ca="1"/>
        <v>0.85732429359684037</v>
      </c>
      <c r="AH9418" s="2" t="str">
        <f ca="1"/>
        <v>Bad</v>
      </c>
    </row>
    <row r="9419" spans="2:34" x14ac:dyDescent="0.2">
      <c r="B9419" s="2">
        <f ca="1"/>
        <v>0.31508961701386706</v>
      </c>
      <c r="O9419" s="2">
        <f ca="1"/>
        <v>1.8793867094323859</v>
      </c>
      <c r="X9419" s="2">
        <f ca="1"/>
        <v>27.382959536581978</v>
      </c>
      <c r="AG9419" s="2">
        <f ca="1"/>
        <v>0.70971690951007416</v>
      </c>
      <c r="AH9419" s="2" t="str">
        <f ca="1"/>
        <v>Bad</v>
      </c>
    </row>
    <row r="9420" spans="2:34" x14ac:dyDescent="0.2">
      <c r="B9420" s="2">
        <f ca="1"/>
        <v>0.43134638634219669</v>
      </c>
      <c r="O9420" s="2">
        <f ca="1"/>
        <v>-0.5646605070023285</v>
      </c>
      <c r="X9420" s="2">
        <f ca="1"/>
        <v>41.217845474141697</v>
      </c>
      <c r="AG9420" s="2">
        <f ca="1"/>
        <v>0.66165971694765147</v>
      </c>
      <c r="AH9420" s="2" t="str">
        <f ca="1"/>
        <v>Bad</v>
      </c>
    </row>
    <row r="9421" spans="2:34" x14ac:dyDescent="0.2">
      <c r="B9421" s="2">
        <f ca="1"/>
        <v>0.3563798674351597</v>
      </c>
      <c r="O9421" s="2">
        <f ca="1"/>
        <v>0.52866788141758092</v>
      </c>
      <c r="X9421" s="2">
        <f ca="1"/>
        <v>60.091049536688587</v>
      </c>
      <c r="AG9421" s="2">
        <f ca="1"/>
        <v>0.87048115658013292</v>
      </c>
      <c r="AH9421" s="2" t="str">
        <f ca="1"/>
        <v>Bad</v>
      </c>
    </row>
    <row r="9422" spans="2:34" x14ac:dyDescent="0.2">
      <c r="B9422" s="2">
        <f ca="1"/>
        <v>0.60681581962046938</v>
      </c>
      <c r="O9422" s="2">
        <f ca="1"/>
        <v>-0.67153716022045706</v>
      </c>
      <c r="X9422" s="2">
        <f ca="1"/>
        <v>45.078505866326715</v>
      </c>
      <c r="AG9422" s="2">
        <f ca="1"/>
        <v>0.81944889694160472</v>
      </c>
      <c r="AH9422" s="2" t="str">
        <f ca="1"/>
        <v>Bad</v>
      </c>
    </row>
    <row r="9423" spans="2:34" x14ac:dyDescent="0.2">
      <c r="B9423" s="2">
        <f ca="1"/>
        <v>0.68935226383184722</v>
      </c>
      <c r="O9423" s="2">
        <f ca="1"/>
        <v>-0.85410726932914016</v>
      </c>
      <c r="X9423" s="2">
        <f ca="1"/>
        <v>62.087487342868641</v>
      </c>
      <c r="AG9423" s="2">
        <f ca="1"/>
        <v>0.70725195324896029</v>
      </c>
      <c r="AH9423" s="2" t="str">
        <f ca="1"/>
        <v>Bad</v>
      </c>
    </row>
    <row r="9424" spans="2:34" x14ac:dyDescent="0.2">
      <c r="B9424" s="2">
        <f ca="1"/>
        <v>7.5677191239652997E-2</v>
      </c>
      <c r="O9424" s="2">
        <f ca="1"/>
        <v>0.47557215425368243</v>
      </c>
      <c r="X9424" s="2">
        <f ca="1"/>
        <v>49.594914894125409</v>
      </c>
      <c r="AG9424" s="2">
        <f ca="1"/>
        <v>0.72761251383609937</v>
      </c>
      <c r="AH9424" s="2" t="str">
        <f ca="1"/>
        <v>Bad</v>
      </c>
    </row>
    <row r="9425" spans="2:34" x14ac:dyDescent="0.2">
      <c r="B9425" s="2">
        <f ca="1"/>
        <v>0.25927506815827051</v>
      </c>
      <c r="O9425" s="2">
        <f ca="1"/>
        <v>-0.4481068956700261</v>
      </c>
      <c r="X9425" s="2">
        <f ca="1"/>
        <v>45.35961116552037</v>
      </c>
      <c r="AG9425" s="2">
        <f ca="1"/>
        <v>0.40553260614359266</v>
      </c>
      <c r="AH9425" s="2" t="str">
        <f ca="1"/>
        <v>Bad</v>
      </c>
    </row>
    <row r="9426" spans="2:34" x14ac:dyDescent="0.2">
      <c r="B9426" s="2">
        <f ca="1"/>
        <v>0.70981068971238281</v>
      </c>
      <c r="O9426" s="2">
        <f ca="1"/>
        <v>0.18057450783342249</v>
      </c>
      <c r="X9426" s="2">
        <f ca="1"/>
        <v>46.92424121024321</v>
      </c>
      <c r="AG9426" s="2">
        <f ca="1"/>
        <v>6.4032267252980946E-2</v>
      </c>
      <c r="AH9426" s="2" t="str">
        <f ca="1"/>
        <v>OK</v>
      </c>
    </row>
    <row r="9427" spans="2:34" x14ac:dyDescent="0.2">
      <c r="B9427" s="2">
        <f ca="1"/>
        <v>0.2682900050748005</v>
      </c>
      <c r="O9427" s="2">
        <f ca="1"/>
        <v>0.63899823915170062</v>
      </c>
      <c r="X9427" s="2">
        <f ca="1"/>
        <v>40.346161183406146</v>
      </c>
      <c r="AG9427" s="2">
        <f ca="1"/>
        <v>7.4658406000493782E-2</v>
      </c>
      <c r="AH9427" s="2" t="str">
        <f ca="1"/>
        <v>OK</v>
      </c>
    </row>
    <row r="9428" spans="2:34" x14ac:dyDescent="0.2">
      <c r="B9428" s="2">
        <f ca="1"/>
        <v>0.44825078426469567</v>
      </c>
      <c r="O9428" s="2">
        <f ca="1"/>
        <v>0.76653534008051083</v>
      </c>
      <c r="X9428" s="2">
        <f ca="1"/>
        <v>57.268873961347559</v>
      </c>
      <c r="AG9428" s="2">
        <f ca="1"/>
        <v>0.96367697488028337</v>
      </c>
      <c r="AH9428" s="2" t="str">
        <f ca="1"/>
        <v>Bad</v>
      </c>
    </row>
    <row r="9429" spans="2:34" x14ac:dyDescent="0.2">
      <c r="B9429" s="2">
        <f ca="1"/>
        <v>0.50517865627486191</v>
      </c>
      <c r="O9429" s="2">
        <f ca="1"/>
        <v>1.2041245245860579</v>
      </c>
      <c r="X9429" s="2">
        <f ca="1"/>
        <v>49.839981013102282</v>
      </c>
      <c r="AG9429" s="2">
        <f ca="1"/>
        <v>0.20141334379045639</v>
      </c>
      <c r="AH9429" s="2" t="str">
        <f ca="1"/>
        <v>OK</v>
      </c>
    </row>
    <row r="9430" spans="2:34" x14ac:dyDescent="0.2">
      <c r="B9430" s="2">
        <f ca="1"/>
        <v>0.52595103939271137</v>
      </c>
      <c r="O9430" s="2">
        <f ca="1"/>
        <v>1.1357406580001841</v>
      </c>
      <c r="X9430" s="2">
        <f ca="1"/>
        <v>64.698403660038849</v>
      </c>
      <c r="AG9430" s="2">
        <f ca="1"/>
        <v>0.61096429370307548</v>
      </c>
      <c r="AH9430" s="2" t="str">
        <f ca="1"/>
        <v>Bad</v>
      </c>
    </row>
    <row r="9431" spans="2:34" x14ac:dyDescent="0.2">
      <c r="B9431" s="2">
        <f ca="1"/>
        <v>0.883549559867433</v>
      </c>
      <c r="O9431" s="2">
        <f ca="1"/>
        <v>0.26946661243336767</v>
      </c>
      <c r="X9431" s="2">
        <f ca="1"/>
        <v>101.21229126155089</v>
      </c>
      <c r="AG9431" s="2">
        <f ca="1"/>
        <v>0.8181123216234174</v>
      </c>
      <c r="AH9431" s="2" t="str">
        <f ca="1"/>
        <v>Bad</v>
      </c>
    </row>
    <row r="9432" spans="2:34" x14ac:dyDescent="0.2">
      <c r="B9432" s="2">
        <f ca="1"/>
        <v>0.71544735929058767</v>
      </c>
      <c r="O9432" s="2">
        <f ca="1"/>
        <v>-1.5495936737045559</v>
      </c>
      <c r="X9432" s="2">
        <f ca="1"/>
        <v>58.85353084470087</v>
      </c>
      <c r="AG9432" s="2">
        <f ca="1"/>
        <v>0.75320727019351952</v>
      </c>
      <c r="AH9432" s="2" t="str">
        <f ca="1"/>
        <v>Bad</v>
      </c>
    </row>
    <row r="9433" spans="2:34" x14ac:dyDescent="0.2">
      <c r="B9433" s="2">
        <f ca="1"/>
        <v>0.89449407655033619</v>
      </c>
      <c r="O9433" s="2">
        <f ca="1"/>
        <v>0.70822864304057098</v>
      </c>
      <c r="X9433" s="2">
        <f ca="1"/>
        <v>47.634177945104945</v>
      </c>
      <c r="AG9433" s="2">
        <f ca="1"/>
        <v>0.2403178952358358</v>
      </c>
      <c r="AH9433" s="2" t="str">
        <f ca="1"/>
        <v>OK</v>
      </c>
    </row>
    <row r="9434" spans="2:34" x14ac:dyDescent="0.2">
      <c r="B9434" s="2">
        <f ca="1"/>
        <v>0.11220511665162691</v>
      </c>
      <c r="O9434" s="2">
        <f ca="1"/>
        <v>4.3638413855362129E-2</v>
      </c>
      <c r="X9434" s="2">
        <f ca="1"/>
        <v>48.561843153311457</v>
      </c>
      <c r="AG9434" s="2">
        <f ca="1"/>
        <v>0.94486702699459402</v>
      </c>
      <c r="AH9434" s="2" t="str">
        <f ca="1"/>
        <v>Bad</v>
      </c>
    </row>
    <row r="9435" spans="2:34" x14ac:dyDescent="0.2">
      <c r="B9435" s="2">
        <f ca="1"/>
        <v>0.47241478885056276</v>
      </c>
      <c r="O9435" s="2">
        <f ca="1"/>
        <v>0.73524708857337617</v>
      </c>
      <c r="X9435" s="2">
        <f ca="1"/>
        <v>57.106150192942088</v>
      </c>
      <c r="AG9435" s="2">
        <f ca="1"/>
        <v>0.89305326927272755</v>
      </c>
      <c r="AH9435" s="2" t="str">
        <f ca="1"/>
        <v>Bad</v>
      </c>
    </row>
    <row r="9436" spans="2:34" x14ac:dyDescent="0.2">
      <c r="B9436" s="2">
        <f ca="1"/>
        <v>0.10179439370279053</v>
      </c>
      <c r="O9436" s="2">
        <f ca="1"/>
        <v>8.0432107678816617E-2</v>
      </c>
      <c r="X9436" s="2">
        <f ca="1"/>
        <v>52.15725303580772</v>
      </c>
      <c r="AG9436" s="2">
        <f ca="1"/>
        <v>0.7628445929710348</v>
      </c>
      <c r="AH9436" s="2" t="str">
        <f ca="1"/>
        <v>Bad</v>
      </c>
    </row>
    <row r="9437" spans="2:34" x14ac:dyDescent="0.2">
      <c r="B9437" s="2">
        <f ca="1"/>
        <v>0.61202228557974636</v>
      </c>
      <c r="O9437" s="2">
        <f ca="1"/>
        <v>-1.525280842018103</v>
      </c>
      <c r="X9437" s="2">
        <f ca="1"/>
        <v>58.48877898791622</v>
      </c>
      <c r="AG9437" s="2">
        <f ca="1"/>
        <v>0.99939862100481225</v>
      </c>
      <c r="AH9437" s="2" t="str">
        <f ca="1"/>
        <v>Bad</v>
      </c>
    </row>
    <row r="9438" spans="2:34" x14ac:dyDescent="0.2">
      <c r="B9438" s="2">
        <f ca="1"/>
        <v>0.94215588435171527</v>
      </c>
      <c r="O9438" s="2">
        <f ca="1"/>
        <v>-0.93870374203298723</v>
      </c>
      <c r="X9438" s="2">
        <f ca="1"/>
        <v>64.10213225634682</v>
      </c>
      <c r="AG9438" s="2">
        <f ca="1"/>
        <v>0.1673126454761964</v>
      </c>
      <c r="AH9438" s="2" t="str">
        <f ca="1"/>
        <v>OK</v>
      </c>
    </row>
    <row r="9439" spans="2:34" x14ac:dyDescent="0.2">
      <c r="B9439" s="2">
        <f ca="1"/>
        <v>0.27813146717734161</v>
      </c>
      <c r="O9439" s="2">
        <f ca="1"/>
        <v>-0.67056046126875291</v>
      </c>
      <c r="X9439" s="2">
        <f ca="1"/>
        <v>51.720789472168946</v>
      </c>
      <c r="AG9439" s="2">
        <f ca="1"/>
        <v>0.79150525659205084</v>
      </c>
      <c r="AH9439" s="2" t="str">
        <f ca="1"/>
        <v>Bad</v>
      </c>
    </row>
    <row r="9440" spans="2:34" x14ac:dyDescent="0.2">
      <c r="B9440" s="2">
        <f ca="1"/>
        <v>0.22712445298554096</v>
      </c>
      <c r="O9440" s="2">
        <f ca="1"/>
        <v>6.6825557833188887E-2</v>
      </c>
      <c r="X9440" s="2">
        <f ca="1"/>
        <v>37.125084305702536</v>
      </c>
      <c r="AG9440" s="2">
        <f ca="1"/>
        <v>0.40949309007403034</v>
      </c>
      <c r="AH9440" s="2" t="str">
        <f ca="1"/>
        <v>Bad</v>
      </c>
    </row>
    <row r="9441" spans="2:34" x14ac:dyDescent="0.2">
      <c r="B9441" s="2">
        <f ca="1"/>
        <v>0.43664580338990411</v>
      </c>
      <c r="O9441" s="2">
        <f ca="1"/>
        <v>0.18521590083542638</v>
      </c>
      <c r="X9441" s="2">
        <f ca="1"/>
        <v>35.078780900361785</v>
      </c>
      <c r="AG9441" s="2">
        <f ca="1"/>
        <v>0.66652924689375603</v>
      </c>
      <c r="AH9441" s="2" t="str">
        <f ca="1"/>
        <v>Bad</v>
      </c>
    </row>
    <row r="9442" spans="2:34" x14ac:dyDescent="0.2">
      <c r="B9442" s="2">
        <f ca="1"/>
        <v>0.85465314951232108</v>
      </c>
      <c r="O9442" s="2">
        <f ca="1"/>
        <v>-1.091966416757036</v>
      </c>
      <c r="X9442" s="2">
        <f ca="1"/>
        <v>39.816318475375056</v>
      </c>
      <c r="AG9442" s="2">
        <f ca="1"/>
        <v>0.30348137383050267</v>
      </c>
      <c r="AH9442" s="2" t="str">
        <f ca="1"/>
        <v>OK</v>
      </c>
    </row>
    <row r="9443" spans="2:34" x14ac:dyDescent="0.2">
      <c r="B9443" s="2">
        <f ca="1"/>
        <v>0.97356375960078068</v>
      </c>
      <c r="O9443" s="2">
        <f ca="1"/>
        <v>-1.5986887166458101</v>
      </c>
      <c r="X9443" s="2">
        <f ca="1"/>
        <v>33.078160302861882</v>
      </c>
      <c r="AG9443" s="2">
        <f ca="1"/>
        <v>0.95388180694660241</v>
      </c>
      <c r="AH9443" s="2" t="str">
        <f ca="1"/>
        <v>Bad</v>
      </c>
    </row>
    <row r="9444" spans="2:34" x14ac:dyDescent="0.2">
      <c r="B9444" s="2">
        <f ca="1"/>
        <v>0.51991720876927894</v>
      </c>
      <c r="O9444" s="2">
        <f ca="1"/>
        <v>-1.9751129033719479</v>
      </c>
      <c r="X9444" s="2">
        <f ca="1"/>
        <v>47.565525336541761</v>
      </c>
      <c r="AG9444" s="2">
        <f ca="1"/>
        <v>0.88132552350507676</v>
      </c>
      <c r="AH9444" s="2" t="str">
        <f ca="1"/>
        <v>Bad</v>
      </c>
    </row>
    <row r="9445" spans="2:34" x14ac:dyDescent="0.2">
      <c r="B9445" s="2">
        <f ca="1"/>
        <v>0.27800097162606452</v>
      </c>
      <c r="O9445" s="2">
        <f ca="1"/>
        <v>0.58984624424592991</v>
      </c>
      <c r="X9445" s="2">
        <f ca="1"/>
        <v>38.536899282471381</v>
      </c>
      <c r="AG9445" s="2">
        <f ca="1"/>
        <v>0.35131558803872531</v>
      </c>
      <c r="AH9445" s="2" t="str">
        <f ca="1"/>
        <v>OK</v>
      </c>
    </row>
    <row r="9446" spans="2:34" x14ac:dyDescent="0.2">
      <c r="B9446" s="2">
        <f ca="1"/>
        <v>0.31010668077607106</v>
      </c>
      <c r="O9446" s="2">
        <f ca="1"/>
        <v>1.6189501815281067</v>
      </c>
      <c r="X9446" s="2">
        <f ca="1"/>
        <v>72.902819898679269</v>
      </c>
      <c r="AG9446" s="2">
        <f ca="1"/>
        <v>0.62766086012778599</v>
      </c>
      <c r="AH9446" s="2" t="str">
        <f ca="1"/>
        <v>Bad</v>
      </c>
    </row>
    <row r="9447" spans="2:34" x14ac:dyDescent="0.2">
      <c r="B9447" s="2">
        <f ca="1"/>
        <v>0.85056192998990232</v>
      </c>
      <c r="O9447" s="2">
        <f ca="1"/>
        <v>-0.76943594149159855</v>
      </c>
      <c r="X9447" s="2">
        <f ca="1"/>
        <v>93.126577309730436</v>
      </c>
      <c r="AG9447" s="2">
        <f ca="1"/>
        <v>0.25545628439013601</v>
      </c>
      <c r="AH9447" s="2" t="str">
        <f ca="1"/>
        <v>OK</v>
      </c>
    </row>
    <row r="9448" spans="2:34" x14ac:dyDescent="0.2">
      <c r="B9448" s="2">
        <f ca="1"/>
        <v>6.8397535848918611E-3</v>
      </c>
      <c r="O9448" s="2">
        <f ca="1"/>
        <v>-0.77433415967721808</v>
      </c>
      <c r="X9448" s="2">
        <f ca="1"/>
        <v>55.568618768719958</v>
      </c>
      <c r="AG9448" s="2">
        <f ca="1"/>
        <v>0.7193795633787512</v>
      </c>
      <c r="AH9448" s="2" t="str">
        <f ca="1"/>
        <v>Bad</v>
      </c>
    </row>
    <row r="9449" spans="2:34" x14ac:dyDescent="0.2">
      <c r="B9449" s="2">
        <f ca="1"/>
        <v>0.184100495819701</v>
      </c>
      <c r="O9449" s="2">
        <f ca="1"/>
        <v>1.9345921872245393</v>
      </c>
      <c r="X9449" s="2">
        <f ca="1"/>
        <v>34.591170903130354</v>
      </c>
      <c r="AG9449" s="2">
        <f ca="1"/>
        <v>0.57372375521268459</v>
      </c>
      <c r="AH9449" s="2" t="str">
        <f ca="1"/>
        <v>Bad</v>
      </c>
    </row>
    <row r="9450" spans="2:34" x14ac:dyDescent="0.2">
      <c r="B9450" s="2">
        <f ca="1"/>
        <v>0.15306103875809662</v>
      </c>
      <c r="O9450" s="2">
        <f ca="1"/>
        <v>0.39407774980904864</v>
      </c>
      <c r="X9450" s="2">
        <f ca="1"/>
        <v>19.642107983894114</v>
      </c>
      <c r="AG9450" s="2">
        <f ca="1"/>
        <v>0.46030624799747022</v>
      </c>
      <c r="AH9450" s="2" t="str">
        <f ca="1"/>
        <v>Bad</v>
      </c>
    </row>
    <row r="9451" spans="2:34" x14ac:dyDescent="0.2">
      <c r="B9451" s="2">
        <f ca="1"/>
        <v>0.92771612142783622</v>
      </c>
      <c r="O9451" s="2">
        <f ca="1"/>
        <v>5.4539352837717082E-2</v>
      </c>
      <c r="X9451" s="2">
        <f ca="1"/>
        <v>33.496373211118097</v>
      </c>
      <c r="AG9451" s="2">
        <f ca="1"/>
        <v>0.87790862458045948</v>
      </c>
      <c r="AH9451" s="2" t="str">
        <f ca="1"/>
        <v>Bad</v>
      </c>
    </row>
    <row r="9452" spans="2:34" x14ac:dyDescent="0.2">
      <c r="B9452" s="2">
        <f ca="1"/>
        <v>0.17968153625736072</v>
      </c>
      <c r="O9452" s="2">
        <f ca="1"/>
        <v>0.18263254547119032</v>
      </c>
      <c r="X9452" s="2">
        <f ca="1"/>
        <v>42.755638386835003</v>
      </c>
      <c r="AG9452" s="2">
        <f ca="1"/>
        <v>0.12095054873344702</v>
      </c>
      <c r="AH9452" s="2" t="str">
        <f ca="1"/>
        <v>OK</v>
      </c>
    </row>
    <row r="9453" spans="2:34" x14ac:dyDescent="0.2">
      <c r="B9453" s="2">
        <f ca="1"/>
        <v>0.86385465688040863</v>
      </c>
      <c r="O9453" s="2">
        <f ca="1"/>
        <v>0.198506205058296</v>
      </c>
      <c r="X9453" s="2">
        <f ca="1"/>
        <v>52.509445831953613</v>
      </c>
      <c r="AG9453" s="2">
        <f ca="1"/>
        <v>0.30241598279486359</v>
      </c>
      <c r="AH9453" s="2" t="str">
        <f ca="1"/>
        <v>OK</v>
      </c>
    </row>
    <row r="9454" spans="2:34" x14ac:dyDescent="0.2">
      <c r="B9454" s="2">
        <f ca="1"/>
        <v>0.11806298099886603</v>
      </c>
      <c r="O9454" s="2">
        <f ca="1"/>
        <v>0.85837860511138109</v>
      </c>
      <c r="X9454" s="2">
        <f ca="1"/>
        <v>19.451647804566115</v>
      </c>
      <c r="AG9454" s="2">
        <f ca="1"/>
        <v>0.66748625456264943</v>
      </c>
      <c r="AH9454" s="2" t="str">
        <f ca="1"/>
        <v>Bad</v>
      </c>
    </row>
    <row r="9455" spans="2:34" x14ac:dyDescent="0.2">
      <c r="B9455" s="2">
        <f ca="1"/>
        <v>0.35817569134349858</v>
      </c>
      <c r="O9455" s="2">
        <f ca="1"/>
        <v>-0.91085615351047633</v>
      </c>
      <c r="X9455" s="2">
        <f ca="1"/>
        <v>43.988803407528891</v>
      </c>
      <c r="AG9455" s="2">
        <f ca="1"/>
        <v>0.34090996140333152</v>
      </c>
      <c r="AH9455" s="2" t="str">
        <f ca="1"/>
        <v>OK</v>
      </c>
    </row>
    <row r="9456" spans="2:34" x14ac:dyDescent="0.2">
      <c r="B9456" s="2">
        <f ca="1"/>
        <v>0.25754512432551602</v>
      </c>
      <c r="O9456" s="2">
        <f ca="1"/>
        <v>0.14486921481519652</v>
      </c>
      <c r="X9456" s="2">
        <f ca="1"/>
        <v>77.297246913999956</v>
      </c>
      <c r="AG9456" s="2">
        <f ca="1"/>
        <v>0.6907766998618865</v>
      </c>
      <c r="AH9456" s="2" t="str">
        <f ca="1"/>
        <v>Bad</v>
      </c>
    </row>
    <row r="9457" spans="2:34" x14ac:dyDescent="0.2">
      <c r="B9457" s="2">
        <f ca="1"/>
        <v>0.81673054590452732</v>
      </c>
      <c r="O9457" s="2">
        <f ca="1"/>
        <v>0.4017259507310198</v>
      </c>
      <c r="X9457" s="2">
        <f ca="1"/>
        <v>70.048703665943066</v>
      </c>
      <c r="AG9457" s="2">
        <f ca="1"/>
        <v>3.7234631663200624E-2</v>
      </c>
      <c r="AH9457" s="2" t="str">
        <f ca="1"/>
        <v>Good</v>
      </c>
    </row>
    <row r="9458" spans="2:34" x14ac:dyDescent="0.2">
      <c r="B9458" s="2">
        <f ca="1"/>
        <v>0.49605591596664844</v>
      </c>
      <c r="O9458" s="2">
        <f ca="1"/>
        <v>0.58039605162711305</v>
      </c>
      <c r="X9458" s="2">
        <f ca="1"/>
        <v>63.699358185494376</v>
      </c>
      <c r="AG9458" s="2">
        <f ca="1"/>
        <v>0.18257183422872147</v>
      </c>
      <c r="AH9458" s="2" t="str">
        <f ca="1"/>
        <v>OK</v>
      </c>
    </row>
    <row r="9459" spans="2:34" x14ac:dyDescent="0.2">
      <c r="B9459" s="2">
        <f ca="1"/>
        <v>0.21404624227994651</v>
      </c>
      <c r="O9459" s="2">
        <f ca="1"/>
        <v>0.63818657083460351</v>
      </c>
      <c r="X9459" s="2">
        <f ca="1"/>
        <v>59.351501082116144</v>
      </c>
      <c r="AG9459" s="2">
        <f ca="1"/>
        <v>0.59507352978345929</v>
      </c>
      <c r="AH9459" s="2" t="str">
        <f ca="1"/>
        <v>Bad</v>
      </c>
    </row>
    <row r="9460" spans="2:34" x14ac:dyDescent="0.2">
      <c r="B9460" s="2">
        <f ca="1"/>
        <v>0.58561698205922252</v>
      </c>
      <c r="O9460" s="2">
        <f ca="1"/>
        <v>-0.10287246962300883</v>
      </c>
      <c r="X9460" s="2">
        <f ca="1"/>
        <v>61.25609332896574</v>
      </c>
      <c r="AG9460" s="2">
        <f ca="1"/>
        <v>0.3944779938760703</v>
      </c>
      <c r="AH9460" s="2" t="str">
        <f ca="1"/>
        <v>OK</v>
      </c>
    </row>
    <row r="9461" spans="2:34" x14ac:dyDescent="0.2">
      <c r="B9461" s="2">
        <f ca="1"/>
        <v>0.95741303115348808</v>
      </c>
      <c r="O9461" s="2">
        <f ca="1"/>
        <v>0.26905002540224054</v>
      </c>
      <c r="X9461" s="2">
        <f ca="1"/>
        <v>57.307787991125316</v>
      </c>
      <c r="AG9461" s="2">
        <f ca="1"/>
        <v>0.48458888813391909</v>
      </c>
      <c r="AH9461" s="2" t="str">
        <f ca="1"/>
        <v>Bad</v>
      </c>
    </row>
    <row r="9462" spans="2:34" x14ac:dyDescent="0.2">
      <c r="B9462" s="2">
        <f ca="1"/>
        <v>1.2910043560083739E-3</v>
      </c>
      <c r="O9462" s="2">
        <f ca="1"/>
        <v>-1.543171678236164</v>
      </c>
      <c r="X9462" s="2">
        <f ca="1"/>
        <v>44.156018300334161</v>
      </c>
      <c r="AG9462" s="2">
        <f ca="1"/>
        <v>0.96065638995089664</v>
      </c>
      <c r="AH9462" s="2" t="str">
        <f ca="1"/>
        <v>Bad</v>
      </c>
    </row>
    <row r="9463" spans="2:34" x14ac:dyDescent="0.2">
      <c r="B9463" s="2">
        <f ca="1"/>
        <v>0.44369831905807966</v>
      </c>
      <c r="O9463" s="2">
        <f ca="1"/>
        <v>-0.87212989858330436</v>
      </c>
      <c r="X9463" s="2">
        <f ca="1"/>
        <v>56.753292780482809</v>
      </c>
      <c r="AG9463" s="2">
        <f ca="1"/>
        <v>0.74356790178300258</v>
      </c>
      <c r="AH9463" s="2" t="str">
        <f ca="1"/>
        <v>Bad</v>
      </c>
    </row>
    <row r="9464" spans="2:34" x14ac:dyDescent="0.2">
      <c r="B9464" s="2">
        <f ca="1"/>
        <v>0.5977336629686385</v>
      </c>
      <c r="O9464" s="2">
        <f ca="1"/>
        <v>0.4423576396072384</v>
      </c>
      <c r="X9464" s="2">
        <f ca="1"/>
        <v>39.290531350567612</v>
      </c>
      <c r="AG9464" s="2">
        <f ca="1"/>
        <v>0.15956111959608288</v>
      </c>
      <c r="AH9464" s="2" t="str">
        <f ca="1"/>
        <v>OK</v>
      </c>
    </row>
    <row r="9465" spans="2:34" x14ac:dyDescent="0.2">
      <c r="B9465" s="2">
        <f ca="1"/>
        <v>0.68096501598620263</v>
      </c>
      <c r="O9465" s="2">
        <f ca="1"/>
        <v>-0.75570056316860523</v>
      </c>
      <c r="X9465" s="2">
        <f ca="1"/>
        <v>69.473122623372404</v>
      </c>
      <c r="AG9465" s="2">
        <f ca="1"/>
        <v>0.49916052222655294</v>
      </c>
      <c r="AH9465" s="2" t="str">
        <f ca="1"/>
        <v>Bad</v>
      </c>
    </row>
    <row r="9466" spans="2:34" x14ac:dyDescent="0.2">
      <c r="B9466" s="2">
        <f ca="1"/>
        <v>0.73054015369555025</v>
      </c>
      <c r="O9466" s="2">
        <f ca="1"/>
        <v>-3.1321829444505918</v>
      </c>
      <c r="X9466" s="2">
        <f ca="1"/>
        <v>30.302929410723557</v>
      </c>
      <c r="AG9466" s="2">
        <f ca="1"/>
        <v>0.17197043987075644</v>
      </c>
      <c r="AH9466" s="2" t="str">
        <f ca="1"/>
        <v>OK</v>
      </c>
    </row>
    <row r="9467" spans="2:34" x14ac:dyDescent="0.2">
      <c r="B9467" s="2">
        <f ca="1"/>
        <v>0.35027676827560827</v>
      </c>
      <c r="O9467" s="2">
        <f ca="1"/>
        <v>-2.9814359120062556E-2</v>
      </c>
      <c r="X9467" s="2">
        <f ca="1"/>
        <v>56.74823925157834</v>
      </c>
      <c r="AG9467" s="2">
        <f ca="1"/>
        <v>0.94577836792311754</v>
      </c>
      <c r="AH9467" s="2" t="str">
        <f ca="1"/>
        <v>Bad</v>
      </c>
    </row>
    <row r="9468" spans="2:34" x14ac:dyDescent="0.2">
      <c r="B9468" s="2">
        <f ca="1"/>
        <v>0.65890867564395772</v>
      </c>
      <c r="O9468" s="2">
        <f ca="1"/>
        <v>0.96211238834733681</v>
      </c>
      <c r="X9468" s="2">
        <f ca="1"/>
        <v>63.97644323526962</v>
      </c>
      <c r="AG9468" s="2">
        <f ca="1"/>
        <v>0.84540677492024874</v>
      </c>
      <c r="AH9468" s="2" t="str">
        <f ca="1"/>
        <v>Bad</v>
      </c>
    </row>
    <row r="9469" spans="2:34" x14ac:dyDescent="0.2">
      <c r="B9469" s="2">
        <f ca="1"/>
        <v>0.55248710895918651</v>
      </c>
      <c r="O9469" s="2">
        <f ca="1"/>
        <v>0.53990752326617553</v>
      </c>
      <c r="X9469" s="2">
        <f ca="1"/>
        <v>43.402185167027753</v>
      </c>
      <c r="AG9469" s="2">
        <f ca="1"/>
        <v>0.78711718410966935</v>
      </c>
      <c r="AH9469" s="2" t="str">
        <f ca="1"/>
        <v>Bad</v>
      </c>
    </row>
    <row r="9470" spans="2:34" x14ac:dyDescent="0.2">
      <c r="B9470" s="2">
        <f ca="1"/>
        <v>0.86267643039750941</v>
      </c>
      <c r="O9470" s="2">
        <f ca="1"/>
        <v>-0.33873330050201594</v>
      </c>
      <c r="X9470" s="2">
        <f ca="1"/>
        <v>57.259855678599337</v>
      </c>
      <c r="AG9470" s="2">
        <f ca="1"/>
        <v>0.11556138148055384</v>
      </c>
      <c r="AH9470" s="2" t="str">
        <f ca="1"/>
        <v>OK</v>
      </c>
    </row>
    <row r="9471" spans="2:34" x14ac:dyDescent="0.2">
      <c r="B9471" s="2">
        <f ca="1"/>
        <v>6.5112961910760436E-2</v>
      </c>
      <c r="O9471" s="2">
        <f ca="1"/>
        <v>0.15429062430865587</v>
      </c>
      <c r="X9471" s="2">
        <f ca="1"/>
        <v>39.136654457173357</v>
      </c>
      <c r="AG9471" s="2">
        <f ca="1"/>
        <v>0.88903947011690021</v>
      </c>
      <c r="AH9471" s="2" t="str">
        <f ca="1"/>
        <v>Bad</v>
      </c>
    </row>
    <row r="9472" spans="2:34" x14ac:dyDescent="0.2">
      <c r="B9472" s="2">
        <f ca="1"/>
        <v>0.31575352550311542</v>
      </c>
      <c r="O9472" s="2">
        <f ca="1"/>
        <v>-0.20396031470667017</v>
      </c>
      <c r="X9472" s="2">
        <f ca="1"/>
        <v>73.717222232504383</v>
      </c>
      <c r="AG9472" s="2">
        <f ca="1"/>
        <v>0.99627599767159802</v>
      </c>
      <c r="AH9472" s="2" t="str">
        <f ca="1"/>
        <v>Bad</v>
      </c>
    </row>
    <row r="9473" spans="2:34" x14ac:dyDescent="0.2">
      <c r="B9473" s="2">
        <f ca="1"/>
        <v>0.5886224341820836</v>
      </c>
      <c r="O9473" s="2">
        <f ca="1"/>
        <v>1.3801700158665478</v>
      </c>
      <c r="X9473" s="2">
        <f ca="1"/>
        <v>38.132301793295326</v>
      </c>
      <c r="AG9473" s="2">
        <f ca="1"/>
        <v>9.7829635018730432E-2</v>
      </c>
      <c r="AH9473" s="2" t="str">
        <f ca="1"/>
        <v>OK</v>
      </c>
    </row>
    <row r="9474" spans="2:34" x14ac:dyDescent="0.2">
      <c r="B9474" s="2">
        <f ca="1"/>
        <v>0.60074840148988717</v>
      </c>
      <c r="O9474" s="2">
        <f ca="1"/>
        <v>0.15402789610508383</v>
      </c>
      <c r="X9474" s="2">
        <f ca="1"/>
        <v>59.865437933077445</v>
      </c>
      <c r="AG9474" s="2">
        <f ca="1"/>
        <v>0.194065798327274</v>
      </c>
      <c r="AH9474" s="2" t="str">
        <f ca="1"/>
        <v>OK</v>
      </c>
    </row>
    <row r="9475" spans="2:34" x14ac:dyDescent="0.2">
      <c r="B9475" s="2">
        <f ca="1"/>
        <v>0.31709853977047153</v>
      </c>
      <c r="O9475" s="2">
        <f ca="1"/>
        <v>-0.10540284554767555</v>
      </c>
      <c r="X9475" s="2">
        <f ca="1"/>
        <v>46.330228293851135</v>
      </c>
      <c r="AG9475" s="2">
        <f ca="1"/>
        <v>0.2133247627731869</v>
      </c>
      <c r="AH9475" s="2" t="str">
        <f ca="1"/>
        <v>OK</v>
      </c>
    </row>
    <row r="9476" spans="2:34" x14ac:dyDescent="0.2">
      <c r="B9476" s="2">
        <f ca="1"/>
        <v>0.51084987628048362</v>
      </c>
      <c r="O9476" s="2">
        <f ca="1"/>
        <v>1.1293516921521491</v>
      </c>
      <c r="X9476" s="2">
        <f ca="1"/>
        <v>36.68280429329532</v>
      </c>
      <c r="AG9476" s="2">
        <f ca="1"/>
        <v>0.37049831243051745</v>
      </c>
      <c r="AH9476" s="2" t="str">
        <f ca="1"/>
        <v>OK</v>
      </c>
    </row>
    <row r="9477" spans="2:34" x14ac:dyDescent="0.2">
      <c r="B9477" s="2">
        <f ca="1"/>
        <v>0.59627595853508586</v>
      </c>
      <c r="O9477" s="2">
        <f ca="1"/>
        <v>-0.98759276530431894</v>
      </c>
      <c r="X9477" s="2">
        <f ca="1"/>
        <v>40.912697447090196</v>
      </c>
      <c r="AG9477" s="2">
        <f ca="1"/>
        <v>0.12124923941061194</v>
      </c>
      <c r="AH9477" s="2" t="str">
        <f ca="1"/>
        <v>OK</v>
      </c>
    </row>
    <row r="9478" spans="2:34" x14ac:dyDescent="0.2">
      <c r="B9478" s="2">
        <f ca="1"/>
        <v>0.44588517348848566</v>
      </c>
      <c r="O9478" s="2">
        <f ca="1"/>
        <v>-1.0852017739753594</v>
      </c>
      <c r="X9478" s="2">
        <f ca="1"/>
        <v>55.298529154253693</v>
      </c>
      <c r="AG9478" s="2">
        <f ca="1"/>
        <v>0.62735301370114516</v>
      </c>
      <c r="AH9478" s="2" t="str">
        <f ca="1"/>
        <v>Bad</v>
      </c>
    </row>
    <row r="9479" spans="2:34" x14ac:dyDescent="0.2">
      <c r="B9479" s="2">
        <f ca="1"/>
        <v>9.1865722320875198E-2</v>
      </c>
      <c r="O9479" s="2">
        <f ca="1"/>
        <v>-0.93648030021995032</v>
      </c>
      <c r="X9479" s="2">
        <f ca="1"/>
        <v>54.421325834142216</v>
      </c>
      <c r="AG9479" s="2">
        <f ca="1"/>
        <v>0.85903742709775321</v>
      </c>
      <c r="AH9479" s="2" t="str">
        <f ca="1"/>
        <v>Bad</v>
      </c>
    </row>
    <row r="9480" spans="2:34" x14ac:dyDescent="0.2">
      <c r="B9480" s="2">
        <f ca="1"/>
        <v>3.9516015255064874E-2</v>
      </c>
      <c r="O9480" s="2">
        <f ca="1"/>
        <v>-1.3084837110258594</v>
      </c>
      <c r="X9480" s="2">
        <f ca="1"/>
        <v>34.327246719563263</v>
      </c>
      <c r="AG9480" s="2">
        <f ca="1"/>
        <v>0.1198927134916683</v>
      </c>
      <c r="AH9480" s="2" t="str">
        <f ca="1"/>
        <v>OK</v>
      </c>
    </row>
    <row r="9481" spans="2:34" x14ac:dyDescent="0.2">
      <c r="B9481" s="2">
        <f ca="1"/>
        <v>0.98546682711452704</v>
      </c>
      <c r="O9481" s="2">
        <f ca="1"/>
        <v>0.51258743699076248</v>
      </c>
      <c r="X9481" s="2">
        <f ca="1"/>
        <v>42.02321030087073</v>
      </c>
      <c r="AG9481" s="2">
        <f ca="1"/>
        <v>0.3075189845177102</v>
      </c>
      <c r="AH9481" s="2" t="str">
        <f ca="1"/>
        <v>OK</v>
      </c>
    </row>
    <row r="9482" spans="2:34" x14ac:dyDescent="0.2">
      <c r="B9482" s="2">
        <f ca="1"/>
        <v>9.9230234193311562E-2</v>
      </c>
      <c r="O9482" s="2">
        <f ca="1"/>
        <v>-0.26143189667434763</v>
      </c>
      <c r="X9482" s="2">
        <f ca="1"/>
        <v>48.364606435715388</v>
      </c>
      <c r="AG9482" s="2">
        <f ca="1"/>
        <v>0.74172573492283478</v>
      </c>
      <c r="AH9482" s="2" t="str">
        <f ca="1"/>
        <v>Bad</v>
      </c>
    </row>
    <row r="9483" spans="2:34" x14ac:dyDescent="0.2">
      <c r="B9483" s="2">
        <f ca="1"/>
        <v>0.36548554361061569</v>
      </c>
      <c r="O9483" s="2">
        <f ca="1"/>
        <v>-2.6007732013029566E-2</v>
      </c>
      <c r="X9483" s="2">
        <f ca="1"/>
        <v>35.61430485981225</v>
      </c>
      <c r="AG9483" s="2">
        <f ca="1"/>
        <v>0.46879664174121016</v>
      </c>
      <c r="AH9483" s="2" t="str">
        <f ca="1"/>
        <v>Bad</v>
      </c>
    </row>
    <row r="9484" spans="2:34" x14ac:dyDescent="0.2">
      <c r="B9484" s="2">
        <f ca="1"/>
        <v>0.46636360237577712</v>
      </c>
      <c r="O9484" s="2">
        <f ca="1"/>
        <v>-1.1259212489036374</v>
      </c>
      <c r="X9484" s="2">
        <f ca="1"/>
        <v>38.529456210059749</v>
      </c>
      <c r="AG9484" s="2">
        <f ca="1"/>
        <v>0.48293759563198391</v>
      </c>
      <c r="AH9484" s="2" t="str">
        <f ca="1"/>
        <v>Bad</v>
      </c>
    </row>
    <row r="9485" spans="2:34" x14ac:dyDescent="0.2">
      <c r="B9485" s="2">
        <f ca="1"/>
        <v>0.66625518331993905</v>
      </c>
      <c r="O9485" s="2">
        <f ca="1"/>
        <v>1.5278024067493614</v>
      </c>
      <c r="X9485" s="2">
        <f ca="1"/>
        <v>48.768259658368407</v>
      </c>
      <c r="AG9485" s="2">
        <f ca="1"/>
        <v>0.85954541650117955</v>
      </c>
      <c r="AH9485" s="2" t="str">
        <f ca="1"/>
        <v>Bad</v>
      </c>
    </row>
    <row r="9486" spans="2:34" x14ac:dyDescent="0.2">
      <c r="B9486" s="2">
        <f ca="1"/>
        <v>0.88104076248089958</v>
      </c>
      <c r="O9486" s="2">
        <f ca="1"/>
        <v>1.1244031636076213</v>
      </c>
      <c r="X9486" s="2">
        <f ca="1"/>
        <v>33.769724521568357</v>
      </c>
      <c r="AG9486" s="2">
        <f ca="1"/>
        <v>0.79619548466411039</v>
      </c>
      <c r="AH9486" s="2" t="str">
        <f ca="1"/>
        <v>Bad</v>
      </c>
    </row>
    <row r="9487" spans="2:34" x14ac:dyDescent="0.2">
      <c r="B9487" s="2">
        <f ca="1"/>
        <v>0.91126897958415398</v>
      </c>
      <c r="O9487" s="2">
        <f ca="1"/>
        <v>0.42238711113383398</v>
      </c>
      <c r="X9487" s="2">
        <f ca="1"/>
        <v>35.880724764616943</v>
      </c>
      <c r="AG9487" s="2">
        <f ca="1"/>
        <v>0.3233520822300886</v>
      </c>
      <c r="AH9487" s="2" t="str">
        <f ca="1"/>
        <v>OK</v>
      </c>
    </row>
    <row r="9488" spans="2:34" x14ac:dyDescent="0.2">
      <c r="B9488" s="2">
        <f ca="1"/>
        <v>2.3210567620509437E-2</v>
      </c>
      <c r="O9488" s="2">
        <f ca="1"/>
        <v>0.95034294485668136</v>
      </c>
      <c r="X9488" s="2">
        <f ca="1"/>
        <v>61.040004715135424</v>
      </c>
      <c r="AG9488" s="2">
        <f ca="1"/>
        <v>0.92488124658353743</v>
      </c>
      <c r="AH9488" s="2" t="str">
        <f ca="1"/>
        <v>Bad</v>
      </c>
    </row>
    <row r="9489" spans="2:34" x14ac:dyDescent="0.2">
      <c r="B9489" s="2">
        <f ca="1"/>
        <v>0.65059709825147394</v>
      </c>
      <c r="O9489" s="2">
        <f ca="1"/>
        <v>0.43173889483039329</v>
      </c>
      <c r="X9489" s="2">
        <f ca="1"/>
        <v>22.763205470949657</v>
      </c>
      <c r="AG9489" s="2">
        <f ca="1"/>
        <v>0.34552774175748535</v>
      </c>
      <c r="AH9489" s="2" t="str">
        <f ca="1"/>
        <v>OK</v>
      </c>
    </row>
    <row r="9490" spans="2:34" x14ac:dyDescent="0.2">
      <c r="B9490" s="2">
        <f ca="1"/>
        <v>0.99522251571636144</v>
      </c>
      <c r="O9490" s="2">
        <f ca="1"/>
        <v>9.8942706716158582E-2</v>
      </c>
      <c r="X9490" s="2">
        <f ca="1"/>
        <v>45.277443918665185</v>
      </c>
      <c r="AG9490" s="2">
        <f ca="1"/>
        <v>0.65049008864755775</v>
      </c>
      <c r="AH9490" s="2" t="str">
        <f ca="1"/>
        <v>Bad</v>
      </c>
    </row>
    <row r="9491" spans="2:34" x14ac:dyDescent="0.2">
      <c r="B9491" s="2">
        <f ca="1"/>
        <v>0.36818207776274803</v>
      </c>
      <c r="O9491" s="2">
        <f ca="1"/>
        <v>1.0023110456368973</v>
      </c>
      <c r="X9491" s="2">
        <f ca="1"/>
        <v>37.989603865839797</v>
      </c>
      <c r="AG9491" s="2">
        <f ca="1"/>
        <v>0.21515179905957904</v>
      </c>
      <c r="AH9491" s="2" t="str">
        <f ca="1"/>
        <v>OK</v>
      </c>
    </row>
    <row r="9492" spans="2:34" x14ac:dyDescent="0.2">
      <c r="B9492" s="2">
        <f ca="1"/>
        <v>0.57736832549551909</v>
      </c>
      <c r="O9492" s="2">
        <f ca="1"/>
        <v>-0.78761134317326997</v>
      </c>
      <c r="X9492" s="2">
        <f ca="1"/>
        <v>36.738377150381709</v>
      </c>
      <c r="AG9492" s="2">
        <f ca="1"/>
        <v>0.93212440092625415</v>
      </c>
      <c r="AH9492" s="2" t="str">
        <f ca="1"/>
        <v>Bad</v>
      </c>
    </row>
    <row r="9493" spans="2:34" x14ac:dyDescent="0.2">
      <c r="B9493" s="2">
        <f ca="1"/>
        <v>0.80504482750808126</v>
      </c>
      <c r="O9493" s="2">
        <f ca="1"/>
        <v>0.34648300944014315</v>
      </c>
      <c r="X9493" s="2">
        <f ca="1"/>
        <v>46.653505396008711</v>
      </c>
      <c r="AG9493" s="2">
        <f ca="1"/>
        <v>0.22236077605028326</v>
      </c>
      <c r="AH9493" s="2" t="str">
        <f ca="1"/>
        <v>OK</v>
      </c>
    </row>
    <row r="9494" spans="2:34" x14ac:dyDescent="0.2">
      <c r="B9494" s="2">
        <f ca="1"/>
        <v>0.93657329142780132</v>
      </c>
      <c r="O9494" s="2">
        <f ca="1"/>
        <v>-0.19793187175941362</v>
      </c>
      <c r="X9494" s="2">
        <f ca="1"/>
        <v>22.87396154048546</v>
      </c>
      <c r="AG9494" s="2">
        <f ca="1"/>
        <v>3.4663278041405121E-2</v>
      </c>
      <c r="AH9494" s="2" t="str">
        <f ca="1"/>
        <v>Good</v>
      </c>
    </row>
    <row r="9495" spans="2:34" x14ac:dyDescent="0.2">
      <c r="B9495" s="2">
        <f ca="1"/>
        <v>4.3349699655734542E-2</v>
      </c>
      <c r="O9495" s="2">
        <f ca="1"/>
        <v>-0.60517226130624502</v>
      </c>
      <c r="X9495" s="2">
        <f ca="1"/>
        <v>46.982019759055987</v>
      </c>
      <c r="AG9495" s="2">
        <f ca="1"/>
        <v>5.2739585655823706E-2</v>
      </c>
      <c r="AH9495" s="2" t="str">
        <f ca="1"/>
        <v>OK</v>
      </c>
    </row>
    <row r="9496" spans="2:34" x14ac:dyDescent="0.2">
      <c r="B9496" s="2">
        <f ca="1"/>
        <v>0.20311806128837362</v>
      </c>
      <c r="O9496" s="2">
        <f ca="1"/>
        <v>-0.15207546135689318</v>
      </c>
      <c r="X9496" s="2">
        <f ca="1"/>
        <v>57.670090870132427</v>
      </c>
      <c r="AG9496" s="2">
        <f ca="1"/>
        <v>4.9302629283342281E-2</v>
      </c>
      <c r="AH9496" s="2" t="str">
        <f ca="1"/>
        <v>Good</v>
      </c>
    </row>
    <row r="9497" spans="2:34" x14ac:dyDescent="0.2">
      <c r="B9497" s="2">
        <f ca="1"/>
        <v>9.491482942911178E-2</v>
      </c>
      <c r="O9497" s="2">
        <f ca="1"/>
        <v>0.11309860143765449</v>
      </c>
      <c r="X9497" s="2">
        <f ca="1"/>
        <v>33.083728540933464</v>
      </c>
      <c r="AG9497" s="2">
        <f ca="1"/>
        <v>0.86102671998045754</v>
      </c>
      <c r="AH9497" s="2" t="str">
        <f ca="1"/>
        <v>Bad</v>
      </c>
    </row>
    <row r="9498" spans="2:34" x14ac:dyDescent="0.2">
      <c r="B9498" s="2">
        <f ca="1"/>
        <v>0.44367406699885414</v>
      </c>
      <c r="O9498" s="2">
        <f ca="1"/>
        <v>1.1613458207789134</v>
      </c>
      <c r="X9498" s="2">
        <f ca="1"/>
        <v>40.277287738656391</v>
      </c>
      <c r="AG9498" s="2">
        <f ca="1"/>
        <v>1.2006946167852472E-2</v>
      </c>
      <c r="AH9498" s="2" t="str">
        <f ca="1"/>
        <v>Good</v>
      </c>
    </row>
    <row r="9499" spans="2:34" x14ac:dyDescent="0.2">
      <c r="B9499" s="2">
        <f ca="1"/>
        <v>0.78168889911522577</v>
      </c>
      <c r="O9499" s="2">
        <f ca="1"/>
        <v>-0.31915408085380631</v>
      </c>
      <c r="X9499" s="2">
        <f ca="1"/>
        <v>43.038732460572945</v>
      </c>
      <c r="AG9499" s="2">
        <f ca="1"/>
        <v>0.98070403291565311</v>
      </c>
      <c r="AH9499" s="2" t="str">
        <f ca="1"/>
        <v>Bad</v>
      </c>
    </row>
    <row r="9500" spans="2:34" x14ac:dyDescent="0.2">
      <c r="B9500" s="2">
        <f ca="1"/>
        <v>0.60479643543292516</v>
      </c>
      <c r="O9500" s="2">
        <f ca="1"/>
        <v>-0.13294950735407218</v>
      </c>
      <c r="X9500" s="2">
        <f ca="1"/>
        <v>73.088237619891586</v>
      </c>
      <c r="AG9500" s="2">
        <f ca="1"/>
        <v>2.8836691580486518E-2</v>
      </c>
      <c r="AH9500" s="2" t="str">
        <f ca="1"/>
        <v>Good</v>
      </c>
    </row>
    <row r="9501" spans="2:34" x14ac:dyDescent="0.2">
      <c r="B9501" s="2">
        <f ca="1"/>
        <v>0.86394736618916013</v>
      </c>
      <c r="O9501" s="2">
        <f ca="1"/>
        <v>-0.92489018417532054</v>
      </c>
      <c r="X9501" s="2">
        <f ca="1"/>
        <v>29.016358350225786</v>
      </c>
      <c r="AG9501" s="2">
        <f ca="1"/>
        <v>0.46843698730522076</v>
      </c>
      <c r="AH9501" s="2" t="str">
        <f ca="1"/>
        <v>Bad</v>
      </c>
    </row>
    <row r="9502" spans="2:34" x14ac:dyDescent="0.2">
      <c r="B9502" s="2">
        <f ca="1"/>
        <v>0.46295980206388165</v>
      </c>
      <c r="O9502" s="2">
        <f ca="1"/>
        <v>-2.5549466301256464E-2</v>
      </c>
      <c r="X9502" s="2">
        <f ca="1"/>
        <v>37.110094391701018</v>
      </c>
      <c r="AG9502" s="2">
        <f ca="1"/>
        <v>0.85243147685943255</v>
      </c>
      <c r="AH9502" s="2" t="str">
        <f ca="1"/>
        <v>Bad</v>
      </c>
    </row>
    <row r="9503" spans="2:34" x14ac:dyDescent="0.2">
      <c r="B9503" s="2">
        <f ca="1"/>
        <v>0.15910921965501768</v>
      </c>
      <c r="O9503" s="2">
        <f ca="1"/>
        <v>0.99844257962026572</v>
      </c>
      <c r="X9503" s="2">
        <f ca="1"/>
        <v>27.421293144219355</v>
      </c>
      <c r="AG9503" s="2">
        <f ca="1"/>
        <v>0.87713363769869068</v>
      </c>
      <c r="AH9503" s="2" t="str">
        <f ca="1"/>
        <v>Bad</v>
      </c>
    </row>
    <row r="9504" spans="2:34" x14ac:dyDescent="0.2">
      <c r="B9504" s="2">
        <f ca="1"/>
        <v>0.18228222986483211</v>
      </c>
      <c r="O9504" s="2">
        <f ca="1"/>
        <v>0.49545330154849643</v>
      </c>
      <c r="X9504" s="2">
        <f ca="1"/>
        <v>39.18208001541057</v>
      </c>
      <c r="AG9504" s="2">
        <f ca="1"/>
        <v>8.3046401089824418E-2</v>
      </c>
      <c r="AH9504" s="2" t="str">
        <f ca="1"/>
        <v>OK</v>
      </c>
    </row>
    <row r="9505" spans="2:34" x14ac:dyDescent="0.2">
      <c r="B9505" s="2">
        <f ca="1"/>
        <v>6.0050611228547712E-2</v>
      </c>
      <c r="O9505" s="2">
        <f ca="1"/>
        <v>1.6145823108682269</v>
      </c>
      <c r="X9505" s="2">
        <f ca="1"/>
        <v>75.309474499276789</v>
      </c>
      <c r="AG9505" s="2">
        <f ca="1"/>
        <v>2.2053258243093232E-4</v>
      </c>
      <c r="AH9505" s="2" t="str">
        <f ca="1"/>
        <v>Good</v>
      </c>
    </row>
    <row r="9506" spans="2:34" x14ac:dyDescent="0.2">
      <c r="B9506" s="2">
        <f ca="1"/>
        <v>2.810611881478664E-2</v>
      </c>
      <c r="O9506" s="2">
        <f ca="1"/>
        <v>1.4868468524318521</v>
      </c>
      <c r="X9506" s="2">
        <f ca="1"/>
        <v>31.203090267494005</v>
      </c>
      <c r="AG9506" s="2">
        <f ca="1"/>
        <v>0.4544883041708554</v>
      </c>
      <c r="AH9506" s="2" t="str">
        <f ca="1"/>
        <v>Bad</v>
      </c>
    </row>
    <row r="9507" spans="2:34" x14ac:dyDescent="0.2">
      <c r="B9507" s="2">
        <f ca="1"/>
        <v>7.288392932145471E-2</v>
      </c>
      <c r="O9507" s="2">
        <f ca="1"/>
        <v>0.19669630050784423</v>
      </c>
      <c r="X9507" s="2">
        <f ca="1"/>
        <v>54.293985384915679</v>
      </c>
      <c r="AG9507" s="2">
        <f ca="1"/>
        <v>0.97802356899040266</v>
      </c>
      <c r="AH9507" s="2" t="str">
        <f ca="1"/>
        <v>Bad</v>
      </c>
    </row>
    <row r="9508" spans="2:34" x14ac:dyDescent="0.2">
      <c r="B9508" s="2">
        <f ca="1"/>
        <v>0.94181146961297624</v>
      </c>
      <c r="O9508" s="2">
        <f ca="1"/>
        <v>0.47383803766641724</v>
      </c>
      <c r="X9508" s="2">
        <f ca="1"/>
        <v>46.183008124107005</v>
      </c>
      <c r="AG9508" s="2">
        <f ca="1"/>
        <v>0.43686663169974671</v>
      </c>
      <c r="AH9508" s="2" t="str">
        <f ca="1"/>
        <v>Bad</v>
      </c>
    </row>
    <row r="9509" spans="2:34" x14ac:dyDescent="0.2">
      <c r="B9509" s="2">
        <f ca="1"/>
        <v>6.8349985957480541E-2</v>
      </c>
      <c r="O9509" s="2">
        <f ca="1"/>
        <v>0.38243425464369663</v>
      </c>
      <c r="X9509" s="2">
        <f ca="1"/>
        <v>55.21986515177619</v>
      </c>
      <c r="AG9509" s="2">
        <f ca="1"/>
        <v>0.9330340010882161</v>
      </c>
      <c r="AH9509" s="2" t="str">
        <f ca="1"/>
        <v>Bad</v>
      </c>
    </row>
    <row r="9510" spans="2:34" x14ac:dyDescent="0.2">
      <c r="B9510" s="2">
        <f ca="1"/>
        <v>0.55703335912404306</v>
      </c>
      <c r="O9510" s="2">
        <f ca="1"/>
        <v>0.68528119503805129</v>
      </c>
      <c r="X9510" s="2">
        <f ca="1"/>
        <v>69.119020383599207</v>
      </c>
      <c r="AG9510" s="2">
        <f ca="1"/>
        <v>0.96605000494130566</v>
      </c>
      <c r="AH9510" s="2" t="str">
        <f ca="1"/>
        <v>Bad</v>
      </c>
    </row>
    <row r="9511" spans="2:34" x14ac:dyDescent="0.2">
      <c r="B9511" s="2">
        <f ca="1"/>
        <v>0.69864188590375953</v>
      </c>
      <c r="O9511" s="2">
        <f ca="1"/>
        <v>0.79406691725165812</v>
      </c>
      <c r="X9511" s="2">
        <f ca="1"/>
        <v>32.504472857605357</v>
      </c>
      <c r="AG9511" s="2">
        <f ca="1"/>
        <v>0.30759298896039255</v>
      </c>
      <c r="AH9511" s="2" t="str">
        <f ca="1"/>
        <v>OK</v>
      </c>
    </row>
    <row r="9512" spans="2:34" x14ac:dyDescent="0.2">
      <c r="B9512" s="2">
        <f ca="1"/>
        <v>0.81846331574473452</v>
      </c>
      <c r="O9512" s="2">
        <f ca="1"/>
        <v>-0.65758003533704312</v>
      </c>
      <c r="X9512" s="2">
        <f ca="1"/>
        <v>24.551728012173456</v>
      </c>
      <c r="AG9512" s="2">
        <f ca="1"/>
        <v>0.18183469770270766</v>
      </c>
      <c r="AH9512" s="2" t="str">
        <f ca="1"/>
        <v>OK</v>
      </c>
    </row>
    <row r="9513" spans="2:34" x14ac:dyDescent="0.2">
      <c r="B9513" s="2">
        <f ca="1"/>
        <v>0.56767037165672196</v>
      </c>
      <c r="O9513" s="2">
        <f ca="1"/>
        <v>-0.58848297223681079</v>
      </c>
      <c r="X9513" s="2">
        <f ca="1"/>
        <v>44.671343515997506</v>
      </c>
      <c r="AG9513" s="2">
        <f ca="1"/>
        <v>0.62074014517469323</v>
      </c>
      <c r="AH9513" s="2" t="str">
        <f ca="1"/>
        <v>Bad</v>
      </c>
    </row>
    <row r="9514" spans="2:34" x14ac:dyDescent="0.2">
      <c r="B9514" s="2">
        <f ca="1"/>
        <v>0.34087698150764711</v>
      </c>
      <c r="O9514" s="2">
        <f ca="1"/>
        <v>-1.5164277587757227</v>
      </c>
      <c r="X9514" s="2">
        <f ca="1"/>
        <v>40.484008445727262</v>
      </c>
      <c r="AG9514" s="2">
        <f ca="1"/>
        <v>0.67204402609945291</v>
      </c>
      <c r="AH9514" s="2" t="str">
        <f ca="1"/>
        <v>Bad</v>
      </c>
    </row>
    <row r="9515" spans="2:34" x14ac:dyDescent="0.2">
      <c r="B9515" s="2">
        <f ca="1"/>
        <v>0.40833642418170535</v>
      </c>
      <c r="O9515" s="2">
        <f ca="1"/>
        <v>-0.70822812982317962</v>
      </c>
      <c r="X9515" s="2">
        <f ca="1"/>
        <v>32.811704455342905</v>
      </c>
      <c r="AG9515" s="2">
        <f ca="1"/>
        <v>0.62475051551455762</v>
      </c>
      <c r="AH9515" s="2" t="str">
        <f ca="1"/>
        <v>Bad</v>
      </c>
    </row>
    <row r="9516" spans="2:34" x14ac:dyDescent="0.2">
      <c r="B9516" s="2">
        <f ca="1"/>
        <v>0.15784375005966678</v>
      </c>
      <c r="O9516" s="2">
        <f ca="1"/>
        <v>1.583330667520892</v>
      </c>
      <c r="X9516" s="2">
        <f ca="1"/>
        <v>58.189107533190175</v>
      </c>
      <c r="AG9516" s="2">
        <f ca="1"/>
        <v>0.9154560197067827</v>
      </c>
      <c r="AH9516" s="2" t="str">
        <f ca="1"/>
        <v>Bad</v>
      </c>
    </row>
    <row r="9517" spans="2:34" x14ac:dyDescent="0.2">
      <c r="B9517" s="2">
        <f ca="1"/>
        <v>0.98843323340284939</v>
      </c>
      <c r="O9517" s="2">
        <f ca="1"/>
        <v>0.17036981251705094</v>
      </c>
      <c r="X9517" s="2">
        <f ca="1"/>
        <v>37.779142060554037</v>
      </c>
      <c r="AG9517" s="2">
        <f ca="1"/>
        <v>0.52392316226416025</v>
      </c>
      <c r="AH9517" s="2" t="str">
        <f ca="1"/>
        <v>Bad</v>
      </c>
    </row>
    <row r="9518" spans="2:34" x14ac:dyDescent="0.2">
      <c r="B9518" s="2">
        <f ca="1"/>
        <v>0.42093119808767354</v>
      </c>
      <c r="O9518" s="2">
        <f ca="1"/>
        <v>0.77616163478897926</v>
      </c>
      <c r="X9518" s="2">
        <f ca="1"/>
        <v>57.254464534948099</v>
      </c>
      <c r="AG9518" s="2">
        <f ca="1"/>
        <v>0.7596423381691535</v>
      </c>
      <c r="AH9518" s="2" t="str">
        <f ca="1"/>
        <v>Bad</v>
      </c>
    </row>
    <row r="9519" spans="2:34" x14ac:dyDescent="0.2">
      <c r="B9519" s="2">
        <f ca="1"/>
        <v>8.8581409764280084E-2</v>
      </c>
      <c r="O9519" s="2">
        <f ca="1"/>
        <v>-0.51002592295784344</v>
      </c>
      <c r="X9519" s="2">
        <f ca="1"/>
        <v>60.379176470571693</v>
      </c>
      <c r="AG9519" s="2">
        <f ca="1"/>
        <v>0.5058732540365658</v>
      </c>
      <c r="AH9519" s="2" t="str">
        <f ca="1"/>
        <v>Bad</v>
      </c>
    </row>
    <row r="9520" spans="2:34" x14ac:dyDescent="0.2">
      <c r="B9520" s="2">
        <f ca="1"/>
        <v>0.65594481047134101</v>
      </c>
      <c r="O9520" s="2">
        <f ca="1"/>
        <v>0.85220273625799869</v>
      </c>
      <c r="X9520" s="2">
        <f ca="1"/>
        <v>36.294471583479414</v>
      </c>
      <c r="AG9520" s="2">
        <f ca="1"/>
        <v>0.6491948882233296</v>
      </c>
      <c r="AH9520" s="2" t="str">
        <f ca="1"/>
        <v>Bad</v>
      </c>
    </row>
    <row r="9521" spans="2:34" x14ac:dyDescent="0.2">
      <c r="B9521" s="2">
        <f ca="1"/>
        <v>0.18898592241435574</v>
      </c>
      <c r="O9521" s="2">
        <f ca="1"/>
        <v>2.0466846470650761</v>
      </c>
      <c r="X9521" s="2">
        <f ca="1"/>
        <v>70.196760602371086</v>
      </c>
      <c r="AG9521" s="2">
        <f ca="1"/>
        <v>0.86653655962306653</v>
      </c>
      <c r="AH9521" s="2" t="str">
        <f ca="1"/>
        <v>Bad</v>
      </c>
    </row>
    <row r="9522" spans="2:34" x14ac:dyDescent="0.2">
      <c r="B9522" s="2">
        <f ca="1"/>
        <v>0.93762966458850094</v>
      </c>
      <c r="O9522" s="2">
        <f ca="1"/>
        <v>0.94893290226568416</v>
      </c>
      <c r="X9522" s="2">
        <f ca="1"/>
        <v>42.354242509624527</v>
      </c>
      <c r="AG9522" s="2">
        <f ca="1"/>
        <v>0.72340285294967765</v>
      </c>
      <c r="AH9522" s="2" t="str">
        <f ca="1"/>
        <v>Bad</v>
      </c>
    </row>
    <row r="9523" spans="2:34" x14ac:dyDescent="0.2">
      <c r="B9523" s="2">
        <f ca="1"/>
        <v>0.12152472286435301</v>
      </c>
      <c r="O9523" s="2">
        <f ca="1"/>
        <v>-1.5355365810874742</v>
      </c>
      <c r="X9523" s="2">
        <f ca="1"/>
        <v>42.027786688000212</v>
      </c>
      <c r="AG9523" s="2">
        <f ca="1"/>
        <v>0.47759129779109322</v>
      </c>
      <c r="AH9523" s="2" t="str">
        <f ca="1"/>
        <v>Bad</v>
      </c>
    </row>
    <row r="9524" spans="2:34" x14ac:dyDescent="0.2">
      <c r="B9524" s="2">
        <f ca="1"/>
        <v>0.16825316506223764</v>
      </c>
      <c r="O9524" s="2">
        <f ca="1"/>
        <v>-1.6319122083777855</v>
      </c>
      <c r="X9524" s="2">
        <f ca="1"/>
        <v>39.61288593421321</v>
      </c>
      <c r="AG9524" s="2">
        <f ca="1"/>
        <v>5.0842384817273434E-2</v>
      </c>
      <c r="AH9524" s="2" t="str">
        <f ca="1"/>
        <v>OK</v>
      </c>
    </row>
    <row r="9525" spans="2:34" x14ac:dyDescent="0.2">
      <c r="B9525" s="2">
        <f ca="1"/>
        <v>0.30322042013914241</v>
      </c>
      <c r="O9525" s="2">
        <f ca="1"/>
        <v>-0.11172902836179967</v>
      </c>
      <c r="X9525" s="2">
        <f ca="1"/>
        <v>88.484938257385295</v>
      </c>
      <c r="AG9525" s="2">
        <f ca="1"/>
        <v>0.73419841686628495</v>
      </c>
      <c r="AH9525" s="2" t="str">
        <f ca="1"/>
        <v>Bad</v>
      </c>
    </row>
    <row r="9526" spans="2:34" x14ac:dyDescent="0.2">
      <c r="B9526" s="2">
        <f ca="1"/>
        <v>4.3964519247975176E-2</v>
      </c>
      <c r="O9526" s="2">
        <f ca="1"/>
        <v>-0.90575376969830756</v>
      </c>
      <c r="X9526" s="2">
        <f ca="1"/>
        <v>53.071038652683661</v>
      </c>
      <c r="AG9526" s="2">
        <f ca="1"/>
        <v>0.68224322173159657</v>
      </c>
      <c r="AH9526" s="2" t="str">
        <f ca="1"/>
        <v>Bad</v>
      </c>
    </row>
    <row r="9527" spans="2:34" x14ac:dyDescent="0.2">
      <c r="B9527" s="2">
        <f ca="1"/>
        <v>0.37566820422305969</v>
      </c>
      <c r="O9527" s="2">
        <f ca="1"/>
        <v>2.4623519306143664</v>
      </c>
      <c r="X9527" s="2">
        <f ca="1"/>
        <v>43.255457940100683</v>
      </c>
      <c r="AG9527" s="2">
        <f ca="1"/>
        <v>0.77119278136269975</v>
      </c>
      <c r="AH9527" s="2" t="str">
        <f ca="1"/>
        <v>Bad</v>
      </c>
    </row>
    <row r="9528" spans="2:34" x14ac:dyDescent="0.2">
      <c r="B9528" s="2">
        <f ca="1"/>
        <v>0.70858292447626336</v>
      </c>
      <c r="O9528" s="2">
        <f ca="1"/>
        <v>1.0536843958032658</v>
      </c>
      <c r="X9528" s="2">
        <f ca="1"/>
        <v>75.463820430243999</v>
      </c>
      <c r="AG9528" s="2">
        <f ca="1"/>
        <v>0.50652479979682563</v>
      </c>
      <c r="AH9528" s="2" t="str">
        <f ca="1"/>
        <v>Bad</v>
      </c>
    </row>
    <row r="9529" spans="2:34" x14ac:dyDescent="0.2">
      <c r="B9529" s="2">
        <f ca="1"/>
        <v>0.11437944157264779</v>
      </c>
      <c r="O9529" s="2">
        <f ca="1"/>
        <v>1.5801169020805244</v>
      </c>
      <c r="X9529" s="2">
        <f ca="1"/>
        <v>52.230932948918081</v>
      </c>
      <c r="AG9529" s="2">
        <f ca="1"/>
        <v>0.48660637101245108</v>
      </c>
      <c r="AH9529" s="2" t="str">
        <f ca="1"/>
        <v>Bad</v>
      </c>
    </row>
    <row r="9530" spans="2:34" x14ac:dyDescent="0.2">
      <c r="B9530" s="2">
        <f ca="1"/>
        <v>0.30602443004370916</v>
      </c>
      <c r="O9530" s="2">
        <f ca="1"/>
        <v>-0.15490456922954282</v>
      </c>
      <c r="X9530" s="2">
        <f ca="1"/>
        <v>46.519577022646814</v>
      </c>
      <c r="AG9530" s="2">
        <f ca="1"/>
        <v>0.7426664895458277</v>
      </c>
      <c r="AH9530" s="2" t="str">
        <f ca="1"/>
        <v>Bad</v>
      </c>
    </row>
    <row r="9531" spans="2:34" x14ac:dyDescent="0.2">
      <c r="B9531" s="2">
        <f ca="1"/>
        <v>0.29858060177101864</v>
      </c>
      <c r="O9531" s="2">
        <f ca="1"/>
        <v>-0.24144657814432099</v>
      </c>
      <c r="X9531" s="2">
        <f ca="1"/>
        <v>40.944044485373787</v>
      </c>
      <c r="AG9531" s="2">
        <f ca="1"/>
        <v>0.14843783145762113</v>
      </c>
      <c r="AH9531" s="2" t="str">
        <f ca="1"/>
        <v>OK</v>
      </c>
    </row>
    <row r="9532" spans="2:34" x14ac:dyDescent="0.2">
      <c r="B9532" s="2">
        <f ca="1"/>
        <v>0.11238521992012118</v>
      </c>
      <c r="O9532" s="2">
        <f ca="1"/>
        <v>1.3673590479698664E-2</v>
      </c>
      <c r="X9532" s="2">
        <f ca="1"/>
        <v>59.573071016038071</v>
      </c>
      <c r="AG9532" s="2">
        <f ca="1"/>
        <v>0.5693100566150342</v>
      </c>
      <c r="AH9532" s="2" t="str">
        <f ca="1"/>
        <v>Bad</v>
      </c>
    </row>
    <row r="9533" spans="2:34" x14ac:dyDescent="0.2">
      <c r="B9533" s="2">
        <f ca="1"/>
        <v>0.43984988715322992</v>
      </c>
      <c r="O9533" s="2">
        <f ca="1"/>
        <v>0.71500500405169554</v>
      </c>
      <c r="X9533" s="2">
        <f ca="1"/>
        <v>53.189623689751151</v>
      </c>
      <c r="AG9533" s="2">
        <f ca="1"/>
        <v>0.4065995643420437</v>
      </c>
      <c r="AH9533" s="2" t="str">
        <f ca="1"/>
        <v>Bad</v>
      </c>
    </row>
    <row r="9534" spans="2:34" x14ac:dyDescent="0.2">
      <c r="B9534" s="2">
        <f ca="1"/>
        <v>0.94384945723188429</v>
      </c>
      <c r="O9534" s="2">
        <f ca="1"/>
        <v>0.28810312655521986</v>
      </c>
      <c r="X9534" s="2">
        <f ca="1"/>
        <v>54.803441175055255</v>
      </c>
      <c r="AG9534" s="2">
        <f ca="1"/>
        <v>0.18638197331655282</v>
      </c>
      <c r="AH9534" s="2" t="str">
        <f ca="1"/>
        <v>OK</v>
      </c>
    </row>
    <row r="9535" spans="2:34" x14ac:dyDescent="0.2">
      <c r="B9535" s="2">
        <f ca="1"/>
        <v>1.2939501401930453E-2</v>
      </c>
      <c r="O9535" s="2">
        <f ca="1"/>
        <v>0.50563501062851135</v>
      </c>
      <c r="X9535" s="2">
        <f ca="1"/>
        <v>20.932378167053038</v>
      </c>
      <c r="AG9535" s="2">
        <f ca="1"/>
        <v>0.35288305490200145</v>
      </c>
      <c r="AH9535" s="2" t="str">
        <f ca="1"/>
        <v>OK</v>
      </c>
    </row>
    <row r="9536" spans="2:34" x14ac:dyDescent="0.2">
      <c r="B9536" s="2">
        <f ca="1"/>
        <v>0.131137531966252</v>
      </c>
      <c r="O9536" s="2">
        <f ca="1"/>
        <v>-0.80553562156145053</v>
      </c>
      <c r="X9536" s="2">
        <f ca="1"/>
        <v>29.702661293039043</v>
      </c>
      <c r="AG9536" s="2">
        <f ca="1"/>
        <v>0.79630249489818561</v>
      </c>
      <c r="AH9536" s="2" t="str">
        <f ca="1"/>
        <v>Bad</v>
      </c>
    </row>
    <row r="9537" spans="2:34" x14ac:dyDescent="0.2">
      <c r="B9537" s="2">
        <f ca="1"/>
        <v>0.30428924979445537</v>
      </c>
      <c r="O9537" s="2">
        <f ca="1"/>
        <v>0.92286831716486839</v>
      </c>
      <c r="X9537" s="2">
        <f ca="1"/>
        <v>40.661389691219171</v>
      </c>
      <c r="AG9537" s="2">
        <f ca="1"/>
        <v>0.43964993700258037</v>
      </c>
      <c r="AH9537" s="2" t="str">
        <f ca="1"/>
        <v>Bad</v>
      </c>
    </row>
    <row r="9538" spans="2:34" x14ac:dyDescent="0.2">
      <c r="B9538" s="2">
        <f ca="1"/>
        <v>0.32067491499551126</v>
      </c>
      <c r="O9538" s="2">
        <f ca="1"/>
        <v>0.12720724448187032</v>
      </c>
      <c r="X9538" s="2">
        <f ca="1"/>
        <v>33.755790005397259</v>
      </c>
      <c r="AG9538" s="2">
        <f ca="1"/>
        <v>0.89599732493943618</v>
      </c>
      <c r="AH9538" s="2" t="str">
        <f ca="1"/>
        <v>Bad</v>
      </c>
    </row>
    <row r="9539" spans="2:34" x14ac:dyDescent="0.2">
      <c r="B9539" s="2">
        <f ca="1"/>
        <v>3.631414161028701E-2</v>
      </c>
      <c r="O9539" s="2">
        <f ca="1"/>
        <v>1.1561693855518413</v>
      </c>
      <c r="X9539" s="2">
        <f ca="1"/>
        <v>58.502038781984034</v>
      </c>
      <c r="AG9539" s="2">
        <f ca="1"/>
        <v>9.2965048848360654E-2</v>
      </c>
      <c r="AH9539" s="2" t="str">
        <f ca="1"/>
        <v>OK</v>
      </c>
    </row>
    <row r="9540" spans="2:34" x14ac:dyDescent="0.2">
      <c r="B9540" s="2">
        <f ca="1"/>
        <v>0.80545311728010094</v>
      </c>
      <c r="O9540" s="2">
        <f ca="1"/>
        <v>0.9975598654123119</v>
      </c>
      <c r="X9540" s="2">
        <f ca="1"/>
        <v>49.334147541298506</v>
      </c>
      <c r="AG9540" s="2">
        <f ca="1"/>
        <v>0.860644469846233</v>
      </c>
      <c r="AH9540" s="2" t="str">
        <f ca="1"/>
        <v>Bad</v>
      </c>
    </row>
    <row r="9541" spans="2:34" x14ac:dyDescent="0.2">
      <c r="B9541" s="2">
        <f ca="1"/>
        <v>0.12973923317528135</v>
      </c>
      <c r="O9541" s="2">
        <f ca="1"/>
        <v>-5.8458138298422113E-2</v>
      </c>
      <c r="X9541" s="2">
        <f ca="1"/>
        <v>49.223991196741757</v>
      </c>
      <c r="AG9541" s="2">
        <f ca="1"/>
        <v>0.41546054531105092</v>
      </c>
      <c r="AH9541" s="2" t="str">
        <f ca="1"/>
        <v>Bad</v>
      </c>
    </row>
    <row r="9542" spans="2:34" x14ac:dyDescent="0.2">
      <c r="B9542" s="2">
        <f ca="1"/>
        <v>9.7515981043241329E-2</v>
      </c>
      <c r="O9542" s="2">
        <f ca="1"/>
        <v>-0.36336773802810085</v>
      </c>
      <c r="X9542" s="2">
        <f ca="1"/>
        <v>55.968868264141243</v>
      </c>
      <c r="AG9542" s="2">
        <f ca="1"/>
        <v>0.64929706689405586</v>
      </c>
      <c r="AH9542" s="2" t="str">
        <f ca="1"/>
        <v>Bad</v>
      </c>
    </row>
    <row r="9543" spans="2:34" x14ac:dyDescent="0.2">
      <c r="B9543" s="2">
        <f ca="1"/>
        <v>0.24972267397114845</v>
      </c>
      <c r="O9543" s="2">
        <f ca="1"/>
        <v>-0.99315405194414508</v>
      </c>
      <c r="X9543" s="2">
        <f ca="1"/>
        <v>34.38072237877445</v>
      </c>
      <c r="AG9543" s="2">
        <f ca="1"/>
        <v>0.2687389742023103</v>
      </c>
      <c r="AH9543" s="2" t="str">
        <f ca="1"/>
        <v>OK</v>
      </c>
    </row>
    <row r="9544" spans="2:34" x14ac:dyDescent="0.2">
      <c r="B9544" s="2">
        <f ca="1"/>
        <v>0.60535636108181778</v>
      </c>
      <c r="O9544" s="2">
        <f ca="1"/>
        <v>1.6369500399812189</v>
      </c>
      <c r="X9544" s="2">
        <f ca="1"/>
        <v>33.751394117010193</v>
      </c>
      <c r="AG9544" s="2">
        <f ca="1"/>
        <v>0.50152776629064455</v>
      </c>
      <c r="AH9544" s="2" t="str">
        <f ca="1"/>
        <v>Bad</v>
      </c>
    </row>
    <row r="9545" spans="2:34" x14ac:dyDescent="0.2">
      <c r="B9545" s="2">
        <f ca="1"/>
        <v>0.67298628840570829</v>
      </c>
      <c r="O9545" s="2">
        <f ca="1"/>
        <v>-1.1259778773071556E-2</v>
      </c>
      <c r="X9545" s="2">
        <f ca="1"/>
        <v>91.966029038941201</v>
      </c>
      <c r="AG9545" s="2">
        <f ca="1"/>
        <v>0.14199945647076118</v>
      </c>
      <c r="AH9545" s="2" t="str">
        <f ca="1"/>
        <v>OK</v>
      </c>
    </row>
    <row r="9546" spans="2:34" x14ac:dyDescent="0.2">
      <c r="B9546" s="2">
        <f ca="1"/>
        <v>0.19612327296610377</v>
      </c>
      <c r="O9546" s="2">
        <f ca="1"/>
        <v>-1.440150463669075</v>
      </c>
      <c r="X9546" s="2">
        <f ca="1"/>
        <v>40.154136672239169</v>
      </c>
      <c r="AG9546" s="2">
        <f ca="1"/>
        <v>0.52992573623778183</v>
      </c>
      <c r="AH9546" s="2" t="str">
        <f ca="1"/>
        <v>Bad</v>
      </c>
    </row>
    <row r="9547" spans="2:34" x14ac:dyDescent="0.2">
      <c r="B9547" s="2">
        <f ca="1"/>
        <v>0.28852493449307937</v>
      </c>
      <c r="O9547" s="2">
        <f ca="1"/>
        <v>0.98992170000747171</v>
      </c>
      <c r="X9547" s="2">
        <f ca="1"/>
        <v>31.317838448167471</v>
      </c>
      <c r="AG9547" s="2">
        <f ca="1"/>
        <v>0.54600051896145319</v>
      </c>
      <c r="AH9547" s="2" t="str">
        <f ca="1"/>
        <v>Bad</v>
      </c>
    </row>
    <row r="9548" spans="2:34" x14ac:dyDescent="0.2">
      <c r="B9548" s="2">
        <f ca="1"/>
        <v>0.43862992669574963</v>
      </c>
      <c r="O9548" s="2">
        <f ca="1"/>
        <v>-1.6598396802523283</v>
      </c>
      <c r="X9548" s="2">
        <f ca="1"/>
        <v>34.648336919517881</v>
      </c>
      <c r="AG9548" s="2">
        <f ca="1"/>
        <v>0.37625995520030875</v>
      </c>
      <c r="AH9548" s="2" t="str">
        <f ca="1"/>
        <v>OK</v>
      </c>
    </row>
    <row r="9549" spans="2:34" x14ac:dyDescent="0.2">
      <c r="B9549" s="2">
        <f ca="1"/>
        <v>0.19191216026358249</v>
      </c>
      <c r="O9549" s="2">
        <f ca="1"/>
        <v>-2.4208798285519149</v>
      </c>
      <c r="X9549" s="2">
        <f ca="1"/>
        <v>34.415506429758764</v>
      </c>
      <c r="AG9549" s="2">
        <f ca="1"/>
        <v>0.15240959182400182</v>
      </c>
      <c r="AH9549" s="2" t="str">
        <f ca="1"/>
        <v>OK</v>
      </c>
    </row>
    <row r="9550" spans="2:34" x14ac:dyDescent="0.2">
      <c r="B9550" s="2">
        <f ca="1"/>
        <v>0.13814929161247802</v>
      </c>
      <c r="O9550" s="2">
        <f ca="1"/>
        <v>6.1149152461331104E-2</v>
      </c>
      <c r="X9550" s="2">
        <f ca="1"/>
        <v>46.623179955028149</v>
      </c>
      <c r="AG9550" s="2">
        <f ca="1"/>
        <v>0.900643014322841</v>
      </c>
      <c r="AH9550" s="2" t="str">
        <f ca="1"/>
        <v>Bad</v>
      </c>
    </row>
    <row r="9551" spans="2:34" x14ac:dyDescent="0.2">
      <c r="B9551" s="2">
        <f ca="1"/>
        <v>0.8443673347087246</v>
      </c>
      <c r="O9551" s="2">
        <f ca="1"/>
        <v>-0.40234153745694756</v>
      </c>
      <c r="X9551" s="2">
        <f ca="1"/>
        <v>117.64625801438827</v>
      </c>
      <c r="AG9551" s="2">
        <f ca="1"/>
        <v>0.82453147195879284</v>
      </c>
      <c r="AH9551" s="2" t="str">
        <f ca="1"/>
        <v>Bad</v>
      </c>
    </row>
    <row r="9552" spans="2:34" x14ac:dyDescent="0.2">
      <c r="B9552" s="2">
        <f ca="1"/>
        <v>0.93176537816701965</v>
      </c>
      <c r="O9552" s="2">
        <f ca="1"/>
        <v>-0.84187053171117077</v>
      </c>
      <c r="X9552" s="2">
        <f ca="1"/>
        <v>29.832311822795528</v>
      </c>
      <c r="AG9552" s="2">
        <f ca="1"/>
        <v>0.40842936079947689</v>
      </c>
      <c r="AH9552" s="2" t="str">
        <f ca="1"/>
        <v>Bad</v>
      </c>
    </row>
    <row r="9553" spans="2:34" x14ac:dyDescent="0.2">
      <c r="B9553" s="2">
        <f ca="1"/>
        <v>0.16015792532986439</v>
      </c>
      <c r="O9553" s="2">
        <f ca="1"/>
        <v>-2.4308734902338789E-2</v>
      </c>
      <c r="X9553" s="2">
        <f ca="1"/>
        <v>31.605651959589686</v>
      </c>
      <c r="AG9553" s="2">
        <f ca="1"/>
        <v>0.34492769572816906</v>
      </c>
      <c r="AH9553" s="2" t="str">
        <f ca="1"/>
        <v>OK</v>
      </c>
    </row>
    <row r="9554" spans="2:34" x14ac:dyDescent="0.2">
      <c r="B9554" s="2">
        <f ca="1"/>
        <v>0.5457996380519925</v>
      </c>
      <c r="O9554" s="2">
        <f ca="1"/>
        <v>-0.56621206599286533</v>
      </c>
      <c r="X9554" s="2">
        <f ca="1"/>
        <v>72.351863524758087</v>
      </c>
      <c r="AG9554" s="2">
        <f ca="1"/>
        <v>0.86340180845482362</v>
      </c>
      <c r="AH9554" s="2" t="str">
        <f ca="1"/>
        <v>Bad</v>
      </c>
    </row>
    <row r="9555" spans="2:34" x14ac:dyDescent="0.2">
      <c r="B9555" s="2">
        <f ca="1"/>
        <v>0.61788716767396457</v>
      </c>
      <c r="O9555" s="2">
        <f ca="1"/>
        <v>2.4246335560659849E-2</v>
      </c>
      <c r="X9555" s="2">
        <f ca="1"/>
        <v>47.185316241635022</v>
      </c>
      <c r="AG9555" s="2">
        <f ca="1"/>
        <v>1.3038970030309294E-2</v>
      </c>
      <c r="AH9555" s="2" t="str">
        <f ca="1"/>
        <v>Good</v>
      </c>
    </row>
    <row r="9556" spans="2:34" x14ac:dyDescent="0.2">
      <c r="B9556" s="2">
        <f ca="1"/>
        <v>0.37401615382367259</v>
      </c>
      <c r="O9556" s="2">
        <f ca="1"/>
        <v>0.3767726800182607</v>
      </c>
      <c r="X9556" s="2">
        <f ca="1"/>
        <v>89.937508811943943</v>
      </c>
      <c r="AG9556" s="2">
        <f ca="1"/>
        <v>0.44524760131858132</v>
      </c>
      <c r="AH9556" s="2" t="str">
        <f ca="1"/>
        <v>Bad</v>
      </c>
    </row>
    <row r="9557" spans="2:34" x14ac:dyDescent="0.2">
      <c r="B9557" s="2">
        <f ca="1"/>
        <v>0.64633624818927804</v>
      </c>
      <c r="O9557" s="2">
        <f ca="1"/>
        <v>-2.1031208035079101</v>
      </c>
      <c r="X9557" s="2">
        <f ca="1"/>
        <v>51.389038372388427</v>
      </c>
      <c r="AG9557" s="2">
        <f ca="1"/>
        <v>0.4615824081985036</v>
      </c>
      <c r="AH9557" s="2" t="str">
        <f ca="1"/>
        <v>Bad</v>
      </c>
    </row>
    <row r="9558" spans="2:34" x14ac:dyDescent="0.2">
      <c r="B9558" s="2">
        <f ca="1"/>
        <v>0.71079230587106723</v>
      </c>
      <c r="O9558" s="2">
        <f ca="1"/>
        <v>-1.9036108552820639</v>
      </c>
      <c r="X9558" s="2">
        <f ca="1"/>
        <v>70.389243795826502</v>
      </c>
      <c r="AG9558" s="2">
        <f ca="1"/>
        <v>0.15925328458996701</v>
      </c>
      <c r="AH9558" s="2" t="str">
        <f ca="1"/>
        <v>OK</v>
      </c>
    </row>
    <row r="9559" spans="2:34" x14ac:dyDescent="0.2">
      <c r="B9559" s="2">
        <f ca="1"/>
        <v>0.85892072319454793</v>
      </c>
      <c r="O9559" s="2">
        <f ca="1"/>
        <v>0.43592966277827316</v>
      </c>
      <c r="X9559" s="2">
        <f ca="1"/>
        <v>52.207464055056974</v>
      </c>
      <c r="AG9559" s="2">
        <f ca="1"/>
        <v>0.46625420760051917</v>
      </c>
      <c r="AH9559" s="2" t="str">
        <f ca="1"/>
        <v>Bad</v>
      </c>
    </row>
    <row r="9560" spans="2:34" x14ac:dyDescent="0.2">
      <c r="B9560" s="2">
        <f ca="1"/>
        <v>0.17623087850135088</v>
      </c>
      <c r="O9560" s="2">
        <f ca="1"/>
        <v>0.71146725866952876</v>
      </c>
      <c r="X9560" s="2">
        <f ca="1"/>
        <v>35.589428883637389</v>
      </c>
      <c r="AG9560" s="2">
        <f ca="1"/>
        <v>0.82407197753873263</v>
      </c>
      <c r="AH9560" s="2" t="str">
        <f ca="1"/>
        <v>Bad</v>
      </c>
    </row>
    <row r="9561" spans="2:34" x14ac:dyDescent="0.2">
      <c r="B9561" s="2">
        <f ca="1"/>
        <v>0.34129401071210541</v>
      </c>
      <c r="O9561" s="2">
        <f ca="1"/>
        <v>-1.0096885775915077</v>
      </c>
      <c r="X9561" s="2">
        <f ca="1"/>
        <v>48.808110792814674</v>
      </c>
      <c r="AG9561" s="2">
        <f ca="1"/>
        <v>0.94902629874273869</v>
      </c>
      <c r="AH9561" s="2" t="str">
        <f ca="1"/>
        <v>Bad</v>
      </c>
    </row>
    <row r="9562" spans="2:34" x14ac:dyDescent="0.2">
      <c r="B9562" s="2">
        <f ca="1"/>
        <v>0.32018938337725511</v>
      </c>
      <c r="O9562" s="2">
        <f ca="1"/>
        <v>-2.3036899053395645</v>
      </c>
      <c r="X9562" s="2">
        <f ca="1"/>
        <v>61.653996893266658</v>
      </c>
      <c r="AG9562" s="2">
        <f ca="1"/>
        <v>0.94283378380098881</v>
      </c>
      <c r="AH9562" s="2" t="str">
        <f ca="1"/>
        <v>Bad</v>
      </c>
    </row>
    <row r="9563" spans="2:34" x14ac:dyDescent="0.2">
      <c r="B9563" s="2">
        <f ca="1"/>
        <v>0.93274580343002045</v>
      </c>
      <c r="O9563" s="2">
        <f ca="1"/>
        <v>-0.59330886913999925</v>
      </c>
      <c r="X9563" s="2">
        <f ca="1"/>
        <v>62.263977233474549</v>
      </c>
      <c r="AG9563" s="2">
        <f ca="1"/>
        <v>0.10271497717452882</v>
      </c>
      <c r="AH9563" s="2" t="str">
        <f ca="1"/>
        <v>OK</v>
      </c>
    </row>
    <row r="9564" spans="2:34" x14ac:dyDescent="0.2">
      <c r="B9564" s="2">
        <f ca="1"/>
        <v>0.12477130719128016</v>
      </c>
      <c r="O9564" s="2">
        <f ca="1"/>
        <v>0.14923575806763256</v>
      </c>
      <c r="X9564" s="2">
        <f ca="1"/>
        <v>28.43454073653816</v>
      </c>
      <c r="AG9564" s="2">
        <f ca="1"/>
        <v>0.44179972939401324</v>
      </c>
      <c r="AH9564" s="2" t="str">
        <f ca="1"/>
        <v>Bad</v>
      </c>
    </row>
    <row r="9565" spans="2:34" x14ac:dyDescent="0.2">
      <c r="B9565" s="2">
        <f ca="1"/>
        <v>0.39124188093116263</v>
      </c>
      <c r="O9565" s="2">
        <f ca="1"/>
        <v>-1.752198962551395</v>
      </c>
      <c r="X9565" s="2">
        <f ca="1"/>
        <v>20.016958855681647</v>
      </c>
      <c r="AG9565" s="2">
        <f ca="1"/>
        <v>0.73062337140169675</v>
      </c>
      <c r="AH9565" s="2" t="str">
        <f ca="1"/>
        <v>Bad</v>
      </c>
    </row>
    <row r="9566" spans="2:34" x14ac:dyDescent="0.2">
      <c r="B9566" s="2">
        <f ca="1"/>
        <v>0.30889294541149548</v>
      </c>
      <c r="O9566" s="2">
        <f ca="1"/>
        <v>1.1245254754780512</v>
      </c>
      <c r="X9566" s="2">
        <f ca="1"/>
        <v>64.817098964472464</v>
      </c>
      <c r="AG9566" s="2">
        <f ca="1"/>
        <v>0.3883069148581535</v>
      </c>
      <c r="AH9566" s="2" t="str">
        <f ca="1"/>
        <v>OK</v>
      </c>
    </row>
    <row r="9567" spans="2:34" x14ac:dyDescent="0.2">
      <c r="B9567" s="2">
        <f ca="1"/>
        <v>0.63149811988598681</v>
      </c>
      <c r="O9567" s="2">
        <f ca="1"/>
        <v>2.2255062164614916</v>
      </c>
      <c r="X9567" s="2">
        <f ca="1"/>
        <v>47.566795408134297</v>
      </c>
      <c r="AG9567" s="2">
        <f ca="1"/>
        <v>0.7907409830622536</v>
      </c>
      <c r="AH9567" s="2" t="str">
        <f ca="1"/>
        <v>Bad</v>
      </c>
    </row>
    <row r="9568" spans="2:34" x14ac:dyDescent="0.2">
      <c r="B9568" s="2">
        <f ca="1"/>
        <v>8.2708697880473636E-2</v>
      </c>
      <c r="O9568" s="2">
        <f ca="1"/>
        <v>-0.71105831367920092</v>
      </c>
      <c r="X9568" s="2">
        <f ca="1"/>
        <v>40.819141834010026</v>
      </c>
      <c r="AG9568" s="2">
        <f ca="1"/>
        <v>0.9932452247882313</v>
      </c>
      <c r="AH9568" s="2" t="str">
        <f ca="1"/>
        <v>Bad</v>
      </c>
    </row>
    <row r="9569" spans="2:34" x14ac:dyDescent="0.2">
      <c r="B9569" s="2">
        <f ca="1"/>
        <v>0.54203602201028134</v>
      </c>
      <c r="O9569" s="2">
        <f ca="1"/>
        <v>1.9463842473845221</v>
      </c>
      <c r="X9569" s="2">
        <f ca="1"/>
        <v>32.745080315990151</v>
      </c>
      <c r="AG9569" s="2">
        <f ca="1"/>
        <v>0.39520287157131073</v>
      </c>
      <c r="AH9569" s="2" t="str">
        <f ca="1"/>
        <v>OK</v>
      </c>
    </row>
    <row r="9570" spans="2:34" x14ac:dyDescent="0.2">
      <c r="B9570" s="2">
        <f ca="1"/>
        <v>0.71662030969525725</v>
      </c>
      <c r="O9570" s="2">
        <f ca="1"/>
        <v>0.21943012523855401</v>
      </c>
      <c r="X9570" s="2">
        <f ca="1"/>
        <v>51.199271261268528</v>
      </c>
      <c r="AG9570" s="2">
        <f ca="1"/>
        <v>0.45546721419940672</v>
      </c>
      <c r="AH9570" s="2" t="str">
        <f ca="1"/>
        <v>Bad</v>
      </c>
    </row>
    <row r="9571" spans="2:34" x14ac:dyDescent="0.2">
      <c r="B9571" s="2">
        <f ca="1"/>
        <v>0.30971327414674943</v>
      </c>
      <c r="O9571" s="2">
        <f ca="1"/>
        <v>0.4625390735132664</v>
      </c>
      <c r="X9571" s="2">
        <f ca="1"/>
        <v>73.682258383099807</v>
      </c>
      <c r="AG9571" s="2">
        <f ca="1"/>
        <v>1.6218795128652985E-3</v>
      </c>
      <c r="AH9571" s="2" t="str">
        <f ca="1"/>
        <v>Good</v>
      </c>
    </row>
    <row r="9572" spans="2:34" x14ac:dyDescent="0.2">
      <c r="B9572" s="2">
        <f ca="1"/>
        <v>0.72810983212382574</v>
      </c>
      <c r="O9572" s="2">
        <f ca="1"/>
        <v>0.36609405936043293</v>
      </c>
      <c r="X9572" s="2">
        <f ca="1"/>
        <v>41.953927013929018</v>
      </c>
      <c r="AG9572" s="2">
        <f ca="1"/>
        <v>0.8555689395706636</v>
      </c>
      <c r="AH9572" s="2" t="str">
        <f ca="1"/>
        <v>Bad</v>
      </c>
    </row>
    <row r="9573" spans="2:34" x14ac:dyDescent="0.2">
      <c r="B9573" s="2">
        <f ca="1"/>
        <v>0.55454053620688581</v>
      </c>
      <c r="O9573" s="2">
        <f ca="1"/>
        <v>0.17014028561827813</v>
      </c>
      <c r="X9573" s="2">
        <f ca="1"/>
        <v>23.167902310379059</v>
      </c>
      <c r="AG9573" s="2">
        <f ca="1"/>
        <v>0.18837798841836739</v>
      </c>
      <c r="AH9573" s="2" t="str">
        <f ca="1"/>
        <v>OK</v>
      </c>
    </row>
    <row r="9574" spans="2:34" x14ac:dyDescent="0.2">
      <c r="B9574" s="2">
        <f ca="1"/>
        <v>0.66480242958338431</v>
      </c>
      <c r="O9574" s="2">
        <f ca="1"/>
        <v>0.52989840535479027</v>
      </c>
      <c r="X9574" s="2">
        <f ca="1"/>
        <v>60.832976318480981</v>
      </c>
      <c r="AG9574" s="2">
        <f ca="1"/>
        <v>0.19092778152996459</v>
      </c>
      <c r="AH9574" s="2" t="str">
        <f ca="1"/>
        <v>OK</v>
      </c>
    </row>
    <row r="9575" spans="2:34" x14ac:dyDescent="0.2">
      <c r="B9575" s="2">
        <f ca="1"/>
        <v>0.82502110152563013</v>
      </c>
      <c r="O9575" s="2">
        <f ca="1"/>
        <v>-0.86180497377505116</v>
      </c>
      <c r="X9575" s="2">
        <f ca="1"/>
        <v>47.098315556170974</v>
      </c>
      <c r="AG9575" s="2">
        <f ca="1"/>
        <v>0.87278499309752999</v>
      </c>
      <c r="AH9575" s="2" t="str">
        <f ca="1"/>
        <v>Bad</v>
      </c>
    </row>
    <row r="9576" spans="2:34" x14ac:dyDescent="0.2">
      <c r="B9576" s="2">
        <f ca="1"/>
        <v>6.2733045464671289E-3</v>
      </c>
      <c r="O9576" s="2">
        <f ca="1"/>
        <v>0.56109408421671159</v>
      </c>
      <c r="X9576" s="2">
        <f ca="1"/>
        <v>64.508349579823431</v>
      </c>
      <c r="AG9576" s="2">
        <f ca="1"/>
        <v>0.69700336640647564</v>
      </c>
      <c r="AH9576" s="2" t="str">
        <f ca="1"/>
        <v>Bad</v>
      </c>
    </row>
    <row r="9577" spans="2:34" x14ac:dyDescent="0.2">
      <c r="B9577" s="2">
        <f ca="1"/>
        <v>0.58178133288502987</v>
      </c>
      <c r="O9577" s="2">
        <f ca="1"/>
        <v>0.44854099875161757</v>
      </c>
      <c r="X9577" s="2">
        <f ca="1"/>
        <v>37.024623694889378</v>
      </c>
      <c r="AG9577" s="2">
        <f ca="1"/>
        <v>0.76396966177759684</v>
      </c>
      <c r="AH9577" s="2" t="str">
        <f ca="1"/>
        <v>Bad</v>
      </c>
    </row>
    <row r="9578" spans="2:34" x14ac:dyDescent="0.2">
      <c r="B9578" s="2">
        <f ca="1"/>
        <v>0.58165666377392466</v>
      </c>
      <c r="O9578" s="2">
        <f ca="1"/>
        <v>-0.4039375070542367</v>
      </c>
      <c r="X9578" s="2">
        <f ca="1"/>
        <v>53.302962095761501</v>
      </c>
      <c r="AG9578" s="2">
        <f ca="1"/>
        <v>0.26289273476342756</v>
      </c>
      <c r="AH9578" s="2" t="str">
        <f ca="1"/>
        <v>OK</v>
      </c>
    </row>
    <row r="9579" spans="2:34" x14ac:dyDescent="0.2">
      <c r="B9579" s="2">
        <f ca="1"/>
        <v>0.61922454009353256</v>
      </c>
      <c r="O9579" s="2">
        <f ca="1"/>
        <v>-1.6085635900911051</v>
      </c>
      <c r="X9579" s="2">
        <f ca="1"/>
        <v>29.683734304588839</v>
      </c>
      <c r="AG9579" s="2">
        <f ca="1"/>
        <v>0.37259614133412144</v>
      </c>
      <c r="AH9579" s="2" t="str">
        <f ca="1"/>
        <v>OK</v>
      </c>
    </row>
    <row r="9580" spans="2:34" x14ac:dyDescent="0.2">
      <c r="B9580" s="2">
        <f ca="1"/>
        <v>0.46549054528610756</v>
      </c>
      <c r="O9580" s="2">
        <f ca="1"/>
        <v>0.38835485295298983</v>
      </c>
      <c r="X9580" s="2">
        <f ca="1"/>
        <v>59.97200306447062</v>
      </c>
      <c r="AG9580" s="2">
        <f ca="1"/>
        <v>0.69200395095376899</v>
      </c>
      <c r="AH9580" s="2" t="str">
        <f ca="1"/>
        <v>Bad</v>
      </c>
    </row>
    <row r="9581" spans="2:34" x14ac:dyDescent="0.2">
      <c r="B9581" s="2">
        <f ca="1"/>
        <v>0.40519738165347974</v>
      </c>
      <c r="O9581" s="2">
        <f ca="1"/>
        <v>0.57102000935251152</v>
      </c>
      <c r="X9581" s="2">
        <f ca="1"/>
        <v>42.637648250969647</v>
      </c>
      <c r="AG9581" s="2">
        <f ca="1"/>
        <v>0.21047921683268966</v>
      </c>
      <c r="AH9581" s="2" t="str">
        <f ca="1"/>
        <v>OK</v>
      </c>
    </row>
    <row r="9582" spans="2:34" x14ac:dyDescent="0.2">
      <c r="B9582" s="2">
        <f ca="1"/>
        <v>0.54542925098730932</v>
      </c>
      <c r="O9582" s="2">
        <f ca="1"/>
        <v>-1.3021043997206971</v>
      </c>
      <c r="X9582" s="2">
        <f ca="1"/>
        <v>79.507908957851342</v>
      </c>
      <c r="AG9582" s="2">
        <f ca="1"/>
        <v>0.2917390471308543</v>
      </c>
      <c r="AH9582" s="2" t="str">
        <f ca="1"/>
        <v>OK</v>
      </c>
    </row>
    <row r="9583" spans="2:34" x14ac:dyDescent="0.2">
      <c r="B9583" s="2">
        <f ca="1"/>
        <v>0.27799297564011494</v>
      </c>
      <c r="O9583" s="2">
        <f ca="1"/>
        <v>-0.88059649188472555</v>
      </c>
      <c r="X9583" s="2">
        <f ca="1"/>
        <v>42.245440203561422</v>
      </c>
      <c r="AG9583" s="2">
        <f ca="1"/>
        <v>0.46220448167287542</v>
      </c>
      <c r="AH9583" s="2" t="str">
        <f ca="1"/>
        <v>Bad</v>
      </c>
    </row>
    <row r="9584" spans="2:34" x14ac:dyDescent="0.2">
      <c r="B9584" s="2">
        <f ca="1"/>
        <v>0.4168785432032287</v>
      </c>
      <c r="O9584" s="2">
        <f ca="1"/>
        <v>1.0286211471539235</v>
      </c>
      <c r="X9584" s="2">
        <f ca="1"/>
        <v>48.833770326397136</v>
      </c>
      <c r="AG9584" s="2">
        <f ca="1"/>
        <v>0.32156655883197915</v>
      </c>
      <c r="AH9584" s="2" t="str">
        <f ca="1"/>
        <v>OK</v>
      </c>
    </row>
    <row r="9585" spans="2:34" x14ac:dyDescent="0.2">
      <c r="B9585" s="2">
        <f ca="1"/>
        <v>0.16238620742071386</v>
      </c>
      <c r="O9585" s="2">
        <f ca="1"/>
        <v>-0.18712217412043769</v>
      </c>
      <c r="X9585" s="2">
        <f ca="1"/>
        <v>21.15315076731331</v>
      </c>
      <c r="AG9585" s="2">
        <f ca="1"/>
        <v>0.77647289047035972</v>
      </c>
      <c r="AH9585" s="2" t="str">
        <f ca="1"/>
        <v>Bad</v>
      </c>
    </row>
    <row r="9586" spans="2:34" x14ac:dyDescent="0.2">
      <c r="B9586" s="2">
        <f ca="1"/>
        <v>0.6848146277547702</v>
      </c>
      <c r="O9586" s="2">
        <f ca="1"/>
        <v>-2.2090650611185789</v>
      </c>
      <c r="X9586" s="2">
        <f ca="1"/>
        <v>82.453505902282046</v>
      </c>
      <c r="AG9586" s="2">
        <f ca="1"/>
        <v>0.87612600453869693</v>
      </c>
      <c r="AH9586" s="2" t="str">
        <f ca="1"/>
        <v>Bad</v>
      </c>
    </row>
    <row r="9587" spans="2:34" x14ac:dyDescent="0.2">
      <c r="B9587" s="2">
        <f ca="1"/>
        <v>0.55754606288181185</v>
      </c>
      <c r="O9587" s="2">
        <f ca="1"/>
        <v>0.90098078378186952</v>
      </c>
      <c r="X9587" s="2">
        <f ca="1"/>
        <v>51.89547561782932</v>
      </c>
      <c r="AG9587" s="2">
        <f ca="1"/>
        <v>0.21360118548614482</v>
      </c>
      <c r="AH9587" s="2" t="str">
        <f ca="1"/>
        <v>OK</v>
      </c>
    </row>
    <row r="9588" spans="2:34" x14ac:dyDescent="0.2">
      <c r="B9588" s="2">
        <f ca="1"/>
        <v>0.98460500587485145</v>
      </c>
      <c r="O9588" s="2">
        <f ca="1"/>
        <v>-0.7557975043440498</v>
      </c>
      <c r="X9588" s="2">
        <f ca="1"/>
        <v>40.63731294040597</v>
      </c>
      <c r="AG9588" s="2">
        <f ca="1"/>
        <v>2.4388035437299171E-2</v>
      </c>
      <c r="AH9588" s="2" t="str">
        <f ca="1"/>
        <v>Good</v>
      </c>
    </row>
    <row r="9589" spans="2:34" x14ac:dyDescent="0.2">
      <c r="B9589" s="2">
        <f ca="1"/>
        <v>0.38238782835504725</v>
      </c>
      <c r="O9589" s="2">
        <f ca="1"/>
        <v>0.29854162536000162</v>
      </c>
      <c r="X9589" s="2">
        <f ca="1"/>
        <v>39.856516142068401</v>
      </c>
      <c r="AG9589" s="2">
        <f ca="1"/>
        <v>0.97473243874590354</v>
      </c>
      <c r="AH9589" s="2" t="str">
        <f ca="1"/>
        <v>Bad</v>
      </c>
    </row>
    <row r="9590" spans="2:34" x14ac:dyDescent="0.2">
      <c r="B9590" s="2">
        <f ca="1"/>
        <v>0.50909807531485551</v>
      </c>
      <c r="O9590" s="2">
        <f ca="1"/>
        <v>-0.34687421792649492</v>
      </c>
      <c r="X9590" s="2">
        <f ca="1"/>
        <v>40.746950967085056</v>
      </c>
      <c r="AG9590" s="2">
        <f ca="1"/>
        <v>8.6611618050354E-2</v>
      </c>
      <c r="AH9590" s="2" t="str">
        <f ca="1"/>
        <v>OK</v>
      </c>
    </row>
    <row r="9591" spans="2:34" x14ac:dyDescent="0.2">
      <c r="B9591" s="2">
        <f ca="1"/>
        <v>0.1661527579528681</v>
      </c>
      <c r="O9591" s="2">
        <f ca="1"/>
        <v>0.3832106445465624</v>
      </c>
      <c r="X9591" s="2">
        <f ca="1"/>
        <v>53.419768997520038</v>
      </c>
      <c r="AG9591" s="2">
        <f ca="1"/>
        <v>0.52011491615651417</v>
      </c>
      <c r="AH9591" s="2" t="str">
        <f ca="1"/>
        <v>Bad</v>
      </c>
    </row>
    <row r="9592" spans="2:34" x14ac:dyDescent="0.2">
      <c r="B9592" s="2">
        <f ca="1"/>
        <v>0.53636581263512029</v>
      </c>
      <c r="O9592" s="2">
        <f ca="1"/>
        <v>-0.37819339128561774</v>
      </c>
      <c r="X9592" s="2">
        <f ca="1"/>
        <v>57.000541319981686</v>
      </c>
      <c r="AG9592" s="2">
        <f ca="1"/>
        <v>0.38463024737830631</v>
      </c>
      <c r="AH9592" s="2" t="str">
        <f ca="1"/>
        <v>OK</v>
      </c>
    </row>
    <row r="9593" spans="2:34" x14ac:dyDescent="0.2">
      <c r="B9593" s="2">
        <f ca="1"/>
        <v>0.33335082918450465</v>
      </c>
      <c r="O9593" s="2">
        <f ca="1"/>
        <v>-1.3322707949467536</v>
      </c>
      <c r="X9593" s="2">
        <f ca="1"/>
        <v>41.943448489993841</v>
      </c>
      <c r="AG9593" s="2">
        <f ca="1"/>
        <v>0.95241886527753117</v>
      </c>
      <c r="AH9593" s="2" t="str">
        <f ca="1"/>
        <v>Bad</v>
      </c>
    </row>
    <row r="9594" spans="2:34" x14ac:dyDescent="0.2">
      <c r="B9594" s="2">
        <f ca="1"/>
        <v>0.76128855819528418</v>
      </c>
      <c r="O9594" s="2">
        <f ca="1"/>
        <v>1.6494384535754782</v>
      </c>
      <c r="X9594" s="2">
        <f ca="1"/>
        <v>16.57002079622875</v>
      </c>
      <c r="AG9594" s="2">
        <f ca="1"/>
        <v>0.92046771279643513</v>
      </c>
      <c r="AH9594" s="2" t="str">
        <f ca="1"/>
        <v>Bad</v>
      </c>
    </row>
    <row r="9595" spans="2:34" x14ac:dyDescent="0.2">
      <c r="B9595" s="2">
        <f ca="1"/>
        <v>6.1995893486941789E-2</v>
      </c>
      <c r="O9595" s="2">
        <f ca="1"/>
        <v>1.0786924966407392</v>
      </c>
      <c r="X9595" s="2">
        <f ca="1"/>
        <v>52.594013712967609</v>
      </c>
      <c r="AG9595" s="2">
        <f ca="1"/>
        <v>0.91365881332174537</v>
      </c>
      <c r="AH9595" s="2" t="str">
        <f ca="1"/>
        <v>Bad</v>
      </c>
    </row>
    <row r="9596" spans="2:34" x14ac:dyDescent="0.2">
      <c r="B9596" s="2">
        <f ca="1"/>
        <v>0.60816905891152806</v>
      </c>
      <c r="O9596" s="2">
        <f ca="1"/>
        <v>-6.1236677436648145E-2</v>
      </c>
      <c r="X9596" s="2">
        <f ca="1"/>
        <v>51.216168664275813</v>
      </c>
      <c r="AG9596" s="2">
        <f ca="1"/>
        <v>0.16253219857609436</v>
      </c>
      <c r="AH9596" s="2" t="str">
        <f ca="1"/>
        <v>OK</v>
      </c>
    </row>
    <row r="9597" spans="2:34" x14ac:dyDescent="0.2">
      <c r="B9597" s="2">
        <f ca="1"/>
        <v>0.15562730628872057</v>
      </c>
      <c r="O9597" s="2">
        <f ca="1"/>
        <v>-0.22515537146625741</v>
      </c>
      <c r="X9597" s="2">
        <f ca="1"/>
        <v>37.162355816877273</v>
      </c>
      <c r="AG9597" s="2">
        <f ca="1"/>
        <v>0.31834943603715304</v>
      </c>
      <c r="AH9597" s="2" t="str">
        <f ca="1"/>
        <v>OK</v>
      </c>
    </row>
    <row r="9598" spans="2:34" x14ac:dyDescent="0.2">
      <c r="B9598" s="2">
        <f ca="1"/>
        <v>0.54636943305564345</v>
      </c>
      <c r="O9598" s="2">
        <f ca="1"/>
        <v>-1.0977548734317224</v>
      </c>
      <c r="X9598" s="2">
        <f ca="1"/>
        <v>30.399023440311904</v>
      </c>
      <c r="AG9598" s="2">
        <f ca="1"/>
        <v>0.18237184092350645</v>
      </c>
      <c r="AH9598" s="2" t="str">
        <f ca="1"/>
        <v>OK</v>
      </c>
    </row>
    <row r="9599" spans="2:34" x14ac:dyDescent="0.2">
      <c r="B9599" s="2">
        <f ca="1"/>
        <v>0.21233423840887999</v>
      </c>
      <c r="O9599" s="2">
        <f ca="1"/>
        <v>0.27573416863657674</v>
      </c>
      <c r="X9599" s="2">
        <f ca="1"/>
        <v>48.317875945509471</v>
      </c>
      <c r="AG9599" s="2">
        <f ca="1"/>
        <v>0.55483014209706494</v>
      </c>
      <c r="AH9599" s="2" t="str">
        <f ca="1"/>
        <v>Bad</v>
      </c>
    </row>
    <row r="9600" spans="2:34" x14ac:dyDescent="0.2">
      <c r="B9600" s="2">
        <f ca="1"/>
        <v>0.83634011530269059</v>
      </c>
      <c r="O9600" s="2">
        <f ca="1"/>
        <v>-2.0500736971315769E-2</v>
      </c>
      <c r="X9600" s="2">
        <f ca="1"/>
        <v>56.222310609308074</v>
      </c>
      <c r="AG9600" s="2">
        <f ca="1"/>
        <v>0.26578671449452673</v>
      </c>
      <c r="AH9600" s="2" t="str">
        <f ca="1"/>
        <v>OK</v>
      </c>
    </row>
    <row r="9601" spans="2:34" x14ac:dyDescent="0.2">
      <c r="B9601" s="2">
        <f ca="1"/>
        <v>0.64456368799271435</v>
      </c>
      <c r="O9601" s="2">
        <f ca="1"/>
        <v>-0.61892737678348575</v>
      </c>
      <c r="X9601" s="2">
        <f ca="1"/>
        <v>57.169474705276507</v>
      </c>
      <c r="AG9601" s="2">
        <f ca="1"/>
        <v>0.13984381862917861</v>
      </c>
      <c r="AH9601" s="2" t="str">
        <f ca="1"/>
        <v>OK</v>
      </c>
    </row>
    <row r="9602" spans="2:34" x14ac:dyDescent="0.2">
      <c r="B9602" s="2">
        <f ca="1"/>
        <v>5.7162006111840302E-2</v>
      </c>
      <c r="O9602" s="2">
        <f ca="1"/>
        <v>-1.7153024338735261</v>
      </c>
      <c r="X9602" s="2">
        <f ca="1"/>
        <v>63.794396744037257</v>
      </c>
      <c r="AG9602" s="2">
        <f ca="1"/>
        <v>0.8698345359850026</v>
      </c>
      <c r="AH9602" s="2" t="str">
        <f ca="1"/>
        <v>Bad</v>
      </c>
    </row>
    <row r="9603" spans="2:34" x14ac:dyDescent="0.2">
      <c r="B9603" s="2">
        <f ca="1"/>
        <v>0.50098372560862492</v>
      </c>
      <c r="O9603" s="2">
        <f ca="1"/>
        <v>0.76935997762038066</v>
      </c>
      <c r="X9603" s="2">
        <f ca="1"/>
        <v>30.067327946805172</v>
      </c>
      <c r="AG9603" s="2">
        <f ca="1"/>
        <v>0.66044348074916215</v>
      </c>
      <c r="AH9603" s="2" t="str">
        <f ca="1"/>
        <v>Bad</v>
      </c>
    </row>
    <row r="9604" spans="2:34" x14ac:dyDescent="0.2">
      <c r="B9604" s="2">
        <f ca="1"/>
        <v>0.59407654520626862</v>
      </c>
      <c r="O9604" s="2">
        <f ca="1"/>
        <v>-0.27634517220972926</v>
      </c>
      <c r="X9604" s="2">
        <f ca="1"/>
        <v>70.402507234402393</v>
      </c>
      <c r="AG9604" s="2">
        <f ca="1"/>
        <v>0.54356580996473802</v>
      </c>
      <c r="AH9604" s="2" t="str">
        <f ca="1"/>
        <v>Bad</v>
      </c>
    </row>
    <row r="9605" spans="2:34" x14ac:dyDescent="0.2">
      <c r="B9605" s="2">
        <f ca="1"/>
        <v>0.20881838822464305</v>
      </c>
      <c r="O9605" s="2">
        <f ca="1"/>
        <v>-1.1491691563092772</v>
      </c>
      <c r="X9605" s="2">
        <f ca="1"/>
        <v>60.771363335548642</v>
      </c>
      <c r="AG9605" s="2">
        <f ca="1"/>
        <v>0.8884137364118696</v>
      </c>
      <c r="AH9605" s="2" t="str">
        <f ca="1"/>
        <v>Bad</v>
      </c>
    </row>
    <row r="9606" spans="2:34" x14ac:dyDescent="0.2">
      <c r="B9606" s="2">
        <f ca="1"/>
        <v>0.42745929633745638</v>
      </c>
      <c r="O9606" s="2">
        <f ca="1"/>
        <v>0.56868710218551355</v>
      </c>
      <c r="X9606" s="2">
        <f ca="1"/>
        <v>42.677558610891062</v>
      </c>
      <c r="AG9606" s="2">
        <f ca="1"/>
        <v>0.10181422725291567</v>
      </c>
      <c r="AH9606" s="2" t="str">
        <f ca="1"/>
        <v>OK</v>
      </c>
    </row>
    <row r="9607" spans="2:34" x14ac:dyDescent="0.2">
      <c r="B9607" s="2">
        <f ca="1"/>
        <v>0.83279072527285214</v>
      </c>
      <c r="O9607" s="2">
        <f ca="1"/>
        <v>-0.35644562199294805</v>
      </c>
      <c r="X9607" s="2">
        <f ca="1"/>
        <v>56.402932512313733</v>
      </c>
      <c r="AG9607" s="2">
        <f ca="1"/>
        <v>0.34559504737546143</v>
      </c>
      <c r="AH9607" s="2" t="str">
        <f ca="1"/>
        <v>OK</v>
      </c>
    </row>
    <row r="9608" spans="2:34" x14ac:dyDescent="0.2">
      <c r="B9608" s="2">
        <f ca="1"/>
        <v>0.17663702452080354</v>
      </c>
      <c r="O9608" s="2">
        <f ca="1"/>
        <v>-0.17402335300074989</v>
      </c>
      <c r="X9608" s="2">
        <f ca="1"/>
        <v>24.269502559978683</v>
      </c>
      <c r="AG9608" s="2">
        <f ca="1"/>
        <v>0.20128095015332748</v>
      </c>
      <c r="AH9608" s="2" t="str">
        <f ca="1"/>
        <v>OK</v>
      </c>
    </row>
    <row r="9609" spans="2:34" x14ac:dyDescent="0.2">
      <c r="B9609" s="2">
        <f ca="1"/>
        <v>0.50435616647980264</v>
      </c>
      <c r="O9609" s="2">
        <f ca="1"/>
        <v>1.7121322026012125</v>
      </c>
      <c r="X9609" s="2">
        <f ca="1"/>
        <v>51.759828322694361</v>
      </c>
      <c r="AG9609" s="2">
        <f ca="1"/>
        <v>7.6071505578959364E-2</v>
      </c>
      <c r="AH9609" s="2" t="str">
        <f ca="1"/>
        <v>OK</v>
      </c>
    </row>
    <row r="9610" spans="2:34" x14ac:dyDescent="0.2">
      <c r="B9610" s="2">
        <f ca="1"/>
        <v>0.47968304073059631</v>
      </c>
      <c r="O9610" s="2">
        <f ca="1"/>
        <v>-2.5417243244273587E-2</v>
      </c>
      <c r="X9610" s="2">
        <f ca="1"/>
        <v>54.920828125878955</v>
      </c>
      <c r="AG9610" s="2">
        <f ca="1"/>
        <v>0.622654921201371</v>
      </c>
      <c r="AH9610" s="2" t="str">
        <f ca="1"/>
        <v>Bad</v>
      </c>
    </row>
    <row r="9611" spans="2:34" x14ac:dyDescent="0.2">
      <c r="B9611" s="2">
        <f ca="1"/>
        <v>4.2650794646576839E-2</v>
      </c>
      <c r="O9611" s="2">
        <f ca="1"/>
        <v>-0.68936275777934142</v>
      </c>
      <c r="X9611" s="2">
        <f ca="1"/>
        <v>42.502350305197247</v>
      </c>
      <c r="AG9611" s="2">
        <f ca="1"/>
        <v>0.980416836005227</v>
      </c>
      <c r="AH9611" s="2" t="str">
        <f ca="1"/>
        <v>Bad</v>
      </c>
    </row>
    <row r="9612" spans="2:34" x14ac:dyDescent="0.2">
      <c r="B9612" s="2">
        <f ca="1"/>
        <v>0.23982177423738515</v>
      </c>
      <c r="O9612" s="2">
        <f ca="1"/>
        <v>-1.8972302403945049</v>
      </c>
      <c r="X9612" s="2">
        <f ca="1"/>
        <v>46.343845026933373</v>
      </c>
      <c r="AG9612" s="2">
        <f ca="1"/>
        <v>0.34938518896033899</v>
      </c>
      <c r="AH9612" s="2" t="str">
        <f ca="1"/>
        <v>OK</v>
      </c>
    </row>
    <row r="9613" spans="2:34" x14ac:dyDescent="0.2">
      <c r="B9613" s="2">
        <f ca="1"/>
        <v>0.26017795922136511</v>
      </c>
      <c r="O9613" s="2">
        <f ca="1"/>
        <v>-1.2519105790951828</v>
      </c>
      <c r="X9613" s="2">
        <f ca="1"/>
        <v>29.901650263456471</v>
      </c>
      <c r="AG9613" s="2">
        <f ca="1"/>
        <v>0.53018394318577244</v>
      </c>
      <c r="AH9613" s="2" t="str">
        <f ca="1"/>
        <v>Bad</v>
      </c>
    </row>
    <row r="9614" spans="2:34" x14ac:dyDescent="0.2">
      <c r="B9614" s="2">
        <f ca="1"/>
        <v>0.88733839418608618</v>
      </c>
      <c r="O9614" s="2">
        <f ca="1"/>
        <v>-1.2507391563247763</v>
      </c>
      <c r="X9614" s="2">
        <f ca="1"/>
        <v>48.847250211966092</v>
      </c>
      <c r="AG9614" s="2">
        <f ca="1"/>
        <v>0.4270766763768814</v>
      </c>
      <c r="AH9614" s="2" t="str">
        <f ca="1"/>
        <v>Bad</v>
      </c>
    </row>
    <row r="9615" spans="2:34" x14ac:dyDescent="0.2">
      <c r="B9615" s="2">
        <f ca="1"/>
        <v>0.38743336486044777</v>
      </c>
      <c r="O9615" s="2">
        <f ca="1"/>
        <v>-1.8287887999275978</v>
      </c>
      <c r="X9615" s="2">
        <f ca="1"/>
        <v>19.225204715856194</v>
      </c>
      <c r="AG9615" s="2">
        <f ca="1"/>
        <v>0.4348472132061294</v>
      </c>
      <c r="AH9615" s="2" t="str">
        <f ca="1"/>
        <v>Bad</v>
      </c>
    </row>
    <row r="9616" spans="2:34" x14ac:dyDescent="0.2">
      <c r="B9616" s="2">
        <f ca="1"/>
        <v>0.88613277813284408</v>
      </c>
      <c r="O9616" s="2">
        <f ca="1"/>
        <v>-1.5047832197276874E-2</v>
      </c>
      <c r="X9616" s="2">
        <f ca="1"/>
        <v>47.876610113874285</v>
      </c>
      <c r="AG9616" s="2">
        <f ca="1"/>
        <v>0.5053865238477131</v>
      </c>
      <c r="AH9616" s="2" t="str">
        <f ca="1"/>
        <v>Bad</v>
      </c>
    </row>
    <row r="9617" spans="2:34" x14ac:dyDescent="0.2">
      <c r="B9617" s="2">
        <f ca="1"/>
        <v>0.30033723026620018</v>
      </c>
      <c r="O9617" s="2">
        <f ca="1"/>
        <v>-1.1525292887555698</v>
      </c>
      <c r="X9617" s="2">
        <f ca="1"/>
        <v>43.778671757531185</v>
      </c>
      <c r="AG9617" s="2">
        <f ca="1"/>
        <v>0.47925034672773403</v>
      </c>
      <c r="AH9617" s="2" t="str">
        <f ca="1"/>
        <v>Bad</v>
      </c>
    </row>
    <row r="9618" spans="2:34" x14ac:dyDescent="0.2">
      <c r="B9618" s="2">
        <f ca="1"/>
        <v>0.72938671211576422</v>
      </c>
      <c r="O9618" s="2">
        <f ca="1"/>
        <v>-0.72814112810196829</v>
      </c>
      <c r="X9618" s="2">
        <f ca="1"/>
        <v>26.385172061665646</v>
      </c>
      <c r="AG9618" s="2">
        <f ca="1"/>
        <v>0.58610975097180118</v>
      </c>
      <c r="AH9618" s="2" t="str">
        <f ca="1"/>
        <v>Bad</v>
      </c>
    </row>
    <row r="9619" spans="2:34" x14ac:dyDescent="0.2">
      <c r="B9619" s="2">
        <f ca="1"/>
        <v>0.13903702611460456</v>
      </c>
      <c r="O9619" s="2">
        <f ca="1"/>
        <v>-1.6968274217588977</v>
      </c>
      <c r="X9619" s="2">
        <f ca="1"/>
        <v>52.850508673115286</v>
      </c>
      <c r="AG9619" s="2">
        <f ca="1"/>
        <v>0.69139662730663853</v>
      </c>
      <c r="AH9619" s="2" t="str">
        <f ca="1"/>
        <v>Bad</v>
      </c>
    </row>
    <row r="9620" spans="2:34" x14ac:dyDescent="0.2">
      <c r="B9620" s="2">
        <f ca="1"/>
        <v>0.53690387105719162</v>
      </c>
      <c r="O9620" s="2">
        <f ca="1"/>
        <v>-0.38044191477204314</v>
      </c>
      <c r="X9620" s="2">
        <f ca="1"/>
        <v>30.538298551315535</v>
      </c>
      <c r="AG9620" s="2">
        <f ca="1"/>
        <v>0.62679171769392616</v>
      </c>
      <c r="AH9620" s="2" t="str">
        <f ca="1"/>
        <v>Bad</v>
      </c>
    </row>
    <row r="9621" spans="2:34" x14ac:dyDescent="0.2">
      <c r="B9621" s="2">
        <f ca="1"/>
        <v>0.87927228521678513</v>
      </c>
      <c r="O9621" s="2">
        <f ca="1"/>
        <v>-1.1474490564611202</v>
      </c>
      <c r="X9621" s="2">
        <f ca="1"/>
        <v>14.231729340484332</v>
      </c>
      <c r="AG9621" s="2">
        <f ca="1"/>
        <v>0.23435343626163863</v>
      </c>
      <c r="AH9621" s="2" t="str">
        <f ca="1"/>
        <v>OK</v>
      </c>
    </row>
    <row r="9622" spans="2:34" x14ac:dyDescent="0.2">
      <c r="B9622" s="2">
        <f ca="1"/>
        <v>0.12577842709626896</v>
      </c>
      <c r="O9622" s="2">
        <f ca="1"/>
        <v>-0.45704288748478977</v>
      </c>
      <c r="X9622" s="2">
        <f ca="1"/>
        <v>86.900771659831207</v>
      </c>
      <c r="AG9622" s="2">
        <f ca="1"/>
        <v>0.76218132546625417</v>
      </c>
      <c r="AH9622" s="2" t="str">
        <f ca="1"/>
        <v>Bad</v>
      </c>
    </row>
    <row r="9623" spans="2:34" x14ac:dyDescent="0.2">
      <c r="B9623" s="2">
        <f ca="1"/>
        <v>0.37061937132220413</v>
      </c>
      <c r="O9623" s="2">
        <f ca="1"/>
        <v>1.455994476370353</v>
      </c>
      <c r="X9623" s="2">
        <f ca="1"/>
        <v>72.705345776543851</v>
      </c>
      <c r="AG9623" s="2">
        <f ca="1"/>
        <v>0.94477702755724691</v>
      </c>
      <c r="AH9623" s="2" t="str">
        <f ca="1"/>
        <v>Bad</v>
      </c>
    </row>
    <row r="9624" spans="2:34" x14ac:dyDescent="0.2">
      <c r="B9624" s="2">
        <f ca="1"/>
        <v>0.30532562707240296</v>
      </c>
      <c r="O9624" s="2">
        <f ca="1"/>
        <v>0.14674959571932397</v>
      </c>
      <c r="X9624" s="2">
        <f ca="1"/>
        <v>36.392119965218875</v>
      </c>
      <c r="AG9624" s="2">
        <f ca="1"/>
        <v>0.91613052625063207</v>
      </c>
      <c r="AH9624" s="2" t="str">
        <f ca="1"/>
        <v>Bad</v>
      </c>
    </row>
    <row r="9625" spans="2:34" x14ac:dyDescent="0.2">
      <c r="B9625" s="2">
        <f ca="1"/>
        <v>0.43957396594709675</v>
      </c>
      <c r="O9625" s="2">
        <f ca="1"/>
        <v>0.66963675787247001</v>
      </c>
      <c r="X9625" s="2">
        <f ca="1"/>
        <v>42.24725629123067</v>
      </c>
      <c r="AG9625" s="2">
        <f ca="1"/>
        <v>0.52727153923490255</v>
      </c>
      <c r="AH9625" s="2" t="str">
        <f ca="1"/>
        <v>Bad</v>
      </c>
    </row>
    <row r="9626" spans="2:34" x14ac:dyDescent="0.2">
      <c r="B9626" s="2">
        <f ca="1"/>
        <v>0.20169196409059031</v>
      </c>
      <c r="O9626" s="2">
        <f ca="1"/>
        <v>1.8406121304188778</v>
      </c>
      <c r="X9626" s="2">
        <f ca="1"/>
        <v>80.306181664309122</v>
      </c>
      <c r="AG9626" s="2">
        <f ca="1"/>
        <v>0.13339414664404758</v>
      </c>
      <c r="AH9626" s="2" t="str">
        <f ca="1"/>
        <v>OK</v>
      </c>
    </row>
    <row r="9627" spans="2:34" x14ac:dyDescent="0.2">
      <c r="B9627" s="2">
        <f ca="1"/>
        <v>0.95265335511733729</v>
      </c>
      <c r="O9627" s="2">
        <f ca="1"/>
        <v>-0.67554115845517981</v>
      </c>
      <c r="X9627" s="2">
        <f ca="1"/>
        <v>39.320990560631238</v>
      </c>
      <c r="AG9627" s="2">
        <f ca="1"/>
        <v>0.3411872301479939</v>
      </c>
      <c r="AH9627" s="2" t="str">
        <f ca="1"/>
        <v>OK</v>
      </c>
    </row>
    <row r="9628" spans="2:34" x14ac:dyDescent="0.2">
      <c r="B9628" s="2">
        <f ca="1"/>
        <v>0.14814435013572735</v>
      </c>
      <c r="O9628" s="2">
        <f ca="1"/>
        <v>-1.2067072960217457E-2</v>
      </c>
      <c r="X9628" s="2">
        <f ca="1"/>
        <v>52.475862664686083</v>
      </c>
      <c r="AG9628" s="2">
        <f ca="1"/>
        <v>0.99248447828947395</v>
      </c>
      <c r="AH9628" s="2" t="str">
        <f ca="1"/>
        <v>Bad</v>
      </c>
    </row>
    <row r="9629" spans="2:34" x14ac:dyDescent="0.2">
      <c r="B9629" s="2">
        <f ca="1"/>
        <v>0.66767283453061266</v>
      </c>
      <c r="O9629" s="2">
        <f ca="1"/>
        <v>1.1986649834983476</v>
      </c>
      <c r="X9629" s="2">
        <f ca="1"/>
        <v>55.134691952179573</v>
      </c>
      <c r="AG9629" s="2">
        <f ca="1"/>
        <v>0.1668985990150742</v>
      </c>
      <c r="AH9629" s="2" t="str">
        <f ca="1"/>
        <v>OK</v>
      </c>
    </row>
    <row r="9630" spans="2:34" x14ac:dyDescent="0.2">
      <c r="B9630" s="2">
        <f ca="1"/>
        <v>0.31912096136914014</v>
      </c>
      <c r="O9630" s="2">
        <f ca="1"/>
        <v>-0.23399482845521277</v>
      </c>
      <c r="X9630" s="2">
        <f ca="1"/>
        <v>38.378975494107024</v>
      </c>
      <c r="AG9630" s="2">
        <f ca="1"/>
        <v>0.86856849100543099</v>
      </c>
      <c r="AH9630" s="2" t="str">
        <f ca="1"/>
        <v>Bad</v>
      </c>
    </row>
    <row r="9631" spans="2:34" x14ac:dyDescent="0.2">
      <c r="B9631" s="2">
        <f ca="1"/>
        <v>0.42758764461756815</v>
      </c>
      <c r="O9631" s="2">
        <f ca="1"/>
        <v>-1.2181573839183435</v>
      </c>
      <c r="X9631" s="2">
        <f ca="1"/>
        <v>86.826425918601814</v>
      </c>
      <c r="AG9631" s="2">
        <f ca="1"/>
        <v>6.6339078357979364E-2</v>
      </c>
      <c r="AH9631" s="2" t="str">
        <f ca="1"/>
        <v>OK</v>
      </c>
    </row>
    <row r="9632" spans="2:34" x14ac:dyDescent="0.2">
      <c r="B9632" s="2">
        <f ca="1"/>
        <v>0.30279353532780573</v>
      </c>
      <c r="O9632" s="2">
        <f ca="1"/>
        <v>-0.10746134613995108</v>
      </c>
      <c r="X9632" s="2">
        <f ca="1"/>
        <v>41.842920741560683</v>
      </c>
      <c r="AG9632" s="2">
        <f ca="1"/>
        <v>0.7673137770068037</v>
      </c>
      <c r="AH9632" s="2" t="str">
        <f ca="1"/>
        <v>Bad</v>
      </c>
    </row>
    <row r="9633" spans="2:34" x14ac:dyDescent="0.2">
      <c r="B9633" s="2">
        <f ca="1"/>
        <v>0.66455192853704137</v>
      </c>
      <c r="O9633" s="2">
        <f ca="1"/>
        <v>1.682939603282968</v>
      </c>
      <c r="X9633" s="2">
        <f ca="1"/>
        <v>44.511105306263588</v>
      </c>
      <c r="AG9633" s="2">
        <f ca="1"/>
        <v>0.7123800197272947</v>
      </c>
      <c r="AH9633" s="2" t="str">
        <f ca="1"/>
        <v>Bad</v>
      </c>
    </row>
    <row r="9634" spans="2:34" x14ac:dyDescent="0.2">
      <c r="B9634" s="2">
        <f ca="1"/>
        <v>1.1418481003258929E-2</v>
      </c>
      <c r="O9634" s="2">
        <f ca="1"/>
        <v>0.8066164617534638</v>
      </c>
      <c r="X9634" s="2">
        <f ca="1"/>
        <v>34.505824688235307</v>
      </c>
      <c r="AG9634" s="2">
        <f ca="1"/>
        <v>0.62100493658007583</v>
      </c>
      <c r="AH9634" s="2" t="str">
        <f ca="1"/>
        <v>Bad</v>
      </c>
    </row>
    <row r="9635" spans="2:34" x14ac:dyDescent="0.2">
      <c r="B9635" s="2">
        <f ca="1"/>
        <v>0.69472000830324743</v>
      </c>
      <c r="O9635" s="2">
        <f ca="1"/>
        <v>0.52143526505086013</v>
      </c>
      <c r="X9635" s="2">
        <f ca="1"/>
        <v>34.237890497852803</v>
      </c>
      <c r="AG9635" s="2">
        <f ca="1"/>
        <v>9.0649575734436771E-2</v>
      </c>
      <c r="AH9635" s="2" t="str">
        <f ca="1"/>
        <v>OK</v>
      </c>
    </row>
    <row r="9636" spans="2:34" x14ac:dyDescent="0.2">
      <c r="B9636" s="2">
        <f ca="1"/>
        <v>0.73615722403578809</v>
      </c>
      <c r="O9636" s="2">
        <f ca="1"/>
        <v>-0.63895155679353022</v>
      </c>
      <c r="X9636" s="2">
        <f ca="1"/>
        <v>37.979914997568045</v>
      </c>
      <c r="AG9636" s="2">
        <f ca="1"/>
        <v>2.7018064731533231E-2</v>
      </c>
      <c r="AH9636" s="2" t="str">
        <f ca="1"/>
        <v>Good</v>
      </c>
    </row>
    <row r="9637" spans="2:34" x14ac:dyDescent="0.2">
      <c r="B9637" s="2">
        <f ca="1"/>
        <v>0.93727529335676785</v>
      </c>
      <c r="O9637" s="2">
        <f ca="1"/>
        <v>-1.2215229615616159</v>
      </c>
      <c r="X9637" s="2">
        <f ca="1"/>
        <v>40.453900068076521</v>
      </c>
      <c r="AG9637" s="2">
        <f ca="1"/>
        <v>0.38560664208029816</v>
      </c>
      <c r="AH9637" s="2" t="str">
        <f ca="1"/>
        <v>OK</v>
      </c>
    </row>
    <row r="9638" spans="2:34" x14ac:dyDescent="0.2">
      <c r="B9638" s="2">
        <f ca="1"/>
        <v>0.37963336949873949</v>
      </c>
      <c r="O9638" s="2">
        <f ca="1"/>
        <v>-1.8470400856733948</v>
      </c>
      <c r="X9638" s="2">
        <f ca="1"/>
        <v>37.313407590278786</v>
      </c>
      <c r="AG9638" s="2">
        <f ca="1"/>
        <v>0.15245280843638742</v>
      </c>
      <c r="AH9638" s="2" t="str">
        <f ca="1"/>
        <v>OK</v>
      </c>
    </row>
    <row r="9639" spans="2:34" x14ac:dyDescent="0.2">
      <c r="B9639" s="2">
        <f ca="1"/>
        <v>0.53065774775116425</v>
      </c>
      <c r="O9639" s="2">
        <f ca="1"/>
        <v>-4.4842207171761725E-2</v>
      </c>
      <c r="X9639" s="2">
        <f ca="1"/>
        <v>52.59207114517374</v>
      </c>
      <c r="AG9639" s="2">
        <f ca="1"/>
        <v>0.12971219067421913</v>
      </c>
      <c r="AH9639" s="2" t="str">
        <f ca="1"/>
        <v>OK</v>
      </c>
    </row>
    <row r="9640" spans="2:34" x14ac:dyDescent="0.2">
      <c r="B9640" s="2">
        <f ca="1"/>
        <v>0.43508882297501605</v>
      </c>
      <c r="O9640" s="2">
        <f ca="1"/>
        <v>0.17456042144510428</v>
      </c>
      <c r="X9640" s="2">
        <f ca="1"/>
        <v>81.522218009884725</v>
      </c>
      <c r="AG9640" s="2">
        <f ca="1"/>
        <v>0.76542109522744273</v>
      </c>
      <c r="AH9640" s="2" t="str">
        <f ca="1"/>
        <v>Bad</v>
      </c>
    </row>
    <row r="9641" spans="2:34" x14ac:dyDescent="0.2">
      <c r="B9641" s="2">
        <f ca="1"/>
        <v>0.66172488833615262</v>
      </c>
      <c r="O9641" s="2">
        <f ca="1"/>
        <v>0.75774725911789642</v>
      </c>
      <c r="X9641" s="2">
        <f ca="1"/>
        <v>62.39218041183161</v>
      </c>
      <c r="AG9641" s="2">
        <f ca="1"/>
        <v>8.9695239984416419E-2</v>
      </c>
      <c r="AH9641" s="2" t="str">
        <f ca="1"/>
        <v>OK</v>
      </c>
    </row>
    <row r="9642" spans="2:34" x14ac:dyDescent="0.2">
      <c r="B9642" s="2">
        <f ca="1"/>
        <v>0.94444586393516183</v>
      </c>
      <c r="O9642" s="2">
        <f ca="1"/>
        <v>1.0588761219356795</v>
      </c>
      <c r="X9642" s="2">
        <f ca="1"/>
        <v>56.808114791585055</v>
      </c>
      <c r="AG9642" s="2">
        <f ca="1"/>
        <v>0.57188769198670952</v>
      </c>
      <c r="AH9642" s="2" t="str">
        <f ca="1"/>
        <v>Bad</v>
      </c>
    </row>
    <row r="9643" spans="2:34" x14ac:dyDescent="0.2">
      <c r="B9643" s="2">
        <f ca="1"/>
        <v>8.2935306255438102E-2</v>
      </c>
      <c r="O9643" s="2">
        <f ca="1"/>
        <v>0.33372920609499751</v>
      </c>
      <c r="X9643" s="2">
        <f ca="1"/>
        <v>45.811467347908632</v>
      </c>
      <c r="AG9643" s="2">
        <f ca="1"/>
        <v>0.69551102284712352</v>
      </c>
      <c r="AH9643" s="2" t="str">
        <f ca="1"/>
        <v>Bad</v>
      </c>
    </row>
    <row r="9644" spans="2:34" x14ac:dyDescent="0.2">
      <c r="B9644" s="2">
        <f ca="1"/>
        <v>0.11033794565334509</v>
      </c>
      <c r="O9644" s="2">
        <f ca="1"/>
        <v>0.54043158623127929</v>
      </c>
      <c r="X9644" s="2">
        <f ca="1"/>
        <v>36.947497346989834</v>
      </c>
      <c r="AG9644" s="2">
        <f ca="1"/>
        <v>0.78707447432588218</v>
      </c>
      <c r="AH9644" s="2" t="str">
        <f ca="1"/>
        <v>Bad</v>
      </c>
    </row>
    <row r="9645" spans="2:34" x14ac:dyDescent="0.2">
      <c r="B9645" s="2">
        <f ca="1"/>
        <v>0.85858447438421881</v>
      </c>
      <c r="O9645" s="2">
        <f ca="1"/>
        <v>7.6969982989105706E-2</v>
      </c>
      <c r="X9645" s="2">
        <f ca="1"/>
        <v>28.563668578768802</v>
      </c>
      <c r="AG9645" s="2">
        <f ca="1"/>
        <v>0.44589737308048583</v>
      </c>
      <c r="AH9645" s="2" t="str">
        <f ca="1"/>
        <v>Bad</v>
      </c>
    </row>
    <row r="9646" spans="2:34" x14ac:dyDescent="0.2">
      <c r="B9646" s="2">
        <f ca="1"/>
        <v>0.86059349918942285</v>
      </c>
      <c r="O9646" s="2">
        <f ca="1"/>
        <v>0.28215289750158984</v>
      </c>
      <c r="X9646" s="2">
        <f ca="1"/>
        <v>51.765780242145603</v>
      </c>
      <c r="AG9646" s="2">
        <f ca="1"/>
        <v>0.21902279674516678</v>
      </c>
      <c r="AH9646" s="2" t="str">
        <f ca="1"/>
        <v>OK</v>
      </c>
    </row>
    <row r="9647" spans="2:34" x14ac:dyDescent="0.2">
      <c r="B9647" s="2">
        <f ca="1"/>
        <v>0.27742300745750836</v>
      </c>
      <c r="O9647" s="2">
        <f ca="1"/>
        <v>-1.0846706328222311</v>
      </c>
      <c r="X9647" s="2">
        <f ca="1"/>
        <v>58.794865269685381</v>
      </c>
      <c r="AG9647" s="2">
        <f ca="1"/>
        <v>0.97960445357860282</v>
      </c>
      <c r="AH9647" s="2" t="str">
        <f ca="1"/>
        <v>Bad</v>
      </c>
    </row>
    <row r="9648" spans="2:34" x14ac:dyDescent="0.2">
      <c r="B9648" s="2">
        <f ca="1"/>
        <v>0.6385151643426894</v>
      </c>
      <c r="O9648" s="2">
        <f ca="1"/>
        <v>0.1542755705214986</v>
      </c>
      <c r="X9648" s="2">
        <f ca="1"/>
        <v>45.302304740993016</v>
      </c>
      <c r="AG9648" s="2">
        <f ca="1"/>
        <v>0.12222083947745865</v>
      </c>
      <c r="AH9648" s="2" t="str">
        <f ca="1"/>
        <v>OK</v>
      </c>
    </row>
    <row r="9649" spans="2:34" x14ac:dyDescent="0.2">
      <c r="B9649" s="2">
        <f ca="1"/>
        <v>6.1070706061287616E-2</v>
      </c>
      <c r="O9649" s="2">
        <f ca="1"/>
        <v>1.4981367924566045</v>
      </c>
      <c r="X9649" s="2">
        <f ca="1"/>
        <v>53.37269070094294</v>
      </c>
      <c r="AG9649" s="2">
        <f ca="1"/>
        <v>0.28972363321474282</v>
      </c>
      <c r="AH9649" s="2" t="str">
        <f ca="1"/>
        <v>OK</v>
      </c>
    </row>
    <row r="9650" spans="2:34" x14ac:dyDescent="0.2">
      <c r="B9650" s="2">
        <f ca="1"/>
        <v>0.18217246336798198</v>
      </c>
      <c r="O9650" s="2">
        <f ca="1"/>
        <v>-0.11656441414526522</v>
      </c>
      <c r="X9650" s="2">
        <f ca="1"/>
        <v>33.457055103981482</v>
      </c>
      <c r="AG9650" s="2">
        <f ca="1"/>
        <v>0.53905672632300017</v>
      </c>
      <c r="AH9650" s="2" t="str">
        <f ca="1"/>
        <v>Bad</v>
      </c>
    </row>
    <row r="9651" spans="2:34" x14ac:dyDescent="0.2">
      <c r="B9651" s="2">
        <f ca="1"/>
        <v>0.21643699510138359</v>
      </c>
      <c r="O9651" s="2">
        <f ca="1"/>
        <v>0.16221586342301347</v>
      </c>
      <c r="X9651" s="2">
        <f ca="1"/>
        <v>49.901440650331878</v>
      </c>
      <c r="AG9651" s="2">
        <f ca="1"/>
        <v>6.8341484314182743E-3</v>
      </c>
      <c r="AH9651" s="2" t="str">
        <f ca="1"/>
        <v>Good</v>
      </c>
    </row>
    <row r="9652" spans="2:34" x14ac:dyDescent="0.2">
      <c r="B9652" s="2">
        <f ca="1"/>
        <v>0.88246217474448119</v>
      </c>
      <c r="O9652" s="2">
        <f ca="1"/>
        <v>-1.6715544981664354</v>
      </c>
      <c r="X9652" s="2">
        <f ca="1"/>
        <v>44.011209960856725</v>
      </c>
      <c r="AG9652" s="2">
        <f ca="1"/>
        <v>3.6349923084278979E-2</v>
      </c>
      <c r="AH9652" s="2" t="str">
        <f ca="1"/>
        <v>Good</v>
      </c>
    </row>
    <row r="9653" spans="2:34" x14ac:dyDescent="0.2">
      <c r="B9653" s="2">
        <f ca="1"/>
        <v>0.85330389437710052</v>
      </c>
      <c r="O9653" s="2">
        <f ca="1"/>
        <v>0.5810495480797635</v>
      </c>
      <c r="X9653" s="2">
        <f ca="1"/>
        <v>56.808406131971182</v>
      </c>
      <c r="AG9653" s="2">
        <f ca="1"/>
        <v>3.4355399596286196E-2</v>
      </c>
      <c r="AH9653" s="2" t="str">
        <f ca="1"/>
        <v>Good</v>
      </c>
    </row>
    <row r="9654" spans="2:34" x14ac:dyDescent="0.2">
      <c r="B9654" s="2">
        <f ca="1"/>
        <v>0.80733935955844993</v>
      </c>
      <c r="O9654" s="2">
        <f ca="1"/>
        <v>-1.5090516276342127</v>
      </c>
      <c r="X9654" s="2">
        <f ca="1"/>
        <v>21.799472033843564</v>
      </c>
      <c r="AG9654" s="2">
        <f ca="1"/>
        <v>0.32669954174959015</v>
      </c>
      <c r="AH9654" s="2" t="str">
        <f ca="1"/>
        <v>OK</v>
      </c>
    </row>
    <row r="9655" spans="2:34" x14ac:dyDescent="0.2">
      <c r="B9655" s="2">
        <f ca="1"/>
        <v>0.13571007722174699</v>
      </c>
      <c r="O9655" s="2">
        <f ca="1"/>
        <v>0.84810601810044595</v>
      </c>
      <c r="X9655" s="2">
        <f ca="1"/>
        <v>66.196416076800844</v>
      </c>
      <c r="AG9655" s="2">
        <f ca="1"/>
        <v>0.32861659736635374</v>
      </c>
      <c r="AH9655" s="2" t="str">
        <f ca="1"/>
        <v>OK</v>
      </c>
    </row>
    <row r="9656" spans="2:34" x14ac:dyDescent="0.2">
      <c r="B9656" s="2">
        <f ca="1"/>
        <v>0.39234844723392692</v>
      </c>
      <c r="O9656" s="2">
        <f ca="1"/>
        <v>0.14609781973378203</v>
      </c>
      <c r="X9656" s="2">
        <f ca="1"/>
        <v>53.921769216308356</v>
      </c>
      <c r="AG9656" s="2">
        <f ca="1"/>
        <v>0.76799225701481744</v>
      </c>
      <c r="AH9656" s="2" t="str">
        <f ca="1"/>
        <v>Bad</v>
      </c>
    </row>
    <row r="9657" spans="2:34" x14ac:dyDescent="0.2">
      <c r="B9657" s="2">
        <f ca="1"/>
        <v>1.9989481956675492E-2</v>
      </c>
      <c r="O9657" s="2">
        <f ca="1"/>
        <v>-0.49525223736815521</v>
      </c>
      <c r="X9657" s="2">
        <f ca="1"/>
        <v>98.047490556048515</v>
      </c>
      <c r="AG9657" s="2">
        <f ca="1"/>
        <v>0.12715372918828138</v>
      </c>
      <c r="AH9657" s="2" t="str">
        <f ca="1"/>
        <v>OK</v>
      </c>
    </row>
    <row r="9658" spans="2:34" x14ac:dyDescent="0.2">
      <c r="B9658" s="2">
        <f ca="1"/>
        <v>0.72978000577895807</v>
      </c>
      <c r="O9658" s="2">
        <f ca="1"/>
        <v>0.50701469603727145</v>
      </c>
      <c r="X9658" s="2">
        <f ca="1"/>
        <v>80.379304024294242</v>
      </c>
      <c r="AG9658" s="2">
        <f ca="1"/>
        <v>0.65144450903754114</v>
      </c>
      <c r="AH9658" s="2" t="str">
        <f ca="1"/>
        <v>Bad</v>
      </c>
    </row>
    <row r="9659" spans="2:34" x14ac:dyDescent="0.2">
      <c r="B9659" s="2">
        <f ca="1"/>
        <v>0.89450273734301722</v>
      </c>
      <c r="O9659" s="2">
        <f ca="1"/>
        <v>1.231591312270863</v>
      </c>
      <c r="X9659" s="2">
        <f ca="1"/>
        <v>34.127222690188553</v>
      </c>
      <c r="AG9659" s="2">
        <f ca="1"/>
        <v>5.3317840721328835E-2</v>
      </c>
      <c r="AH9659" s="2" t="str">
        <f ca="1"/>
        <v>OK</v>
      </c>
    </row>
    <row r="9660" spans="2:34" x14ac:dyDescent="0.2">
      <c r="B9660" s="2">
        <f ca="1"/>
        <v>0.80601300431833356</v>
      </c>
      <c r="O9660" s="2">
        <f ca="1"/>
        <v>-0.48026025548452367</v>
      </c>
      <c r="X9660" s="2">
        <f ca="1"/>
        <v>60.764113749735067</v>
      </c>
      <c r="AG9660" s="2">
        <f ca="1"/>
        <v>0.55541128031758857</v>
      </c>
      <c r="AH9660" s="2" t="str">
        <f ca="1"/>
        <v>Bad</v>
      </c>
    </row>
    <row r="9661" spans="2:34" x14ac:dyDescent="0.2">
      <c r="B9661" s="2">
        <f ca="1"/>
        <v>0.66760089653518495</v>
      </c>
      <c r="O9661" s="2">
        <f ca="1"/>
        <v>2.0781898092650364</v>
      </c>
      <c r="X9661" s="2">
        <f ca="1"/>
        <v>40.353952479574019</v>
      </c>
      <c r="AG9661" s="2">
        <f ca="1"/>
        <v>0.23582129920362505</v>
      </c>
      <c r="AH9661" s="2" t="str">
        <f ca="1"/>
        <v>OK</v>
      </c>
    </row>
    <row r="9662" spans="2:34" x14ac:dyDescent="0.2">
      <c r="B9662" s="2">
        <f ca="1"/>
        <v>0.9870613319112973</v>
      </c>
      <c r="O9662" s="2">
        <f ca="1"/>
        <v>0.62795926082122533</v>
      </c>
      <c r="X9662" s="2">
        <f ca="1"/>
        <v>36.544854715024655</v>
      </c>
      <c r="AG9662" s="2">
        <f ca="1"/>
        <v>0.82373340760086444</v>
      </c>
      <c r="AH9662" s="2" t="str">
        <f ca="1"/>
        <v>Bad</v>
      </c>
    </row>
    <row r="9663" spans="2:34" x14ac:dyDescent="0.2">
      <c r="B9663" s="2">
        <f ca="1"/>
        <v>0.14765841952040915</v>
      </c>
      <c r="O9663" s="2">
        <f ca="1"/>
        <v>-1.0476048514902858</v>
      </c>
      <c r="X9663" s="2">
        <f ca="1"/>
        <v>59.060002417004512</v>
      </c>
      <c r="AG9663" s="2">
        <f ca="1"/>
        <v>0.59161334803742505</v>
      </c>
      <c r="AH9663" s="2" t="str">
        <f ca="1"/>
        <v>Bad</v>
      </c>
    </row>
    <row r="9664" spans="2:34" x14ac:dyDescent="0.2">
      <c r="B9664" s="2">
        <f ca="1"/>
        <v>0.64365650621673876</v>
      </c>
      <c r="O9664" s="2">
        <f ca="1"/>
        <v>-8.8253113288486687E-2</v>
      </c>
      <c r="X9664" s="2">
        <f ca="1"/>
        <v>81.910026742216232</v>
      </c>
      <c r="AG9664" s="2">
        <f ca="1"/>
        <v>0.44258269003095152</v>
      </c>
      <c r="AH9664" s="2" t="str">
        <f ca="1"/>
        <v>Bad</v>
      </c>
    </row>
    <row r="9665" spans="2:34" x14ac:dyDescent="0.2">
      <c r="B9665" s="2">
        <f ca="1"/>
        <v>0.48400878063434338</v>
      </c>
      <c r="O9665" s="2">
        <f ca="1"/>
        <v>1.4334239168240142</v>
      </c>
      <c r="X9665" s="2">
        <f ca="1"/>
        <v>65.876444599198663</v>
      </c>
      <c r="AG9665" s="2">
        <f ca="1"/>
        <v>0.61221386385999721</v>
      </c>
      <c r="AH9665" s="2" t="str">
        <f ca="1"/>
        <v>Bad</v>
      </c>
    </row>
    <row r="9666" spans="2:34" x14ac:dyDescent="0.2">
      <c r="B9666" s="2">
        <f ca="1"/>
        <v>0.8318824077793443</v>
      </c>
      <c r="O9666" s="2">
        <f ca="1"/>
        <v>-0.1034096757264155</v>
      </c>
      <c r="X9666" s="2">
        <f ca="1"/>
        <v>33.905697141717816</v>
      </c>
      <c r="AG9666" s="2">
        <f ca="1"/>
        <v>0.26394058342062032</v>
      </c>
      <c r="AH9666" s="2" t="str">
        <f ca="1"/>
        <v>OK</v>
      </c>
    </row>
    <row r="9667" spans="2:34" x14ac:dyDescent="0.2">
      <c r="B9667" s="2">
        <f ca="1"/>
        <v>0.42955676939124543</v>
      </c>
      <c r="O9667" s="2">
        <f ca="1"/>
        <v>0.50830972035367361</v>
      </c>
      <c r="X9667" s="2">
        <f ca="1"/>
        <v>72.457247383209506</v>
      </c>
      <c r="AG9667" s="2">
        <f ca="1"/>
        <v>4.5003175796137773E-2</v>
      </c>
      <c r="AH9667" s="2" t="str">
        <f ca="1"/>
        <v>Good</v>
      </c>
    </row>
    <row r="9668" spans="2:34" x14ac:dyDescent="0.2">
      <c r="B9668" s="2">
        <f ca="1"/>
        <v>8.6395981101464736E-2</v>
      </c>
      <c r="O9668" s="2">
        <f ca="1"/>
        <v>0.20950279273116459</v>
      </c>
      <c r="X9668" s="2">
        <f ca="1"/>
        <v>40.364200782400303</v>
      </c>
      <c r="AG9668" s="2">
        <f ca="1"/>
        <v>0.84104458659316617</v>
      </c>
      <c r="AH9668" s="2" t="str">
        <f ca="1"/>
        <v>Bad</v>
      </c>
    </row>
    <row r="9669" spans="2:34" x14ac:dyDescent="0.2">
      <c r="B9669" s="2">
        <f ca="1"/>
        <v>0.84406937284095318</v>
      </c>
      <c r="O9669" s="2">
        <f ca="1"/>
        <v>0.38595014562981617</v>
      </c>
      <c r="X9669" s="2">
        <f ca="1"/>
        <v>46.196224626127275</v>
      </c>
      <c r="AG9669" s="2">
        <f ca="1"/>
        <v>0.82965544745645103</v>
      </c>
      <c r="AH9669" s="2" t="str">
        <f ca="1"/>
        <v>Bad</v>
      </c>
    </row>
    <row r="9670" spans="2:34" x14ac:dyDescent="0.2">
      <c r="B9670" s="2">
        <f ca="1"/>
        <v>0.9747256068565735</v>
      </c>
      <c r="O9670" s="2">
        <f ca="1"/>
        <v>-0.69235640065766468</v>
      </c>
      <c r="X9670" s="2">
        <f ca="1"/>
        <v>76.940828737112383</v>
      </c>
      <c r="AG9670" s="2">
        <f ca="1"/>
        <v>0.3765224023303404</v>
      </c>
      <c r="AH9670" s="2" t="str">
        <f ca="1"/>
        <v>OK</v>
      </c>
    </row>
    <row r="9671" spans="2:34" x14ac:dyDescent="0.2">
      <c r="B9671" s="2">
        <f ca="1"/>
        <v>0.53176419223897819</v>
      </c>
      <c r="O9671" s="2">
        <f ca="1"/>
        <v>1.0774845495731571</v>
      </c>
      <c r="X9671" s="2">
        <f ca="1"/>
        <v>79.266696026346978</v>
      </c>
      <c r="AG9671" s="2">
        <f ca="1"/>
        <v>0.76674007858654636</v>
      </c>
      <c r="AH9671" s="2" t="str">
        <f ca="1"/>
        <v>Bad</v>
      </c>
    </row>
    <row r="9672" spans="2:34" x14ac:dyDescent="0.2">
      <c r="B9672" s="2">
        <f ca="1"/>
        <v>0.53346447094476046</v>
      </c>
      <c r="O9672" s="2">
        <f ca="1"/>
        <v>-0.29745939165008745</v>
      </c>
      <c r="X9672" s="2">
        <f ca="1"/>
        <v>38.886792290587643</v>
      </c>
      <c r="AG9672" s="2">
        <f ca="1"/>
        <v>0.28048400155307585</v>
      </c>
      <c r="AH9672" s="2" t="str">
        <f ca="1"/>
        <v>OK</v>
      </c>
    </row>
    <row r="9673" spans="2:34" x14ac:dyDescent="0.2">
      <c r="B9673" s="2">
        <f ca="1"/>
        <v>0.4861577890253681</v>
      </c>
      <c r="O9673" s="2">
        <f ca="1"/>
        <v>2.0201177205772693</v>
      </c>
      <c r="X9673" s="2">
        <f ca="1"/>
        <v>53.812064841415072</v>
      </c>
      <c r="AG9673" s="2">
        <f ca="1"/>
        <v>0.52730158440925101</v>
      </c>
      <c r="AH9673" s="2" t="str">
        <f ca="1"/>
        <v>Bad</v>
      </c>
    </row>
    <row r="9674" spans="2:34" x14ac:dyDescent="0.2">
      <c r="B9674" s="2">
        <f ca="1"/>
        <v>0.48968596253471852</v>
      </c>
      <c r="O9674" s="2">
        <f ca="1"/>
        <v>0.6468348942427794</v>
      </c>
      <c r="X9674" s="2">
        <f ca="1"/>
        <v>53.030717916750177</v>
      </c>
      <c r="AG9674" s="2">
        <f ca="1"/>
        <v>0.95808056400465436</v>
      </c>
      <c r="AH9674" s="2" t="str">
        <f ca="1"/>
        <v>Bad</v>
      </c>
    </row>
    <row r="9675" spans="2:34" x14ac:dyDescent="0.2">
      <c r="B9675" s="2">
        <f ca="1"/>
        <v>0.84412761391020541</v>
      </c>
      <c r="O9675" s="2">
        <f ca="1"/>
        <v>-0.67161196716957761</v>
      </c>
      <c r="X9675" s="2">
        <f ca="1"/>
        <v>54.417795517595607</v>
      </c>
      <c r="AG9675" s="2">
        <f ca="1"/>
        <v>0.43756949584990279</v>
      </c>
      <c r="AH9675" s="2" t="str">
        <f ca="1"/>
        <v>Bad</v>
      </c>
    </row>
    <row r="9676" spans="2:34" x14ac:dyDescent="0.2">
      <c r="B9676" s="2">
        <f ca="1"/>
        <v>0.31806669574020763</v>
      </c>
      <c r="O9676" s="2">
        <f ca="1"/>
        <v>0.63879880979034565</v>
      </c>
      <c r="X9676" s="2">
        <f ca="1"/>
        <v>69.595385311309542</v>
      </c>
      <c r="AG9676" s="2">
        <f ca="1"/>
        <v>0.26627823784534632</v>
      </c>
      <c r="AH9676" s="2" t="str">
        <f ca="1"/>
        <v>OK</v>
      </c>
    </row>
    <row r="9677" spans="2:34" x14ac:dyDescent="0.2">
      <c r="B9677" s="2">
        <f ca="1"/>
        <v>0.51540730120586553</v>
      </c>
      <c r="O9677" s="2">
        <f ca="1"/>
        <v>0.97608796604207748</v>
      </c>
      <c r="X9677" s="2">
        <f ca="1"/>
        <v>34.361548023852031</v>
      </c>
      <c r="AG9677" s="2">
        <f ca="1"/>
        <v>1.9456150024924401E-2</v>
      </c>
      <c r="AH9677" s="2" t="str">
        <f ca="1"/>
        <v>Good</v>
      </c>
    </row>
    <row r="9678" spans="2:34" x14ac:dyDescent="0.2">
      <c r="B9678" s="2">
        <f ca="1"/>
        <v>0.69648851522804778</v>
      </c>
      <c r="O9678" s="2">
        <f ca="1"/>
        <v>1.002982228178396</v>
      </c>
      <c r="X9678" s="2">
        <f ca="1"/>
        <v>51.427880567401701</v>
      </c>
      <c r="AG9678" s="2">
        <f ca="1"/>
        <v>0.73121388892921524</v>
      </c>
      <c r="AH9678" s="2" t="str">
        <f ca="1"/>
        <v>Bad</v>
      </c>
    </row>
    <row r="9679" spans="2:34" x14ac:dyDescent="0.2">
      <c r="B9679" s="2">
        <f ca="1"/>
        <v>0.18947827711441789</v>
      </c>
      <c r="O9679" s="2">
        <f ca="1"/>
        <v>0.67758674226131588</v>
      </c>
      <c r="X9679" s="2">
        <f ca="1"/>
        <v>40.560053823129813</v>
      </c>
      <c r="AG9679" s="2">
        <f ca="1"/>
        <v>0.5722938645462885</v>
      </c>
      <c r="AH9679" s="2" t="str">
        <f ca="1"/>
        <v>Bad</v>
      </c>
    </row>
    <row r="9680" spans="2:34" x14ac:dyDescent="0.2">
      <c r="B9680" s="2">
        <f ca="1"/>
        <v>0.74005763813430181</v>
      </c>
      <c r="O9680" s="2">
        <f ca="1"/>
        <v>0.94298684835637592</v>
      </c>
      <c r="X9680" s="2">
        <f ca="1"/>
        <v>49.878439125717257</v>
      </c>
      <c r="AG9680" s="2">
        <f ca="1"/>
        <v>0.62408480635989538</v>
      </c>
      <c r="AH9680" s="2" t="str">
        <f ca="1"/>
        <v>Bad</v>
      </c>
    </row>
    <row r="9681" spans="2:34" x14ac:dyDescent="0.2">
      <c r="B9681" s="2">
        <f ca="1"/>
        <v>0.88141465180551126</v>
      </c>
      <c r="O9681" s="2">
        <f ca="1"/>
        <v>0.85615342391939864</v>
      </c>
      <c r="X9681" s="2">
        <f ca="1"/>
        <v>54.722929243068954</v>
      </c>
      <c r="AG9681" s="2">
        <f ca="1"/>
        <v>0.66319169579148496</v>
      </c>
      <c r="AH9681" s="2" t="str">
        <f ca="1"/>
        <v>Bad</v>
      </c>
    </row>
    <row r="9682" spans="2:34" x14ac:dyDescent="0.2">
      <c r="B9682" s="2">
        <f ca="1"/>
        <v>0.56649806833172134</v>
      </c>
      <c r="O9682" s="2">
        <f ca="1"/>
        <v>-0.85261515165297186</v>
      </c>
      <c r="X9682" s="2">
        <f ca="1"/>
        <v>72.956084209604541</v>
      </c>
      <c r="AG9682" s="2">
        <f ca="1"/>
        <v>0.53400427166347342</v>
      </c>
      <c r="AH9682" s="2" t="str">
        <f ca="1"/>
        <v>Bad</v>
      </c>
    </row>
    <row r="9683" spans="2:34" x14ac:dyDescent="0.2">
      <c r="B9683" s="2">
        <f ca="1"/>
        <v>0.1568082823731809</v>
      </c>
      <c r="O9683" s="2">
        <f ca="1"/>
        <v>-8.9201379697721475E-2</v>
      </c>
      <c r="X9683" s="2">
        <f ca="1"/>
        <v>30.092033696270853</v>
      </c>
      <c r="AG9683" s="2">
        <f ca="1"/>
        <v>8.6358373290162938E-4</v>
      </c>
      <c r="AH9683" s="2" t="str">
        <f ca="1"/>
        <v>Good</v>
      </c>
    </row>
    <row r="9684" spans="2:34" x14ac:dyDescent="0.2">
      <c r="B9684" s="2">
        <f ca="1"/>
        <v>3.4299566162520279E-2</v>
      </c>
      <c r="O9684" s="2">
        <f ca="1"/>
        <v>0.53825918421677754</v>
      </c>
      <c r="X9684" s="2">
        <f ca="1"/>
        <v>75.788341962987758</v>
      </c>
      <c r="AG9684" s="2">
        <f ca="1"/>
        <v>0.76931798725483258</v>
      </c>
      <c r="AH9684" s="2" t="str">
        <f ca="1"/>
        <v>Bad</v>
      </c>
    </row>
    <row r="9685" spans="2:34" x14ac:dyDescent="0.2">
      <c r="B9685" s="2">
        <f ca="1"/>
        <v>0.50489806113437941</v>
      </c>
      <c r="O9685" s="2">
        <f ca="1"/>
        <v>0.18693541873381661</v>
      </c>
      <c r="X9685" s="2">
        <f ca="1"/>
        <v>71.384297094699932</v>
      </c>
      <c r="AG9685" s="2">
        <f ca="1"/>
        <v>0.75474360538228069</v>
      </c>
      <c r="AH9685" s="2" t="str">
        <f ca="1"/>
        <v>Bad</v>
      </c>
    </row>
    <row r="9686" spans="2:34" x14ac:dyDescent="0.2">
      <c r="B9686" s="2">
        <f ca="1"/>
        <v>0.4034293121003194</v>
      </c>
      <c r="O9686" s="2">
        <f ca="1"/>
        <v>-0.5540020291164186</v>
      </c>
      <c r="X9686" s="2">
        <f ca="1"/>
        <v>61.100094702560611</v>
      </c>
      <c r="AG9686" s="2">
        <f ca="1"/>
        <v>0.80881534962399315</v>
      </c>
      <c r="AH9686" s="2" t="str">
        <f ca="1"/>
        <v>Bad</v>
      </c>
    </row>
    <row r="9687" spans="2:34" x14ac:dyDescent="0.2">
      <c r="B9687" s="2">
        <f ca="1"/>
        <v>0.40788114894008709</v>
      </c>
      <c r="O9687" s="2">
        <f ca="1"/>
        <v>-1.031145885858997</v>
      </c>
      <c r="X9687" s="2">
        <f ca="1"/>
        <v>59.393308203683482</v>
      </c>
      <c r="AG9687" s="2">
        <f ca="1"/>
        <v>0.74126152099945886</v>
      </c>
      <c r="AH9687" s="2" t="str">
        <f ca="1"/>
        <v>Bad</v>
      </c>
    </row>
    <row r="9688" spans="2:34" x14ac:dyDescent="0.2">
      <c r="B9688" s="2">
        <f ca="1"/>
        <v>0.42026768294928618</v>
      </c>
      <c r="O9688" s="2">
        <f ca="1"/>
        <v>1.1393779381858626</v>
      </c>
      <c r="X9688" s="2">
        <f ca="1"/>
        <v>65.573971747760268</v>
      </c>
      <c r="AG9688" s="2">
        <f ca="1"/>
        <v>0.56126569033496709</v>
      </c>
      <c r="AH9688" s="2" t="str">
        <f ca="1"/>
        <v>Bad</v>
      </c>
    </row>
    <row r="9689" spans="2:34" x14ac:dyDescent="0.2">
      <c r="B9689" s="2">
        <f ca="1"/>
        <v>0.90825579241150267</v>
      </c>
      <c r="O9689" s="2">
        <f ca="1"/>
        <v>-0.9184869506525789</v>
      </c>
      <c r="X9689" s="2">
        <f ca="1"/>
        <v>35.491478722793175</v>
      </c>
      <c r="AG9689" s="2">
        <f ca="1"/>
        <v>0.63857367915576213</v>
      </c>
      <c r="AH9689" s="2" t="str">
        <f ca="1"/>
        <v>Bad</v>
      </c>
    </row>
    <row r="9690" spans="2:34" x14ac:dyDescent="0.2">
      <c r="B9690" s="2">
        <f ca="1"/>
        <v>0.56918482674774706</v>
      </c>
      <c r="O9690" s="2">
        <f ca="1"/>
        <v>-1.9444646002800767</v>
      </c>
      <c r="X9690" s="2">
        <f ca="1"/>
        <v>51.596727372640878</v>
      </c>
      <c r="AG9690" s="2">
        <f ca="1"/>
        <v>0.97605296001997632</v>
      </c>
      <c r="AH9690" s="2" t="str">
        <f ca="1"/>
        <v>Bad</v>
      </c>
    </row>
    <row r="9691" spans="2:34" x14ac:dyDescent="0.2">
      <c r="B9691" s="2">
        <f ca="1"/>
        <v>6.2052913021153788E-2</v>
      </c>
      <c r="O9691" s="2">
        <f ca="1"/>
        <v>0.10719616558285371</v>
      </c>
      <c r="X9691" s="2">
        <f ca="1"/>
        <v>39.849548409660123</v>
      </c>
      <c r="AG9691" s="2">
        <f ca="1"/>
        <v>8.6330466452733123E-3</v>
      </c>
      <c r="AH9691" s="2" t="str">
        <f ca="1"/>
        <v>Good</v>
      </c>
    </row>
    <row r="9692" spans="2:34" x14ac:dyDescent="0.2">
      <c r="B9692" s="2">
        <f ca="1"/>
        <v>0.87563744972707847</v>
      </c>
      <c r="O9692" s="2">
        <f ca="1"/>
        <v>-5.1159988782274173E-2</v>
      </c>
      <c r="X9692" s="2">
        <f ca="1"/>
        <v>59.990923136627046</v>
      </c>
      <c r="AG9692" s="2">
        <f ca="1"/>
        <v>0.80378805053862701</v>
      </c>
      <c r="AH9692" s="2" t="str">
        <f ca="1"/>
        <v>Bad</v>
      </c>
    </row>
    <row r="9693" spans="2:34" x14ac:dyDescent="0.2">
      <c r="B9693" s="2">
        <f ca="1"/>
        <v>0.53076401017442643</v>
      </c>
      <c r="O9693" s="2">
        <f ca="1"/>
        <v>-0.60100147225647438</v>
      </c>
      <c r="X9693" s="2">
        <f ca="1"/>
        <v>69.229169467512378</v>
      </c>
      <c r="AG9693" s="2">
        <f ca="1"/>
        <v>1.8247614703558179E-2</v>
      </c>
      <c r="AH9693" s="2" t="str">
        <f ca="1"/>
        <v>Good</v>
      </c>
    </row>
    <row r="9694" spans="2:34" x14ac:dyDescent="0.2">
      <c r="B9694" s="2">
        <f ca="1"/>
        <v>0.24451874980933352</v>
      </c>
      <c r="O9694" s="2">
        <f ca="1"/>
        <v>-2.0583251632675852</v>
      </c>
      <c r="X9694" s="2">
        <f ca="1"/>
        <v>23.067017806509828</v>
      </c>
      <c r="AG9694" s="2">
        <f ca="1"/>
        <v>0.6573605531898965</v>
      </c>
      <c r="AH9694" s="2" t="str">
        <f ca="1"/>
        <v>Bad</v>
      </c>
    </row>
    <row r="9695" spans="2:34" x14ac:dyDescent="0.2">
      <c r="B9695" s="2">
        <f ca="1"/>
        <v>0.15840748433472696</v>
      </c>
      <c r="O9695" s="2">
        <f ca="1"/>
        <v>-0.72791730455641279</v>
      </c>
      <c r="X9695" s="2">
        <f ca="1"/>
        <v>46.67830273533373</v>
      </c>
      <c r="AG9695" s="2">
        <f ca="1"/>
        <v>0.24059925294615092</v>
      </c>
      <c r="AH9695" s="2" t="str">
        <f ca="1"/>
        <v>OK</v>
      </c>
    </row>
    <row r="9696" spans="2:34" x14ac:dyDescent="0.2">
      <c r="B9696" s="2">
        <f ca="1"/>
        <v>0.73581880947493827</v>
      </c>
      <c r="O9696" s="2">
        <f ca="1"/>
        <v>-0.66273362460943031</v>
      </c>
      <c r="X9696" s="2">
        <f ca="1"/>
        <v>47.211094187442875</v>
      </c>
      <c r="AG9696" s="2">
        <f ca="1"/>
        <v>0.18919438980717618</v>
      </c>
      <c r="AH9696" s="2" t="str">
        <f ca="1"/>
        <v>OK</v>
      </c>
    </row>
    <row r="9697" spans="2:34" x14ac:dyDescent="0.2">
      <c r="B9697" s="2">
        <f ca="1"/>
        <v>0.62824509856167987</v>
      </c>
      <c r="O9697" s="2">
        <f ca="1"/>
        <v>-0.54204946208835902</v>
      </c>
      <c r="X9697" s="2">
        <f ca="1"/>
        <v>49.023199279048796</v>
      </c>
      <c r="AG9697" s="2">
        <f ca="1"/>
        <v>0.51535491588731763</v>
      </c>
      <c r="AH9697" s="2" t="str">
        <f ca="1"/>
        <v>Bad</v>
      </c>
    </row>
    <row r="9698" spans="2:34" x14ac:dyDescent="0.2">
      <c r="B9698" s="2">
        <f ca="1"/>
        <v>0.92844270644206017</v>
      </c>
      <c r="O9698" s="2">
        <f ca="1"/>
        <v>-0.5116607791429818</v>
      </c>
      <c r="X9698" s="2">
        <f ca="1"/>
        <v>45.244018415587497</v>
      </c>
      <c r="AG9698" s="2">
        <f ca="1"/>
        <v>0.27078705951826842</v>
      </c>
      <c r="AH9698" s="2" t="str">
        <f ca="1"/>
        <v>OK</v>
      </c>
    </row>
    <row r="9699" spans="2:34" x14ac:dyDescent="0.2">
      <c r="B9699" s="2">
        <f ca="1"/>
        <v>0.90069725740817064</v>
      </c>
      <c r="O9699" s="2">
        <f ca="1"/>
        <v>-1.3669712653386339</v>
      </c>
      <c r="X9699" s="2">
        <f ca="1"/>
        <v>65.832307146617651</v>
      </c>
      <c r="AG9699" s="2">
        <f ca="1"/>
        <v>0.81836241710542978</v>
      </c>
      <c r="AH9699" s="2" t="str">
        <f ca="1"/>
        <v>Bad</v>
      </c>
    </row>
    <row r="9700" spans="2:34" x14ac:dyDescent="0.2">
      <c r="B9700" s="2">
        <f ca="1"/>
        <v>0.88216057912382095</v>
      </c>
      <c r="O9700" s="2">
        <f ca="1"/>
        <v>-0.19590666890362829</v>
      </c>
      <c r="X9700" s="2">
        <f ca="1"/>
        <v>53.314570270483472</v>
      </c>
      <c r="AG9700" s="2">
        <f ca="1"/>
        <v>0.86632230398417742</v>
      </c>
      <c r="AH9700" s="2" t="str">
        <f ca="1"/>
        <v>Bad</v>
      </c>
    </row>
    <row r="9701" spans="2:34" x14ac:dyDescent="0.2">
      <c r="B9701" s="2">
        <f ca="1"/>
        <v>0.92028987067019075</v>
      </c>
      <c r="O9701" s="2">
        <f ca="1"/>
        <v>1.9109151419262125</v>
      </c>
      <c r="X9701" s="2">
        <f ca="1"/>
        <v>27.327469156612377</v>
      </c>
      <c r="AG9701" s="2">
        <f ca="1"/>
        <v>0.75767017262191594</v>
      </c>
      <c r="AH9701" s="2" t="str">
        <f ca="1"/>
        <v>Bad</v>
      </c>
    </row>
    <row r="9702" spans="2:34" x14ac:dyDescent="0.2">
      <c r="B9702" s="2">
        <f ca="1"/>
        <v>0.55365959399735432</v>
      </c>
      <c r="O9702" s="2">
        <f ca="1"/>
        <v>0.8104055742844315</v>
      </c>
      <c r="X9702" s="2">
        <f ca="1"/>
        <v>87.934268827388507</v>
      </c>
      <c r="AG9702" s="2">
        <f ca="1"/>
        <v>0.20256910275382656</v>
      </c>
      <c r="AH9702" s="2" t="str">
        <f ca="1"/>
        <v>OK</v>
      </c>
    </row>
    <row r="9703" spans="2:34" x14ac:dyDescent="0.2">
      <c r="B9703" s="2">
        <f ca="1"/>
        <v>0.39389040997265168</v>
      </c>
      <c r="O9703" s="2">
        <f ca="1"/>
        <v>-0.51722404365558361</v>
      </c>
      <c r="X9703" s="2">
        <f ca="1"/>
        <v>82.854249282359035</v>
      </c>
      <c r="AG9703" s="2">
        <f ca="1"/>
        <v>0.49420916909057855</v>
      </c>
      <c r="AH9703" s="2" t="str">
        <f ca="1"/>
        <v>Bad</v>
      </c>
    </row>
    <row r="9704" spans="2:34" x14ac:dyDescent="0.2">
      <c r="B9704" s="2">
        <f ca="1"/>
        <v>0.37715437379651573</v>
      </c>
      <c r="O9704" s="2">
        <f ca="1"/>
        <v>2.6736158668980674</v>
      </c>
      <c r="X9704" s="2">
        <f ca="1"/>
        <v>27.086579720434003</v>
      </c>
      <c r="AG9704" s="2">
        <f ca="1"/>
        <v>0.97728926377671699</v>
      </c>
      <c r="AH9704" s="2" t="str">
        <f ca="1"/>
        <v>Bad</v>
      </c>
    </row>
    <row r="9705" spans="2:34" x14ac:dyDescent="0.2">
      <c r="B9705" s="2">
        <f ca="1"/>
        <v>0.44952676067490738</v>
      </c>
      <c r="O9705" s="2">
        <f ca="1"/>
        <v>0.98694660876662033</v>
      </c>
      <c r="X9705" s="2">
        <f ca="1"/>
        <v>72.134795492415989</v>
      </c>
      <c r="AG9705" s="2">
        <f ca="1"/>
        <v>0.25764391842448764</v>
      </c>
      <c r="AH9705" s="2" t="str">
        <f ca="1"/>
        <v>OK</v>
      </c>
    </row>
    <row r="9706" spans="2:34" x14ac:dyDescent="0.2">
      <c r="B9706" s="2">
        <f ca="1"/>
        <v>0.86342529393863621</v>
      </c>
      <c r="O9706" s="2">
        <f ca="1"/>
        <v>-0.19331250179615392</v>
      </c>
      <c r="X9706" s="2">
        <f ca="1"/>
        <v>71.95827368127955</v>
      </c>
      <c r="AG9706" s="2">
        <f ca="1"/>
        <v>8.0311731044760526E-2</v>
      </c>
      <c r="AH9706" s="2" t="str">
        <f ca="1"/>
        <v>OK</v>
      </c>
    </row>
    <row r="9707" spans="2:34" x14ac:dyDescent="0.2">
      <c r="B9707" s="2">
        <f ca="1"/>
        <v>0.22449642063012276</v>
      </c>
      <c r="O9707" s="2">
        <f ca="1"/>
        <v>0.59214742941581178</v>
      </c>
      <c r="X9707" s="2">
        <f ca="1"/>
        <v>88.821578018381203</v>
      </c>
      <c r="AG9707" s="2">
        <f ca="1"/>
        <v>0.63121399960071733</v>
      </c>
      <c r="AH9707" s="2" t="str">
        <f ca="1"/>
        <v>Bad</v>
      </c>
    </row>
    <row r="9708" spans="2:34" x14ac:dyDescent="0.2">
      <c r="B9708" s="2">
        <f ca="1"/>
        <v>0.45850906612449549</v>
      </c>
      <c r="O9708" s="2">
        <f ca="1"/>
        <v>0.55809706074557575</v>
      </c>
      <c r="X9708" s="2">
        <f ca="1"/>
        <v>37.621203490018281</v>
      </c>
      <c r="AG9708" s="2">
        <f ca="1"/>
        <v>0.48555704061533045</v>
      </c>
      <c r="AH9708" s="2" t="str">
        <f ca="1"/>
        <v>Bad</v>
      </c>
    </row>
    <row r="9709" spans="2:34" x14ac:dyDescent="0.2">
      <c r="B9709" s="2">
        <f ca="1"/>
        <v>0.84925090362174482</v>
      </c>
      <c r="O9709" s="2">
        <f ca="1"/>
        <v>2.9427753155302891</v>
      </c>
      <c r="X9709" s="2">
        <f ca="1"/>
        <v>18.39451392991052</v>
      </c>
      <c r="AG9709" s="2">
        <f ca="1"/>
        <v>0.95689314080688304</v>
      </c>
      <c r="AH9709" s="2" t="str">
        <f ca="1"/>
        <v>Bad</v>
      </c>
    </row>
    <row r="9710" spans="2:34" x14ac:dyDescent="0.2">
      <c r="B9710" s="2">
        <f ca="1"/>
        <v>0.54078276776309853</v>
      </c>
      <c r="O9710" s="2">
        <f ca="1"/>
        <v>-0.26273662407428805</v>
      </c>
      <c r="X9710" s="2">
        <f ca="1"/>
        <v>43.978987249267966</v>
      </c>
      <c r="AG9710" s="2">
        <f ca="1"/>
        <v>0.20980321594959617</v>
      </c>
      <c r="AH9710" s="2" t="str">
        <f ca="1"/>
        <v>OK</v>
      </c>
    </row>
    <row r="9711" spans="2:34" x14ac:dyDescent="0.2">
      <c r="B9711" s="2">
        <f ca="1"/>
        <v>0.3940843604778701</v>
      </c>
      <c r="O9711" s="2">
        <f ca="1"/>
        <v>-1.2659678389060731</v>
      </c>
      <c r="X9711" s="2">
        <f ca="1"/>
        <v>36.370197743505067</v>
      </c>
      <c r="AG9711" s="2">
        <f ca="1"/>
        <v>0.22526046319684689</v>
      </c>
      <c r="AH9711" s="2" t="str">
        <f ca="1"/>
        <v>OK</v>
      </c>
    </row>
    <row r="9712" spans="2:34" x14ac:dyDescent="0.2">
      <c r="B9712" s="2">
        <f ca="1"/>
        <v>0.40258387881907387</v>
      </c>
      <c r="O9712" s="2">
        <f ca="1"/>
        <v>-1.2321426376217373</v>
      </c>
      <c r="X9712" s="2">
        <f ca="1"/>
        <v>44.82000271677839</v>
      </c>
      <c r="AG9712" s="2">
        <f ca="1"/>
        <v>0.1130154785237294</v>
      </c>
      <c r="AH9712" s="2" t="str">
        <f ca="1"/>
        <v>OK</v>
      </c>
    </row>
    <row r="9713" spans="2:34" x14ac:dyDescent="0.2">
      <c r="B9713" s="2">
        <f ca="1"/>
        <v>0.63816548304508047</v>
      </c>
      <c r="O9713" s="2">
        <f ca="1"/>
        <v>5.6936516635593619E-2</v>
      </c>
      <c r="X9713" s="2">
        <f ca="1"/>
        <v>102.07725945384874</v>
      </c>
      <c r="AG9713" s="2">
        <f ca="1"/>
        <v>0.37190553727867548</v>
      </c>
      <c r="AH9713" s="2" t="str">
        <f ca="1"/>
        <v>OK</v>
      </c>
    </row>
    <row r="9714" spans="2:34" x14ac:dyDescent="0.2">
      <c r="B9714" s="2">
        <f ca="1"/>
        <v>0.15142469795449753</v>
      </c>
      <c r="O9714" s="2">
        <f ca="1"/>
        <v>-1.4451153246810609</v>
      </c>
      <c r="X9714" s="2">
        <f ca="1"/>
        <v>53.568301445335138</v>
      </c>
      <c r="AG9714" s="2">
        <f ca="1"/>
        <v>0.78454812254129269</v>
      </c>
      <c r="AH9714" s="2" t="str">
        <f ca="1"/>
        <v>Bad</v>
      </c>
    </row>
    <row r="9715" spans="2:34" x14ac:dyDescent="0.2">
      <c r="B9715" s="2">
        <f ca="1"/>
        <v>0.27834573934171902</v>
      </c>
      <c r="O9715" s="2">
        <f ca="1"/>
        <v>-2.5772299030930923</v>
      </c>
      <c r="X9715" s="2">
        <f ca="1"/>
        <v>59.100826881137706</v>
      </c>
      <c r="AG9715" s="2">
        <f ca="1"/>
        <v>0.64164975859808382</v>
      </c>
      <c r="AH9715" s="2" t="str">
        <f ca="1"/>
        <v>Bad</v>
      </c>
    </row>
    <row r="9716" spans="2:34" x14ac:dyDescent="0.2">
      <c r="B9716" s="2">
        <f ca="1"/>
        <v>6.888315003947465E-2</v>
      </c>
      <c r="O9716" s="2">
        <f ca="1"/>
        <v>0.82484801662546114</v>
      </c>
      <c r="X9716" s="2">
        <f ca="1"/>
        <v>63.339191396359986</v>
      </c>
      <c r="AG9716" s="2">
        <f ca="1"/>
        <v>0.76914324957361924</v>
      </c>
      <c r="AH9716" s="2" t="str">
        <f ca="1"/>
        <v>Bad</v>
      </c>
    </row>
    <row r="9717" spans="2:34" x14ac:dyDescent="0.2">
      <c r="B9717" s="2">
        <f ca="1"/>
        <v>0.47124865612862266</v>
      </c>
      <c r="O9717" s="2">
        <f ca="1"/>
        <v>0.15296345761704208</v>
      </c>
      <c r="X9717" s="2">
        <f ca="1"/>
        <v>42.656166822420886</v>
      </c>
      <c r="AG9717" s="2">
        <f ca="1"/>
        <v>0.26347748052992781</v>
      </c>
      <c r="AH9717" s="2" t="str">
        <f ca="1"/>
        <v>OK</v>
      </c>
    </row>
    <row r="9718" spans="2:34" x14ac:dyDescent="0.2">
      <c r="B9718" s="2">
        <f ca="1"/>
        <v>0.65632809465461639</v>
      </c>
      <c r="O9718" s="2">
        <f ca="1"/>
        <v>-0.69729020566604794</v>
      </c>
      <c r="X9718" s="2">
        <f ca="1"/>
        <v>30.630248279496442</v>
      </c>
      <c r="AG9718" s="2">
        <f ca="1"/>
        <v>0.7623521174866057</v>
      </c>
      <c r="AH9718" s="2" t="str">
        <f ca="1"/>
        <v>Bad</v>
      </c>
    </row>
    <row r="9719" spans="2:34" x14ac:dyDescent="0.2">
      <c r="B9719" s="2">
        <f ca="1"/>
        <v>8.5305753683176944E-2</v>
      </c>
      <c r="O9719" s="2">
        <f ca="1"/>
        <v>0.31775343212828921</v>
      </c>
      <c r="X9719" s="2">
        <f ca="1"/>
        <v>34.229624131270334</v>
      </c>
      <c r="AG9719" s="2">
        <f ca="1"/>
        <v>0.65023398956822853</v>
      </c>
      <c r="AH9719" s="2" t="str">
        <f ca="1"/>
        <v>Bad</v>
      </c>
    </row>
    <row r="9720" spans="2:34" x14ac:dyDescent="0.2">
      <c r="B9720" s="2">
        <f ca="1"/>
        <v>0.48345357035611736</v>
      </c>
      <c r="O9720" s="2">
        <f ca="1"/>
        <v>0.21869364183516415</v>
      </c>
      <c r="X9720" s="2">
        <f ca="1"/>
        <v>48.993103842277918</v>
      </c>
      <c r="AG9720" s="2">
        <f ca="1"/>
        <v>0.46088592262050465</v>
      </c>
      <c r="AH9720" s="2" t="str">
        <f ca="1"/>
        <v>Bad</v>
      </c>
    </row>
    <row r="9721" spans="2:34" x14ac:dyDescent="0.2">
      <c r="B9721" s="2">
        <f ca="1"/>
        <v>0.72167489425073006</v>
      </c>
      <c r="O9721" s="2">
        <f ca="1"/>
        <v>1.1374992477402948</v>
      </c>
      <c r="X9721" s="2">
        <f ca="1"/>
        <v>68.316196176883636</v>
      </c>
      <c r="AG9721" s="2">
        <f ca="1"/>
        <v>0.1775121546686933</v>
      </c>
      <c r="AH9721" s="2" t="str">
        <f ca="1"/>
        <v>OK</v>
      </c>
    </row>
    <row r="9722" spans="2:34" x14ac:dyDescent="0.2">
      <c r="B9722" s="2">
        <f ca="1"/>
        <v>0.97652495317729926</v>
      </c>
      <c r="O9722" s="2">
        <f ca="1"/>
        <v>-3.0967661580636713E-2</v>
      </c>
      <c r="X9722" s="2">
        <f ca="1"/>
        <v>48.151489467810762</v>
      </c>
      <c r="AG9722" s="2">
        <f ca="1"/>
        <v>0.46199838526856252</v>
      </c>
      <c r="AH9722" s="2" t="str">
        <f ca="1"/>
        <v>Bad</v>
      </c>
    </row>
    <row r="9723" spans="2:34" x14ac:dyDescent="0.2">
      <c r="B9723" s="2">
        <f ca="1"/>
        <v>0.65654801428256881</v>
      </c>
      <c r="O9723" s="2">
        <f ca="1"/>
        <v>0.55372774173267691</v>
      </c>
      <c r="X9723" s="2">
        <f ca="1"/>
        <v>42.276632195123682</v>
      </c>
      <c r="AG9723" s="2">
        <f ca="1"/>
        <v>0.46324281940775358</v>
      </c>
      <c r="AH9723" s="2" t="str">
        <f ca="1"/>
        <v>Bad</v>
      </c>
    </row>
    <row r="9724" spans="2:34" x14ac:dyDescent="0.2">
      <c r="B9724" s="2">
        <f ca="1"/>
        <v>0.80536730325699857</v>
      </c>
      <c r="O9724" s="2">
        <f ca="1"/>
        <v>-0.22146362660881488</v>
      </c>
      <c r="X9724" s="2">
        <f ca="1"/>
        <v>28.260505324230031</v>
      </c>
      <c r="AG9724" s="2">
        <f ca="1"/>
        <v>0.11609844966546645</v>
      </c>
      <c r="AH9724" s="2" t="str">
        <f ca="1"/>
        <v>OK</v>
      </c>
    </row>
    <row r="9725" spans="2:34" x14ac:dyDescent="0.2">
      <c r="B9725" s="2">
        <f ca="1"/>
        <v>8.1039993753939221E-2</v>
      </c>
      <c r="O9725" s="2">
        <f ca="1"/>
        <v>-1.4188773151054963</v>
      </c>
      <c r="X9725" s="2">
        <f ca="1"/>
        <v>37.127762359581197</v>
      </c>
      <c r="AG9725" s="2">
        <f ca="1"/>
        <v>0.96417800220928251</v>
      </c>
      <c r="AH9725" s="2" t="str">
        <f ca="1"/>
        <v>Bad</v>
      </c>
    </row>
    <row r="9726" spans="2:34" x14ac:dyDescent="0.2">
      <c r="B9726" s="2">
        <f ca="1"/>
        <v>0.74926655048720758</v>
      </c>
      <c r="O9726" s="2">
        <f ca="1"/>
        <v>-0.29556267224237065</v>
      </c>
      <c r="X9726" s="2">
        <f ca="1"/>
        <v>44.153782149286812</v>
      </c>
      <c r="AG9726" s="2">
        <f ca="1"/>
        <v>8.4682218100524675E-3</v>
      </c>
      <c r="AH9726" s="2" t="str">
        <f ca="1"/>
        <v>Good</v>
      </c>
    </row>
    <row r="9727" spans="2:34" x14ac:dyDescent="0.2">
      <c r="B9727" s="2">
        <f ca="1"/>
        <v>0.25220364690085417</v>
      </c>
      <c r="O9727" s="2">
        <f ca="1"/>
        <v>-0.72903095249056005</v>
      </c>
      <c r="X9727" s="2">
        <f ca="1"/>
        <v>68.238089305640912</v>
      </c>
      <c r="AG9727" s="2">
        <f ca="1"/>
        <v>0.58067767823782379</v>
      </c>
      <c r="AH9727" s="2" t="str">
        <f ca="1"/>
        <v>Bad</v>
      </c>
    </row>
    <row r="9728" spans="2:34" x14ac:dyDescent="0.2">
      <c r="B9728" s="2">
        <f ca="1"/>
        <v>0.30040090308423362</v>
      </c>
      <c r="O9728" s="2">
        <f ca="1"/>
        <v>0.19065000394611539</v>
      </c>
      <c r="X9728" s="2">
        <f ca="1"/>
        <v>52.219156829332611</v>
      </c>
      <c r="AG9728" s="2">
        <f ca="1"/>
        <v>0.16836341061476223</v>
      </c>
      <c r="AH9728" s="2" t="str">
        <f ca="1"/>
        <v>OK</v>
      </c>
    </row>
    <row r="9729" spans="2:34" x14ac:dyDescent="0.2">
      <c r="B9729" s="2">
        <f ca="1"/>
        <v>0.44663024606958546</v>
      </c>
      <c r="O9729" s="2">
        <f ca="1"/>
        <v>1.0460028756660262</v>
      </c>
      <c r="X9729" s="2">
        <f ca="1"/>
        <v>30.02809853940807</v>
      </c>
      <c r="AG9729" s="2">
        <f ca="1"/>
        <v>0.79137388197440006</v>
      </c>
      <c r="AH9729" s="2" t="str">
        <f ca="1"/>
        <v>Bad</v>
      </c>
    </row>
    <row r="9730" spans="2:34" x14ac:dyDescent="0.2">
      <c r="B9730" s="2">
        <f ca="1"/>
        <v>0.97290224790787083</v>
      </c>
      <c r="O9730" s="2">
        <f ca="1"/>
        <v>0.88281127319497821</v>
      </c>
      <c r="X9730" s="2">
        <f ca="1"/>
        <v>39.547010423440106</v>
      </c>
      <c r="AG9730" s="2">
        <f ca="1"/>
        <v>0.95425136452947723</v>
      </c>
      <c r="AH9730" s="2" t="str">
        <f ca="1"/>
        <v>Bad</v>
      </c>
    </row>
    <row r="9731" spans="2:34" x14ac:dyDescent="0.2">
      <c r="B9731" s="2">
        <f ca="1"/>
        <v>0.32156213747623408</v>
      </c>
      <c r="O9731" s="2">
        <f ca="1"/>
        <v>-1.1458061251409746E-2</v>
      </c>
      <c r="X9731" s="2">
        <f ca="1"/>
        <v>39.052308191483618</v>
      </c>
      <c r="AG9731" s="2">
        <f ca="1"/>
        <v>0.61002473035942462</v>
      </c>
      <c r="AH9731" s="2" t="str">
        <f ca="1"/>
        <v>Bad</v>
      </c>
    </row>
    <row r="9732" spans="2:34" x14ac:dyDescent="0.2">
      <c r="B9732" s="2">
        <f ca="1"/>
        <v>0.45428008969965306</v>
      </c>
      <c r="O9732" s="2">
        <f ca="1"/>
        <v>1.4383522498746319</v>
      </c>
      <c r="X9732" s="2">
        <f ca="1"/>
        <v>39.786661376703975</v>
      </c>
      <c r="AG9732" s="2">
        <f ca="1"/>
        <v>0.76599761896341656</v>
      </c>
      <c r="AH9732" s="2" t="str">
        <f ca="1"/>
        <v>Bad</v>
      </c>
    </row>
    <row r="9733" spans="2:34" x14ac:dyDescent="0.2">
      <c r="B9733" s="2">
        <f ca="1"/>
        <v>5.2204283528174633E-2</v>
      </c>
      <c r="O9733" s="2">
        <f ca="1"/>
        <v>-0.95166843542229251</v>
      </c>
      <c r="X9733" s="2">
        <f ca="1"/>
        <v>38.486493738926114</v>
      </c>
      <c r="AG9733" s="2">
        <f ca="1"/>
        <v>0.33080091060411609</v>
      </c>
      <c r="AH9733" s="2" t="str">
        <f ca="1"/>
        <v>OK</v>
      </c>
    </row>
    <row r="9734" spans="2:34" x14ac:dyDescent="0.2">
      <c r="B9734" s="2">
        <f ca="1"/>
        <v>0.50699377555330871</v>
      </c>
      <c r="O9734" s="2">
        <f ca="1"/>
        <v>-1.832494310847542</v>
      </c>
      <c r="X9734" s="2">
        <f ca="1"/>
        <v>41.215643045939707</v>
      </c>
      <c r="AG9734" s="2">
        <f ca="1"/>
        <v>0.76629852499864848</v>
      </c>
      <c r="AH9734" s="2" t="str">
        <f ca="1"/>
        <v>Bad</v>
      </c>
    </row>
    <row r="9735" spans="2:34" x14ac:dyDescent="0.2">
      <c r="B9735" s="2">
        <f ca="1"/>
        <v>0.80177299876369346</v>
      </c>
      <c r="O9735" s="2">
        <f ca="1"/>
        <v>0.45428309229233471</v>
      </c>
      <c r="X9735" s="2">
        <f ca="1"/>
        <v>42.392822980671625</v>
      </c>
      <c r="AG9735" s="2">
        <f ca="1"/>
        <v>4.5578357340537057E-2</v>
      </c>
      <c r="AH9735" s="2" t="str">
        <f ca="1"/>
        <v>Good</v>
      </c>
    </row>
    <row r="9736" spans="2:34" x14ac:dyDescent="0.2">
      <c r="B9736" s="2">
        <f ca="1"/>
        <v>0.78988184744741985</v>
      </c>
      <c r="O9736" s="2">
        <f ca="1"/>
        <v>-0.97350225583471361</v>
      </c>
      <c r="X9736" s="2">
        <f ca="1"/>
        <v>30.603799267530842</v>
      </c>
      <c r="AG9736" s="2">
        <f ca="1"/>
        <v>0.11803072348418109</v>
      </c>
      <c r="AH9736" s="2" t="str">
        <f ca="1"/>
        <v>OK</v>
      </c>
    </row>
    <row r="9737" spans="2:34" x14ac:dyDescent="0.2">
      <c r="B9737" s="2">
        <f ca="1"/>
        <v>0.6300142681283909</v>
      </c>
      <c r="O9737" s="2">
        <f ca="1"/>
        <v>0.1956905286813593</v>
      </c>
      <c r="X9737" s="2">
        <f ca="1"/>
        <v>49.499921070433579</v>
      </c>
      <c r="AG9737" s="2">
        <f ca="1"/>
        <v>0.24264054224196197</v>
      </c>
      <c r="AH9737" s="2" t="str">
        <f ca="1"/>
        <v>OK</v>
      </c>
    </row>
    <row r="9738" spans="2:34" x14ac:dyDescent="0.2">
      <c r="B9738" s="2">
        <f ca="1"/>
        <v>0.27889507105820233</v>
      </c>
      <c r="O9738" s="2">
        <f ca="1"/>
        <v>-1.4723916309471254</v>
      </c>
      <c r="X9738" s="2">
        <f ca="1"/>
        <v>40.594740814304259</v>
      </c>
      <c r="AG9738" s="2">
        <f ca="1"/>
        <v>0.56484636467343807</v>
      </c>
      <c r="AH9738" s="2" t="str">
        <f ca="1"/>
        <v>Bad</v>
      </c>
    </row>
    <row r="9739" spans="2:34" x14ac:dyDescent="0.2">
      <c r="B9739" s="2">
        <f ca="1"/>
        <v>0.43529214507557645</v>
      </c>
      <c r="O9739" s="2">
        <f ca="1"/>
        <v>0.3917292516252821</v>
      </c>
      <c r="X9739" s="2">
        <f ca="1"/>
        <v>32.074599517779298</v>
      </c>
      <c r="AG9739" s="2">
        <f ca="1"/>
        <v>0.36498292984428549</v>
      </c>
      <c r="AH9739" s="2" t="str">
        <f ca="1"/>
        <v>OK</v>
      </c>
    </row>
    <row r="9740" spans="2:34" x14ac:dyDescent="0.2">
      <c r="B9740" s="2">
        <f ca="1"/>
        <v>0.68041405209160777</v>
      </c>
      <c r="O9740" s="2">
        <f ca="1"/>
        <v>-0.4211599682572042</v>
      </c>
      <c r="X9740" s="2">
        <f ca="1"/>
        <v>52.123653592634291</v>
      </c>
      <c r="AG9740" s="2">
        <f ca="1"/>
        <v>0.81212508023781327</v>
      </c>
      <c r="AH9740" s="2" t="str">
        <f ca="1"/>
        <v>Bad</v>
      </c>
    </row>
    <row r="9741" spans="2:34" x14ac:dyDescent="0.2">
      <c r="B9741" s="2">
        <f ca="1"/>
        <v>0.46197197424724368</v>
      </c>
      <c r="O9741" s="2">
        <f ca="1"/>
        <v>-1.6075408285489099</v>
      </c>
      <c r="X9741" s="2">
        <f ca="1"/>
        <v>59.662650787341548</v>
      </c>
      <c r="AG9741" s="2">
        <f ca="1"/>
        <v>0.58658037768012616</v>
      </c>
      <c r="AH9741" s="2" t="str">
        <f ca="1"/>
        <v>Bad</v>
      </c>
    </row>
    <row r="9742" spans="2:34" x14ac:dyDescent="0.2">
      <c r="B9742" s="2">
        <f ca="1"/>
        <v>0.38442707056612835</v>
      </c>
      <c r="O9742" s="2">
        <f ca="1"/>
        <v>-0.36962651751721481</v>
      </c>
      <c r="X9742" s="2">
        <f ca="1"/>
        <v>47.147523090413003</v>
      </c>
      <c r="AG9742" s="2">
        <f ca="1"/>
        <v>0.98467364897368048</v>
      </c>
      <c r="AH9742" s="2" t="str">
        <f ca="1"/>
        <v>Bad</v>
      </c>
    </row>
    <row r="9743" spans="2:34" x14ac:dyDescent="0.2">
      <c r="B9743" s="2">
        <f ca="1"/>
        <v>0.87684857218807299</v>
      </c>
      <c r="O9743" s="2">
        <f ca="1"/>
        <v>-0.24075743774711544</v>
      </c>
      <c r="X9743" s="2">
        <f ca="1"/>
        <v>40.862166320076206</v>
      </c>
      <c r="AG9743" s="2">
        <f ca="1"/>
        <v>0.27339692179011443</v>
      </c>
      <c r="AH9743" s="2" t="str">
        <f ca="1"/>
        <v>OK</v>
      </c>
    </row>
    <row r="9744" spans="2:34" x14ac:dyDescent="0.2">
      <c r="B9744" s="2">
        <f ca="1"/>
        <v>0.11864228109611918</v>
      </c>
      <c r="O9744" s="2">
        <f ca="1"/>
        <v>1.1349171986447315</v>
      </c>
      <c r="X9744" s="2">
        <f ca="1"/>
        <v>62.33050825531781</v>
      </c>
      <c r="AG9744" s="2">
        <f ca="1"/>
        <v>0.48693827296812264</v>
      </c>
      <c r="AH9744" s="2" t="str">
        <f ca="1"/>
        <v>Bad</v>
      </c>
    </row>
    <row r="9745" spans="2:34" x14ac:dyDescent="0.2">
      <c r="B9745" s="2">
        <f ca="1"/>
        <v>0.68292408355640455</v>
      </c>
      <c r="O9745" s="2">
        <f ca="1"/>
        <v>0.13990070383604314</v>
      </c>
      <c r="X9745" s="2">
        <f ca="1"/>
        <v>49.632317983529937</v>
      </c>
      <c r="AG9745" s="2">
        <f ca="1"/>
        <v>0.77556608864976906</v>
      </c>
      <c r="AH9745" s="2" t="str">
        <f ca="1"/>
        <v>Bad</v>
      </c>
    </row>
    <row r="9746" spans="2:34" x14ac:dyDescent="0.2">
      <c r="B9746" s="2">
        <f ca="1"/>
        <v>0.95889413705000304</v>
      </c>
      <c r="O9746" s="2">
        <f ca="1"/>
        <v>-0.94891042266808157</v>
      </c>
      <c r="X9746" s="2">
        <f ca="1"/>
        <v>42.379406945896399</v>
      </c>
      <c r="AG9746" s="2">
        <f ca="1"/>
        <v>0.59057114329337668</v>
      </c>
      <c r="AH9746" s="2" t="str">
        <f ca="1"/>
        <v>Bad</v>
      </c>
    </row>
    <row r="9747" spans="2:34" x14ac:dyDescent="0.2">
      <c r="B9747" s="2">
        <f ca="1"/>
        <v>0.66443397945699112</v>
      </c>
      <c r="O9747" s="2">
        <f ca="1"/>
        <v>-0.49838496180996067</v>
      </c>
      <c r="X9747" s="2">
        <f ca="1"/>
        <v>51.239049951188647</v>
      </c>
      <c r="AG9747" s="2">
        <f ca="1"/>
        <v>6.7728859214394754E-2</v>
      </c>
      <c r="AH9747" s="2" t="str">
        <f ca="1"/>
        <v>OK</v>
      </c>
    </row>
    <row r="9748" spans="2:34" x14ac:dyDescent="0.2">
      <c r="B9748" s="2">
        <f ca="1"/>
        <v>0.44813147657734764</v>
      </c>
      <c r="O9748" s="2">
        <f ca="1"/>
        <v>1.4760742909775479E-2</v>
      </c>
      <c r="X9748" s="2">
        <f ca="1"/>
        <v>29.428235699529996</v>
      </c>
      <c r="AG9748" s="2">
        <f ca="1"/>
        <v>0.16487921317448428</v>
      </c>
      <c r="AH9748" s="2" t="str">
        <f ca="1"/>
        <v>OK</v>
      </c>
    </row>
    <row r="9749" spans="2:34" x14ac:dyDescent="0.2">
      <c r="B9749" s="2">
        <f ca="1"/>
        <v>0.35195856382134094</v>
      </c>
      <c r="O9749" s="2">
        <f ca="1"/>
        <v>-0.81604504537596367</v>
      </c>
      <c r="X9749" s="2">
        <f ca="1"/>
        <v>43.797744910160972</v>
      </c>
      <c r="AG9749" s="2">
        <f ca="1"/>
        <v>8.6374078619717354E-2</v>
      </c>
      <c r="AH9749" s="2" t="str">
        <f ca="1"/>
        <v>OK</v>
      </c>
    </row>
    <row r="9750" spans="2:34" x14ac:dyDescent="0.2">
      <c r="B9750" s="2">
        <f ca="1"/>
        <v>0.57765792145635286</v>
      </c>
      <c r="O9750" s="2">
        <f ca="1"/>
        <v>0.47929550514673314</v>
      </c>
      <c r="X9750" s="2">
        <f ca="1"/>
        <v>40.551908154587686</v>
      </c>
      <c r="AG9750" s="2">
        <f ca="1"/>
        <v>0.55293584439017152</v>
      </c>
      <c r="AH9750" s="2" t="str">
        <f ca="1"/>
        <v>Bad</v>
      </c>
    </row>
    <row r="9751" spans="2:34" x14ac:dyDescent="0.2">
      <c r="B9751" s="2">
        <f ca="1"/>
        <v>0.35903473066473945</v>
      </c>
      <c r="O9751" s="2">
        <f ca="1"/>
        <v>-1.7334239010435384</v>
      </c>
      <c r="X9751" s="2">
        <f ca="1"/>
        <v>41.284256721588221</v>
      </c>
      <c r="AG9751" s="2">
        <f ca="1"/>
        <v>8.654917379440441E-2</v>
      </c>
      <c r="AH9751" s="2" t="str">
        <f ca="1"/>
        <v>OK</v>
      </c>
    </row>
    <row r="9752" spans="2:34" x14ac:dyDescent="0.2">
      <c r="B9752" s="2">
        <f ca="1"/>
        <v>0.67539441608536688</v>
      </c>
      <c r="O9752" s="2">
        <f ca="1"/>
        <v>0.58729321247465449</v>
      </c>
      <c r="X9752" s="2">
        <f ca="1"/>
        <v>45.889904387749823</v>
      </c>
      <c r="AG9752" s="2">
        <f ca="1"/>
        <v>0.13014244698660926</v>
      </c>
      <c r="AH9752" s="2" t="str">
        <f ca="1"/>
        <v>OK</v>
      </c>
    </row>
    <row r="9753" spans="2:34" x14ac:dyDescent="0.2">
      <c r="B9753" s="2">
        <f ca="1"/>
        <v>0.16387124263001329</v>
      </c>
      <c r="O9753" s="2">
        <f ca="1"/>
        <v>-5.6298647595109941E-2</v>
      </c>
      <c r="X9753" s="2">
        <f ca="1"/>
        <v>31.477368544172471</v>
      </c>
      <c r="AG9753" s="2">
        <f ca="1"/>
        <v>0.27298019578793986</v>
      </c>
      <c r="AH9753" s="2" t="str">
        <f ca="1"/>
        <v>OK</v>
      </c>
    </row>
    <row r="9754" spans="2:34" x14ac:dyDescent="0.2">
      <c r="B9754" s="2">
        <f ca="1"/>
        <v>0.46807322215934488</v>
      </c>
      <c r="O9754" s="2">
        <f ca="1"/>
        <v>2.7899804477992283</v>
      </c>
      <c r="X9754" s="2">
        <f ca="1"/>
        <v>47.511541560979886</v>
      </c>
      <c r="AG9754" s="2">
        <f ca="1"/>
        <v>0.9894047577171079</v>
      </c>
      <c r="AH9754" s="2" t="str">
        <f ca="1"/>
        <v>Bad</v>
      </c>
    </row>
    <row r="9755" spans="2:34" x14ac:dyDescent="0.2">
      <c r="B9755" s="2">
        <f ca="1"/>
        <v>0.68064476234974247</v>
      </c>
      <c r="O9755" s="2">
        <f ca="1"/>
        <v>-0.60637847317419291</v>
      </c>
      <c r="X9755" s="2">
        <f ca="1"/>
        <v>63.883474087494569</v>
      </c>
      <c r="AG9755" s="2">
        <f ca="1"/>
        <v>0.25705205188688018</v>
      </c>
      <c r="AH9755" s="2" t="str">
        <f ca="1"/>
        <v>OK</v>
      </c>
    </row>
    <row r="9756" spans="2:34" x14ac:dyDescent="0.2">
      <c r="B9756" s="2">
        <f ca="1"/>
        <v>0.77247906944429046</v>
      </c>
      <c r="O9756" s="2">
        <f ca="1"/>
        <v>0.30425216192462989</v>
      </c>
      <c r="X9756" s="2">
        <f ca="1"/>
        <v>20.615827511990513</v>
      </c>
      <c r="AG9756" s="2">
        <f ca="1"/>
        <v>4.2542584282149631E-2</v>
      </c>
      <c r="AH9756" s="2" t="str">
        <f ca="1"/>
        <v>Good</v>
      </c>
    </row>
    <row r="9757" spans="2:34" x14ac:dyDescent="0.2">
      <c r="B9757" s="2">
        <f ca="1"/>
        <v>0.22864577054121327</v>
      </c>
      <c r="O9757" s="2">
        <f ca="1"/>
        <v>0.3739316646681346</v>
      </c>
      <c r="X9757" s="2">
        <f ca="1"/>
        <v>42.197375989575463</v>
      </c>
      <c r="AG9757" s="2">
        <f ca="1"/>
        <v>0.64403300551358589</v>
      </c>
      <c r="AH9757" s="2" t="str">
        <f ca="1"/>
        <v>Bad</v>
      </c>
    </row>
    <row r="9758" spans="2:34" x14ac:dyDescent="0.2">
      <c r="B9758" s="2">
        <f ca="1"/>
        <v>1.1774634305542264E-2</v>
      </c>
      <c r="O9758" s="2">
        <f ca="1"/>
        <v>-5.0438796216427953E-2</v>
      </c>
      <c r="X9758" s="2">
        <f ca="1"/>
        <v>49.917353361280206</v>
      </c>
      <c r="AG9758" s="2">
        <f ca="1"/>
        <v>0.22330194630866163</v>
      </c>
      <c r="AH9758" s="2" t="str">
        <f ca="1"/>
        <v>OK</v>
      </c>
    </row>
    <row r="9759" spans="2:34" x14ac:dyDescent="0.2">
      <c r="B9759" s="2">
        <f ca="1"/>
        <v>0.64655443564246107</v>
      </c>
      <c r="O9759" s="2">
        <f ca="1"/>
        <v>-0.54136930753942025</v>
      </c>
      <c r="X9759" s="2">
        <f ca="1"/>
        <v>50.570592578180644</v>
      </c>
      <c r="AG9759" s="2">
        <f ca="1"/>
        <v>0.89545221246538076</v>
      </c>
      <c r="AH9759" s="2" t="str">
        <f ca="1"/>
        <v>Bad</v>
      </c>
    </row>
    <row r="9760" spans="2:34" x14ac:dyDescent="0.2">
      <c r="B9760" s="2">
        <f ca="1"/>
        <v>0.56262522563995243</v>
      </c>
      <c r="O9760" s="2">
        <f ca="1"/>
        <v>0.63207314729274156</v>
      </c>
      <c r="X9760" s="2">
        <f ca="1"/>
        <v>70.665207632200961</v>
      </c>
      <c r="AG9760" s="2">
        <f ca="1"/>
        <v>0.7398336519252815</v>
      </c>
      <c r="AH9760" s="2" t="str">
        <f ca="1"/>
        <v>Bad</v>
      </c>
    </row>
    <row r="9761" spans="2:34" x14ac:dyDescent="0.2">
      <c r="B9761" s="2">
        <f ca="1"/>
        <v>0.96174401354296957</v>
      </c>
      <c r="O9761" s="2">
        <f ca="1"/>
        <v>0.8997851649541514</v>
      </c>
      <c r="X9761" s="2">
        <f ca="1"/>
        <v>70.148079173785092</v>
      </c>
      <c r="AG9761" s="2">
        <f ca="1"/>
        <v>6.4560117568268405E-2</v>
      </c>
      <c r="AH9761" s="2" t="str">
        <f ca="1"/>
        <v>OK</v>
      </c>
    </row>
    <row r="9762" spans="2:34" x14ac:dyDescent="0.2">
      <c r="B9762" s="2">
        <f ca="1"/>
        <v>2.2247540971431778E-3</v>
      </c>
      <c r="O9762" s="2">
        <f ca="1"/>
        <v>-0.15541121902869628</v>
      </c>
      <c r="X9762" s="2">
        <f ca="1"/>
        <v>48.6746270799621</v>
      </c>
      <c r="AG9762" s="2">
        <f ca="1"/>
        <v>0.3253098547486295</v>
      </c>
      <c r="AH9762" s="2" t="str">
        <f ca="1"/>
        <v>OK</v>
      </c>
    </row>
    <row r="9763" spans="2:34" x14ac:dyDescent="0.2">
      <c r="B9763" s="2">
        <f ca="1"/>
        <v>0.73485242367482484</v>
      </c>
      <c r="O9763" s="2">
        <f ca="1"/>
        <v>-0.19217937467607427</v>
      </c>
      <c r="X9763" s="2">
        <f ca="1"/>
        <v>43.356593073633775</v>
      </c>
      <c r="AG9763" s="2">
        <f ca="1"/>
        <v>0.69742873874806266</v>
      </c>
      <c r="AH9763" s="2" t="str">
        <f ca="1"/>
        <v>Bad</v>
      </c>
    </row>
    <row r="9764" spans="2:34" x14ac:dyDescent="0.2">
      <c r="B9764" s="2">
        <f ca="1"/>
        <v>0.97566735016319117</v>
      </c>
      <c r="O9764" s="2">
        <f ca="1"/>
        <v>1.2499394661496928</v>
      </c>
      <c r="X9764" s="2">
        <f ca="1"/>
        <v>33.332467861153646</v>
      </c>
      <c r="AG9764" s="2">
        <f ca="1"/>
        <v>0.84072271194392001</v>
      </c>
      <c r="AH9764" s="2" t="str">
        <f ca="1"/>
        <v>Bad</v>
      </c>
    </row>
    <row r="9765" spans="2:34" x14ac:dyDescent="0.2">
      <c r="B9765" s="2">
        <f ca="1"/>
        <v>0.19289447626511569</v>
      </c>
      <c r="O9765" s="2">
        <f ca="1"/>
        <v>-0.97015888190494182</v>
      </c>
      <c r="X9765" s="2">
        <f ca="1"/>
        <v>33.761751779666589</v>
      </c>
      <c r="AG9765" s="2">
        <f ca="1"/>
        <v>0.15891189974653464</v>
      </c>
      <c r="AH9765" s="2" t="str">
        <f ca="1"/>
        <v>OK</v>
      </c>
    </row>
    <row r="9766" spans="2:34" x14ac:dyDescent="0.2">
      <c r="B9766" s="2">
        <f ca="1"/>
        <v>0.78780814256949028</v>
      </c>
      <c r="O9766" s="2">
        <f ca="1"/>
        <v>1.170832475989815</v>
      </c>
      <c r="X9766" s="2">
        <f ca="1"/>
        <v>37.884837321712098</v>
      </c>
      <c r="AG9766" s="2">
        <f ca="1"/>
        <v>9.4616015662760011E-2</v>
      </c>
      <c r="AH9766" s="2" t="str">
        <f ca="1"/>
        <v>OK</v>
      </c>
    </row>
    <row r="9767" spans="2:34" x14ac:dyDescent="0.2">
      <c r="B9767" s="2">
        <f ca="1"/>
        <v>0.44577364877430403</v>
      </c>
      <c r="O9767" s="2">
        <f ca="1"/>
        <v>-1.79380870896796</v>
      </c>
      <c r="X9767" s="2">
        <f ca="1"/>
        <v>71.168406324254988</v>
      </c>
      <c r="AG9767" s="2">
        <f ca="1"/>
        <v>0.77424230204793276</v>
      </c>
      <c r="AH9767" s="2" t="str">
        <f ca="1"/>
        <v>Bad</v>
      </c>
    </row>
    <row r="9768" spans="2:34" x14ac:dyDescent="0.2">
      <c r="B9768" s="2">
        <f ca="1"/>
        <v>0.87668822441683503</v>
      </c>
      <c r="O9768" s="2">
        <f ca="1"/>
        <v>9.5775523580190827E-2</v>
      </c>
      <c r="X9768" s="2">
        <f ca="1"/>
        <v>32.736999905604868</v>
      </c>
      <c r="AG9768" s="2">
        <f ca="1"/>
        <v>0.10319653078173552</v>
      </c>
      <c r="AH9768" s="2" t="str">
        <f ca="1"/>
        <v>OK</v>
      </c>
    </row>
    <row r="9769" spans="2:34" x14ac:dyDescent="0.2">
      <c r="B9769" s="2">
        <f ca="1"/>
        <v>0.80371839704708092</v>
      </c>
      <c r="O9769" s="2">
        <f ca="1"/>
        <v>0.79932313970664304</v>
      </c>
      <c r="X9769" s="2">
        <f ca="1"/>
        <v>44.251396994784422</v>
      </c>
      <c r="AG9769" s="2">
        <f ca="1"/>
        <v>0.29497557916252459</v>
      </c>
      <c r="AH9769" s="2" t="str">
        <f ca="1"/>
        <v>OK</v>
      </c>
    </row>
    <row r="9770" spans="2:34" x14ac:dyDescent="0.2">
      <c r="B9770" s="2">
        <f ca="1"/>
        <v>0.98888157106618979</v>
      </c>
      <c r="O9770" s="2">
        <f ca="1"/>
        <v>1.3953389565341308</v>
      </c>
      <c r="X9770" s="2">
        <f ca="1"/>
        <v>39.57547549881096</v>
      </c>
      <c r="AG9770" s="2">
        <f ca="1"/>
        <v>0.20330405200185964</v>
      </c>
      <c r="AH9770" s="2" t="str">
        <f ca="1"/>
        <v>OK</v>
      </c>
    </row>
    <row r="9771" spans="2:34" x14ac:dyDescent="0.2">
      <c r="B9771" s="2">
        <f ca="1"/>
        <v>0.71572193397104256</v>
      </c>
      <c r="O9771" s="2">
        <f ca="1"/>
        <v>0.13330077596759526</v>
      </c>
      <c r="X9771" s="2">
        <f ca="1"/>
        <v>53.693611540586176</v>
      </c>
      <c r="AG9771" s="2">
        <f ca="1"/>
        <v>0.23309902352876066</v>
      </c>
      <c r="AH9771" s="2" t="str">
        <f ca="1"/>
        <v>OK</v>
      </c>
    </row>
    <row r="9772" spans="2:34" x14ac:dyDescent="0.2">
      <c r="B9772" s="2">
        <f ca="1"/>
        <v>0.9160196833299894</v>
      </c>
      <c r="O9772" s="2">
        <f ca="1"/>
        <v>0.34096916114519321</v>
      </c>
      <c r="X9772" s="2">
        <f ca="1"/>
        <v>60.715907236527102</v>
      </c>
      <c r="AG9772" s="2">
        <f ca="1"/>
        <v>0.30220535022656358</v>
      </c>
      <c r="AH9772" s="2" t="str">
        <f ca="1"/>
        <v>OK</v>
      </c>
    </row>
    <row r="9773" spans="2:34" x14ac:dyDescent="0.2">
      <c r="B9773" s="2">
        <f ca="1"/>
        <v>0.31174739658648143</v>
      </c>
      <c r="O9773" s="2">
        <f ca="1"/>
        <v>0.11091496834568955</v>
      </c>
      <c r="X9773" s="2">
        <f ca="1"/>
        <v>66.283452572453655</v>
      </c>
      <c r="AG9773" s="2">
        <f ca="1"/>
        <v>1.3220969152923034E-2</v>
      </c>
      <c r="AH9773" s="2" t="str">
        <f ca="1"/>
        <v>Good</v>
      </c>
    </row>
    <row r="9774" spans="2:34" x14ac:dyDescent="0.2">
      <c r="B9774" s="2">
        <f ca="1"/>
        <v>3.1120024055350415E-2</v>
      </c>
      <c r="O9774" s="2">
        <f ca="1"/>
        <v>-0.18519328131297202</v>
      </c>
      <c r="X9774" s="2">
        <f ca="1"/>
        <v>22.713277112948834</v>
      </c>
      <c r="AG9774" s="2">
        <f ca="1"/>
        <v>0.6182723563677115</v>
      </c>
      <c r="AH9774" s="2" t="str">
        <f ca="1"/>
        <v>Bad</v>
      </c>
    </row>
    <row r="9775" spans="2:34" x14ac:dyDescent="0.2">
      <c r="B9775" s="2">
        <f ca="1"/>
        <v>0.73163232568177938</v>
      </c>
      <c r="O9775" s="2">
        <f ca="1"/>
        <v>-0.61033562509705852</v>
      </c>
      <c r="X9775" s="2">
        <f ca="1"/>
        <v>43.338869676040829</v>
      </c>
      <c r="AG9775" s="2">
        <f ca="1"/>
        <v>3.508339667992022E-2</v>
      </c>
      <c r="AH9775" s="2" t="str">
        <f ca="1"/>
        <v>Good</v>
      </c>
    </row>
    <row r="9776" spans="2:34" x14ac:dyDescent="0.2">
      <c r="B9776" s="2">
        <f ca="1"/>
        <v>0.84535542556580401</v>
      </c>
      <c r="O9776" s="2">
        <f ca="1"/>
        <v>0.46341496515309044</v>
      </c>
      <c r="X9776" s="2">
        <f ca="1"/>
        <v>49.565922982342244</v>
      </c>
      <c r="AG9776" s="2">
        <f ca="1"/>
        <v>0.41522878383141504</v>
      </c>
      <c r="AH9776" s="2" t="str">
        <f ca="1"/>
        <v>Bad</v>
      </c>
    </row>
    <row r="9777" spans="2:34" x14ac:dyDescent="0.2">
      <c r="B9777" s="2">
        <f ca="1"/>
        <v>0.68080116623168019</v>
      </c>
      <c r="O9777" s="2">
        <f ca="1"/>
        <v>-0.66453887285105462</v>
      </c>
      <c r="X9777" s="2">
        <f ca="1"/>
        <v>101.85207411192772</v>
      </c>
      <c r="AG9777" s="2">
        <f ca="1"/>
        <v>0.10180470110204154</v>
      </c>
      <c r="AH9777" s="2" t="str">
        <f ca="1"/>
        <v>OK</v>
      </c>
    </row>
    <row r="9778" spans="2:34" x14ac:dyDescent="0.2">
      <c r="B9778" s="2">
        <f ca="1"/>
        <v>0.70028315933603369</v>
      </c>
      <c r="O9778" s="2">
        <f ca="1"/>
        <v>1.3419939564289742</v>
      </c>
      <c r="X9778" s="2">
        <f ca="1"/>
        <v>20.316219267721859</v>
      </c>
      <c r="AG9778" s="2">
        <f ca="1"/>
        <v>0.54763537293996034</v>
      </c>
      <c r="AH9778" s="2" t="str">
        <f ca="1"/>
        <v>Bad</v>
      </c>
    </row>
    <row r="9779" spans="2:34" x14ac:dyDescent="0.2">
      <c r="B9779" s="2">
        <f ca="1"/>
        <v>0.24980934517415454</v>
      </c>
      <c r="O9779" s="2">
        <f ca="1"/>
        <v>0.83338725984097062</v>
      </c>
      <c r="X9779" s="2">
        <f ca="1"/>
        <v>47.614238086920452</v>
      </c>
      <c r="AG9779" s="2">
        <f ca="1"/>
        <v>0.24203184315341608</v>
      </c>
      <c r="AH9779" s="2" t="str">
        <f ca="1"/>
        <v>OK</v>
      </c>
    </row>
    <row r="9780" spans="2:34" x14ac:dyDescent="0.2">
      <c r="B9780" s="2">
        <f ca="1"/>
        <v>0.54895049694296816</v>
      </c>
      <c r="O9780" s="2">
        <f ca="1"/>
        <v>-1.5151655505908344</v>
      </c>
      <c r="X9780" s="2">
        <f ca="1"/>
        <v>43.825961750777616</v>
      </c>
      <c r="AG9780" s="2">
        <f ca="1"/>
        <v>0.67644650924936767</v>
      </c>
      <c r="AH9780" s="2" t="str">
        <f ca="1"/>
        <v>Bad</v>
      </c>
    </row>
    <row r="9781" spans="2:34" x14ac:dyDescent="0.2">
      <c r="B9781" s="2">
        <f ca="1"/>
        <v>0.62761549133705197</v>
      </c>
      <c r="O9781" s="2">
        <f ca="1"/>
        <v>1.3823815996481146</v>
      </c>
      <c r="X9781" s="2">
        <f ca="1"/>
        <v>35.950873646875664</v>
      </c>
      <c r="AG9781" s="2">
        <f ca="1"/>
        <v>4.5089504264719027E-2</v>
      </c>
      <c r="AH9781" s="2" t="str">
        <f ca="1"/>
        <v>Good</v>
      </c>
    </row>
    <row r="9782" spans="2:34" x14ac:dyDescent="0.2">
      <c r="B9782" s="2">
        <f ca="1"/>
        <v>0.27336613833318735</v>
      </c>
      <c r="O9782" s="2">
        <f ca="1"/>
        <v>3.29454828796323</v>
      </c>
      <c r="X9782" s="2">
        <f ca="1"/>
        <v>25.95576013420758</v>
      </c>
      <c r="AG9782" s="2">
        <f ca="1"/>
        <v>0.88910194206253768</v>
      </c>
      <c r="AH9782" s="2" t="str">
        <f ca="1"/>
        <v>Bad</v>
      </c>
    </row>
    <row r="9783" spans="2:34" x14ac:dyDescent="0.2">
      <c r="B9783" s="2">
        <f ca="1"/>
        <v>0.93805139823263395</v>
      </c>
      <c r="O9783" s="2">
        <f ca="1"/>
        <v>1.9399315821731364</v>
      </c>
      <c r="X9783" s="2">
        <f ca="1"/>
        <v>73.187438895917836</v>
      </c>
      <c r="AG9783" s="2">
        <f ca="1"/>
        <v>0.29741921717398045</v>
      </c>
      <c r="AH9783" s="2" t="str">
        <f ca="1"/>
        <v>OK</v>
      </c>
    </row>
    <row r="9784" spans="2:34" x14ac:dyDescent="0.2">
      <c r="B9784" s="2">
        <f ca="1"/>
        <v>0.64308122337895735</v>
      </c>
      <c r="O9784" s="2">
        <f ca="1"/>
        <v>7.1271008590818724E-2</v>
      </c>
      <c r="X9784" s="2">
        <f ca="1"/>
        <v>43.965768867144625</v>
      </c>
      <c r="AG9784" s="2">
        <f ca="1"/>
        <v>0.28302686130014698</v>
      </c>
      <c r="AH9784" s="2" t="str">
        <f ca="1"/>
        <v>OK</v>
      </c>
    </row>
    <row r="9785" spans="2:34" x14ac:dyDescent="0.2">
      <c r="B9785" s="2">
        <f ca="1"/>
        <v>0.43120104049536878</v>
      </c>
      <c r="O9785" s="2">
        <f ca="1"/>
        <v>0.72059436093522045</v>
      </c>
      <c r="X9785" s="2">
        <f ca="1"/>
        <v>69.748766942807293</v>
      </c>
      <c r="AG9785" s="2">
        <f ca="1"/>
        <v>0.42598725483904554</v>
      </c>
      <c r="AH9785" s="2" t="str">
        <f ca="1"/>
        <v>Bad</v>
      </c>
    </row>
    <row r="9786" spans="2:34" x14ac:dyDescent="0.2">
      <c r="B9786" s="2">
        <f ca="1"/>
        <v>0.29343111051793924</v>
      </c>
      <c r="O9786" s="2">
        <f ca="1"/>
        <v>-0.50856520616154444</v>
      </c>
      <c r="X9786" s="2">
        <f ca="1"/>
        <v>62.173617223702415</v>
      </c>
      <c r="AG9786" s="2">
        <f ca="1"/>
        <v>0.98825427473215677</v>
      </c>
      <c r="AH9786" s="2" t="str">
        <f ca="1"/>
        <v>Bad</v>
      </c>
    </row>
    <row r="9787" spans="2:34" x14ac:dyDescent="0.2">
      <c r="B9787" s="2">
        <f ca="1"/>
        <v>0.46787182253475468</v>
      </c>
      <c r="O9787" s="2">
        <f ca="1"/>
        <v>-0.59987410157060361</v>
      </c>
      <c r="X9787" s="2">
        <f ca="1"/>
        <v>67.066925926475747</v>
      </c>
      <c r="AG9787" s="2">
        <f ca="1"/>
        <v>0.13712774199663613</v>
      </c>
      <c r="AH9787" s="2" t="str">
        <f ca="1"/>
        <v>OK</v>
      </c>
    </row>
    <row r="9788" spans="2:34" x14ac:dyDescent="0.2">
      <c r="B9788" s="2">
        <f ca="1"/>
        <v>0.21921762133677558</v>
      </c>
      <c r="O9788" s="2">
        <f ca="1"/>
        <v>-0.38174575906893943</v>
      </c>
      <c r="X9788" s="2">
        <f ca="1"/>
        <v>64.365730958123805</v>
      </c>
      <c r="AG9788" s="2">
        <f ca="1"/>
        <v>0.96845751872831287</v>
      </c>
      <c r="AH9788" s="2" t="str">
        <f ca="1"/>
        <v>Bad</v>
      </c>
    </row>
    <row r="9789" spans="2:34" x14ac:dyDescent="0.2">
      <c r="B9789" s="2">
        <f ca="1"/>
        <v>0.93003751874756468</v>
      </c>
      <c r="O9789" s="2">
        <f ca="1"/>
        <v>0.6478287494705206</v>
      </c>
      <c r="X9789" s="2">
        <f ca="1"/>
        <v>52.626515678681542</v>
      </c>
      <c r="AG9789" s="2">
        <f ca="1"/>
        <v>1.8034947599695039E-2</v>
      </c>
      <c r="AH9789" s="2" t="str">
        <f ca="1"/>
        <v>Good</v>
      </c>
    </row>
    <row r="9790" spans="2:34" x14ac:dyDescent="0.2">
      <c r="B9790" s="2">
        <f ca="1"/>
        <v>0.40048324295445892</v>
      </c>
      <c r="O9790" s="2">
        <f ca="1"/>
        <v>1.113558607158659</v>
      </c>
      <c r="X9790" s="2">
        <f ca="1"/>
        <v>37.856950434718016</v>
      </c>
      <c r="AG9790" s="2">
        <f ca="1"/>
        <v>0.48482811539591242</v>
      </c>
      <c r="AH9790" s="2" t="str">
        <f ca="1"/>
        <v>Bad</v>
      </c>
    </row>
    <row r="9791" spans="2:34" x14ac:dyDescent="0.2">
      <c r="B9791" s="2">
        <f ca="1"/>
        <v>0.68579389800175283</v>
      </c>
      <c r="O9791" s="2">
        <f ca="1"/>
        <v>-0.73123382189213348</v>
      </c>
      <c r="X9791" s="2">
        <f ca="1"/>
        <v>73.022602329015839</v>
      </c>
      <c r="AG9791" s="2">
        <f ca="1"/>
        <v>0.35672191349005455</v>
      </c>
      <c r="AH9791" s="2" t="str">
        <f ca="1"/>
        <v>OK</v>
      </c>
    </row>
    <row r="9792" spans="2:34" x14ac:dyDescent="0.2">
      <c r="B9792" s="2">
        <f ca="1"/>
        <v>0.68193748126621334</v>
      </c>
      <c r="O9792" s="2">
        <f ca="1"/>
        <v>-0.52450160674649937</v>
      </c>
      <c r="X9792" s="2">
        <f ca="1"/>
        <v>77.758259617621505</v>
      </c>
      <c r="AG9792" s="2">
        <f ca="1"/>
        <v>0.30573871540666997</v>
      </c>
      <c r="AH9792" s="2" t="str">
        <f ca="1"/>
        <v>OK</v>
      </c>
    </row>
    <row r="9793" spans="2:34" x14ac:dyDescent="0.2">
      <c r="B9793" s="2">
        <f ca="1"/>
        <v>0.17003508931899258</v>
      </c>
      <c r="O9793" s="2">
        <f ca="1"/>
        <v>-9.0726889704723174E-2</v>
      </c>
      <c r="X9793" s="2">
        <f ca="1"/>
        <v>45.423896123873426</v>
      </c>
      <c r="AG9793" s="2">
        <f ca="1"/>
        <v>0.69581849466398094</v>
      </c>
      <c r="AH9793" s="2" t="str">
        <f ca="1"/>
        <v>Bad</v>
      </c>
    </row>
    <row r="9794" spans="2:34" x14ac:dyDescent="0.2">
      <c r="B9794" s="2">
        <f ca="1"/>
        <v>0.84688719947446134</v>
      </c>
      <c r="O9794" s="2">
        <f ca="1"/>
        <v>-0.67808326456763712</v>
      </c>
      <c r="X9794" s="2">
        <f ca="1"/>
        <v>46.881473650150618</v>
      </c>
      <c r="AG9794" s="2">
        <f ca="1"/>
        <v>0.6588859263122524</v>
      </c>
      <c r="AH9794" s="2" t="str">
        <f ca="1"/>
        <v>Bad</v>
      </c>
    </row>
    <row r="9795" spans="2:34" x14ac:dyDescent="0.2">
      <c r="B9795" s="2">
        <f ca="1"/>
        <v>0.36772241831157104</v>
      </c>
      <c r="O9795" s="2">
        <f ca="1"/>
        <v>0.90823016901232745</v>
      </c>
      <c r="X9795" s="2">
        <f ca="1"/>
        <v>47.493145132581844</v>
      </c>
      <c r="AG9795" s="2">
        <f ca="1"/>
        <v>1.5052513209133478E-2</v>
      </c>
      <c r="AH9795" s="2" t="str">
        <f ca="1"/>
        <v>Good</v>
      </c>
    </row>
    <row r="9796" spans="2:34" x14ac:dyDescent="0.2">
      <c r="B9796" s="2">
        <f ca="1"/>
        <v>0.66455359629153921</v>
      </c>
      <c r="O9796" s="2">
        <f ca="1"/>
        <v>-2.1156714018192941</v>
      </c>
      <c r="X9796" s="2">
        <f ca="1"/>
        <v>64.413523265630602</v>
      </c>
      <c r="AG9796" s="2">
        <f ca="1"/>
        <v>0.43066329926135527</v>
      </c>
      <c r="AH9796" s="2" t="str">
        <f ca="1"/>
        <v>Bad</v>
      </c>
    </row>
    <row r="9797" spans="2:34" x14ac:dyDescent="0.2">
      <c r="B9797" s="2">
        <f ca="1"/>
        <v>0.59007300294907417</v>
      </c>
      <c r="O9797" s="2">
        <f ca="1"/>
        <v>0.90002282699200198</v>
      </c>
      <c r="X9797" s="2">
        <f ca="1"/>
        <v>71.722476439637148</v>
      </c>
      <c r="AG9797" s="2">
        <f ca="1"/>
        <v>8.485943352012737E-2</v>
      </c>
      <c r="AH9797" s="2" t="str">
        <f ca="1"/>
        <v>OK</v>
      </c>
    </row>
    <row r="9798" spans="2:34" x14ac:dyDescent="0.2">
      <c r="B9798" s="2">
        <f ca="1"/>
        <v>0.86985071368603628</v>
      </c>
      <c r="O9798" s="2">
        <f ca="1"/>
        <v>-0.45696983740428304</v>
      </c>
      <c r="X9798" s="2">
        <f ca="1"/>
        <v>39.125723711046831</v>
      </c>
      <c r="AG9798" s="2">
        <f ca="1"/>
        <v>0.19604932085592419</v>
      </c>
      <c r="AH9798" s="2" t="str">
        <f ca="1"/>
        <v>OK</v>
      </c>
    </row>
    <row r="9799" spans="2:34" x14ac:dyDescent="0.2">
      <c r="B9799" s="2">
        <f ca="1"/>
        <v>0.6050522217011387</v>
      </c>
      <c r="O9799" s="2">
        <f ca="1"/>
        <v>0.82237201969704188</v>
      </c>
      <c r="X9799" s="2">
        <f ca="1"/>
        <v>26.524873467898345</v>
      </c>
      <c r="AG9799" s="2">
        <f ca="1"/>
        <v>0.85869949689729586</v>
      </c>
      <c r="AH9799" s="2" t="str">
        <f ca="1"/>
        <v>Bad</v>
      </c>
    </row>
    <row r="9800" spans="2:34" x14ac:dyDescent="0.2">
      <c r="B9800" s="2">
        <f ca="1"/>
        <v>0.5108970541086042</v>
      </c>
      <c r="O9800" s="2">
        <f ca="1"/>
        <v>0.62484743737835957</v>
      </c>
      <c r="X9800" s="2">
        <f ca="1"/>
        <v>41.680601297701251</v>
      </c>
      <c r="AG9800" s="2">
        <f ca="1"/>
        <v>0.42372924855837169</v>
      </c>
      <c r="AH9800" s="2" t="str">
        <f ca="1"/>
        <v>Bad</v>
      </c>
    </row>
    <row r="9801" spans="2:34" x14ac:dyDescent="0.2">
      <c r="B9801" s="2">
        <f ca="1"/>
        <v>0.68836544268927202</v>
      </c>
      <c r="O9801" s="2">
        <f ca="1"/>
        <v>-0.90348478841470559</v>
      </c>
      <c r="X9801" s="2">
        <f ca="1"/>
        <v>48.053892616938924</v>
      </c>
      <c r="AG9801" s="2">
        <f ca="1"/>
        <v>0.91963277121980935</v>
      </c>
      <c r="AH9801" s="2" t="str">
        <f ca="1"/>
        <v>Bad</v>
      </c>
    </row>
    <row r="9802" spans="2:34" x14ac:dyDescent="0.2">
      <c r="B9802" s="2">
        <f ca="1"/>
        <v>0.11843348683629285</v>
      </c>
      <c r="O9802" s="2">
        <f ca="1"/>
        <v>-0.83481168813392892</v>
      </c>
      <c r="X9802" s="2">
        <f ca="1"/>
        <v>43.610913339929319</v>
      </c>
      <c r="AG9802" s="2">
        <f ca="1"/>
        <v>0.18631563737726653</v>
      </c>
      <c r="AH9802" s="2" t="str">
        <f ca="1"/>
        <v>OK</v>
      </c>
    </row>
    <row r="9803" spans="2:34" x14ac:dyDescent="0.2">
      <c r="B9803" s="2">
        <f ca="1"/>
        <v>0.93168125521015344</v>
      </c>
      <c r="O9803" s="2">
        <f ca="1"/>
        <v>-2.1161306712290324</v>
      </c>
      <c r="X9803" s="2">
        <f ca="1"/>
        <v>24.435791336604051</v>
      </c>
      <c r="AG9803" s="2">
        <f ca="1"/>
        <v>0.2469750089857945</v>
      </c>
      <c r="AH9803" s="2" t="str">
        <f ca="1"/>
        <v>OK</v>
      </c>
    </row>
    <row r="9804" spans="2:34" x14ac:dyDescent="0.2">
      <c r="B9804" s="2">
        <f ca="1"/>
        <v>0.18566732220633186</v>
      </c>
      <c r="O9804" s="2">
        <f ca="1"/>
        <v>-0.81243061130529282</v>
      </c>
      <c r="X9804" s="2">
        <f ca="1"/>
        <v>33.79813836491703</v>
      </c>
      <c r="AG9804" s="2">
        <f ca="1"/>
        <v>0.72310253290862403</v>
      </c>
      <c r="AH9804" s="2" t="str">
        <f ca="1"/>
        <v>Bad</v>
      </c>
    </row>
    <row r="9805" spans="2:34" x14ac:dyDescent="0.2">
      <c r="B9805" s="2">
        <f ca="1"/>
        <v>0.31761453386228777</v>
      </c>
      <c r="O9805" s="2">
        <f ca="1"/>
        <v>0.17238787708700168</v>
      </c>
      <c r="X9805" s="2">
        <f ca="1"/>
        <v>36.890576798760463</v>
      </c>
      <c r="AG9805" s="2">
        <f ca="1"/>
        <v>0.67308451711233697</v>
      </c>
      <c r="AH9805" s="2" t="str">
        <f ca="1"/>
        <v>Bad</v>
      </c>
    </row>
    <row r="9806" spans="2:34" x14ac:dyDescent="0.2">
      <c r="B9806" s="2">
        <f ca="1"/>
        <v>0.55476360287954596</v>
      </c>
      <c r="O9806" s="2">
        <f ca="1"/>
        <v>0.5897469968765181</v>
      </c>
      <c r="X9806" s="2">
        <f ca="1"/>
        <v>33.418103549928659</v>
      </c>
      <c r="AG9806" s="2">
        <f ca="1"/>
        <v>0.22816350504443217</v>
      </c>
      <c r="AH9806" s="2" t="str">
        <f ca="1"/>
        <v>OK</v>
      </c>
    </row>
    <row r="9807" spans="2:34" x14ac:dyDescent="0.2">
      <c r="B9807" s="2">
        <f ca="1"/>
        <v>0.7111390145682297</v>
      </c>
      <c r="O9807" s="2">
        <f ca="1"/>
        <v>0.38314732285361019</v>
      </c>
      <c r="X9807" s="2">
        <f ca="1"/>
        <v>62.413008761466592</v>
      </c>
      <c r="AG9807" s="2">
        <f ca="1"/>
        <v>0.62293996797835205</v>
      </c>
      <c r="AH9807" s="2" t="str">
        <f ca="1"/>
        <v>Bad</v>
      </c>
    </row>
    <row r="9808" spans="2:34" x14ac:dyDescent="0.2">
      <c r="B9808" s="2">
        <f ca="1"/>
        <v>0.80981680381090038</v>
      </c>
      <c r="O9808" s="2">
        <f ca="1"/>
        <v>-0.31394819133967539</v>
      </c>
      <c r="X9808" s="2">
        <f ca="1"/>
        <v>55.639046190254263</v>
      </c>
      <c r="AG9808" s="2">
        <f ca="1"/>
        <v>0.88132942173362427</v>
      </c>
      <c r="AH9808" s="2" t="str">
        <f ca="1"/>
        <v>Bad</v>
      </c>
    </row>
    <row r="9809" spans="2:34" x14ac:dyDescent="0.2">
      <c r="B9809" s="2">
        <f ca="1"/>
        <v>0.75515278823578913</v>
      </c>
      <c r="O9809" s="2">
        <f ca="1"/>
        <v>-1.0375134558379557</v>
      </c>
      <c r="X9809" s="2">
        <f ca="1"/>
        <v>59.897598591911532</v>
      </c>
      <c r="AG9809" s="2">
        <f ca="1"/>
        <v>0.23875839354020179</v>
      </c>
      <c r="AH9809" s="2" t="str">
        <f ca="1"/>
        <v>OK</v>
      </c>
    </row>
    <row r="9810" spans="2:34" x14ac:dyDescent="0.2">
      <c r="B9810" s="2">
        <f ca="1"/>
        <v>3.6908024485705182E-2</v>
      </c>
      <c r="O9810" s="2">
        <f ca="1"/>
        <v>-0.16554433881318439</v>
      </c>
      <c r="X9810" s="2">
        <f ca="1"/>
        <v>60.98408692411148</v>
      </c>
      <c r="AG9810" s="2">
        <f ca="1"/>
        <v>0.28577489026184622</v>
      </c>
      <c r="AH9810" s="2" t="str">
        <f ca="1"/>
        <v>OK</v>
      </c>
    </row>
    <row r="9811" spans="2:34" x14ac:dyDescent="0.2">
      <c r="B9811" s="2">
        <f ca="1"/>
        <v>0.59650156682012034</v>
      </c>
      <c r="O9811" s="2">
        <f ca="1"/>
        <v>1.1099122535271613</v>
      </c>
      <c r="X9811" s="2">
        <f ca="1"/>
        <v>74.664925032131904</v>
      </c>
      <c r="AG9811" s="2">
        <f ca="1"/>
        <v>0.18968624640689979</v>
      </c>
      <c r="AH9811" s="2" t="str">
        <f ca="1"/>
        <v>OK</v>
      </c>
    </row>
    <row r="9812" spans="2:34" x14ac:dyDescent="0.2">
      <c r="B9812" s="2">
        <f ca="1"/>
        <v>0.41238414737691653</v>
      </c>
      <c r="O9812" s="2">
        <f ca="1"/>
        <v>7.0994461854396521E-2</v>
      </c>
      <c r="X9812" s="2">
        <f ca="1"/>
        <v>67.588095466019055</v>
      </c>
      <c r="AG9812" s="2">
        <f ca="1"/>
        <v>0.80314532074276612</v>
      </c>
      <c r="AH9812" s="2" t="str">
        <f ca="1"/>
        <v>Bad</v>
      </c>
    </row>
    <row r="9813" spans="2:34" x14ac:dyDescent="0.2">
      <c r="B9813" s="2">
        <f ca="1"/>
        <v>0.11307382424349166</v>
      </c>
      <c r="O9813" s="2">
        <f ca="1"/>
        <v>-0.52269316926901943</v>
      </c>
      <c r="X9813" s="2">
        <f ca="1"/>
        <v>54.443249013777198</v>
      </c>
      <c r="AG9813" s="2">
        <f ca="1"/>
        <v>0.16538465413083547</v>
      </c>
      <c r="AH9813" s="2" t="str">
        <f ca="1"/>
        <v>OK</v>
      </c>
    </row>
    <row r="9814" spans="2:34" x14ac:dyDescent="0.2">
      <c r="B9814" s="2">
        <f ca="1"/>
        <v>0.47186530840659846</v>
      </c>
      <c r="O9814" s="2">
        <f ca="1"/>
        <v>-1.148594570624792</v>
      </c>
      <c r="X9814" s="2">
        <f ca="1"/>
        <v>38.061821871428947</v>
      </c>
      <c r="AG9814" s="2">
        <f ca="1"/>
        <v>0.81626786153021191</v>
      </c>
      <c r="AH9814" s="2" t="str">
        <f ca="1"/>
        <v>Bad</v>
      </c>
    </row>
    <row r="9815" spans="2:34" x14ac:dyDescent="0.2">
      <c r="B9815" s="2">
        <f ca="1"/>
        <v>5.2015678107246277E-2</v>
      </c>
      <c r="O9815" s="2">
        <f ca="1"/>
        <v>-1.420128951162049</v>
      </c>
      <c r="X9815" s="2">
        <f ca="1"/>
        <v>41.709173785721553</v>
      </c>
      <c r="AG9815" s="2">
        <f ca="1"/>
        <v>0.98532943669197137</v>
      </c>
      <c r="AH9815" s="2" t="str">
        <f ca="1"/>
        <v>Bad</v>
      </c>
    </row>
    <row r="9816" spans="2:34" x14ac:dyDescent="0.2">
      <c r="B9816" s="2">
        <f ca="1"/>
        <v>0.70512682266226423</v>
      </c>
      <c r="O9816" s="2">
        <f ca="1"/>
        <v>-0.85866214520778805</v>
      </c>
      <c r="X9816" s="2">
        <f ca="1"/>
        <v>55.634086002630376</v>
      </c>
      <c r="AG9816" s="2">
        <f ca="1"/>
        <v>0.71910637695668278</v>
      </c>
      <c r="AH9816" s="2" t="str">
        <f ca="1"/>
        <v>Bad</v>
      </c>
    </row>
    <row r="9817" spans="2:34" x14ac:dyDescent="0.2">
      <c r="B9817" s="2">
        <f ca="1"/>
        <v>0.97685616142517828</v>
      </c>
      <c r="O9817" s="2">
        <f ca="1"/>
        <v>-0.30780953835011704</v>
      </c>
      <c r="X9817" s="2">
        <f ca="1"/>
        <v>46.458135370127124</v>
      </c>
      <c r="AG9817" s="2">
        <f ca="1"/>
        <v>0.5453224266437644</v>
      </c>
      <c r="AH9817" s="2" t="str">
        <f ca="1"/>
        <v>Bad</v>
      </c>
    </row>
    <row r="9818" spans="2:34" x14ac:dyDescent="0.2">
      <c r="B9818" s="2">
        <f ca="1"/>
        <v>0.95205277469696936</v>
      </c>
      <c r="O9818" s="2">
        <f ca="1"/>
        <v>-1.1218920325312156</v>
      </c>
      <c r="X9818" s="2">
        <f ca="1"/>
        <v>37.868048742664385</v>
      </c>
      <c r="AG9818" s="2">
        <f ca="1"/>
        <v>0.22067980135705612</v>
      </c>
      <c r="AH9818" s="2" t="str">
        <f ca="1"/>
        <v>OK</v>
      </c>
    </row>
    <row r="9819" spans="2:34" x14ac:dyDescent="0.2">
      <c r="B9819" s="2">
        <f ca="1"/>
        <v>0.14084849835942714</v>
      </c>
      <c r="O9819" s="2">
        <f ca="1"/>
        <v>0.96538524735177123</v>
      </c>
      <c r="X9819" s="2">
        <f ca="1"/>
        <v>41.913782141836208</v>
      </c>
      <c r="AG9819" s="2">
        <f ca="1"/>
        <v>0.50305314342130769</v>
      </c>
      <c r="AH9819" s="2" t="str">
        <f ca="1"/>
        <v>Bad</v>
      </c>
    </row>
    <row r="9820" spans="2:34" x14ac:dyDescent="0.2">
      <c r="B9820" s="2">
        <f ca="1"/>
        <v>0.25745852315524798</v>
      </c>
      <c r="O9820" s="2">
        <f ca="1"/>
        <v>0.99097137585294159</v>
      </c>
      <c r="X9820" s="2">
        <f ca="1"/>
        <v>53.46453002938869</v>
      </c>
      <c r="AG9820" s="2">
        <f ca="1"/>
        <v>0.12832293013496887</v>
      </c>
      <c r="AH9820" s="2" t="str">
        <f ca="1"/>
        <v>OK</v>
      </c>
    </row>
    <row r="9821" spans="2:34" x14ac:dyDescent="0.2">
      <c r="B9821" s="2">
        <f ca="1"/>
        <v>0.71603556187842821</v>
      </c>
      <c r="O9821" s="2">
        <f ca="1"/>
        <v>0.15103025766107067</v>
      </c>
      <c r="X9821" s="2">
        <f ca="1"/>
        <v>48.14487756172808</v>
      </c>
      <c r="AG9821" s="2">
        <f ca="1"/>
        <v>0.8516366388882497</v>
      </c>
      <c r="AH9821" s="2" t="str">
        <f ca="1"/>
        <v>Bad</v>
      </c>
    </row>
    <row r="9822" spans="2:34" x14ac:dyDescent="0.2">
      <c r="B9822" s="2">
        <f ca="1"/>
        <v>9.6603887803917932E-2</v>
      </c>
      <c r="O9822" s="2">
        <f ca="1"/>
        <v>0.2809766386418735</v>
      </c>
      <c r="X9822" s="2">
        <f ca="1"/>
        <v>27.815572950002117</v>
      </c>
      <c r="AG9822" s="2">
        <f ca="1"/>
        <v>0.35437846753760005</v>
      </c>
      <c r="AH9822" s="2" t="str">
        <f ca="1"/>
        <v>OK</v>
      </c>
    </row>
    <row r="9823" spans="2:34" x14ac:dyDescent="0.2">
      <c r="B9823" s="2">
        <f ca="1"/>
        <v>0.44910921782119506</v>
      </c>
      <c r="O9823" s="2">
        <f ca="1"/>
        <v>0.60481713578482488</v>
      </c>
      <c r="X9823" s="2">
        <f ca="1"/>
        <v>48.653447533425897</v>
      </c>
      <c r="AG9823" s="2">
        <f ca="1"/>
        <v>0.95907100054582006</v>
      </c>
      <c r="AH9823" s="2" t="str">
        <f ca="1"/>
        <v>Bad</v>
      </c>
    </row>
    <row r="9824" spans="2:34" x14ac:dyDescent="0.2">
      <c r="B9824" s="2">
        <f ca="1"/>
        <v>0.78934045522346863</v>
      </c>
      <c r="O9824" s="2">
        <f ca="1"/>
        <v>0.58397888364368078</v>
      </c>
      <c r="X9824" s="2">
        <f ca="1"/>
        <v>63.882282932903607</v>
      </c>
      <c r="AG9824" s="2">
        <f ca="1"/>
        <v>0.8299411402069079</v>
      </c>
      <c r="AH9824" s="2" t="str">
        <f ca="1"/>
        <v>Bad</v>
      </c>
    </row>
    <row r="9825" spans="2:34" x14ac:dyDescent="0.2">
      <c r="B9825" s="2">
        <f ca="1"/>
        <v>0.25386558322899533</v>
      </c>
      <c r="O9825" s="2">
        <f ca="1"/>
        <v>-0.6477685029654805</v>
      </c>
      <c r="X9825" s="2">
        <f ca="1"/>
        <v>33.693533718058873</v>
      </c>
      <c r="AG9825" s="2">
        <f ca="1"/>
        <v>0.33915515350766001</v>
      </c>
      <c r="AH9825" s="2" t="str">
        <f ca="1"/>
        <v>OK</v>
      </c>
    </row>
    <row r="9826" spans="2:34" x14ac:dyDescent="0.2">
      <c r="B9826" s="2">
        <f ca="1"/>
        <v>0.34802567127870487</v>
      </c>
      <c r="O9826" s="2">
        <f ca="1"/>
        <v>-1.3047969370728394</v>
      </c>
      <c r="X9826" s="2">
        <f ca="1"/>
        <v>45.078780123613036</v>
      </c>
      <c r="AG9826" s="2">
        <f ca="1"/>
        <v>0.75929646105215398</v>
      </c>
      <c r="AH9826" s="2" t="str">
        <f ca="1"/>
        <v>Bad</v>
      </c>
    </row>
    <row r="9827" spans="2:34" x14ac:dyDescent="0.2">
      <c r="B9827" s="2">
        <f ca="1"/>
        <v>0.74809463738051774</v>
      </c>
      <c r="O9827" s="2">
        <f ca="1"/>
        <v>-1.0125990286127919</v>
      </c>
      <c r="X9827" s="2">
        <f ca="1"/>
        <v>39.077684797351054</v>
      </c>
      <c r="AG9827" s="2">
        <f ca="1"/>
        <v>0.55689687976282465</v>
      </c>
      <c r="AH9827" s="2" t="str">
        <f ca="1"/>
        <v>Bad</v>
      </c>
    </row>
    <row r="9828" spans="2:34" x14ac:dyDescent="0.2">
      <c r="B9828" s="2">
        <f ca="1"/>
        <v>0.18964696399435232</v>
      </c>
      <c r="O9828" s="2">
        <f ca="1"/>
        <v>0.49646672607330639</v>
      </c>
      <c r="X9828" s="2">
        <f ca="1"/>
        <v>24.34815364398429</v>
      </c>
      <c r="AG9828" s="2">
        <f ca="1"/>
        <v>0.71369891824701215</v>
      </c>
      <c r="AH9828" s="2" t="str">
        <f ca="1"/>
        <v>Bad</v>
      </c>
    </row>
    <row r="9829" spans="2:34" x14ac:dyDescent="0.2">
      <c r="B9829" s="2">
        <f ca="1"/>
        <v>0.49672251172330406</v>
      </c>
      <c r="O9829" s="2">
        <f ca="1"/>
        <v>4.3659907072880866E-2</v>
      </c>
      <c r="X9829" s="2">
        <f ca="1"/>
        <v>52.07166216212692</v>
      </c>
      <c r="AG9829" s="2">
        <f ca="1"/>
        <v>7.7929678583962936E-2</v>
      </c>
      <c r="AH9829" s="2" t="str">
        <f ca="1"/>
        <v>OK</v>
      </c>
    </row>
    <row r="9830" spans="2:34" x14ac:dyDescent="0.2">
      <c r="B9830" s="2">
        <f ca="1"/>
        <v>0.7328447593405607</v>
      </c>
      <c r="O9830" s="2">
        <f ca="1"/>
        <v>0.39260310226888395</v>
      </c>
      <c r="X9830" s="2">
        <f ca="1"/>
        <v>46.632247737581814</v>
      </c>
      <c r="AG9830" s="2">
        <f ca="1"/>
        <v>0.60867295218858364</v>
      </c>
      <c r="AH9830" s="2" t="str">
        <f ca="1"/>
        <v>Bad</v>
      </c>
    </row>
    <row r="9831" spans="2:34" x14ac:dyDescent="0.2">
      <c r="B9831" s="2">
        <f ca="1"/>
        <v>0.34331408643117789</v>
      </c>
      <c r="O9831" s="2">
        <f ca="1"/>
        <v>-0.45276316238606085</v>
      </c>
      <c r="X9831" s="2">
        <f ca="1"/>
        <v>42.914996164870047</v>
      </c>
      <c r="AG9831" s="2">
        <f ca="1"/>
        <v>0.48884045778309759</v>
      </c>
      <c r="AH9831" s="2" t="str">
        <f ca="1"/>
        <v>Bad</v>
      </c>
    </row>
    <row r="9832" spans="2:34" x14ac:dyDescent="0.2">
      <c r="B9832" s="2">
        <f ca="1"/>
        <v>0.3101459328434506</v>
      </c>
      <c r="O9832" s="2">
        <f ca="1"/>
        <v>2.0861431609131587</v>
      </c>
      <c r="X9832" s="2">
        <f ca="1"/>
        <v>60.084404019271247</v>
      </c>
      <c r="AG9832" s="2">
        <f ca="1"/>
        <v>0.64599622403058898</v>
      </c>
      <c r="AH9832" s="2" t="str">
        <f ca="1"/>
        <v>Bad</v>
      </c>
    </row>
    <row r="9833" spans="2:34" x14ac:dyDescent="0.2">
      <c r="B9833" s="2">
        <f ca="1"/>
        <v>0.18343174346174984</v>
      </c>
      <c r="O9833" s="2">
        <f ca="1"/>
        <v>1.26452217678909</v>
      </c>
      <c r="X9833" s="2">
        <f ca="1"/>
        <v>83.325454949665883</v>
      </c>
      <c r="AG9833" s="2">
        <f ca="1"/>
        <v>0.24244416908079125</v>
      </c>
      <c r="AH9833" s="2" t="str">
        <f ca="1"/>
        <v>OK</v>
      </c>
    </row>
    <row r="9834" spans="2:34" x14ac:dyDescent="0.2">
      <c r="B9834" s="2">
        <f ca="1"/>
        <v>0.30313763571949326</v>
      </c>
      <c r="O9834" s="2">
        <f ca="1"/>
        <v>-1.2612786725324336</v>
      </c>
      <c r="X9834" s="2">
        <f ca="1"/>
        <v>48.915946479993053</v>
      </c>
      <c r="AG9834" s="2">
        <f ca="1"/>
        <v>0.33755141825668189</v>
      </c>
      <c r="AH9834" s="2" t="str">
        <f ca="1"/>
        <v>OK</v>
      </c>
    </row>
    <row r="9835" spans="2:34" x14ac:dyDescent="0.2">
      <c r="B9835" s="2">
        <f ca="1"/>
        <v>0.87276071937096655</v>
      </c>
      <c r="O9835" s="2">
        <f ca="1"/>
        <v>0.12540755918238972</v>
      </c>
      <c r="X9835" s="2">
        <f ca="1"/>
        <v>52.071148587598572</v>
      </c>
      <c r="AG9835" s="2">
        <f ca="1"/>
        <v>0.35936018113549695</v>
      </c>
      <c r="AH9835" s="2" t="str">
        <f ca="1"/>
        <v>OK</v>
      </c>
    </row>
    <row r="9836" spans="2:34" x14ac:dyDescent="0.2">
      <c r="B9836" s="2">
        <f ca="1"/>
        <v>0.72967264741229854</v>
      </c>
      <c r="O9836" s="2">
        <f ca="1"/>
        <v>-0.52637837205138749</v>
      </c>
      <c r="X9836" s="2">
        <f ca="1"/>
        <v>50.494083980067266</v>
      </c>
      <c r="AG9836" s="2">
        <f ca="1"/>
        <v>0.76408415462861723</v>
      </c>
      <c r="AH9836" s="2" t="str">
        <f ca="1"/>
        <v>Bad</v>
      </c>
    </row>
    <row r="9837" spans="2:34" x14ac:dyDescent="0.2">
      <c r="B9837" s="2">
        <f ca="1"/>
        <v>0.9068413540946676</v>
      </c>
      <c r="O9837" s="2">
        <f ca="1"/>
        <v>1.2796986789581242</v>
      </c>
      <c r="X9837" s="2">
        <f ca="1"/>
        <v>27.05947821724854</v>
      </c>
      <c r="AG9837" s="2">
        <f ca="1"/>
        <v>0.60447193162838775</v>
      </c>
      <c r="AH9837" s="2" t="str">
        <f ca="1"/>
        <v>Bad</v>
      </c>
    </row>
    <row r="9838" spans="2:34" x14ac:dyDescent="0.2">
      <c r="B9838" s="2">
        <f ca="1"/>
        <v>0.35570559153017589</v>
      </c>
      <c r="O9838" s="2">
        <f ca="1"/>
        <v>1.063257460519105</v>
      </c>
      <c r="X9838" s="2">
        <f ca="1"/>
        <v>72.980573647639403</v>
      </c>
      <c r="AG9838" s="2">
        <f ca="1"/>
        <v>0.86049983574091593</v>
      </c>
      <c r="AH9838" s="2" t="str">
        <f ca="1"/>
        <v>Bad</v>
      </c>
    </row>
    <row r="9839" spans="2:34" x14ac:dyDescent="0.2">
      <c r="B9839" s="2">
        <f ca="1"/>
        <v>0.50086838452335947</v>
      </c>
      <c r="O9839" s="2">
        <f ca="1"/>
        <v>1.4183144699037096</v>
      </c>
      <c r="X9839" s="2">
        <f ca="1"/>
        <v>66.344747997499553</v>
      </c>
      <c r="AG9839" s="2">
        <f ca="1"/>
        <v>0.19155825465382303</v>
      </c>
      <c r="AH9839" s="2" t="str">
        <f ca="1"/>
        <v>OK</v>
      </c>
    </row>
    <row r="9840" spans="2:34" x14ac:dyDescent="0.2">
      <c r="B9840" s="2">
        <f ca="1"/>
        <v>0.61257065773676511</v>
      </c>
      <c r="O9840" s="2">
        <f ca="1"/>
        <v>2.0117611759456269E-2</v>
      </c>
      <c r="X9840" s="2">
        <f ca="1"/>
        <v>50.92631013999867</v>
      </c>
      <c r="AG9840" s="2">
        <f ca="1"/>
        <v>0.65587504973407906</v>
      </c>
      <c r="AH9840" s="2" t="str">
        <f ca="1"/>
        <v>Bad</v>
      </c>
    </row>
    <row r="9841" spans="2:34" x14ac:dyDescent="0.2">
      <c r="B9841" s="2">
        <f ca="1"/>
        <v>0.53155334182135117</v>
      </c>
      <c r="O9841" s="2">
        <f ca="1"/>
        <v>-1.5269065340641212</v>
      </c>
      <c r="X9841" s="2">
        <f ca="1"/>
        <v>59.88837730435592</v>
      </c>
      <c r="AG9841" s="2">
        <f ca="1"/>
        <v>0.37793014775802725</v>
      </c>
      <c r="AH9841" s="2" t="str">
        <f ca="1"/>
        <v>OK</v>
      </c>
    </row>
    <row r="9842" spans="2:34" x14ac:dyDescent="0.2">
      <c r="B9842" s="2">
        <f ca="1"/>
        <v>0.26634023397513173</v>
      </c>
      <c r="O9842" s="2">
        <f ca="1"/>
        <v>-9.902279781887878E-2</v>
      </c>
      <c r="X9842" s="2">
        <f ca="1"/>
        <v>57.439033523201388</v>
      </c>
      <c r="AG9842" s="2">
        <f ca="1"/>
        <v>0.73630624267320277</v>
      </c>
      <c r="AH9842" s="2" t="str">
        <f ca="1"/>
        <v>Bad</v>
      </c>
    </row>
    <row r="9843" spans="2:34" x14ac:dyDescent="0.2">
      <c r="B9843" s="2">
        <f ca="1"/>
        <v>0.43081155459935538</v>
      </c>
      <c r="O9843" s="2">
        <f ca="1"/>
        <v>-6.7070212153130387E-2</v>
      </c>
      <c r="X9843" s="2">
        <f ca="1"/>
        <v>45.102112122266014</v>
      </c>
      <c r="AG9843" s="2">
        <f ca="1"/>
        <v>0.17903781771070371</v>
      </c>
      <c r="AH9843" s="2" t="str">
        <f ca="1"/>
        <v>OK</v>
      </c>
    </row>
    <row r="9844" spans="2:34" x14ac:dyDescent="0.2">
      <c r="B9844" s="2">
        <f ca="1"/>
        <v>0.44109389436236213</v>
      </c>
      <c r="O9844" s="2">
        <f ca="1"/>
        <v>1.4291182312336812</v>
      </c>
      <c r="X9844" s="2">
        <f ca="1"/>
        <v>40.855422774011387</v>
      </c>
      <c r="AG9844" s="2">
        <f ca="1"/>
        <v>0.35375356588362838</v>
      </c>
      <c r="AH9844" s="2" t="str">
        <f ca="1"/>
        <v>OK</v>
      </c>
    </row>
    <row r="9845" spans="2:34" x14ac:dyDescent="0.2">
      <c r="B9845" s="2">
        <f ca="1"/>
        <v>6.7131218101389667E-2</v>
      </c>
      <c r="O9845" s="2">
        <f ca="1"/>
        <v>0.69115445176694623</v>
      </c>
      <c r="X9845" s="2">
        <f ca="1"/>
        <v>51.729117458473944</v>
      </c>
      <c r="AG9845" s="2">
        <f ca="1"/>
        <v>0.34746855481354855</v>
      </c>
      <c r="AH9845" s="2" t="str">
        <f ca="1"/>
        <v>OK</v>
      </c>
    </row>
    <row r="9846" spans="2:34" x14ac:dyDescent="0.2">
      <c r="B9846" s="2">
        <f ca="1"/>
        <v>0.63029926533113345</v>
      </c>
      <c r="O9846" s="2">
        <f ca="1"/>
        <v>-0.10339497120024838</v>
      </c>
      <c r="X9846" s="2">
        <f ca="1"/>
        <v>100.03679609420709</v>
      </c>
      <c r="AG9846" s="2">
        <f ca="1"/>
        <v>0.2489680524106257</v>
      </c>
      <c r="AH9846" s="2" t="str">
        <f ca="1"/>
        <v>OK</v>
      </c>
    </row>
    <row r="9847" spans="2:34" x14ac:dyDescent="0.2">
      <c r="B9847" s="2">
        <f ca="1"/>
        <v>0.90549278833765934</v>
      </c>
      <c r="O9847" s="2">
        <f ca="1"/>
        <v>0.75494437405612924</v>
      </c>
      <c r="X9847" s="2">
        <f ca="1"/>
        <v>56.104126285004803</v>
      </c>
      <c r="AG9847" s="2">
        <f ca="1"/>
        <v>0.87345285414167084</v>
      </c>
      <c r="AH9847" s="2" t="str">
        <f ca="1"/>
        <v>Bad</v>
      </c>
    </row>
    <row r="9848" spans="2:34" x14ac:dyDescent="0.2">
      <c r="B9848" s="2">
        <f ca="1"/>
        <v>0.24477260305183135</v>
      </c>
      <c r="O9848" s="2">
        <f ca="1"/>
        <v>-1.8405090500584628E-2</v>
      </c>
      <c r="X9848" s="2">
        <f ca="1"/>
        <v>48.578105477941087</v>
      </c>
      <c r="AG9848" s="2">
        <f ca="1"/>
        <v>6.0169477673118976E-2</v>
      </c>
      <c r="AH9848" s="2" t="str">
        <f ca="1"/>
        <v>OK</v>
      </c>
    </row>
    <row r="9849" spans="2:34" x14ac:dyDescent="0.2">
      <c r="B9849" s="2">
        <f ca="1"/>
        <v>0.13014192155347226</v>
      </c>
      <c r="O9849" s="2">
        <f ca="1"/>
        <v>-0.31048160291355098</v>
      </c>
      <c r="X9849" s="2">
        <f ca="1"/>
        <v>68.887330348045822</v>
      </c>
      <c r="AG9849" s="2">
        <f ca="1"/>
        <v>0.73385542471099163</v>
      </c>
      <c r="AH9849" s="2" t="str">
        <f ca="1"/>
        <v>Bad</v>
      </c>
    </row>
    <row r="9850" spans="2:34" x14ac:dyDescent="0.2">
      <c r="B9850" s="2">
        <f ca="1"/>
        <v>0.2124200387842663</v>
      </c>
      <c r="O9850" s="2">
        <f ca="1"/>
        <v>0.42139331564890398</v>
      </c>
      <c r="X9850" s="2">
        <f ca="1"/>
        <v>33.816297235121397</v>
      </c>
      <c r="AG9850" s="2">
        <f ca="1"/>
        <v>0.79989366776111392</v>
      </c>
      <c r="AH9850" s="2" t="str">
        <f ca="1"/>
        <v>Bad</v>
      </c>
    </row>
    <row r="9851" spans="2:34" x14ac:dyDescent="0.2">
      <c r="B9851" s="2">
        <f ca="1"/>
        <v>0.59103149335811911</v>
      </c>
      <c r="O9851" s="2">
        <f ca="1"/>
        <v>-0.44275684282715744</v>
      </c>
      <c r="X9851" s="2">
        <f ca="1"/>
        <v>68.030638850806099</v>
      </c>
      <c r="AG9851" s="2">
        <f ca="1"/>
        <v>0.16453986344033056</v>
      </c>
      <c r="AH9851" s="2" t="str">
        <f ca="1"/>
        <v>OK</v>
      </c>
    </row>
    <row r="9852" spans="2:34" x14ac:dyDescent="0.2">
      <c r="B9852" s="2">
        <f ca="1"/>
        <v>0.60519315992913958</v>
      </c>
      <c r="O9852" s="2">
        <f ca="1"/>
        <v>1.4445916931575458</v>
      </c>
      <c r="X9852" s="2">
        <f ca="1"/>
        <v>51.567312012100686</v>
      </c>
      <c r="AG9852" s="2">
        <f ca="1"/>
        <v>4.9352311389733838E-2</v>
      </c>
      <c r="AH9852" s="2" t="str">
        <f ca="1"/>
        <v>Good</v>
      </c>
    </row>
    <row r="9853" spans="2:34" x14ac:dyDescent="0.2">
      <c r="B9853" s="2">
        <f ca="1"/>
        <v>0.49323822582125376</v>
      </c>
      <c r="O9853" s="2">
        <f ca="1"/>
        <v>1.5206159550018785</v>
      </c>
      <c r="X9853" s="2">
        <f ca="1"/>
        <v>30.984256105126747</v>
      </c>
      <c r="AG9853" s="2">
        <f ca="1"/>
        <v>0.19116484525793709</v>
      </c>
      <c r="AH9853" s="2" t="str">
        <f ca="1"/>
        <v>OK</v>
      </c>
    </row>
    <row r="9854" spans="2:34" x14ac:dyDescent="0.2">
      <c r="B9854" s="2">
        <f ca="1"/>
        <v>0.58755984550151052</v>
      </c>
      <c r="O9854" s="2">
        <f ca="1"/>
        <v>2.1019820582667887</v>
      </c>
      <c r="X9854" s="2">
        <f ca="1"/>
        <v>48.727061454296916</v>
      </c>
      <c r="AG9854" s="2">
        <f ca="1"/>
        <v>0.91642046497256979</v>
      </c>
      <c r="AH9854" s="2" t="str">
        <f ca="1"/>
        <v>Bad</v>
      </c>
    </row>
    <row r="9855" spans="2:34" x14ac:dyDescent="0.2">
      <c r="B9855" s="2">
        <f ca="1"/>
        <v>0.8056276352096301</v>
      </c>
      <c r="O9855" s="2">
        <f ca="1"/>
        <v>-0.41087773797035165</v>
      </c>
      <c r="X9855" s="2">
        <f ca="1"/>
        <v>12.460857475803611</v>
      </c>
      <c r="AG9855" s="2">
        <f ca="1"/>
        <v>0.90964369251194332</v>
      </c>
      <c r="AH9855" s="2" t="str">
        <f ca="1"/>
        <v>Bad</v>
      </c>
    </row>
    <row r="9856" spans="2:34" x14ac:dyDescent="0.2">
      <c r="B9856" s="2">
        <f ca="1"/>
        <v>0.18967280487781513</v>
      </c>
      <c r="O9856" s="2">
        <f ca="1"/>
        <v>-3.7997736962056425E-2</v>
      </c>
      <c r="X9856" s="2">
        <f ca="1"/>
        <v>55.979453880101502</v>
      </c>
      <c r="AG9856" s="2">
        <f ca="1"/>
        <v>1.844671973043055E-2</v>
      </c>
      <c r="AH9856" s="2" t="str">
        <f ca="1"/>
        <v>Good</v>
      </c>
    </row>
    <row r="9857" spans="2:34" x14ac:dyDescent="0.2">
      <c r="B9857" s="2">
        <f ca="1"/>
        <v>0.26103846060947711</v>
      </c>
      <c r="O9857" s="2">
        <f ca="1"/>
        <v>-0.41688605175849308</v>
      </c>
      <c r="X9857" s="2">
        <f ca="1"/>
        <v>48.633006633532048</v>
      </c>
      <c r="AG9857" s="2">
        <f ca="1"/>
        <v>0.62370831960083839</v>
      </c>
      <c r="AH9857" s="2" t="str">
        <f ca="1"/>
        <v>Bad</v>
      </c>
    </row>
    <row r="9858" spans="2:34" x14ac:dyDescent="0.2">
      <c r="B9858" s="2">
        <f ca="1"/>
        <v>0.69618930881363261</v>
      </c>
      <c r="O9858" s="2">
        <f ca="1"/>
        <v>2.2618709251783486</v>
      </c>
      <c r="X9858" s="2">
        <f ca="1"/>
        <v>46.697535172390793</v>
      </c>
      <c r="AG9858" s="2">
        <f ca="1"/>
        <v>0.26203030409081873</v>
      </c>
      <c r="AH9858" s="2" t="str">
        <f ca="1"/>
        <v>OK</v>
      </c>
    </row>
    <row r="9859" spans="2:34" x14ac:dyDescent="0.2">
      <c r="B9859" s="2">
        <f ca="1"/>
        <v>0.61328233601234783</v>
      </c>
      <c r="O9859" s="2">
        <f ca="1"/>
        <v>-0.34141502417970282</v>
      </c>
      <c r="X9859" s="2">
        <f ca="1"/>
        <v>35.387597461627351</v>
      </c>
      <c r="AG9859" s="2">
        <f ca="1"/>
        <v>0.68152529855605604</v>
      </c>
      <c r="AH9859" s="2" t="str">
        <f ca="1"/>
        <v>Bad</v>
      </c>
    </row>
    <row r="9860" spans="2:34" x14ac:dyDescent="0.2">
      <c r="B9860" s="2">
        <f ca="1"/>
        <v>0.74916057490792376</v>
      </c>
      <c r="O9860" s="2">
        <f ca="1"/>
        <v>-0.99675844565209459</v>
      </c>
      <c r="X9860" s="2">
        <f ca="1"/>
        <v>78.287255950932078</v>
      </c>
      <c r="AG9860" s="2">
        <f ca="1"/>
        <v>8.4001433784301582E-2</v>
      </c>
      <c r="AH9860" s="2" t="str">
        <f ca="1"/>
        <v>OK</v>
      </c>
    </row>
    <row r="9861" spans="2:34" x14ac:dyDescent="0.2">
      <c r="B9861" s="2">
        <f ca="1"/>
        <v>0.575599000490012</v>
      </c>
      <c r="O9861" s="2">
        <f ca="1"/>
        <v>-0.57627661247264839</v>
      </c>
      <c r="X9861" s="2">
        <f ca="1"/>
        <v>55.836071204112621</v>
      </c>
      <c r="AG9861" s="2">
        <f ca="1"/>
        <v>0.62179345990930046</v>
      </c>
      <c r="AH9861" s="2" t="str">
        <f ca="1"/>
        <v>Bad</v>
      </c>
    </row>
    <row r="9862" spans="2:34" x14ac:dyDescent="0.2">
      <c r="B9862" s="2">
        <f ca="1"/>
        <v>6.2020971662152702E-2</v>
      </c>
      <c r="O9862" s="2">
        <f ca="1"/>
        <v>-0.72016300213900919</v>
      </c>
      <c r="X9862" s="2">
        <f ca="1"/>
        <v>62.279700015110357</v>
      </c>
      <c r="AG9862" s="2">
        <f ca="1"/>
        <v>0.16160809001284093</v>
      </c>
      <c r="AH9862" s="2" t="str">
        <f ca="1"/>
        <v>OK</v>
      </c>
    </row>
    <row r="9863" spans="2:34" x14ac:dyDescent="0.2">
      <c r="B9863" s="2">
        <f ca="1"/>
        <v>0.48106206853932831</v>
      </c>
      <c r="O9863" s="2">
        <f ca="1"/>
        <v>-0.13363743119274241</v>
      </c>
      <c r="X9863" s="2">
        <f ca="1"/>
        <v>41.145640925084876</v>
      </c>
      <c r="AG9863" s="2">
        <f ca="1"/>
        <v>0.99568940779257065</v>
      </c>
      <c r="AH9863" s="2" t="str">
        <f ca="1"/>
        <v>Bad</v>
      </c>
    </row>
    <row r="9864" spans="2:34" x14ac:dyDescent="0.2">
      <c r="B9864" s="2">
        <f ca="1"/>
        <v>0.34377025733392585</v>
      </c>
      <c r="O9864" s="2">
        <f ca="1"/>
        <v>0.73436155935263736</v>
      </c>
      <c r="X9864" s="2">
        <f ca="1"/>
        <v>33.858654084207323</v>
      </c>
      <c r="AG9864" s="2">
        <f ca="1"/>
        <v>0.25192100611582968</v>
      </c>
      <c r="AH9864" s="2" t="str">
        <f ca="1"/>
        <v>OK</v>
      </c>
    </row>
    <row r="9865" spans="2:34" x14ac:dyDescent="0.2">
      <c r="B9865" s="2">
        <f ca="1"/>
        <v>0.75864729471651526</v>
      </c>
      <c r="O9865" s="2">
        <f ca="1"/>
        <v>1.7558458301405298</v>
      </c>
      <c r="X9865" s="2">
        <f ca="1"/>
        <v>46.397342833536555</v>
      </c>
      <c r="AG9865" s="2">
        <f ca="1"/>
        <v>0.25750304115301259</v>
      </c>
      <c r="AH9865" s="2" t="str">
        <f ca="1"/>
        <v>OK</v>
      </c>
    </row>
    <row r="9866" spans="2:34" x14ac:dyDescent="0.2">
      <c r="B9866" s="2">
        <f ca="1"/>
        <v>0.60626710798450389</v>
      </c>
      <c r="O9866" s="2">
        <f ca="1"/>
        <v>0.83286938657906395</v>
      </c>
      <c r="X9866" s="2">
        <f ca="1"/>
        <v>27.43092365200965</v>
      </c>
      <c r="AG9866" s="2">
        <f ca="1"/>
        <v>0.82720275212352101</v>
      </c>
      <c r="AH9866" s="2" t="str">
        <f ca="1"/>
        <v>Bad</v>
      </c>
    </row>
    <row r="9867" spans="2:34" x14ac:dyDescent="0.2">
      <c r="B9867" s="2">
        <f ca="1"/>
        <v>0.78646900972609046</v>
      </c>
      <c r="O9867" s="2">
        <f ca="1"/>
        <v>-1.7477782728431799</v>
      </c>
      <c r="X9867" s="2">
        <f ca="1"/>
        <v>60.4544097760607</v>
      </c>
      <c r="AG9867" s="2">
        <f ca="1"/>
        <v>0.88796429631500939</v>
      </c>
      <c r="AH9867" s="2" t="str">
        <f ca="1"/>
        <v>Bad</v>
      </c>
    </row>
    <row r="9868" spans="2:34" x14ac:dyDescent="0.2">
      <c r="B9868" s="2">
        <f ca="1"/>
        <v>0.42168334623226689</v>
      </c>
      <c r="O9868" s="2">
        <f ca="1"/>
        <v>0.31382665049984737</v>
      </c>
      <c r="X9868" s="2">
        <f ca="1"/>
        <v>64.386710901095626</v>
      </c>
      <c r="AG9868" s="2">
        <f ca="1"/>
        <v>0.17131752428148861</v>
      </c>
      <c r="AH9868" s="2" t="str">
        <f ca="1"/>
        <v>OK</v>
      </c>
    </row>
    <row r="9869" spans="2:34" x14ac:dyDescent="0.2">
      <c r="B9869" s="2">
        <f ca="1"/>
        <v>0.33430211374616525</v>
      </c>
      <c r="O9869" s="2">
        <f ca="1"/>
        <v>0.94036057574291576</v>
      </c>
      <c r="X9869" s="2">
        <f ca="1"/>
        <v>47.771120873461513</v>
      </c>
      <c r="AG9869" s="2">
        <f ca="1"/>
        <v>1.1183557166564384E-2</v>
      </c>
      <c r="AH9869" s="2" t="str">
        <f ca="1"/>
        <v>Good</v>
      </c>
    </row>
    <row r="9870" spans="2:34" x14ac:dyDescent="0.2">
      <c r="B9870" s="2">
        <f ca="1"/>
        <v>0.61569551457057536</v>
      </c>
      <c r="O9870" s="2">
        <f ca="1"/>
        <v>-1.539170168502854</v>
      </c>
      <c r="X9870" s="2">
        <f ca="1"/>
        <v>38.226953483578882</v>
      </c>
      <c r="AG9870" s="2">
        <f ca="1"/>
        <v>0.83020661574823973</v>
      </c>
      <c r="AH9870" s="2" t="str">
        <f ca="1"/>
        <v>Bad</v>
      </c>
    </row>
    <row r="9871" spans="2:34" x14ac:dyDescent="0.2">
      <c r="B9871" s="2">
        <f ca="1"/>
        <v>0.33710041646252997</v>
      </c>
      <c r="O9871" s="2">
        <f ca="1"/>
        <v>-0.60423290277342634</v>
      </c>
      <c r="X9871" s="2">
        <f ca="1"/>
        <v>60.890543246366597</v>
      </c>
      <c r="AG9871" s="2">
        <f ca="1"/>
        <v>0.34514430060802881</v>
      </c>
      <c r="AH9871" s="2" t="str">
        <f ca="1"/>
        <v>OK</v>
      </c>
    </row>
    <row r="9872" spans="2:34" x14ac:dyDescent="0.2">
      <c r="B9872" s="2">
        <f ca="1"/>
        <v>0.54488814803353702</v>
      </c>
      <c r="O9872" s="2">
        <f ca="1"/>
        <v>-1.0989352110114536</v>
      </c>
      <c r="X9872" s="2">
        <f ca="1"/>
        <v>51.142927442867609</v>
      </c>
      <c r="AG9872" s="2">
        <f ca="1"/>
        <v>0.42882507744133758</v>
      </c>
      <c r="AH9872" s="2" t="str">
        <f ca="1"/>
        <v>Bad</v>
      </c>
    </row>
    <row r="9873" spans="2:34" x14ac:dyDescent="0.2">
      <c r="B9873" s="2">
        <f ca="1"/>
        <v>0.41529318127378834</v>
      </c>
      <c r="O9873" s="2">
        <f ca="1"/>
        <v>0.70212056676527468</v>
      </c>
      <c r="X9873" s="2">
        <f ca="1"/>
        <v>46.717656228268361</v>
      </c>
      <c r="AG9873" s="2">
        <f ca="1"/>
        <v>9.4180057661950256E-2</v>
      </c>
      <c r="AH9873" s="2" t="str">
        <f ca="1"/>
        <v>OK</v>
      </c>
    </row>
    <row r="9874" spans="2:34" x14ac:dyDescent="0.2">
      <c r="B9874" s="2">
        <f ca="1"/>
        <v>0.36383223768815132</v>
      </c>
      <c r="O9874" s="2">
        <f ca="1"/>
        <v>-0.63801995547230506</v>
      </c>
      <c r="X9874" s="2">
        <f ca="1"/>
        <v>62.526621106348657</v>
      </c>
      <c r="AG9874" s="2">
        <f ca="1"/>
        <v>0.23895377882518476</v>
      </c>
      <c r="AH9874" s="2" t="str">
        <f ca="1"/>
        <v>OK</v>
      </c>
    </row>
    <row r="9875" spans="2:34" x14ac:dyDescent="0.2">
      <c r="B9875" s="2">
        <f ca="1"/>
        <v>0.68242414481902536</v>
      </c>
      <c r="O9875" s="2">
        <f ca="1"/>
        <v>-0.6712698212520426</v>
      </c>
      <c r="X9875" s="2">
        <f ca="1"/>
        <v>51.519721790622086</v>
      </c>
      <c r="AG9875" s="2">
        <f ca="1"/>
        <v>0.43918708372931059</v>
      </c>
      <c r="AH9875" s="2" t="str">
        <f ca="1"/>
        <v>Bad</v>
      </c>
    </row>
    <row r="9876" spans="2:34" x14ac:dyDescent="0.2">
      <c r="B9876" s="2">
        <f ca="1"/>
        <v>0.5291875254445757</v>
      </c>
      <c r="O9876" s="2">
        <f ca="1"/>
        <v>0.40491852990781224</v>
      </c>
      <c r="X9876" s="2">
        <f ca="1"/>
        <v>46.582399459644378</v>
      </c>
      <c r="AG9876" s="2">
        <f ca="1"/>
        <v>0.43005436857435697</v>
      </c>
      <c r="AH9876" s="2" t="str">
        <f ca="1"/>
        <v>Bad</v>
      </c>
    </row>
    <row r="9877" spans="2:34" x14ac:dyDescent="0.2">
      <c r="B9877" s="2">
        <f ca="1"/>
        <v>0.97691205815247284</v>
      </c>
      <c r="O9877" s="2">
        <f ca="1"/>
        <v>0.60306148119811631</v>
      </c>
      <c r="X9877" s="2">
        <f ca="1"/>
        <v>27.202068271227194</v>
      </c>
      <c r="AG9877" s="2">
        <f ca="1"/>
        <v>0.80992925096699153</v>
      </c>
      <c r="AH9877" s="2" t="str">
        <f ca="1"/>
        <v>Bad</v>
      </c>
    </row>
    <row r="9878" spans="2:34" x14ac:dyDescent="0.2">
      <c r="B9878" s="2">
        <f ca="1"/>
        <v>0.43496318504189624</v>
      </c>
      <c r="O9878" s="2">
        <f ca="1"/>
        <v>0.20341171673708283</v>
      </c>
      <c r="X9878" s="2">
        <f ca="1"/>
        <v>42.309253893733647</v>
      </c>
      <c r="AG9878" s="2">
        <f ca="1"/>
        <v>0.9812462322242983</v>
      </c>
      <c r="AH9878" s="2" t="str">
        <f ca="1"/>
        <v>Bad</v>
      </c>
    </row>
    <row r="9879" spans="2:34" x14ac:dyDescent="0.2">
      <c r="B9879" s="2">
        <f ca="1"/>
        <v>0.52965431359714255</v>
      </c>
      <c r="O9879" s="2">
        <f ca="1"/>
        <v>0.40480213349090705</v>
      </c>
      <c r="X9879" s="2">
        <f ca="1"/>
        <v>46.971257546201244</v>
      </c>
      <c r="AG9879" s="2">
        <f ca="1"/>
        <v>7.6834451041181806E-2</v>
      </c>
      <c r="AH9879" s="2" t="str">
        <f ca="1"/>
        <v>OK</v>
      </c>
    </row>
    <row r="9880" spans="2:34" x14ac:dyDescent="0.2">
      <c r="B9880" s="2">
        <f ca="1"/>
        <v>0.91541379880179563</v>
      </c>
      <c r="O9880" s="2">
        <f ca="1"/>
        <v>-1.0914822393793127</v>
      </c>
      <c r="X9880" s="2">
        <f ca="1"/>
        <v>61.795613048300368</v>
      </c>
      <c r="AG9880" s="2">
        <f ca="1"/>
        <v>0.30820532639229614</v>
      </c>
      <c r="AH9880" s="2" t="str">
        <f ca="1"/>
        <v>OK</v>
      </c>
    </row>
    <row r="9881" spans="2:34" x14ac:dyDescent="0.2">
      <c r="B9881" s="2">
        <f ca="1"/>
        <v>0.89781068099213868</v>
      </c>
      <c r="O9881" s="2">
        <f ca="1"/>
        <v>1.05077234069193</v>
      </c>
      <c r="X9881" s="2">
        <f ca="1"/>
        <v>71.247655511175353</v>
      </c>
      <c r="AG9881" s="2">
        <f ca="1"/>
        <v>0.53287266652678045</v>
      </c>
      <c r="AH9881" s="2" t="str">
        <f ca="1"/>
        <v>Bad</v>
      </c>
    </row>
    <row r="9882" spans="2:34" x14ac:dyDescent="0.2">
      <c r="B9882" s="2">
        <f ca="1"/>
        <v>0.28844487690886922</v>
      </c>
      <c r="O9882" s="2">
        <f ca="1"/>
        <v>1.0406242685970075</v>
      </c>
      <c r="X9882" s="2">
        <f ca="1"/>
        <v>48.74909701671389</v>
      </c>
      <c r="AG9882" s="2">
        <f ca="1"/>
        <v>0.51322388915425043</v>
      </c>
      <c r="AH9882" s="2" t="str">
        <f ca="1"/>
        <v>Bad</v>
      </c>
    </row>
    <row r="9883" spans="2:34" x14ac:dyDescent="0.2">
      <c r="B9883" s="2">
        <f ca="1"/>
        <v>0.92976533886878654</v>
      </c>
      <c r="O9883" s="2">
        <f ca="1"/>
        <v>1.0687187351321727</v>
      </c>
      <c r="X9883" s="2">
        <f ca="1"/>
        <v>82.407624704975973</v>
      </c>
      <c r="AG9883" s="2">
        <f ca="1"/>
        <v>0.18098651504254248</v>
      </c>
      <c r="AH9883" s="2" t="str">
        <f ca="1"/>
        <v>OK</v>
      </c>
    </row>
    <row r="9884" spans="2:34" x14ac:dyDescent="0.2">
      <c r="B9884" s="2">
        <f ca="1"/>
        <v>0.52405621472450736</v>
      </c>
      <c r="O9884" s="2">
        <f ca="1"/>
        <v>1.0924614631548437</v>
      </c>
      <c r="X9884" s="2">
        <f ca="1"/>
        <v>57.226237301920825</v>
      </c>
      <c r="AG9884" s="2">
        <f ca="1"/>
        <v>0.24426671454810989</v>
      </c>
      <c r="AH9884" s="2" t="str">
        <f ca="1"/>
        <v>OK</v>
      </c>
    </row>
    <row r="9885" spans="2:34" x14ac:dyDescent="0.2">
      <c r="B9885" s="2">
        <f ca="1"/>
        <v>0.25282895970249708</v>
      </c>
      <c r="O9885" s="2">
        <f ca="1"/>
        <v>-0.10275016712546747</v>
      </c>
      <c r="X9885" s="2">
        <f ca="1"/>
        <v>60.396386015862646</v>
      </c>
      <c r="AG9885" s="2">
        <f ca="1"/>
        <v>0.88043619920183991</v>
      </c>
      <c r="AH9885" s="2" t="str">
        <f ca="1"/>
        <v>Bad</v>
      </c>
    </row>
    <row r="9886" spans="2:34" x14ac:dyDescent="0.2">
      <c r="B9886" s="2">
        <f ca="1"/>
        <v>0.99651989636696348</v>
      </c>
      <c r="O9886" s="2">
        <f ca="1"/>
        <v>-0.6708530641405599</v>
      </c>
      <c r="X9886" s="2">
        <f ca="1"/>
        <v>37.634128501227472</v>
      </c>
      <c r="AG9886" s="2">
        <f ca="1"/>
        <v>0.36115269387458948</v>
      </c>
      <c r="AH9886" s="2" t="str">
        <f ca="1"/>
        <v>OK</v>
      </c>
    </row>
    <row r="9887" spans="2:34" x14ac:dyDescent="0.2">
      <c r="B9887" s="2">
        <f ca="1"/>
        <v>0.92888119524670665</v>
      </c>
      <c r="O9887" s="2">
        <f ca="1"/>
        <v>-0.35867487956839084</v>
      </c>
      <c r="X9887" s="2">
        <f ca="1"/>
        <v>56.30344903344988</v>
      </c>
      <c r="AG9887" s="2">
        <f ca="1"/>
        <v>0.64682665687732599</v>
      </c>
      <c r="AH9887" s="2" t="str">
        <f ca="1"/>
        <v>Bad</v>
      </c>
    </row>
    <row r="9888" spans="2:34" x14ac:dyDescent="0.2">
      <c r="B9888" s="2">
        <f ca="1"/>
        <v>5.5313094283338415E-2</v>
      </c>
      <c r="O9888" s="2">
        <f ca="1"/>
        <v>0.37335081476782428</v>
      </c>
      <c r="X9888" s="2">
        <f ca="1"/>
        <v>44.419193816040014</v>
      </c>
      <c r="AG9888" s="2">
        <f ca="1"/>
        <v>0.16240507768623713</v>
      </c>
      <c r="AH9888" s="2" t="str">
        <f ca="1"/>
        <v>OK</v>
      </c>
    </row>
    <row r="9889" spans="2:34" x14ac:dyDescent="0.2">
      <c r="B9889" s="2">
        <f ca="1"/>
        <v>0.9079384019684662</v>
      </c>
      <c r="O9889" s="2">
        <f ca="1"/>
        <v>0.96433613184004185</v>
      </c>
      <c r="X9889" s="2">
        <f ca="1"/>
        <v>31.544375314238117</v>
      </c>
      <c r="AG9889" s="2">
        <f ca="1"/>
        <v>9.2842916900641281E-2</v>
      </c>
      <c r="AH9889" s="2" t="str">
        <f ca="1"/>
        <v>OK</v>
      </c>
    </row>
    <row r="9890" spans="2:34" x14ac:dyDescent="0.2">
      <c r="B9890" s="2">
        <f ca="1"/>
        <v>0.44143759544766836</v>
      </c>
      <c r="O9890" s="2">
        <f ca="1"/>
        <v>-0.20750328231582643</v>
      </c>
      <c r="X9890" s="2">
        <f ca="1"/>
        <v>50.507056379944835</v>
      </c>
      <c r="AG9890" s="2">
        <f ca="1"/>
        <v>0.94682372679650584</v>
      </c>
      <c r="AH9890" s="2" t="str">
        <f ca="1"/>
        <v>Bad</v>
      </c>
    </row>
    <row r="9891" spans="2:34" x14ac:dyDescent="0.2">
      <c r="B9891" s="2">
        <f ca="1"/>
        <v>1.8443052422089101E-2</v>
      </c>
      <c r="O9891" s="2">
        <f ca="1"/>
        <v>0.60064364764406342</v>
      </c>
      <c r="X9891" s="2">
        <f ca="1"/>
        <v>57.867455402616955</v>
      </c>
      <c r="AG9891" s="2">
        <f ca="1"/>
        <v>0.92205102556585605</v>
      </c>
      <c r="AH9891" s="2" t="str">
        <f ca="1"/>
        <v>Bad</v>
      </c>
    </row>
    <row r="9892" spans="2:34" x14ac:dyDescent="0.2">
      <c r="B9892" s="2">
        <f ca="1"/>
        <v>4.6025678470186016E-2</v>
      </c>
      <c r="O9892" s="2">
        <f ca="1"/>
        <v>0.20153097005008996</v>
      </c>
      <c r="X9892" s="2">
        <f ca="1"/>
        <v>77.366530658146246</v>
      </c>
      <c r="AG9892" s="2">
        <f ca="1"/>
        <v>0.90471305485091125</v>
      </c>
      <c r="AH9892" s="2" t="str">
        <f ca="1"/>
        <v>Bad</v>
      </c>
    </row>
    <row r="9893" spans="2:34" x14ac:dyDescent="0.2">
      <c r="B9893" s="2">
        <f ca="1"/>
        <v>0.25975131491786696</v>
      </c>
      <c r="O9893" s="2">
        <f ca="1"/>
        <v>-3.1184184239764958</v>
      </c>
      <c r="X9893" s="2">
        <f ca="1"/>
        <v>31.696446385856603</v>
      </c>
      <c r="AG9893" s="2">
        <f ca="1"/>
        <v>0.15931588082396853</v>
      </c>
      <c r="AH9893" s="2" t="str">
        <f ca="1"/>
        <v>OK</v>
      </c>
    </row>
    <row r="9894" spans="2:34" x14ac:dyDescent="0.2">
      <c r="B9894" s="2">
        <f ca="1"/>
        <v>0.89980113717068799</v>
      </c>
      <c r="O9894" s="2">
        <f ca="1"/>
        <v>0.43322416914949441</v>
      </c>
      <c r="X9894" s="2">
        <f ca="1"/>
        <v>75.318642276977471</v>
      </c>
      <c r="AG9894" s="2">
        <f ca="1"/>
        <v>0.56617403381917253</v>
      </c>
      <c r="AH9894" s="2" t="str">
        <f ca="1"/>
        <v>Bad</v>
      </c>
    </row>
    <row r="9895" spans="2:34" x14ac:dyDescent="0.2">
      <c r="B9895" s="2">
        <f ca="1"/>
        <v>0.33470790793015959</v>
      </c>
      <c r="O9895" s="2">
        <f ca="1"/>
        <v>0.53558102587608769</v>
      </c>
      <c r="X9895" s="2">
        <f ca="1"/>
        <v>44.945238458115924</v>
      </c>
      <c r="AG9895" s="2">
        <f ca="1"/>
        <v>0.20188960553690327</v>
      </c>
      <c r="AH9895" s="2" t="str">
        <f ca="1"/>
        <v>OK</v>
      </c>
    </row>
    <row r="9896" spans="2:34" x14ac:dyDescent="0.2">
      <c r="B9896" s="2">
        <f ca="1"/>
        <v>0.88749793945054645</v>
      </c>
      <c r="O9896" s="2">
        <f ca="1"/>
        <v>-0.34664618535546265</v>
      </c>
      <c r="X9896" s="2">
        <f ca="1"/>
        <v>64.376328663920617</v>
      </c>
      <c r="AG9896" s="2">
        <f ca="1"/>
        <v>0.71997109188094544</v>
      </c>
      <c r="AH9896" s="2" t="str">
        <f ca="1"/>
        <v>Bad</v>
      </c>
    </row>
    <row r="9897" spans="2:34" x14ac:dyDescent="0.2">
      <c r="B9897" s="2">
        <f ca="1"/>
        <v>4.1338084643487205E-2</v>
      </c>
      <c r="O9897" s="2">
        <f ca="1"/>
        <v>0.65062965693959196</v>
      </c>
      <c r="X9897" s="2">
        <f ca="1"/>
        <v>75.841178481825835</v>
      </c>
      <c r="AG9897" s="2">
        <f ca="1"/>
        <v>0.5609112585636522</v>
      </c>
      <c r="AH9897" s="2" t="str">
        <f ca="1"/>
        <v>Bad</v>
      </c>
    </row>
    <row r="9898" spans="2:34" x14ac:dyDescent="0.2">
      <c r="B9898" s="2">
        <f ca="1"/>
        <v>0.91663355431698701</v>
      </c>
      <c r="O9898" s="2">
        <f ca="1"/>
        <v>-1.2223264496490076</v>
      </c>
      <c r="X9898" s="2">
        <f ca="1"/>
        <v>43.220000183866738</v>
      </c>
      <c r="AG9898" s="2">
        <f ca="1"/>
        <v>0.92335534932076913</v>
      </c>
      <c r="AH9898" s="2" t="str">
        <f ca="1"/>
        <v>Bad</v>
      </c>
    </row>
    <row r="9899" spans="2:34" x14ac:dyDescent="0.2">
      <c r="B9899" s="2">
        <f ca="1"/>
        <v>0.22508276779371439</v>
      </c>
      <c r="O9899" s="2">
        <f ca="1"/>
        <v>-0.29319850123558455</v>
      </c>
      <c r="X9899" s="2">
        <f ca="1"/>
        <v>57.000401823341903</v>
      </c>
      <c r="AG9899" s="2">
        <f ca="1"/>
        <v>0.49085577193218932</v>
      </c>
      <c r="AH9899" s="2" t="str">
        <f ca="1"/>
        <v>Bad</v>
      </c>
    </row>
    <row r="9900" spans="2:34" x14ac:dyDescent="0.2">
      <c r="B9900" s="2">
        <f ca="1"/>
        <v>0.95828028636280327</v>
      </c>
      <c r="O9900" s="2">
        <f ca="1"/>
        <v>0.62980130515836275</v>
      </c>
      <c r="X9900" s="2">
        <f ca="1"/>
        <v>65.869725446113861</v>
      </c>
      <c r="AG9900" s="2">
        <f ca="1"/>
        <v>0.52643503706666728</v>
      </c>
      <c r="AH9900" s="2" t="str">
        <f ca="1"/>
        <v>Bad</v>
      </c>
    </row>
    <row r="9901" spans="2:34" x14ac:dyDescent="0.2">
      <c r="B9901" s="2">
        <f ca="1"/>
        <v>0.43550875924486498</v>
      </c>
      <c r="O9901" s="2">
        <f ca="1"/>
        <v>-0.69661128927848992</v>
      </c>
      <c r="X9901" s="2">
        <f ca="1"/>
        <v>48.690138170986444</v>
      </c>
      <c r="AG9901" s="2">
        <f ca="1"/>
        <v>0.88150962309095382</v>
      </c>
      <c r="AH9901" s="2" t="str">
        <f ca="1"/>
        <v>Bad</v>
      </c>
    </row>
    <row r="9902" spans="2:34" x14ac:dyDescent="0.2">
      <c r="B9902" s="2">
        <f ca="1"/>
        <v>0.56921198917290461</v>
      </c>
      <c r="O9902" s="2">
        <f ca="1"/>
        <v>-0.16758269944938708</v>
      </c>
      <c r="X9902" s="2">
        <f ca="1"/>
        <v>35.977793712208189</v>
      </c>
      <c r="AG9902" s="2">
        <f ca="1"/>
        <v>0.1580954383714952</v>
      </c>
      <c r="AH9902" s="2" t="str">
        <f ca="1"/>
        <v>OK</v>
      </c>
    </row>
    <row r="9903" spans="2:34" x14ac:dyDescent="0.2">
      <c r="B9903" s="2">
        <f ca="1"/>
        <v>0.10703165635351763</v>
      </c>
      <c r="O9903" s="2">
        <f ca="1"/>
        <v>-1.0772884433295278</v>
      </c>
      <c r="X9903" s="2">
        <f ca="1"/>
        <v>64.487257862312632</v>
      </c>
      <c r="AG9903" s="2">
        <f ca="1"/>
        <v>0.47559301133574405</v>
      </c>
      <c r="AH9903" s="2" t="str">
        <f ca="1"/>
        <v>Bad</v>
      </c>
    </row>
    <row r="9904" spans="2:34" x14ac:dyDescent="0.2">
      <c r="B9904" s="2">
        <f ca="1"/>
        <v>0.91336820994296652</v>
      </c>
      <c r="O9904" s="2">
        <f ca="1"/>
        <v>-0.11818020946000382</v>
      </c>
      <c r="X9904" s="2">
        <f ca="1"/>
        <v>34.719757510042164</v>
      </c>
      <c r="AG9904" s="2">
        <f ca="1"/>
        <v>0.90674562063504149</v>
      </c>
      <c r="AH9904" s="2" t="str">
        <f ca="1"/>
        <v>Bad</v>
      </c>
    </row>
    <row r="9905" spans="2:34" x14ac:dyDescent="0.2">
      <c r="B9905" s="2">
        <f ca="1"/>
        <v>0.41036480156742772</v>
      </c>
      <c r="O9905" s="2">
        <f ca="1"/>
        <v>-0.86296545464293606</v>
      </c>
      <c r="X9905" s="2">
        <f ca="1"/>
        <v>82.729155121367327</v>
      </c>
      <c r="AG9905" s="2">
        <f ca="1"/>
        <v>0.79248948009885378</v>
      </c>
      <c r="AH9905" s="2" t="str">
        <f ca="1"/>
        <v>Bad</v>
      </c>
    </row>
    <row r="9906" spans="2:34" x14ac:dyDescent="0.2">
      <c r="B9906" s="2">
        <f ca="1"/>
        <v>7.8848005156704426E-2</v>
      </c>
      <c r="O9906" s="2">
        <f ca="1"/>
        <v>0.47164759514977111</v>
      </c>
      <c r="X9906" s="2">
        <f ca="1"/>
        <v>34.939642827246196</v>
      </c>
      <c r="AG9906" s="2">
        <f ca="1"/>
        <v>4.4781460503616977E-2</v>
      </c>
      <c r="AH9906" s="2" t="str">
        <f ca="1"/>
        <v>Good</v>
      </c>
    </row>
    <row r="9907" spans="2:34" x14ac:dyDescent="0.2">
      <c r="B9907" s="2">
        <f ca="1"/>
        <v>0.29971485241551687</v>
      </c>
      <c r="O9907" s="2">
        <f ca="1"/>
        <v>1.5743315208729969</v>
      </c>
      <c r="X9907" s="2">
        <f ca="1"/>
        <v>46.177619880263507</v>
      </c>
      <c r="AG9907" s="2">
        <f ca="1"/>
        <v>2.6409076170146317E-3</v>
      </c>
      <c r="AH9907" s="2" t="str">
        <f ca="1"/>
        <v>Good</v>
      </c>
    </row>
    <row r="9908" spans="2:34" x14ac:dyDescent="0.2">
      <c r="B9908" s="2">
        <f ca="1"/>
        <v>0.99715011231179229</v>
      </c>
      <c r="O9908" s="2">
        <f ca="1"/>
        <v>-0.33717541449576865</v>
      </c>
      <c r="X9908" s="2">
        <f ca="1"/>
        <v>79.85840916707825</v>
      </c>
      <c r="AG9908" s="2">
        <f ca="1"/>
        <v>6.8913397323998371E-2</v>
      </c>
      <c r="AH9908" s="2" t="str">
        <f ca="1"/>
        <v>OK</v>
      </c>
    </row>
    <row r="9909" spans="2:34" x14ac:dyDescent="0.2">
      <c r="B9909" s="2">
        <f ca="1"/>
        <v>0.26655719595123406</v>
      </c>
      <c r="O9909" s="2">
        <f ca="1"/>
        <v>9.6861725446028238E-2</v>
      </c>
      <c r="X9909" s="2">
        <f ca="1"/>
        <v>34.379413366058628</v>
      </c>
      <c r="AG9909" s="2">
        <f ca="1"/>
        <v>0.6233900535400847</v>
      </c>
      <c r="AH9909" s="2" t="str">
        <f ca="1"/>
        <v>Bad</v>
      </c>
    </row>
    <row r="9910" spans="2:34" x14ac:dyDescent="0.2">
      <c r="B9910" s="2">
        <f ca="1"/>
        <v>0.33234323631434526</v>
      </c>
      <c r="O9910" s="2">
        <f ca="1"/>
        <v>-6.8439948753683921E-2</v>
      </c>
      <c r="X9910" s="2">
        <f ca="1"/>
        <v>42.859121173665848</v>
      </c>
      <c r="AG9910" s="2">
        <f ca="1"/>
        <v>0.43037663792709591</v>
      </c>
      <c r="AH9910" s="2" t="str">
        <f ca="1"/>
        <v>Bad</v>
      </c>
    </row>
    <row r="9911" spans="2:34" x14ac:dyDescent="0.2">
      <c r="B9911" s="2">
        <f ca="1"/>
        <v>0.5217425291511073</v>
      </c>
      <c r="O9911" s="2">
        <f ca="1"/>
        <v>-0.94399167777775383</v>
      </c>
      <c r="X9911" s="2">
        <f ca="1"/>
        <v>50.337526229875074</v>
      </c>
      <c r="AG9911" s="2">
        <f ca="1"/>
        <v>0.52400012146648001</v>
      </c>
      <c r="AH9911" s="2" t="str">
        <f ca="1"/>
        <v>Bad</v>
      </c>
    </row>
    <row r="9912" spans="2:34" x14ac:dyDescent="0.2">
      <c r="B9912" s="2">
        <f ca="1"/>
        <v>0.21766854721374584</v>
      </c>
      <c r="O9912" s="2">
        <f ca="1"/>
        <v>1.1103510286383587</v>
      </c>
      <c r="X9912" s="2">
        <f ca="1"/>
        <v>66.622170303462582</v>
      </c>
      <c r="AG9912" s="2">
        <f ca="1"/>
        <v>0.74232637077304009</v>
      </c>
      <c r="AH9912" s="2" t="str">
        <f ca="1"/>
        <v>Bad</v>
      </c>
    </row>
    <row r="9913" spans="2:34" x14ac:dyDescent="0.2">
      <c r="B9913" s="2">
        <f ca="1"/>
        <v>0.92942525542255505</v>
      </c>
      <c r="O9913" s="2">
        <f ca="1"/>
        <v>5.2697272203912349E-2</v>
      </c>
      <c r="X9913" s="2">
        <f ca="1"/>
        <v>78.900138476549742</v>
      </c>
      <c r="AG9913" s="2">
        <f ca="1"/>
        <v>0.38254505467621791</v>
      </c>
      <c r="AH9913" s="2" t="str">
        <f ca="1"/>
        <v>OK</v>
      </c>
    </row>
    <row r="9914" spans="2:34" x14ac:dyDescent="0.2">
      <c r="B9914" s="2">
        <f ca="1"/>
        <v>0.6287040642481545</v>
      </c>
      <c r="O9914" s="2">
        <f ca="1"/>
        <v>0.32361114341591163</v>
      </c>
      <c r="X9914" s="2">
        <f ca="1"/>
        <v>42.979641905435315</v>
      </c>
      <c r="AG9914" s="2">
        <f ca="1"/>
        <v>0.58308984779991513</v>
      </c>
      <c r="AH9914" s="2" t="str">
        <f ca="1"/>
        <v>Bad</v>
      </c>
    </row>
    <row r="9915" spans="2:34" x14ac:dyDescent="0.2">
      <c r="B9915" s="2">
        <f ca="1"/>
        <v>1.8543817008123353E-2</v>
      </c>
      <c r="O9915" s="2">
        <f ca="1"/>
        <v>1.6114129631830241</v>
      </c>
      <c r="X9915" s="2">
        <f ca="1"/>
        <v>69.29289616993151</v>
      </c>
      <c r="AG9915" s="2">
        <f ca="1"/>
        <v>0.29726153787745924</v>
      </c>
      <c r="AH9915" s="2" t="str">
        <f ca="1"/>
        <v>OK</v>
      </c>
    </row>
    <row r="9916" spans="2:34" x14ac:dyDescent="0.2">
      <c r="B9916" s="2">
        <f ca="1"/>
        <v>0.41395863696431445</v>
      </c>
      <c r="O9916" s="2">
        <f ca="1"/>
        <v>-1.4654371516305973</v>
      </c>
      <c r="X9916" s="2">
        <f ca="1"/>
        <v>16.52685732638497</v>
      </c>
      <c r="AG9916" s="2">
        <f ca="1"/>
        <v>0.26314003158041133</v>
      </c>
      <c r="AH9916" s="2" t="str">
        <f ca="1"/>
        <v>OK</v>
      </c>
    </row>
    <row r="9917" spans="2:34" x14ac:dyDescent="0.2">
      <c r="B9917" s="2">
        <f ca="1"/>
        <v>0.92460771655157292</v>
      </c>
      <c r="O9917" s="2">
        <f ca="1"/>
        <v>-1.1332297039371346</v>
      </c>
      <c r="X9917" s="2">
        <f ca="1"/>
        <v>23.810620777048776</v>
      </c>
      <c r="AG9917" s="2">
        <f ca="1"/>
        <v>0.52623100726500249</v>
      </c>
      <c r="AH9917" s="2" t="str">
        <f ca="1"/>
        <v>Bad</v>
      </c>
    </row>
    <row r="9918" spans="2:34" x14ac:dyDescent="0.2">
      <c r="B9918" s="2">
        <f ca="1"/>
        <v>0.80989472189291267</v>
      </c>
      <c r="O9918" s="2">
        <f ca="1"/>
        <v>1.5923646256278701</v>
      </c>
      <c r="X9918" s="2">
        <f ca="1"/>
        <v>27.436339472218219</v>
      </c>
      <c r="AG9918" s="2">
        <f ca="1"/>
        <v>0.73738598374676934</v>
      </c>
      <c r="AH9918" s="2" t="str">
        <f ca="1"/>
        <v>Bad</v>
      </c>
    </row>
    <row r="9919" spans="2:34" x14ac:dyDescent="0.2">
      <c r="B9919" s="2">
        <f ca="1"/>
        <v>0.66624362143681592</v>
      </c>
      <c r="O9919" s="2">
        <f ca="1"/>
        <v>-0.92287883981552743</v>
      </c>
      <c r="X9919" s="2">
        <f ca="1"/>
        <v>50.622584701572187</v>
      </c>
      <c r="AG9919" s="2">
        <f ca="1"/>
        <v>0.81366896574516123</v>
      </c>
      <c r="AH9919" s="2" t="str">
        <f ca="1"/>
        <v>Bad</v>
      </c>
    </row>
    <row r="9920" spans="2:34" x14ac:dyDescent="0.2">
      <c r="B9920" s="2">
        <f ca="1"/>
        <v>0.80769198416904797</v>
      </c>
      <c r="O9920" s="2">
        <f ca="1"/>
        <v>0.84149942415167178</v>
      </c>
      <c r="X9920" s="2">
        <f ca="1"/>
        <v>53.79566135016853</v>
      </c>
      <c r="AG9920" s="2">
        <f ca="1"/>
        <v>0.36188307465693215</v>
      </c>
      <c r="AH9920" s="2" t="str">
        <f ca="1"/>
        <v>OK</v>
      </c>
    </row>
    <row r="9921" spans="2:34" x14ac:dyDescent="0.2">
      <c r="B9921" s="2">
        <f ca="1"/>
        <v>0.24072256399099601</v>
      </c>
      <c r="O9921" s="2">
        <f ca="1"/>
        <v>1.7239737400872936</v>
      </c>
      <c r="X9921" s="2">
        <f ca="1"/>
        <v>50.49036183984731</v>
      </c>
      <c r="AG9921" s="2">
        <f ca="1"/>
        <v>0.88031240870706795</v>
      </c>
      <c r="AH9921" s="2" t="str">
        <f ca="1"/>
        <v>Bad</v>
      </c>
    </row>
    <row r="9922" spans="2:34" x14ac:dyDescent="0.2">
      <c r="B9922" s="2">
        <f ca="1"/>
        <v>0.72809813832906078</v>
      </c>
      <c r="O9922" s="2">
        <f ca="1"/>
        <v>-0.52557618721025001</v>
      </c>
      <c r="X9922" s="2">
        <f ca="1"/>
        <v>38.681468976277969</v>
      </c>
      <c r="AG9922" s="2">
        <f ca="1"/>
        <v>0.8309768832752491</v>
      </c>
      <c r="AH9922" s="2" t="str">
        <f ca="1"/>
        <v>Bad</v>
      </c>
    </row>
    <row r="9923" spans="2:34" x14ac:dyDescent="0.2">
      <c r="B9923" s="2">
        <f ca="1"/>
        <v>0.28768668598789748</v>
      </c>
      <c r="O9923" s="2">
        <f ca="1"/>
        <v>1.2160327990630537</v>
      </c>
      <c r="X9923" s="2">
        <f ca="1"/>
        <v>32.98287689087848</v>
      </c>
      <c r="AG9923" s="2">
        <f ca="1"/>
        <v>0.15911913952725043</v>
      </c>
      <c r="AH9923" s="2" t="str">
        <f ca="1"/>
        <v>OK</v>
      </c>
    </row>
    <row r="9924" spans="2:34" x14ac:dyDescent="0.2">
      <c r="B9924" s="2">
        <f ca="1"/>
        <v>0.90556962314085987</v>
      </c>
      <c r="O9924" s="2">
        <f ca="1"/>
        <v>-1.9702937890686842</v>
      </c>
      <c r="X9924" s="2">
        <f ca="1"/>
        <v>48.927675028336346</v>
      </c>
      <c r="AG9924" s="2">
        <f ca="1"/>
        <v>0.99874830512407042</v>
      </c>
      <c r="AH9924" s="2" t="str">
        <f ca="1"/>
        <v>Bad</v>
      </c>
    </row>
    <row r="9925" spans="2:34" x14ac:dyDescent="0.2">
      <c r="B9925" s="2">
        <f ca="1"/>
        <v>0.46633095145107473</v>
      </c>
      <c r="O9925" s="2">
        <f ca="1"/>
        <v>0.29804327184913892</v>
      </c>
      <c r="X9925" s="2">
        <f ca="1"/>
        <v>34.118058357865159</v>
      </c>
      <c r="AG9925" s="2">
        <f ca="1"/>
        <v>0.6159799444656362</v>
      </c>
      <c r="AH9925" s="2" t="str">
        <f ca="1"/>
        <v>Bad</v>
      </c>
    </row>
    <row r="9926" spans="2:34" x14ac:dyDescent="0.2">
      <c r="B9926" s="2">
        <f ca="1"/>
        <v>0.98114695960374632</v>
      </c>
      <c r="O9926" s="2">
        <f ca="1"/>
        <v>1.2900252883109622</v>
      </c>
      <c r="X9926" s="2">
        <f ca="1"/>
        <v>44.632353138419745</v>
      </c>
      <c r="AG9926" s="2">
        <f ca="1"/>
        <v>0.26431217300225263</v>
      </c>
      <c r="AH9926" s="2" t="str">
        <f ca="1"/>
        <v>OK</v>
      </c>
    </row>
    <row r="9927" spans="2:34" x14ac:dyDescent="0.2">
      <c r="B9927" s="2">
        <f ca="1"/>
        <v>0.96085576419023888</v>
      </c>
      <c r="O9927" s="2">
        <f ca="1"/>
        <v>1.4188566060119543</v>
      </c>
      <c r="X9927" s="2">
        <f ca="1"/>
        <v>47.005886750534074</v>
      </c>
      <c r="AG9927" s="2">
        <f ca="1"/>
        <v>0.67926792821703286</v>
      </c>
      <c r="AH9927" s="2" t="str">
        <f ca="1"/>
        <v>Bad</v>
      </c>
    </row>
    <row r="9928" spans="2:34" x14ac:dyDescent="0.2">
      <c r="B9928" s="2">
        <f ca="1"/>
        <v>0.31830782672922431</v>
      </c>
      <c r="O9928" s="2">
        <f ca="1"/>
        <v>0.54096514267522711</v>
      </c>
      <c r="X9928" s="2">
        <f ca="1"/>
        <v>34.130092035863761</v>
      </c>
      <c r="AG9928" s="2">
        <f ca="1"/>
        <v>0.75648152347682673</v>
      </c>
      <c r="AH9928" s="2" t="str">
        <f ca="1"/>
        <v>Bad</v>
      </c>
    </row>
    <row r="9929" spans="2:34" x14ac:dyDescent="0.2">
      <c r="B9929" s="2">
        <f ca="1"/>
        <v>0.54508418369246003</v>
      </c>
      <c r="O9929" s="2">
        <f ca="1"/>
        <v>-0.64802613605488202</v>
      </c>
      <c r="X9929" s="2">
        <f ca="1"/>
        <v>40.996307161637368</v>
      </c>
      <c r="AG9929" s="2">
        <f ca="1"/>
        <v>0.26469833337654181</v>
      </c>
      <c r="AH9929" s="2" t="str">
        <f ca="1"/>
        <v>OK</v>
      </c>
    </row>
    <row r="9930" spans="2:34" x14ac:dyDescent="0.2">
      <c r="B9930" s="2">
        <f ca="1"/>
        <v>0.64514957425576203</v>
      </c>
      <c r="O9930" s="2">
        <f ca="1"/>
        <v>-0.51648918993578685</v>
      </c>
      <c r="X9930" s="2">
        <f ca="1"/>
        <v>51.032305439084951</v>
      </c>
      <c r="AG9930" s="2">
        <f ca="1"/>
        <v>0.39525310414525205</v>
      </c>
      <c r="AH9930" s="2" t="str">
        <f ca="1"/>
        <v>OK</v>
      </c>
    </row>
    <row r="9931" spans="2:34" x14ac:dyDescent="0.2">
      <c r="B9931" s="2">
        <f ca="1"/>
        <v>0.57401634900642717</v>
      </c>
      <c r="O9931" s="2">
        <f ca="1"/>
        <v>-9.901772492519291E-2</v>
      </c>
      <c r="X9931" s="2">
        <f ca="1"/>
        <v>60.526646928553376</v>
      </c>
      <c r="AG9931" s="2">
        <f ca="1"/>
        <v>0.40638916461461738</v>
      </c>
      <c r="AH9931" s="2" t="str">
        <f ca="1"/>
        <v>Bad</v>
      </c>
    </row>
    <row r="9932" spans="2:34" x14ac:dyDescent="0.2">
      <c r="B9932" s="2">
        <f ca="1"/>
        <v>0.50055856640351082</v>
      </c>
      <c r="O9932" s="2">
        <f ca="1"/>
        <v>-0.90022382551382385</v>
      </c>
      <c r="X9932" s="2">
        <f ca="1"/>
        <v>46.538856580056972</v>
      </c>
      <c r="AG9932" s="2">
        <f ca="1"/>
        <v>0.55363010882162911</v>
      </c>
      <c r="AH9932" s="2" t="str">
        <f ca="1"/>
        <v>Bad</v>
      </c>
    </row>
    <row r="9933" spans="2:34" x14ac:dyDescent="0.2">
      <c r="B9933" s="2">
        <f ca="1"/>
        <v>0.12216495520949766</v>
      </c>
      <c r="O9933" s="2">
        <f ca="1"/>
        <v>-8.4051573724003584E-2</v>
      </c>
      <c r="X9933" s="2">
        <f ca="1"/>
        <v>26.13407460404957</v>
      </c>
      <c r="AG9933" s="2">
        <f ca="1"/>
        <v>0.20710616828597272</v>
      </c>
      <c r="AH9933" s="2" t="str">
        <f ca="1"/>
        <v>OK</v>
      </c>
    </row>
    <row r="9934" spans="2:34" x14ac:dyDescent="0.2">
      <c r="B9934" s="2">
        <f ca="1"/>
        <v>0.63941786665897205</v>
      </c>
      <c r="O9934" s="2">
        <f ca="1"/>
        <v>-0.54032961941546021</v>
      </c>
      <c r="X9934" s="2">
        <f ca="1"/>
        <v>40.967404788669704</v>
      </c>
      <c r="AG9934" s="2">
        <f ca="1"/>
        <v>8.687863967540399E-2</v>
      </c>
      <c r="AH9934" s="2" t="str">
        <f ca="1"/>
        <v>OK</v>
      </c>
    </row>
    <row r="9935" spans="2:34" x14ac:dyDescent="0.2">
      <c r="B9935" s="2">
        <f ca="1"/>
        <v>0.25424577245410473</v>
      </c>
      <c r="O9935" s="2">
        <f ca="1"/>
        <v>-0.23118887930020635</v>
      </c>
      <c r="X9935" s="2">
        <f ca="1"/>
        <v>63.66824983019805</v>
      </c>
      <c r="AG9935" s="2">
        <f ca="1"/>
        <v>6.1735398939395392E-3</v>
      </c>
      <c r="AH9935" s="2" t="str">
        <f ca="1"/>
        <v>Good</v>
      </c>
    </row>
    <row r="9936" spans="2:34" x14ac:dyDescent="0.2">
      <c r="B9936" s="2">
        <f ca="1"/>
        <v>0.45556997977315872</v>
      </c>
      <c r="O9936" s="2">
        <f ca="1"/>
        <v>0.83697791918081632</v>
      </c>
      <c r="X9936" s="2">
        <f ca="1"/>
        <v>39.029287997930155</v>
      </c>
      <c r="AG9936" s="2">
        <f ca="1"/>
        <v>0.21032998344595422</v>
      </c>
      <c r="AH9936" s="2" t="str">
        <f ca="1"/>
        <v>OK</v>
      </c>
    </row>
    <row r="9937" spans="2:34" x14ac:dyDescent="0.2">
      <c r="B9937" s="2">
        <f ca="1"/>
        <v>0.57163871711694858</v>
      </c>
      <c r="O9937" s="2">
        <f ca="1"/>
        <v>1.3882899240563058</v>
      </c>
      <c r="X9937" s="2">
        <f ca="1"/>
        <v>52.336520967619371</v>
      </c>
      <c r="AG9937" s="2">
        <f ca="1"/>
        <v>0.91809601939952534</v>
      </c>
      <c r="AH9937" s="2" t="str">
        <f ca="1"/>
        <v>Bad</v>
      </c>
    </row>
    <row r="9938" spans="2:34" x14ac:dyDescent="0.2">
      <c r="B9938" s="2">
        <f ca="1"/>
        <v>0.33607561762814564</v>
      </c>
      <c r="O9938" s="2">
        <f ca="1"/>
        <v>-0.11926380016950051</v>
      </c>
      <c r="X9938" s="2">
        <f ca="1"/>
        <v>28.506881794392388</v>
      </c>
      <c r="AG9938" s="2">
        <f ca="1"/>
        <v>0.65976416421314599</v>
      </c>
      <c r="AH9938" s="2" t="str">
        <f ca="1"/>
        <v>Bad</v>
      </c>
    </row>
    <row r="9939" spans="2:34" x14ac:dyDescent="0.2">
      <c r="B9939" s="2">
        <f ca="1"/>
        <v>0.62758680992257876</v>
      </c>
      <c r="O9939" s="2">
        <f ca="1"/>
        <v>-1.2501425819943073</v>
      </c>
      <c r="X9939" s="2">
        <f ca="1"/>
        <v>58.149260570959427</v>
      </c>
      <c r="AG9939" s="2">
        <f ca="1"/>
        <v>0.21991614175078222</v>
      </c>
      <c r="AH9939" s="2" t="str">
        <f ca="1"/>
        <v>OK</v>
      </c>
    </row>
    <row r="9940" spans="2:34" x14ac:dyDescent="0.2">
      <c r="B9940" s="2">
        <f ca="1"/>
        <v>0.93675348894331356</v>
      </c>
      <c r="O9940" s="2">
        <f ca="1"/>
        <v>9.4247134362140481E-2</v>
      </c>
      <c r="X9940" s="2">
        <f ca="1"/>
        <v>54.075617206970996</v>
      </c>
      <c r="AG9940" s="2">
        <f ca="1"/>
        <v>0.44137934456966144</v>
      </c>
      <c r="AH9940" s="2" t="str">
        <f ca="1"/>
        <v>Bad</v>
      </c>
    </row>
    <row r="9941" spans="2:34" x14ac:dyDescent="0.2">
      <c r="B9941" s="2">
        <f ca="1"/>
        <v>0.71506850345074668</v>
      </c>
      <c r="O9941" s="2">
        <f ca="1"/>
        <v>-0.92656256258218395</v>
      </c>
      <c r="X9941" s="2">
        <f ca="1"/>
        <v>61.094870335481836</v>
      </c>
      <c r="AG9941" s="2">
        <f ca="1"/>
        <v>0.43719003079229735</v>
      </c>
      <c r="AH9941" s="2" t="str">
        <f ca="1"/>
        <v>Bad</v>
      </c>
    </row>
    <row r="9942" spans="2:34" x14ac:dyDescent="0.2">
      <c r="B9942" s="2">
        <f ca="1"/>
        <v>5.2334054931446605E-2</v>
      </c>
      <c r="O9942" s="2">
        <f ca="1"/>
        <v>-0.69661632508840643</v>
      </c>
      <c r="X9942" s="2">
        <f ca="1"/>
        <v>103.12000141493931</v>
      </c>
      <c r="AG9942" s="2">
        <f ca="1"/>
        <v>0.83221572686054723</v>
      </c>
      <c r="AH9942" s="2" t="str">
        <f ca="1"/>
        <v>Bad</v>
      </c>
    </row>
    <row r="9943" spans="2:34" x14ac:dyDescent="0.2">
      <c r="B9943" s="2">
        <f ca="1"/>
        <v>0.52994341885703533</v>
      </c>
      <c r="O9943" s="2">
        <f ca="1"/>
        <v>-0.41254138880158198</v>
      </c>
      <c r="X9943" s="2">
        <f ca="1"/>
        <v>51.764174710560852</v>
      </c>
      <c r="AG9943" s="2">
        <f ca="1"/>
        <v>0.50500922723520736</v>
      </c>
      <c r="AH9943" s="2" t="str">
        <f ca="1"/>
        <v>Bad</v>
      </c>
    </row>
    <row r="9944" spans="2:34" x14ac:dyDescent="0.2">
      <c r="B9944" s="2">
        <f ca="1"/>
        <v>0.90247527349609324</v>
      </c>
      <c r="O9944" s="2">
        <f ca="1"/>
        <v>0.9171982385256412</v>
      </c>
      <c r="X9944" s="2">
        <f ca="1"/>
        <v>32.292313809761076</v>
      </c>
      <c r="AG9944" s="2">
        <f ca="1"/>
        <v>0.10110653810282688</v>
      </c>
      <c r="AH9944" s="2" t="str">
        <f ca="1"/>
        <v>OK</v>
      </c>
    </row>
    <row r="9945" spans="2:34" x14ac:dyDescent="0.2">
      <c r="B9945" s="2">
        <f ca="1"/>
        <v>0.37570886116601887</v>
      </c>
      <c r="O9945" s="2">
        <f ca="1"/>
        <v>1.1918152148015648</v>
      </c>
      <c r="X9945" s="2">
        <f ca="1"/>
        <v>52.76569918427456</v>
      </c>
      <c r="AG9945" s="2">
        <f ca="1"/>
        <v>0.31348265388545293</v>
      </c>
      <c r="AH9945" s="2" t="str">
        <f ca="1"/>
        <v>OK</v>
      </c>
    </row>
    <row r="9946" spans="2:34" x14ac:dyDescent="0.2">
      <c r="B9946" s="2">
        <f ca="1"/>
        <v>0.56484097343534878</v>
      </c>
      <c r="O9946" s="2">
        <f ca="1"/>
        <v>-1.2719203214026438</v>
      </c>
      <c r="X9946" s="2">
        <f ca="1"/>
        <v>50.075404342247111</v>
      </c>
      <c r="AG9946" s="2">
        <f ca="1"/>
        <v>0.61849912745837043</v>
      </c>
      <c r="AH9946" s="2" t="str">
        <f ca="1"/>
        <v>Bad</v>
      </c>
    </row>
    <row r="9947" spans="2:34" x14ac:dyDescent="0.2">
      <c r="B9947" s="2">
        <f ca="1"/>
        <v>0.32963051376340169</v>
      </c>
      <c r="O9947" s="2">
        <f ca="1"/>
        <v>-0.20361234639594458</v>
      </c>
      <c r="X9947" s="2">
        <f ca="1"/>
        <v>31.840801797787208</v>
      </c>
      <c r="AG9947" s="2">
        <f ca="1"/>
        <v>0.90594348900703214</v>
      </c>
      <c r="AH9947" s="2" t="str">
        <f ca="1"/>
        <v>Bad</v>
      </c>
    </row>
    <row r="9948" spans="2:34" x14ac:dyDescent="0.2">
      <c r="B9948" s="2">
        <f ca="1"/>
        <v>0.73014373374664054</v>
      </c>
      <c r="O9948" s="2">
        <f ca="1"/>
        <v>-0.50056922905102019</v>
      </c>
      <c r="X9948" s="2">
        <f ca="1"/>
        <v>58.248626207226842</v>
      </c>
      <c r="AG9948" s="2">
        <f ca="1"/>
        <v>0.51813587702323316</v>
      </c>
      <c r="AH9948" s="2" t="str">
        <f ca="1"/>
        <v>Bad</v>
      </c>
    </row>
    <row r="9949" spans="2:34" x14ac:dyDescent="0.2">
      <c r="B9949" s="2">
        <f ca="1"/>
        <v>0.56908830698682356</v>
      </c>
      <c r="O9949" s="2">
        <f ca="1"/>
        <v>0.66944066169417216</v>
      </c>
      <c r="X9949" s="2">
        <f ca="1"/>
        <v>43.164441448392942</v>
      </c>
      <c r="AG9949" s="2">
        <f ca="1"/>
        <v>0.5055041007901917</v>
      </c>
      <c r="AH9949" s="2" t="str">
        <f ca="1"/>
        <v>Bad</v>
      </c>
    </row>
    <row r="9950" spans="2:34" x14ac:dyDescent="0.2">
      <c r="B9950" s="2">
        <f ca="1"/>
        <v>0.17935900805242078</v>
      </c>
      <c r="O9950" s="2">
        <f ca="1"/>
        <v>-1.1193529301103649</v>
      </c>
      <c r="X9950" s="2">
        <f ca="1"/>
        <v>22.505884128096216</v>
      </c>
      <c r="AG9950" s="2">
        <f ca="1"/>
        <v>0.97317035873013391</v>
      </c>
      <c r="AH9950" s="2" t="str">
        <f ca="1"/>
        <v>Bad</v>
      </c>
    </row>
    <row r="9951" spans="2:34" x14ac:dyDescent="0.2">
      <c r="B9951" s="2">
        <f ca="1"/>
        <v>2.1385760140816723E-2</v>
      </c>
      <c r="O9951" s="2">
        <f ca="1"/>
        <v>0.53628655058257724</v>
      </c>
      <c r="X9951" s="2">
        <f ca="1"/>
        <v>59.4426405010989</v>
      </c>
      <c r="AG9951" s="2">
        <f ca="1"/>
        <v>0.32846997526292809</v>
      </c>
      <c r="AH9951" s="2" t="str">
        <f ca="1"/>
        <v>OK</v>
      </c>
    </row>
    <row r="9952" spans="2:34" x14ac:dyDescent="0.2">
      <c r="B9952" s="2">
        <f ca="1"/>
        <v>0.54389416832261017</v>
      </c>
      <c r="O9952" s="2">
        <f ca="1"/>
        <v>0.77384702966057095</v>
      </c>
      <c r="X9952" s="2">
        <f ca="1"/>
        <v>60.331652892649842</v>
      </c>
      <c r="AG9952" s="2">
        <f ca="1"/>
        <v>0.7808764981823535</v>
      </c>
      <c r="AH9952" s="2" t="str">
        <f ca="1"/>
        <v>Bad</v>
      </c>
    </row>
    <row r="9953" spans="2:34" x14ac:dyDescent="0.2">
      <c r="B9953" s="2">
        <f ca="1"/>
        <v>0.66695106284702232</v>
      </c>
      <c r="O9953" s="2">
        <f ca="1"/>
        <v>1.4890305648959099</v>
      </c>
      <c r="X9953" s="2">
        <f ca="1"/>
        <v>42.696129611343075</v>
      </c>
      <c r="AG9953" s="2">
        <f ca="1"/>
        <v>0.60128395168546844</v>
      </c>
      <c r="AH9953" s="2" t="str">
        <f ca="1"/>
        <v>Bad</v>
      </c>
    </row>
    <row r="9954" spans="2:34" x14ac:dyDescent="0.2">
      <c r="B9954" s="2">
        <f ca="1"/>
        <v>0.66888453309459872</v>
      </c>
      <c r="O9954" s="2">
        <f ca="1"/>
        <v>-0.27635957185208004</v>
      </c>
      <c r="X9954" s="2">
        <f ca="1"/>
        <v>28.288869442544229</v>
      </c>
      <c r="AG9954" s="2">
        <f ca="1"/>
        <v>0.29015878107412774</v>
      </c>
      <c r="AH9954" s="2" t="str">
        <f ca="1"/>
        <v>OK</v>
      </c>
    </row>
    <row r="9955" spans="2:34" x14ac:dyDescent="0.2">
      <c r="B9955" s="2">
        <f ca="1"/>
        <v>0.82311283898682164</v>
      </c>
      <c r="O9955" s="2">
        <f ca="1"/>
        <v>0.17309766209378377</v>
      </c>
      <c r="X9955" s="2">
        <f ca="1"/>
        <v>41.899925275721834</v>
      </c>
      <c r="AG9955" s="2">
        <f ca="1"/>
        <v>0.23763496673320961</v>
      </c>
      <c r="AH9955" s="2" t="str">
        <f ca="1"/>
        <v>OK</v>
      </c>
    </row>
    <row r="9956" spans="2:34" x14ac:dyDescent="0.2">
      <c r="B9956" s="2">
        <f ca="1"/>
        <v>0.77786104424558933</v>
      </c>
      <c r="O9956" s="2">
        <f ca="1"/>
        <v>-0.33014724645009769</v>
      </c>
      <c r="X9956" s="2">
        <f ca="1"/>
        <v>66.012888743330095</v>
      </c>
      <c r="AG9956" s="2">
        <f ca="1"/>
        <v>0.99975495223768007</v>
      </c>
      <c r="AH9956" s="2" t="str">
        <f ca="1"/>
        <v>Bad</v>
      </c>
    </row>
    <row r="9957" spans="2:34" x14ac:dyDescent="0.2">
      <c r="B9957" s="2">
        <f ca="1"/>
        <v>0.63779501009070927</v>
      </c>
      <c r="O9957" s="2">
        <f ca="1"/>
        <v>1.019311087381028</v>
      </c>
      <c r="X9957" s="2">
        <f ca="1"/>
        <v>41.704609663987604</v>
      </c>
      <c r="AG9957" s="2">
        <f ca="1"/>
        <v>5.7852655344150961E-2</v>
      </c>
      <c r="AH9957" s="2" t="str">
        <f ca="1"/>
        <v>OK</v>
      </c>
    </row>
    <row r="9958" spans="2:34" x14ac:dyDescent="0.2">
      <c r="B9958" s="2">
        <f ca="1"/>
        <v>0.71913408786400446</v>
      </c>
      <c r="O9958" s="2">
        <f ca="1"/>
        <v>-0.48446744236204187</v>
      </c>
      <c r="X9958" s="2">
        <f ca="1"/>
        <v>40.854152052137628</v>
      </c>
      <c r="AG9958" s="2">
        <f ca="1"/>
        <v>0.33108296389734515</v>
      </c>
      <c r="AH9958" s="2" t="str">
        <f ca="1"/>
        <v>OK</v>
      </c>
    </row>
    <row r="9959" spans="2:34" x14ac:dyDescent="0.2">
      <c r="B9959" s="2">
        <f ca="1"/>
        <v>2.9716057774942906E-2</v>
      </c>
      <c r="O9959" s="2">
        <f ca="1"/>
        <v>-0.13177756673981447</v>
      </c>
      <c r="X9959" s="2">
        <f ca="1"/>
        <v>55.228182351970609</v>
      </c>
      <c r="AG9959" s="2">
        <f ca="1"/>
        <v>0.85283383577413363</v>
      </c>
      <c r="AH9959" s="2" t="str">
        <f ca="1"/>
        <v>Bad</v>
      </c>
    </row>
    <row r="9960" spans="2:34" x14ac:dyDescent="0.2">
      <c r="B9960" s="2">
        <f ca="1"/>
        <v>0.91744162017920794</v>
      </c>
      <c r="O9960" s="2">
        <f ca="1"/>
        <v>-0.54453206356180806</v>
      </c>
      <c r="X9960" s="2">
        <f ca="1"/>
        <v>55.729669341008936</v>
      </c>
      <c r="AG9960" s="2">
        <f ca="1"/>
        <v>0.22588375079376344</v>
      </c>
      <c r="AH9960" s="2" t="str">
        <f ca="1"/>
        <v>OK</v>
      </c>
    </row>
    <row r="9961" spans="2:34" x14ac:dyDescent="0.2">
      <c r="B9961" s="2">
        <f ca="1"/>
        <v>0.36792988932942849</v>
      </c>
      <c r="O9961" s="2">
        <f ca="1"/>
        <v>-0.54838882508567366</v>
      </c>
      <c r="X9961" s="2">
        <f ca="1"/>
        <v>50.712474584415112</v>
      </c>
      <c r="AG9961" s="2">
        <f ca="1"/>
        <v>0.5155102756230554</v>
      </c>
      <c r="AH9961" s="2" t="str">
        <f ca="1"/>
        <v>Bad</v>
      </c>
    </row>
    <row r="9962" spans="2:34" x14ac:dyDescent="0.2">
      <c r="B9962" s="2">
        <f ca="1"/>
        <v>0.38808243469368042</v>
      </c>
      <c r="O9962" s="2">
        <f ca="1"/>
        <v>-1.4209317928261738</v>
      </c>
      <c r="X9962" s="2">
        <f ca="1"/>
        <v>59.888651846639654</v>
      </c>
      <c r="AG9962" s="2">
        <f ca="1"/>
        <v>9.8212933847284578E-2</v>
      </c>
      <c r="AH9962" s="2" t="str">
        <f ca="1"/>
        <v>OK</v>
      </c>
    </row>
    <row r="9963" spans="2:34" x14ac:dyDescent="0.2">
      <c r="B9963" s="2">
        <f ca="1"/>
        <v>0.46107813254429963</v>
      </c>
      <c r="O9963" s="2">
        <f ca="1"/>
        <v>-1.8893392437697722</v>
      </c>
      <c r="X9963" s="2">
        <f ca="1"/>
        <v>69.360304464111294</v>
      </c>
      <c r="AG9963" s="2">
        <f ca="1"/>
        <v>0.6125752296359861</v>
      </c>
      <c r="AH9963" s="2" t="str">
        <f ca="1"/>
        <v>Bad</v>
      </c>
    </row>
    <row r="9964" spans="2:34" x14ac:dyDescent="0.2">
      <c r="B9964" s="2">
        <f ca="1"/>
        <v>0.44305023051788384</v>
      </c>
      <c r="O9964" s="2">
        <f ca="1"/>
        <v>-0.73601831877237989</v>
      </c>
      <c r="X9964" s="2">
        <f ca="1"/>
        <v>46.273711103572232</v>
      </c>
      <c r="AG9964" s="2">
        <f ca="1"/>
        <v>0.12560333800842116</v>
      </c>
      <c r="AH9964" s="2" t="str">
        <f ca="1"/>
        <v>OK</v>
      </c>
    </row>
    <row r="9965" spans="2:34" x14ac:dyDescent="0.2">
      <c r="B9965" s="2">
        <f ca="1"/>
        <v>0.86033185308212867</v>
      </c>
      <c r="O9965" s="2">
        <f ca="1"/>
        <v>0.89564268742977005</v>
      </c>
      <c r="X9965" s="2">
        <f ca="1"/>
        <v>46.275495054811245</v>
      </c>
      <c r="AG9965" s="2">
        <f ca="1"/>
        <v>0.53227023991232869</v>
      </c>
      <c r="AH9965" s="2" t="str">
        <f ca="1"/>
        <v>Bad</v>
      </c>
    </row>
    <row r="9966" spans="2:34" x14ac:dyDescent="0.2">
      <c r="B9966" s="2">
        <f ca="1"/>
        <v>0.29175648452524672</v>
      </c>
      <c r="O9966" s="2">
        <f ca="1"/>
        <v>-1.1471061306256185</v>
      </c>
      <c r="X9966" s="2">
        <f ca="1"/>
        <v>41.689154484703025</v>
      </c>
      <c r="AG9966" s="2">
        <f ca="1"/>
        <v>0.24426346110502761</v>
      </c>
      <c r="AH9966" s="2" t="str">
        <f ca="1"/>
        <v>OK</v>
      </c>
    </row>
    <row r="9967" spans="2:34" x14ac:dyDescent="0.2">
      <c r="B9967" s="2">
        <f ca="1"/>
        <v>0.94426617268864899</v>
      </c>
      <c r="O9967" s="2">
        <f ca="1"/>
        <v>-1.0807309332768507</v>
      </c>
      <c r="X9967" s="2">
        <f ca="1"/>
        <v>60.1899921281559</v>
      </c>
      <c r="AG9967" s="2">
        <f ca="1"/>
        <v>0.95696267574282112</v>
      </c>
      <c r="AH9967" s="2" t="str">
        <f ca="1"/>
        <v>Bad</v>
      </c>
    </row>
    <row r="9968" spans="2:34" x14ac:dyDescent="0.2">
      <c r="B9968" s="2">
        <f ca="1"/>
        <v>0.60707662934804763</v>
      </c>
      <c r="O9968" s="2">
        <f ca="1"/>
        <v>-0.45528738963959242</v>
      </c>
      <c r="X9968" s="2">
        <f ca="1"/>
        <v>51.651027156814955</v>
      </c>
      <c r="AG9968" s="2">
        <f ca="1"/>
        <v>0.46568279496116749</v>
      </c>
      <c r="AH9968" s="2" t="str">
        <f ca="1"/>
        <v>Bad</v>
      </c>
    </row>
    <row r="9969" spans="2:34" x14ac:dyDescent="0.2">
      <c r="B9969" s="2">
        <f ca="1"/>
        <v>0.43641861089344336</v>
      </c>
      <c r="O9969" s="2">
        <f ca="1"/>
        <v>0.46768070257104322</v>
      </c>
      <c r="X9969" s="2">
        <f ca="1"/>
        <v>44.803235659022242</v>
      </c>
      <c r="AG9969" s="2">
        <f ca="1"/>
        <v>0.7505887097005195</v>
      </c>
      <c r="AH9969" s="2" t="str">
        <f ca="1"/>
        <v>Bad</v>
      </c>
    </row>
    <row r="9970" spans="2:34" x14ac:dyDescent="0.2">
      <c r="B9970" s="2">
        <f ca="1"/>
        <v>0.87929360221798469</v>
      </c>
      <c r="O9970" s="2">
        <f ca="1"/>
        <v>-0.42893655563628008</v>
      </c>
      <c r="X9970" s="2">
        <f ca="1"/>
        <v>50.0541763930892</v>
      </c>
      <c r="AG9970" s="2">
        <f ca="1"/>
        <v>0.69818083236787243</v>
      </c>
      <c r="AH9970" s="2" t="str">
        <f ca="1"/>
        <v>Bad</v>
      </c>
    </row>
    <row r="9971" spans="2:34" x14ac:dyDescent="0.2">
      <c r="B9971" s="2">
        <f ca="1"/>
        <v>0.3004136576202634</v>
      </c>
      <c r="O9971" s="2">
        <f ca="1"/>
        <v>1.0041612780907012</v>
      </c>
      <c r="X9971" s="2">
        <f ca="1"/>
        <v>51.872268241788646</v>
      </c>
      <c r="AG9971" s="2">
        <f ca="1"/>
        <v>0.2835252569510367</v>
      </c>
      <c r="AH9971" s="2" t="str">
        <f ca="1"/>
        <v>OK</v>
      </c>
    </row>
    <row r="9972" spans="2:34" x14ac:dyDescent="0.2">
      <c r="B9972" s="2">
        <f ca="1"/>
        <v>0.17345539259165266</v>
      </c>
      <c r="O9972" s="2">
        <f ca="1"/>
        <v>-0.2681168748605518</v>
      </c>
      <c r="X9972" s="2">
        <f ca="1"/>
        <v>35.823676172506488</v>
      </c>
      <c r="AG9972" s="2">
        <f ca="1"/>
        <v>0.10051769030736279</v>
      </c>
      <c r="AH9972" s="2" t="str">
        <f ca="1"/>
        <v>OK</v>
      </c>
    </row>
    <row r="9973" spans="2:34" x14ac:dyDescent="0.2">
      <c r="B9973" s="2">
        <f ca="1"/>
        <v>0.48353321489336043</v>
      </c>
      <c r="O9973" s="2">
        <f ca="1"/>
        <v>-0.83753763697046801</v>
      </c>
      <c r="X9973" s="2">
        <f ca="1"/>
        <v>28.551606453376234</v>
      </c>
      <c r="AG9973" s="2">
        <f ca="1"/>
        <v>0.34009784717813241</v>
      </c>
      <c r="AH9973" s="2" t="str">
        <f ca="1"/>
        <v>OK</v>
      </c>
    </row>
    <row r="9974" spans="2:34" x14ac:dyDescent="0.2">
      <c r="B9974" s="2">
        <f ca="1"/>
        <v>0.17108595646648284</v>
      </c>
      <c r="O9974" s="2">
        <f ca="1"/>
        <v>-0.94547032094494587</v>
      </c>
      <c r="X9974" s="2">
        <f ca="1"/>
        <v>29.642649671734141</v>
      </c>
      <c r="AG9974" s="2">
        <f ca="1"/>
        <v>0.31475125727740427</v>
      </c>
      <c r="AH9974" s="2" t="str">
        <f ca="1"/>
        <v>OK</v>
      </c>
    </row>
    <row r="9975" spans="2:34" x14ac:dyDescent="0.2">
      <c r="B9975" s="2">
        <f ca="1"/>
        <v>0.5197301878183036</v>
      </c>
      <c r="O9975" s="2">
        <f ca="1"/>
        <v>-0.36760753395550239</v>
      </c>
      <c r="X9975" s="2">
        <f ca="1"/>
        <v>90.785184621552219</v>
      </c>
      <c r="AG9975" s="2">
        <f ca="1"/>
        <v>0.19837539612149868</v>
      </c>
      <c r="AH9975" s="2" t="str">
        <f ca="1"/>
        <v>OK</v>
      </c>
    </row>
    <row r="9976" spans="2:34" x14ac:dyDescent="0.2">
      <c r="B9976" s="2">
        <f ca="1"/>
        <v>0.53006270662233024</v>
      </c>
      <c r="O9976" s="2">
        <f ca="1"/>
        <v>-0.60686856115100385</v>
      </c>
      <c r="X9976" s="2">
        <f ca="1"/>
        <v>40.390514513724412</v>
      </c>
      <c r="AG9976" s="2">
        <f ca="1"/>
        <v>0.86418334607438219</v>
      </c>
      <c r="AH9976" s="2" t="str">
        <f ca="1"/>
        <v>Bad</v>
      </c>
    </row>
    <row r="9977" spans="2:34" x14ac:dyDescent="0.2">
      <c r="B9977" s="2">
        <f ca="1"/>
        <v>0.8266619724140738</v>
      </c>
      <c r="O9977" s="2">
        <f ca="1"/>
        <v>0.76420099989386225</v>
      </c>
      <c r="X9977" s="2">
        <f ca="1"/>
        <v>31.488125008964587</v>
      </c>
      <c r="AG9977" s="2">
        <f ca="1"/>
        <v>3.9016880266940168E-2</v>
      </c>
      <c r="AH9977" s="2" t="str">
        <f ca="1"/>
        <v>Good</v>
      </c>
    </row>
    <row r="9978" spans="2:34" x14ac:dyDescent="0.2">
      <c r="B9978" s="2">
        <f ca="1"/>
        <v>0.69422537337828105</v>
      </c>
      <c r="O9978" s="2">
        <f ca="1"/>
        <v>0.68573532769541934</v>
      </c>
      <c r="X9978" s="2">
        <f ca="1"/>
        <v>46.518897135893539</v>
      </c>
      <c r="AG9978" s="2">
        <f ca="1"/>
        <v>0.96479923425465941</v>
      </c>
      <c r="AH9978" s="2" t="str">
        <f ca="1"/>
        <v>Bad</v>
      </c>
    </row>
    <row r="9979" spans="2:34" x14ac:dyDescent="0.2">
      <c r="B9979" s="2">
        <f ca="1"/>
        <v>0.4153441585048101</v>
      </c>
      <c r="O9979" s="2">
        <f ca="1"/>
        <v>-0.76781467950635607</v>
      </c>
      <c r="X9979" s="2">
        <f ca="1"/>
        <v>36.462251667914913</v>
      </c>
      <c r="AG9979" s="2">
        <f ca="1"/>
        <v>0.86625525877687082</v>
      </c>
      <c r="AH9979" s="2" t="str">
        <f ca="1"/>
        <v>Bad</v>
      </c>
    </row>
    <row r="9980" spans="2:34" x14ac:dyDescent="0.2">
      <c r="B9980" s="2">
        <f ca="1"/>
        <v>0.77409571177270609</v>
      </c>
      <c r="O9980" s="2">
        <f ca="1"/>
        <v>-0.22351685117981543</v>
      </c>
      <c r="X9980" s="2">
        <f ca="1"/>
        <v>40.229765894301117</v>
      </c>
      <c r="AG9980" s="2">
        <f ca="1"/>
        <v>0.33797304978316078</v>
      </c>
      <c r="AH9980" s="2" t="str">
        <f ca="1"/>
        <v>OK</v>
      </c>
    </row>
    <row r="9981" spans="2:34" x14ac:dyDescent="0.2">
      <c r="B9981" s="2">
        <f ca="1"/>
        <v>7.3422163702902665E-2</v>
      </c>
      <c r="O9981" s="2">
        <f ca="1"/>
        <v>0.17928441420101976</v>
      </c>
      <c r="X9981" s="2">
        <f ca="1"/>
        <v>57.866376008495202</v>
      </c>
      <c r="AG9981" s="2">
        <f ca="1"/>
        <v>0.30200151269087416</v>
      </c>
      <c r="AH9981" s="2" t="str">
        <f ca="1"/>
        <v>OK</v>
      </c>
    </row>
    <row r="9982" spans="2:34" x14ac:dyDescent="0.2">
      <c r="B9982" s="2">
        <f ca="1"/>
        <v>9.2087389414678755E-2</v>
      </c>
      <c r="O9982" s="2">
        <f ca="1"/>
        <v>-1.1579816265951857</v>
      </c>
      <c r="X9982" s="2">
        <f ca="1"/>
        <v>30.980557124599066</v>
      </c>
      <c r="AG9982" s="2">
        <f ca="1"/>
        <v>0.7037238063363489</v>
      </c>
      <c r="AH9982" s="2" t="str">
        <f ca="1"/>
        <v>Bad</v>
      </c>
    </row>
    <row r="9983" spans="2:34" x14ac:dyDescent="0.2">
      <c r="B9983" s="2">
        <f ca="1"/>
        <v>0.91876686279064779</v>
      </c>
      <c r="O9983" s="2">
        <f ca="1"/>
        <v>1.1155317535875795</v>
      </c>
      <c r="X9983" s="2">
        <f ca="1"/>
        <v>73.551487172065947</v>
      </c>
      <c r="AG9983" s="2">
        <f ca="1"/>
        <v>0.89180221154798245</v>
      </c>
      <c r="AH9983" s="2" t="str">
        <f ca="1"/>
        <v>Bad</v>
      </c>
    </row>
    <row r="9984" spans="2:34" x14ac:dyDescent="0.2">
      <c r="B9984" s="2">
        <f ca="1"/>
        <v>0.21461646277739543</v>
      </c>
      <c r="O9984" s="2">
        <f ca="1"/>
        <v>-0.19410344556775444</v>
      </c>
      <c r="X9984" s="2">
        <f ca="1"/>
        <v>35.686258906671583</v>
      </c>
      <c r="AG9984" s="2">
        <f ca="1"/>
        <v>0.65389120452033689</v>
      </c>
      <c r="AH9984" s="2" t="str">
        <f ca="1"/>
        <v>Bad</v>
      </c>
    </row>
    <row r="9985" spans="2:34" x14ac:dyDescent="0.2">
      <c r="B9985" s="2">
        <f ca="1"/>
        <v>0.73540557434498233</v>
      </c>
      <c r="O9985" s="2">
        <f ca="1"/>
        <v>-0.47535376434167986</v>
      </c>
      <c r="X9985" s="2">
        <f ca="1"/>
        <v>53.74954297995211</v>
      </c>
      <c r="AG9985" s="2">
        <f ca="1"/>
        <v>0.97091951641854646</v>
      </c>
      <c r="AH9985" s="2" t="str">
        <f ca="1"/>
        <v>Bad</v>
      </c>
    </row>
    <row r="9986" spans="2:34" x14ac:dyDescent="0.2">
      <c r="B9986" s="2">
        <f ca="1"/>
        <v>0.57759032484237438</v>
      </c>
      <c r="O9986" s="2">
        <f ca="1"/>
        <v>1.3290670829790081</v>
      </c>
      <c r="X9986" s="2">
        <f ca="1"/>
        <v>59.711452382409362</v>
      </c>
      <c r="AG9986" s="2">
        <f ca="1"/>
        <v>0.7973328012023948</v>
      </c>
      <c r="AH9986" s="2" t="str">
        <f ca="1"/>
        <v>Bad</v>
      </c>
    </row>
    <row r="9987" spans="2:34" x14ac:dyDescent="0.2">
      <c r="B9987" s="2">
        <f ca="1"/>
        <v>0.72521632422719162</v>
      </c>
      <c r="O9987" s="2">
        <f ca="1"/>
        <v>0.49711025748600102</v>
      </c>
      <c r="X9987" s="2">
        <f ca="1"/>
        <v>23.859922961295013</v>
      </c>
      <c r="AG9987" s="2">
        <f ca="1"/>
        <v>0.89836557790407379</v>
      </c>
      <c r="AH9987" s="2" t="str">
        <f ca="1"/>
        <v>Bad</v>
      </c>
    </row>
    <row r="9988" spans="2:34" x14ac:dyDescent="0.2">
      <c r="B9988" s="2">
        <f ca="1"/>
        <v>0.25355394211504256</v>
      </c>
      <c r="O9988" s="2">
        <f ca="1"/>
        <v>0.62534137283355995</v>
      </c>
      <c r="X9988" s="2">
        <f ca="1"/>
        <v>50.893311229520791</v>
      </c>
      <c r="AG9988" s="2">
        <f ca="1"/>
        <v>1.5868908516543323E-2</v>
      </c>
      <c r="AH9988" s="2" t="str">
        <f ca="1"/>
        <v>Good</v>
      </c>
    </row>
    <row r="9989" spans="2:34" x14ac:dyDescent="0.2">
      <c r="B9989" s="2">
        <f ca="1"/>
        <v>0.76135368857293817</v>
      </c>
      <c r="O9989" s="2">
        <f ca="1"/>
        <v>2.0877056165758852</v>
      </c>
      <c r="X9989" s="2">
        <f ca="1"/>
        <v>62.444869046196835</v>
      </c>
      <c r="AG9989" s="2">
        <f ca="1"/>
        <v>0.36459521665410177</v>
      </c>
      <c r="AH9989" s="2" t="str">
        <f ca="1"/>
        <v>OK</v>
      </c>
    </row>
    <row r="9990" spans="2:34" x14ac:dyDescent="0.2">
      <c r="B9990" s="2">
        <f ca="1"/>
        <v>0.99150762274420079</v>
      </c>
      <c r="O9990" s="2">
        <f ca="1"/>
        <v>-1.2606933441042327</v>
      </c>
      <c r="X9990" s="2">
        <f ca="1"/>
        <v>25.254586288986587</v>
      </c>
      <c r="AG9990" s="2">
        <f ca="1"/>
        <v>0.83138385448745411</v>
      </c>
      <c r="AH9990" s="2" t="str">
        <f ca="1"/>
        <v>Bad</v>
      </c>
    </row>
    <row r="9991" spans="2:34" x14ac:dyDescent="0.2">
      <c r="B9991" s="2">
        <f ca="1"/>
        <v>0.6313403411503129</v>
      </c>
      <c r="O9991" s="2">
        <f ca="1"/>
        <v>-0.43393064858750729</v>
      </c>
      <c r="X9991" s="2">
        <f ca="1"/>
        <v>42.669721238688169</v>
      </c>
      <c r="AG9991" s="2">
        <f ca="1"/>
        <v>0.89587089705140577</v>
      </c>
      <c r="AH9991" s="2" t="str">
        <f ca="1"/>
        <v>Bad</v>
      </c>
    </row>
    <row r="9992" spans="2:34" x14ac:dyDescent="0.2">
      <c r="B9992" s="2">
        <f ca="1"/>
        <v>0.92578246967598576</v>
      </c>
      <c r="O9992" s="2">
        <f ca="1"/>
        <v>0.12651661491975222</v>
      </c>
      <c r="X9992" s="2">
        <f ca="1"/>
        <v>54.541051685283023</v>
      </c>
      <c r="AG9992" s="2">
        <f ca="1"/>
        <v>0.75618842282800047</v>
      </c>
      <c r="AH9992" s="2" t="str">
        <f ca="1"/>
        <v>Bad</v>
      </c>
    </row>
    <row r="9993" spans="2:34" x14ac:dyDescent="0.2">
      <c r="B9993" s="2">
        <f ca="1"/>
        <v>0.35381617012745137</v>
      </c>
      <c r="O9993" s="2">
        <f ca="1"/>
        <v>1.2652466429983569</v>
      </c>
      <c r="X9993" s="2">
        <f ca="1"/>
        <v>60.650755696073652</v>
      </c>
      <c r="AG9993" s="2">
        <f ca="1"/>
        <v>0.68358689259992866</v>
      </c>
      <c r="AH9993" s="2" t="str">
        <f ca="1"/>
        <v>Bad</v>
      </c>
    </row>
    <row r="9994" spans="2:34" x14ac:dyDescent="0.2">
      <c r="B9994" s="2">
        <f ca="1"/>
        <v>0.38917717351928727</v>
      </c>
      <c r="O9994" s="2">
        <f ca="1"/>
        <v>-0.44408592753473347</v>
      </c>
      <c r="X9994" s="2">
        <f ca="1"/>
        <v>71.997283816576143</v>
      </c>
      <c r="AG9994" s="2">
        <f ca="1"/>
        <v>0.6575565106256438</v>
      </c>
      <c r="AH9994" s="2" t="str">
        <f ca="1"/>
        <v>Bad</v>
      </c>
    </row>
    <row r="9995" spans="2:34" x14ac:dyDescent="0.2">
      <c r="B9995" s="2">
        <f ca="1"/>
        <v>0.58247682839035697</v>
      </c>
      <c r="O9995" s="2">
        <f ca="1"/>
        <v>0.22440429097641429</v>
      </c>
      <c r="X9995" s="2">
        <f ca="1"/>
        <v>22.63588985961205</v>
      </c>
      <c r="AG9995" s="2">
        <f ca="1"/>
        <v>0.29717611674360178</v>
      </c>
      <c r="AH9995" s="2" t="str">
        <f ca="1"/>
        <v>OK</v>
      </c>
    </row>
    <row r="9996" spans="2:34" x14ac:dyDescent="0.2">
      <c r="B9996" s="2">
        <f ca="1"/>
        <v>9.7555524170842567E-3</v>
      </c>
      <c r="O9996" s="2">
        <f ca="1"/>
        <v>-0.80733967297529285</v>
      </c>
      <c r="X9996" s="2">
        <f ca="1"/>
        <v>35.253181033817775</v>
      </c>
      <c r="AG9996" s="2">
        <f ca="1"/>
        <v>0.28125791342698503</v>
      </c>
      <c r="AH9996" s="2" t="str">
        <f ca="1"/>
        <v>OK</v>
      </c>
    </row>
    <row r="9997" spans="2:34" x14ac:dyDescent="0.2">
      <c r="B9997" s="2">
        <f ca="1"/>
        <v>0.99092977728377885</v>
      </c>
      <c r="O9997" s="2">
        <f ca="1"/>
        <v>1.2193892563494084</v>
      </c>
      <c r="X9997" s="2">
        <f ca="1"/>
        <v>78.62364257591841</v>
      </c>
      <c r="AG9997" s="2">
        <f ca="1"/>
        <v>0.47122720734821399</v>
      </c>
      <c r="AH9997" s="2" t="str">
        <f ca="1"/>
        <v>Bad</v>
      </c>
    </row>
    <row r="9998" spans="2:34" x14ac:dyDescent="0.2">
      <c r="B9998" s="2">
        <f ca="1"/>
        <v>0.52376281757818099</v>
      </c>
      <c r="O9998" s="2">
        <f ca="1"/>
        <v>0.58696176029608527</v>
      </c>
      <c r="X9998" s="2">
        <f ca="1"/>
        <v>33.127158192792457</v>
      </c>
      <c r="AG9998" s="2">
        <f ca="1"/>
        <v>0.57161566392414409</v>
      </c>
      <c r="AH9998" s="2" t="str">
        <f ca="1"/>
        <v>Bad</v>
      </c>
    </row>
    <row r="9999" spans="2:34" x14ac:dyDescent="0.2">
      <c r="B9999" s="2">
        <f ca="1"/>
        <v>0.45645022647246614</v>
      </c>
      <c r="O9999" s="2">
        <f ca="1"/>
        <v>0.28025001545954553</v>
      </c>
      <c r="X9999" s="2">
        <f ca="1"/>
        <v>45.951310099691185</v>
      </c>
      <c r="AG9999" s="2">
        <f ca="1"/>
        <v>0.24227154406005513</v>
      </c>
      <c r="AH9999" s="2" t="str">
        <f ca="1"/>
        <v>OK</v>
      </c>
    </row>
    <row r="10000" spans="2:34" x14ac:dyDescent="0.2">
      <c r="B10000" s="2">
        <f ca="1"/>
        <v>0.46497125907840164</v>
      </c>
      <c r="O10000" s="2">
        <f ca="1"/>
        <v>-0.55554100387872829</v>
      </c>
      <c r="X10000" s="2">
        <f ca="1"/>
        <v>51.642323391116534</v>
      </c>
      <c r="AG10000" s="2">
        <f ca="1"/>
        <v>0.72814025076392341</v>
      </c>
      <c r="AH10000" s="2" t="str">
        <f ca="1"/>
        <v>Bad</v>
      </c>
    </row>
    <row r="10001" spans="2:34" x14ac:dyDescent="0.2">
      <c r="B10001" s="2">
        <f ca="1"/>
        <v>0.93414637658517852</v>
      </c>
      <c r="O10001" s="2">
        <f ca="1"/>
        <v>0.16574873954974928</v>
      </c>
      <c r="X10001" s="2">
        <f ca="1"/>
        <v>68.808818897068747</v>
      </c>
      <c r="AG10001" s="2">
        <f ca="1"/>
        <v>0.25659528983461111</v>
      </c>
      <c r="AH10001" s="2" t="str">
        <f ca="1"/>
        <v>OK</v>
      </c>
    </row>
    <row r="10002" spans="2:34" x14ac:dyDescent="0.2">
      <c r="B10002" s="2">
        <f ca="1"/>
        <v>0.84743778379984191</v>
      </c>
      <c r="O10002" s="2">
        <f ca="1"/>
        <v>1.0744077643114764</v>
      </c>
      <c r="X10002" s="2">
        <f ca="1"/>
        <v>52.046600066882867</v>
      </c>
      <c r="AG10002" s="2">
        <f ca="1"/>
        <v>0.50267360681202256</v>
      </c>
      <c r="AH10002" s="2" t="str">
        <f ca="1"/>
        <v>Bad</v>
      </c>
    </row>
    <row r="10003" spans="2:34" x14ac:dyDescent="0.2">
      <c r="B10003" s="2">
        <f ca="1"/>
        <v>0.98806530134850767</v>
      </c>
      <c r="O10003" s="2">
        <f ca="1"/>
        <v>0.13773742110631496</v>
      </c>
      <c r="X10003" s="2">
        <f ca="1"/>
        <v>36.275395466031</v>
      </c>
      <c r="AG10003" s="2">
        <f ca="1"/>
        <v>0.12409721035761345</v>
      </c>
      <c r="AH10003" s="2" t="str">
        <f ca="1"/>
        <v>OK</v>
      </c>
    </row>
    <row r="10004" spans="2:34" x14ac:dyDescent="0.2">
      <c r="B10004" s="2">
        <f ca="1"/>
        <v>0.11379519509024494</v>
      </c>
      <c r="AG10004" s="2">
        <f ca="1"/>
        <v>0.10103401003478107</v>
      </c>
      <c r="AH10004" s="2" t="str">
        <f ca="1"/>
        <v>OK</v>
      </c>
    </row>
    <row r="10005" spans="2:34" x14ac:dyDescent="0.2">
      <c r="B10005" s="2">
        <f ca="1"/>
        <v>8.3370161462753556E-2</v>
      </c>
      <c r="AG10005" s="2">
        <f ca="1"/>
        <v>0.37126013022777182</v>
      </c>
      <c r="AH10005" s="2" t="str">
        <f ca="1"/>
        <v>OK</v>
      </c>
    </row>
    <row r="10006" spans="2:34" x14ac:dyDescent="0.2">
      <c r="B10006" s="2">
        <f ca="1"/>
        <v>0.5495148769847944</v>
      </c>
      <c r="AG10006" s="2">
        <f ca="1"/>
        <v>0.81910547772511144</v>
      </c>
      <c r="AH10006" s="2" t="str">
        <f ca="1"/>
        <v>Bad</v>
      </c>
    </row>
    <row r="10007" spans="2:34" x14ac:dyDescent="0.2">
      <c r="B10007" s="2">
        <f ca="1"/>
        <v>0.64697861745912189</v>
      </c>
      <c r="AG10007" s="2">
        <f ca="1"/>
        <v>0.52464637446487283</v>
      </c>
      <c r="AH10007" s="2" t="str">
        <f ca="1"/>
        <v>Bad</v>
      </c>
    </row>
    <row r="10008" spans="2:34" x14ac:dyDescent="0.2">
      <c r="B10008" s="2">
        <f ca="1"/>
        <v>0.84853193757020628</v>
      </c>
    </row>
    <row r="10009" spans="2:34" x14ac:dyDescent="0.2">
      <c r="B10009" s="2">
        <f ca="1"/>
        <v>8.7244606006269709E-2</v>
      </c>
    </row>
    <row r="10010" spans="2:34" x14ac:dyDescent="0.2">
      <c r="B10010" s="2">
        <f ca="1"/>
        <v>0.46146935377153508</v>
      </c>
    </row>
    <row r="10011" spans="2:34" x14ac:dyDescent="0.2">
      <c r="B10011" s="2">
        <f ca="1"/>
        <v>0.23669205346306121</v>
      </c>
    </row>
    <row r="10012" spans="2:34" x14ac:dyDescent="0.2">
      <c r="B10012" s="2">
        <f ca="1"/>
        <v>0.18123281333882102</v>
      </c>
    </row>
    <row r="10013" spans="2:34" x14ac:dyDescent="0.2">
      <c r="B10013" s="2">
        <f ca="1"/>
        <v>0.41725135270544289</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B44A3-47FF-42CC-871D-4995B392C4AA}">
  <sheetPr codeName="Sheet10"/>
  <dimension ref="A1:BA38"/>
  <sheetViews>
    <sheetView workbookViewId="0">
      <selection activeCell="M4" sqref="M4:P4"/>
    </sheetView>
  </sheetViews>
  <sheetFormatPr baseColWidth="10" defaultColWidth="8.83203125" defaultRowHeight="16" x14ac:dyDescent="0.2"/>
  <cols>
    <col min="2" max="2" width="9.5" customWidth="1"/>
    <col min="13" max="13" width="13.6640625" bestFit="1" customWidth="1"/>
  </cols>
  <sheetData>
    <row r="1" spans="1:53" x14ac:dyDescent="0.2">
      <c r="A1" s="101"/>
      <c r="B1" s="1"/>
      <c r="C1" s="1"/>
      <c r="D1" s="1"/>
      <c r="E1" s="1"/>
      <c r="F1" s="102"/>
      <c r="G1" s="101"/>
      <c r="H1" s="1"/>
      <c r="I1" s="1"/>
      <c r="J1" s="1"/>
      <c r="K1" s="1"/>
      <c r="L1" s="101"/>
      <c r="M1" s="1"/>
      <c r="N1" s="1"/>
      <c r="O1" s="1"/>
      <c r="P1" s="1"/>
      <c r="Q1" s="1"/>
      <c r="R1" s="1"/>
      <c r="S1" s="1"/>
      <c r="T1" s="1"/>
      <c r="U1" s="101"/>
      <c r="V1" s="1"/>
      <c r="W1" s="1"/>
      <c r="X1" s="1"/>
      <c r="Y1" s="1"/>
      <c r="Z1" s="1"/>
      <c r="AA1" s="102"/>
    </row>
    <row r="2" spans="1:53" x14ac:dyDescent="0.2">
      <c r="A2" s="103"/>
      <c r="B2" s="12" t="s">
        <v>288</v>
      </c>
      <c r="F2" s="104"/>
      <c r="G2" s="103"/>
      <c r="H2" s="12" t="s">
        <v>297</v>
      </c>
      <c r="L2" s="103"/>
      <c r="M2" s="12" t="s">
        <v>300</v>
      </c>
      <c r="U2" s="103"/>
      <c r="V2" s="12" t="s">
        <v>305</v>
      </c>
      <c r="AA2" s="104"/>
      <c r="AC2" s="12" t="s">
        <v>308</v>
      </c>
    </row>
    <row r="3" spans="1:53" x14ac:dyDescent="0.2">
      <c r="A3" s="103"/>
      <c r="F3" s="104"/>
      <c r="G3" s="103"/>
      <c r="L3" s="103"/>
      <c r="U3" s="103"/>
      <c r="AA3" s="104"/>
      <c r="AF3" s="116" t="s">
        <v>310</v>
      </c>
    </row>
    <row r="4" spans="1:53" x14ac:dyDescent="0.2">
      <c r="A4" s="103"/>
      <c r="B4" t="str" cm="1">
        <f t="array" ref="B4:E8">lossratios</f>
        <v>Loss ratios</v>
      </c>
      <c r="C4" t="str">
        <v>NSW</v>
      </c>
      <c r="D4" t="str">
        <v>VIC</v>
      </c>
      <c r="E4" t="str">
        <v>ACT</v>
      </c>
      <c r="F4" s="104"/>
      <c r="G4" s="103"/>
      <c r="L4" s="103"/>
      <c r="M4" t="str" cm="1">
        <f t="array" ref="M4:P8">lossratios</f>
        <v>Loss ratios</v>
      </c>
      <c r="N4" t="str">
        <v>NSW</v>
      </c>
      <c r="O4" t="str">
        <v>VIC</v>
      </c>
      <c r="P4" t="str">
        <v>ACT</v>
      </c>
      <c r="U4" s="103"/>
      <c r="V4" t="str" cm="1">
        <f t="array" ref="V4:W16">monthly_profit</f>
        <v>Month</v>
      </c>
      <c r="W4" t="str">
        <v>Profit</v>
      </c>
      <c r="AA4" s="104"/>
      <c r="AC4" s="2" t="s">
        <v>309</v>
      </c>
      <c r="AD4" s="2"/>
      <c r="AE4" s="2"/>
      <c r="AF4" s="2"/>
      <c r="AG4" s="2"/>
      <c r="AH4" s="2"/>
      <c r="AI4" s="2"/>
      <c r="AJ4" s="2"/>
      <c r="AL4" t="s">
        <v>311</v>
      </c>
    </row>
    <row r="5" spans="1:53" s="112" customFormat="1" ht="24" x14ac:dyDescent="0.3">
      <c r="A5" s="103"/>
      <c r="B5" t="str">
        <v>Motor</v>
      </c>
      <c r="C5">
        <v>0.92900000000000005</v>
      </c>
      <c r="D5">
        <v>0.76500000000000001</v>
      </c>
      <c r="E5">
        <v>0.94099999999999995</v>
      </c>
      <c r="F5" s="104"/>
      <c r="G5" s="103"/>
      <c r="H5" s="2" t="s">
        <v>298</v>
      </c>
      <c r="I5" s="2"/>
      <c r="J5" s="2"/>
      <c r="K5"/>
      <c r="L5" s="103"/>
      <c r="M5" t="str">
        <v>Motor</v>
      </c>
      <c r="N5">
        <v>0.92900000000000005</v>
      </c>
      <c r="O5">
        <v>0.76500000000000001</v>
      </c>
      <c r="P5">
        <v>0.94099999999999995</v>
      </c>
      <c r="U5" s="114"/>
      <c r="V5" t="str">
        <v>Jan</v>
      </c>
      <c r="W5">
        <v>624</v>
      </c>
      <c r="AA5" s="113"/>
      <c r="AB5"/>
      <c r="AC5" s="2"/>
      <c r="AD5" s="2"/>
      <c r="AE5" s="2"/>
      <c r="AF5" s="2"/>
      <c r="AG5" s="2"/>
      <c r="AH5" s="2"/>
      <c r="AI5" s="2"/>
      <c r="AJ5" s="2"/>
      <c r="AK5"/>
      <c r="AL5" s="2"/>
      <c r="AM5" s="2"/>
      <c r="AN5" s="2"/>
      <c r="AO5" s="2"/>
      <c r="AP5" s="2"/>
      <c r="AQ5" s="2"/>
      <c r="AR5" s="2"/>
      <c r="AS5"/>
      <c r="AT5"/>
      <c r="AU5"/>
      <c r="AV5"/>
      <c r="AW5"/>
      <c r="AX5"/>
      <c r="AY5"/>
      <c r="AZ5"/>
      <c r="BA5"/>
    </row>
    <row r="6" spans="1:53" ht="24" x14ac:dyDescent="0.3">
      <c r="A6" s="103"/>
      <c r="B6" t="str">
        <v>Liability</v>
      </c>
      <c r="C6">
        <v>0.61199999999999999</v>
      </c>
      <c r="D6">
        <v>0.76100000000000001</v>
      </c>
      <c r="E6">
        <v>1.093</v>
      </c>
      <c r="F6" s="113"/>
      <c r="G6" s="114"/>
      <c r="H6" s="112"/>
      <c r="I6" s="112"/>
      <c r="J6" s="112"/>
      <c r="K6" s="112"/>
      <c r="L6" s="114"/>
      <c r="M6" t="str">
        <v>Liability</v>
      </c>
      <c r="N6">
        <v>0.61199999999999999</v>
      </c>
      <c r="O6">
        <v>0.76100000000000001</v>
      </c>
      <c r="P6">
        <v>1.093</v>
      </c>
      <c r="U6" s="103"/>
      <c r="V6" t="str">
        <v>Feb</v>
      </c>
      <c r="W6">
        <v>390</v>
      </c>
      <c r="AA6" s="104"/>
      <c r="AE6" s="2"/>
      <c r="AF6" s="2"/>
      <c r="AG6" s="2"/>
      <c r="AH6" s="2"/>
      <c r="AI6" s="2"/>
      <c r="AJ6" s="2"/>
      <c r="AN6" s="2"/>
      <c r="AO6" s="2"/>
      <c r="AP6" s="2"/>
      <c r="AQ6" s="2"/>
      <c r="AR6" s="2"/>
    </row>
    <row r="7" spans="1:53" x14ac:dyDescent="0.2">
      <c r="A7" s="103"/>
      <c r="B7" t="str">
        <v>Life</v>
      </c>
      <c r="C7">
        <v>0.871</v>
      </c>
      <c r="D7">
        <v>0.92800000000000005</v>
      </c>
      <c r="E7">
        <v>0.65900000000000003</v>
      </c>
      <c r="F7" s="104"/>
      <c r="G7" s="103"/>
      <c r="L7" s="103"/>
      <c r="M7" t="str">
        <v>Life</v>
      </c>
      <c r="N7">
        <v>0.871</v>
      </c>
      <c r="O7">
        <v>0.92800000000000005</v>
      </c>
      <c r="P7">
        <v>0.65900000000000003</v>
      </c>
      <c r="U7" s="103"/>
      <c r="V7" t="str">
        <v>Mar</v>
      </c>
      <c r="W7">
        <v>1000</v>
      </c>
      <c r="AA7" s="104"/>
      <c r="AE7" s="2"/>
      <c r="AF7" s="2"/>
      <c r="AG7" s="2"/>
      <c r="AH7" s="2"/>
      <c r="AI7" s="2"/>
      <c r="AJ7" s="2"/>
      <c r="AN7" s="2"/>
      <c r="AO7" s="2"/>
      <c r="AP7" s="2"/>
      <c r="AQ7" s="2"/>
      <c r="AR7" s="2"/>
    </row>
    <row r="8" spans="1:53" ht="24" x14ac:dyDescent="0.3">
      <c r="A8" s="103"/>
      <c r="B8" t="str">
        <v>Property</v>
      </c>
      <c r="C8">
        <v>1.0489999999999999</v>
      </c>
      <c r="D8">
        <v>0.67500000000000004</v>
      </c>
      <c r="E8">
        <v>0.96699999999999997</v>
      </c>
      <c r="F8" s="113"/>
      <c r="G8" s="114"/>
      <c r="H8" s="112"/>
      <c r="I8" s="112"/>
      <c r="J8" s="112"/>
      <c r="K8" s="112"/>
      <c r="L8" s="114"/>
      <c r="M8" t="str">
        <v>Property</v>
      </c>
      <c r="N8">
        <v>1.0489999999999999</v>
      </c>
      <c r="O8">
        <v>0.67500000000000004</v>
      </c>
      <c r="P8">
        <v>0.96699999999999997</v>
      </c>
      <c r="U8" s="103"/>
      <c r="V8" t="str">
        <v>Apr</v>
      </c>
      <c r="W8">
        <v>250</v>
      </c>
      <c r="AA8" s="104"/>
      <c r="AE8" s="2"/>
      <c r="AF8" s="2"/>
      <c r="AG8" s="2"/>
      <c r="AH8" s="2"/>
      <c r="AI8" s="2"/>
      <c r="AJ8" s="2"/>
      <c r="AN8" s="2"/>
      <c r="AO8" s="2"/>
      <c r="AP8" s="2"/>
      <c r="AQ8" s="2"/>
      <c r="AR8" s="2"/>
    </row>
    <row r="9" spans="1:53" x14ac:dyDescent="0.2">
      <c r="A9" s="103"/>
      <c r="F9" s="104"/>
      <c r="G9" s="103"/>
      <c r="H9" s="2" t="s">
        <v>299</v>
      </c>
      <c r="I9" s="2"/>
      <c r="J9" s="2"/>
      <c r="L9" s="103"/>
      <c r="U9" s="103"/>
      <c r="V9" t="str">
        <v>May</v>
      </c>
      <c r="W9">
        <v>439</v>
      </c>
      <c r="AA9" s="104"/>
      <c r="AE9" s="2"/>
      <c r="AF9" s="2"/>
      <c r="AG9" s="2"/>
      <c r="AH9" s="2"/>
      <c r="AI9" s="2"/>
      <c r="AJ9" s="2"/>
      <c r="AN9" s="2"/>
      <c r="AO9" s="2"/>
      <c r="AP9" s="2"/>
      <c r="AQ9" s="2"/>
      <c r="AR9" s="2"/>
    </row>
    <row r="10" spans="1:53" x14ac:dyDescent="0.2">
      <c r="A10" s="103"/>
      <c r="B10" s="2" t="s">
        <v>289</v>
      </c>
      <c r="C10" s="2"/>
      <c r="D10" s="2"/>
      <c r="E10" s="2"/>
      <c r="F10" s="104"/>
      <c r="G10" s="103"/>
      <c r="L10" s="103"/>
      <c r="M10" s="2" t="s">
        <v>301</v>
      </c>
      <c r="N10" s="2"/>
      <c r="O10" s="2"/>
      <c r="P10" s="2"/>
      <c r="Q10" s="2"/>
      <c r="R10" s="2"/>
      <c r="S10" s="2"/>
      <c r="U10" s="103"/>
      <c r="V10" t="str">
        <v>Jun</v>
      </c>
      <c r="W10">
        <v>109</v>
      </c>
      <c r="AA10" s="104"/>
      <c r="AE10" s="2"/>
      <c r="AF10" s="2"/>
      <c r="AG10" s="2"/>
      <c r="AH10" s="2"/>
      <c r="AI10" s="2"/>
      <c r="AJ10" s="2"/>
      <c r="AN10" s="2"/>
      <c r="AO10" s="2"/>
      <c r="AP10" s="2"/>
      <c r="AQ10" s="2"/>
      <c r="AR10" s="2"/>
    </row>
    <row r="11" spans="1:53" x14ac:dyDescent="0.2">
      <c r="A11" s="105"/>
      <c r="B11" s="66"/>
      <c r="C11" s="66"/>
      <c r="D11" s="66"/>
      <c r="E11" s="66"/>
      <c r="F11" s="106"/>
      <c r="G11" s="105"/>
      <c r="H11" s="66"/>
      <c r="I11" s="66"/>
      <c r="J11" s="66"/>
      <c r="K11" s="66"/>
      <c r="L11" s="103"/>
      <c r="M11" s="2" t="s">
        <v>302</v>
      </c>
      <c r="N11" s="2"/>
      <c r="O11" s="2"/>
      <c r="P11" s="2"/>
      <c r="Q11" s="2"/>
      <c r="R11" s="2"/>
      <c r="S11" s="2"/>
      <c r="U11" s="103"/>
      <c r="V11" t="str">
        <v>Jul</v>
      </c>
      <c r="W11">
        <v>530</v>
      </c>
      <c r="AA11" s="104"/>
      <c r="AE11" s="2"/>
      <c r="AF11" s="2"/>
      <c r="AG11" s="2"/>
      <c r="AH11" s="2"/>
      <c r="AI11" s="2"/>
      <c r="AJ11" s="2"/>
      <c r="AN11" s="2"/>
      <c r="AO11" s="2"/>
      <c r="AP11" s="2"/>
      <c r="AQ11" s="2"/>
      <c r="AR11" s="2"/>
    </row>
    <row r="12" spans="1:53" x14ac:dyDescent="0.2">
      <c r="L12" s="103"/>
      <c r="M12" s="2"/>
      <c r="N12" s="2"/>
      <c r="O12" s="2"/>
      <c r="P12" s="2"/>
      <c r="Q12" s="2"/>
      <c r="R12" s="2"/>
      <c r="S12" s="2"/>
      <c r="U12" s="103"/>
      <c r="V12" t="str">
        <v>Aug</v>
      </c>
      <c r="W12">
        <v>123</v>
      </c>
      <c r="AA12" s="104"/>
      <c r="AE12" s="2"/>
      <c r="AF12" s="2"/>
      <c r="AG12" s="2"/>
      <c r="AH12" s="2"/>
      <c r="AI12" s="2"/>
      <c r="AJ12" s="2"/>
      <c r="AN12" s="2"/>
      <c r="AO12" s="2"/>
      <c r="AP12" s="2"/>
      <c r="AQ12" s="2"/>
      <c r="AR12" s="2"/>
    </row>
    <row r="13" spans="1:53" x14ac:dyDescent="0.2">
      <c r="A13" s="101"/>
      <c r="B13" s="111" t="s">
        <v>290</v>
      </c>
      <c r="C13" s="1"/>
      <c r="D13" s="1"/>
      <c r="E13" s="1"/>
      <c r="F13" s="1"/>
      <c r="G13" s="1"/>
      <c r="H13" s="1"/>
      <c r="I13" s="1"/>
      <c r="J13" s="1"/>
      <c r="K13" s="1"/>
      <c r="L13" s="103"/>
      <c r="M13" s="2"/>
      <c r="N13" s="2"/>
      <c r="O13" s="2"/>
      <c r="P13" s="2"/>
      <c r="Q13" s="2"/>
      <c r="R13" s="2"/>
      <c r="S13" s="2"/>
      <c r="U13" s="103"/>
      <c r="V13" t="str">
        <v>Sep</v>
      </c>
      <c r="W13">
        <v>5345</v>
      </c>
      <c r="AA13" s="104"/>
      <c r="AE13" s="2"/>
      <c r="AF13" s="2"/>
      <c r="AG13" s="2"/>
      <c r="AH13" s="2"/>
      <c r="AI13" s="2"/>
      <c r="AJ13" s="2"/>
      <c r="AN13" s="2"/>
      <c r="AO13" s="2"/>
      <c r="AP13" s="2"/>
      <c r="AQ13" s="2"/>
      <c r="AR13" s="2"/>
    </row>
    <row r="14" spans="1:53" x14ac:dyDescent="0.2">
      <c r="A14" s="103"/>
      <c r="L14" s="103"/>
      <c r="U14" s="103"/>
      <c r="V14" t="str">
        <v>Oct</v>
      </c>
      <c r="W14">
        <v>312</v>
      </c>
      <c r="AA14" s="104"/>
      <c r="AE14" s="2"/>
      <c r="AF14" s="2"/>
      <c r="AG14" s="2"/>
      <c r="AH14" s="2"/>
      <c r="AI14" s="2"/>
      <c r="AJ14" s="2"/>
      <c r="AN14" s="2"/>
      <c r="AO14" s="2"/>
      <c r="AP14" s="2"/>
      <c r="AQ14" s="2"/>
      <c r="AR14" s="2"/>
    </row>
    <row r="15" spans="1:53" ht="24" x14ac:dyDescent="0.3">
      <c r="A15" s="103"/>
      <c r="B15" t="str" cm="1">
        <f t="array" ref="B15:C27">monthly_profit</f>
        <v>Month</v>
      </c>
      <c r="C15" t="str">
        <v>Profit</v>
      </c>
      <c r="E15" t="s">
        <v>304</v>
      </c>
      <c r="K15" s="113"/>
      <c r="L15" s="114"/>
      <c r="M15" s="115" t="s">
        <v>303</v>
      </c>
      <c r="N15" s="2"/>
      <c r="O15" s="2"/>
      <c r="P15" s="2"/>
      <c r="Q15" s="2"/>
      <c r="R15" s="2"/>
      <c r="S15" s="2"/>
      <c r="U15" s="103"/>
      <c r="V15" t="str">
        <v>Nov</v>
      </c>
      <c r="W15">
        <v>98</v>
      </c>
      <c r="AA15" s="104"/>
      <c r="AE15" s="2"/>
      <c r="AF15" s="2"/>
      <c r="AG15" s="2"/>
      <c r="AH15" s="2"/>
      <c r="AI15" s="2"/>
      <c r="AJ15" s="2"/>
      <c r="AN15" s="2"/>
      <c r="AO15" s="2"/>
      <c r="AP15" s="2"/>
      <c r="AQ15" s="2"/>
      <c r="AR15" s="2"/>
    </row>
    <row r="16" spans="1:53" x14ac:dyDescent="0.2">
      <c r="A16" s="103"/>
      <c r="B16" t="str">
        <v>Jan</v>
      </c>
      <c r="C16">
        <v>624</v>
      </c>
      <c r="K16" s="104"/>
      <c r="L16" s="103"/>
      <c r="M16" s="2"/>
      <c r="N16" s="2"/>
      <c r="O16" s="2"/>
      <c r="P16" s="2"/>
      <c r="Q16" s="2"/>
      <c r="R16" s="2"/>
      <c r="S16" s="2"/>
      <c r="U16" s="103"/>
      <c r="V16" t="str">
        <v>Dec</v>
      </c>
      <c r="W16">
        <v>672</v>
      </c>
      <c r="AA16" s="104"/>
      <c r="AN16" s="2"/>
      <c r="AO16" s="2"/>
      <c r="AP16" s="2"/>
      <c r="AQ16" s="2"/>
      <c r="AR16" s="2"/>
    </row>
    <row r="17" spans="1:44" ht="24" x14ac:dyDescent="0.3">
      <c r="A17" s="114"/>
      <c r="B17" t="str">
        <v>Feb</v>
      </c>
      <c r="C17">
        <v>390</v>
      </c>
      <c r="K17" s="104"/>
      <c r="L17" s="103"/>
      <c r="M17" s="2"/>
      <c r="N17" s="2"/>
      <c r="O17" s="2"/>
      <c r="P17" s="2"/>
      <c r="Q17" s="2"/>
      <c r="R17" s="2"/>
      <c r="S17" s="2"/>
      <c r="U17" s="103"/>
      <c r="AA17" s="104"/>
      <c r="AN17" s="2"/>
      <c r="AO17" s="2"/>
      <c r="AP17" s="2"/>
      <c r="AQ17" s="2"/>
      <c r="AR17" s="2"/>
    </row>
    <row r="18" spans="1:44" s="112" customFormat="1" ht="24" x14ac:dyDescent="0.3">
      <c r="A18" s="103"/>
      <c r="B18" t="str">
        <v>Mar</v>
      </c>
      <c r="C18">
        <v>1000</v>
      </c>
      <c r="D18"/>
      <c r="E18"/>
      <c r="F18"/>
      <c r="G18"/>
      <c r="H18"/>
      <c r="I18"/>
      <c r="J18"/>
      <c r="K18" s="113"/>
      <c r="L18" s="114"/>
      <c r="M18" s="115"/>
      <c r="N18" s="115"/>
      <c r="O18" s="115"/>
      <c r="P18" s="115"/>
      <c r="Q18" s="115"/>
      <c r="R18" s="115"/>
      <c r="S18" s="115"/>
      <c r="U18" s="114"/>
      <c r="V18" s="2" t="s">
        <v>306</v>
      </c>
      <c r="W18" s="2"/>
      <c r="X18" s="2"/>
      <c r="Y18" s="2"/>
      <c r="Z18" s="2"/>
      <c r="AA18" s="113"/>
      <c r="AB18"/>
      <c r="AC18"/>
      <c r="AL18"/>
      <c r="AN18" s="115"/>
      <c r="AO18" s="115"/>
      <c r="AP18" s="115"/>
      <c r="AQ18" s="115"/>
      <c r="AR18" s="115"/>
    </row>
    <row r="19" spans="1:44" x14ac:dyDescent="0.2">
      <c r="A19" s="103"/>
      <c r="B19" t="str">
        <v>Apr</v>
      </c>
      <c r="C19">
        <v>250</v>
      </c>
      <c r="K19" s="104"/>
      <c r="L19" s="103"/>
      <c r="M19" s="2"/>
      <c r="N19" s="2"/>
      <c r="O19" s="2"/>
      <c r="P19" s="2"/>
      <c r="Q19" s="2"/>
      <c r="R19" s="2"/>
      <c r="S19" s="2"/>
      <c r="U19" s="103"/>
      <c r="V19" s="2" t="s">
        <v>307</v>
      </c>
      <c r="W19" s="2"/>
      <c r="X19" s="2"/>
      <c r="Y19" s="2"/>
      <c r="Z19" s="2"/>
      <c r="AA19" s="104"/>
    </row>
    <row r="20" spans="1:44" x14ac:dyDescent="0.2">
      <c r="A20" s="103"/>
      <c r="B20" t="str">
        <v>May</v>
      </c>
      <c r="C20">
        <v>439</v>
      </c>
      <c r="K20" s="104"/>
      <c r="L20" s="103"/>
      <c r="M20" s="2"/>
      <c r="N20" s="2"/>
      <c r="O20" s="2"/>
      <c r="P20" s="2"/>
      <c r="Q20" s="2"/>
      <c r="R20" s="2"/>
      <c r="S20" s="2"/>
      <c r="U20" s="103"/>
      <c r="V20" s="2"/>
      <c r="W20" s="2"/>
      <c r="X20" s="2"/>
      <c r="Y20" s="2"/>
      <c r="Z20" s="2"/>
      <c r="AA20" s="104"/>
    </row>
    <row r="21" spans="1:44" x14ac:dyDescent="0.2">
      <c r="A21" s="103"/>
      <c r="B21" t="str">
        <v>Jun</v>
      </c>
      <c r="C21">
        <v>109</v>
      </c>
      <c r="K21" s="104"/>
      <c r="L21" s="103"/>
      <c r="M21" s="2"/>
      <c r="N21" s="2"/>
      <c r="O21" s="2"/>
      <c r="P21" s="2"/>
      <c r="Q21" s="2"/>
      <c r="R21" s="2"/>
      <c r="S21" s="2"/>
      <c r="U21" s="103"/>
      <c r="V21" s="2"/>
      <c r="W21" s="2"/>
      <c r="X21" s="2"/>
      <c r="Y21" s="2"/>
      <c r="Z21" s="2"/>
      <c r="AA21" s="104"/>
    </row>
    <row r="22" spans="1:44" x14ac:dyDescent="0.2">
      <c r="A22" s="103"/>
      <c r="B22" t="str">
        <v>Jul</v>
      </c>
      <c r="C22">
        <v>530</v>
      </c>
      <c r="K22" s="104"/>
      <c r="L22" s="103"/>
      <c r="M22" s="2"/>
      <c r="N22" s="2"/>
      <c r="O22" s="2"/>
      <c r="P22" s="2"/>
      <c r="Q22" s="2"/>
      <c r="R22" s="2"/>
      <c r="S22" s="2"/>
      <c r="U22" s="103"/>
      <c r="V22" s="2"/>
      <c r="W22" s="2"/>
      <c r="X22" s="2"/>
      <c r="Y22" s="2"/>
      <c r="Z22" s="2"/>
      <c r="AA22" s="104"/>
    </row>
    <row r="23" spans="1:44" x14ac:dyDescent="0.2">
      <c r="A23" s="103"/>
      <c r="B23" t="str">
        <v>Aug</v>
      </c>
      <c r="C23">
        <v>123</v>
      </c>
      <c r="K23" s="104"/>
      <c r="L23" s="103"/>
      <c r="M23" s="2"/>
      <c r="N23" s="2"/>
      <c r="O23" s="2"/>
      <c r="P23" s="2"/>
      <c r="Q23" s="2"/>
      <c r="R23" s="2"/>
      <c r="S23" s="2"/>
      <c r="U23" s="103"/>
      <c r="V23" s="2"/>
      <c r="W23" s="2"/>
      <c r="X23" s="2"/>
      <c r="Y23" s="2"/>
      <c r="Z23" s="2"/>
      <c r="AA23" s="104"/>
    </row>
    <row r="24" spans="1:44" x14ac:dyDescent="0.2">
      <c r="A24" s="103"/>
      <c r="B24" t="str">
        <v>Sep</v>
      </c>
      <c r="C24">
        <v>5345</v>
      </c>
      <c r="K24" s="104"/>
      <c r="L24" s="103"/>
      <c r="M24" s="2"/>
      <c r="N24" s="2"/>
      <c r="O24" s="2"/>
      <c r="P24" s="2"/>
      <c r="Q24" s="2"/>
      <c r="R24" s="2"/>
      <c r="S24" s="2"/>
      <c r="U24" s="103"/>
      <c r="V24" s="2"/>
      <c r="W24" s="2"/>
      <c r="X24" s="2"/>
      <c r="Y24" s="2"/>
      <c r="Z24" s="2"/>
      <c r="AA24" s="104"/>
    </row>
    <row r="25" spans="1:44" x14ac:dyDescent="0.2">
      <c r="A25" s="103"/>
      <c r="B25" t="str">
        <v>Oct</v>
      </c>
      <c r="C25">
        <v>312</v>
      </c>
      <c r="K25" s="104"/>
      <c r="L25" s="103"/>
      <c r="M25" s="2"/>
      <c r="N25" s="2"/>
      <c r="O25" s="2"/>
      <c r="P25" s="2"/>
      <c r="Q25" s="2"/>
      <c r="R25" s="2"/>
      <c r="S25" s="2"/>
      <c r="U25" s="103"/>
      <c r="V25" s="2"/>
      <c r="W25" s="2"/>
      <c r="X25" s="2"/>
      <c r="Y25" s="2"/>
      <c r="Z25" s="2"/>
      <c r="AA25" s="104"/>
    </row>
    <row r="26" spans="1:44" x14ac:dyDescent="0.2">
      <c r="A26" s="103"/>
      <c r="B26" t="str">
        <v>Nov</v>
      </c>
      <c r="C26">
        <v>98</v>
      </c>
      <c r="K26" s="104"/>
      <c r="L26" s="105"/>
      <c r="M26" s="66"/>
      <c r="N26" s="66"/>
      <c r="O26" s="66"/>
      <c r="P26" s="66"/>
      <c r="Q26" s="66"/>
      <c r="R26" s="66"/>
      <c r="S26" s="66"/>
      <c r="T26" s="66"/>
      <c r="U26" s="103"/>
      <c r="V26" s="2"/>
      <c r="W26" s="2"/>
      <c r="X26" s="2"/>
      <c r="Y26" s="2"/>
      <c r="Z26" s="2"/>
      <c r="AA26" s="104"/>
    </row>
    <row r="27" spans="1:44" x14ac:dyDescent="0.2">
      <c r="A27" s="103"/>
      <c r="B27" t="str">
        <v>Dec</v>
      </c>
      <c r="C27">
        <v>672</v>
      </c>
      <c r="K27" s="104"/>
      <c r="U27" s="103"/>
      <c r="V27" s="2"/>
      <c r="W27" s="2"/>
      <c r="X27" s="2"/>
      <c r="Y27" s="2"/>
      <c r="Z27" s="2"/>
      <c r="AA27" s="104"/>
    </row>
    <row r="28" spans="1:44" x14ac:dyDescent="0.2">
      <c r="A28" s="103"/>
      <c r="C28" s="107"/>
      <c r="D28" s="108"/>
      <c r="K28" s="104"/>
      <c r="U28" s="103"/>
      <c r="V28" s="2"/>
      <c r="W28" s="2"/>
      <c r="X28" s="2"/>
      <c r="Y28" s="2"/>
      <c r="Z28" s="2"/>
      <c r="AA28" s="104"/>
    </row>
    <row r="29" spans="1:44" x14ac:dyDescent="0.2">
      <c r="A29" s="103"/>
      <c r="B29" s="2" t="s">
        <v>291</v>
      </c>
      <c r="C29" s="109"/>
      <c r="D29" s="110"/>
      <c r="E29" s="2"/>
      <c r="F29" s="2"/>
      <c r="G29" s="2"/>
      <c r="H29" s="2"/>
      <c r="I29" s="2"/>
      <c r="J29" s="2"/>
      <c r="K29" s="104"/>
      <c r="U29" s="103"/>
      <c r="V29" s="2"/>
      <c r="W29" s="2"/>
      <c r="X29" s="2"/>
      <c r="Y29" s="2"/>
      <c r="Z29" s="2"/>
      <c r="AA29" s="104"/>
    </row>
    <row r="30" spans="1:44" x14ac:dyDescent="0.2">
      <c r="A30" s="103"/>
      <c r="B30" s="2"/>
      <c r="C30" s="2"/>
      <c r="D30" s="2"/>
      <c r="E30" s="2"/>
      <c r="F30" s="2"/>
      <c r="G30" s="2"/>
      <c r="H30" s="2"/>
      <c r="I30" s="2"/>
      <c r="J30" s="2"/>
      <c r="K30" s="104"/>
      <c r="U30" s="103"/>
      <c r="V30" s="2"/>
      <c r="W30" s="2"/>
      <c r="X30" s="2"/>
      <c r="Y30" s="2"/>
      <c r="Z30" s="2"/>
      <c r="AA30" s="104"/>
    </row>
    <row r="31" spans="1:44" x14ac:dyDescent="0.2">
      <c r="A31" s="103"/>
      <c r="B31" s="2" t="s">
        <v>292</v>
      </c>
      <c r="C31" s="2"/>
      <c r="D31" s="2"/>
      <c r="E31" s="2"/>
      <c r="F31" s="2"/>
      <c r="G31" s="2"/>
      <c r="H31" s="2"/>
      <c r="I31" s="2"/>
      <c r="J31" s="2"/>
      <c r="K31" s="104"/>
      <c r="U31" s="103"/>
      <c r="V31" s="2"/>
      <c r="W31" s="2"/>
      <c r="X31" s="2"/>
      <c r="Y31" s="2"/>
      <c r="Z31" s="2"/>
      <c r="AA31" s="104"/>
    </row>
    <row r="32" spans="1:44" x14ac:dyDescent="0.2">
      <c r="A32" s="103"/>
      <c r="B32" s="2" t="s">
        <v>293</v>
      </c>
      <c r="C32" s="2"/>
      <c r="D32" s="2"/>
      <c r="E32" s="2"/>
      <c r="F32" s="2"/>
      <c r="G32" s="2"/>
      <c r="H32" s="2"/>
      <c r="I32" s="2"/>
      <c r="J32" s="2"/>
      <c r="K32" s="104"/>
      <c r="U32" s="103"/>
      <c r="AA32" s="104"/>
    </row>
    <row r="33" spans="1:27" x14ac:dyDescent="0.2">
      <c r="A33" s="103"/>
      <c r="B33" s="2"/>
      <c r="C33" s="2"/>
      <c r="D33" s="2"/>
      <c r="E33" s="2"/>
      <c r="F33" s="2"/>
      <c r="G33" s="2"/>
      <c r="H33" s="2"/>
      <c r="I33" s="2"/>
      <c r="J33" s="2"/>
      <c r="K33" s="104"/>
      <c r="U33" s="105"/>
      <c r="V33" s="66"/>
      <c r="W33" s="66"/>
      <c r="X33" s="66"/>
      <c r="Y33" s="66"/>
      <c r="Z33" s="66"/>
      <c r="AA33" s="106"/>
    </row>
    <row r="34" spans="1:27" x14ac:dyDescent="0.2">
      <c r="A34" s="103"/>
      <c r="B34" s="2" t="s">
        <v>294</v>
      </c>
      <c r="C34" s="2"/>
      <c r="D34" s="2"/>
      <c r="E34" s="2"/>
      <c r="F34" s="2"/>
      <c r="G34" s="2"/>
      <c r="H34" s="2"/>
      <c r="I34" s="2"/>
      <c r="J34" s="2"/>
      <c r="K34" s="104"/>
    </row>
    <row r="35" spans="1:27" x14ac:dyDescent="0.2">
      <c r="A35" s="103"/>
      <c r="B35" s="2" t="s">
        <v>295</v>
      </c>
      <c r="C35" s="2"/>
      <c r="D35" s="2"/>
      <c r="E35" s="2"/>
      <c r="F35" s="2"/>
      <c r="G35" s="2"/>
      <c r="H35" s="2"/>
      <c r="I35" s="2"/>
      <c r="J35" s="2"/>
      <c r="K35" s="104"/>
    </row>
    <row r="36" spans="1:27" x14ac:dyDescent="0.2">
      <c r="A36" s="103"/>
      <c r="B36" s="2"/>
      <c r="C36" s="2"/>
      <c r="D36" s="2"/>
      <c r="E36" s="2"/>
      <c r="F36" s="2"/>
      <c r="G36" s="2"/>
      <c r="H36" s="2"/>
      <c r="I36" s="2"/>
      <c r="J36" s="2"/>
      <c r="K36" s="104"/>
    </row>
    <row r="37" spans="1:27" x14ac:dyDescent="0.2">
      <c r="A37" s="103"/>
      <c r="B37" s="2" t="s">
        <v>296</v>
      </c>
      <c r="C37" s="2"/>
      <c r="D37" s="2"/>
      <c r="E37" s="2"/>
      <c r="F37" s="2"/>
      <c r="G37" s="2"/>
      <c r="H37" s="2"/>
      <c r="I37" s="2"/>
      <c r="J37" s="2"/>
      <c r="K37" s="104"/>
    </row>
    <row r="38" spans="1:27" x14ac:dyDescent="0.2">
      <c r="A38" s="105"/>
      <c r="B38" s="66"/>
      <c r="C38" s="66"/>
      <c r="D38" s="66"/>
      <c r="E38" s="66"/>
      <c r="F38" s="66"/>
      <c r="G38" s="66"/>
      <c r="H38" s="66"/>
      <c r="I38" s="66"/>
      <c r="J38" s="66"/>
      <c r="K38" s="10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recorded_example1">
                <anchor moveWithCells="1">
                  <from>
                    <xdr:col>7</xdr:col>
                    <xdr:colOff>304800</xdr:colOff>
                    <xdr:row>2</xdr:row>
                    <xdr:rowOff>63500</xdr:rowOff>
                  </from>
                  <to>
                    <xdr:col>9</xdr:col>
                    <xdr:colOff>279400</xdr:colOff>
                    <xdr:row>3</xdr:row>
                    <xdr:rowOff>101600</xdr:rowOff>
                  </to>
                </anchor>
              </controlPr>
            </control>
          </mc:Choice>
        </mc:AlternateContent>
        <mc:AlternateContent xmlns:mc="http://schemas.openxmlformats.org/markup-compatibility/2006">
          <mc:Choice Requires="x14">
            <control shapeId="11266" r:id="rId4" name="Button 2">
              <controlPr defaultSize="0" print="0" autoFill="0" autoPict="0" macro="[0]!recorded_example1_edit">
                <anchor moveWithCells="1">
                  <from>
                    <xdr:col>14</xdr:col>
                    <xdr:colOff>0</xdr:colOff>
                    <xdr:row>11</xdr:row>
                    <xdr:rowOff>50800</xdr:rowOff>
                  </from>
                  <to>
                    <xdr:col>16</xdr:col>
                    <xdr:colOff>406400</xdr:colOff>
                    <xdr:row>12</xdr:row>
                    <xdr:rowOff>101600</xdr:rowOff>
                  </to>
                </anchor>
              </controlPr>
            </control>
          </mc:Choice>
        </mc:AlternateContent>
        <mc:AlternateContent xmlns:mc="http://schemas.openxmlformats.org/markup-compatibility/2006">
          <mc:Choice Requires="x14">
            <control shapeId="11267" r:id="rId5" name="Button 3">
              <controlPr defaultSize="0" print="0" autoFill="0" autoPict="0" macro="[0]!clear_formats">
                <anchor moveWithCells="1">
                  <from>
                    <xdr:col>8</xdr:col>
                    <xdr:colOff>317500</xdr:colOff>
                    <xdr:row>12</xdr:row>
                    <xdr:rowOff>139700</xdr:rowOff>
                  </from>
                  <to>
                    <xdr:col>10</xdr:col>
                    <xdr:colOff>520700</xdr:colOff>
                    <xdr:row>17</xdr:row>
                    <xdr:rowOff>228600</xdr:rowOff>
                  </to>
                </anchor>
              </controlPr>
            </control>
          </mc:Choice>
        </mc:AlternateContent>
        <mc:AlternateContent xmlns:mc="http://schemas.openxmlformats.org/markup-compatibility/2006">
          <mc:Choice Requires="x14">
            <control shapeId="11268" r:id="rId6" name="Button 4">
              <controlPr defaultSize="0" print="0" autoFill="0" autoPict="0" macro="[0]!high_profit">
                <anchor moveWithCells="1">
                  <from>
                    <xdr:col>23</xdr:col>
                    <xdr:colOff>228600</xdr:colOff>
                    <xdr:row>14</xdr:row>
                    <xdr:rowOff>177800</xdr:rowOff>
                  </from>
                  <to>
                    <xdr:col>24</xdr:col>
                    <xdr:colOff>596900</xdr:colOff>
                    <xdr:row>15</xdr:row>
                    <xdr:rowOff>127000</xdr:rowOff>
                  </to>
                </anchor>
              </controlPr>
            </control>
          </mc:Choice>
        </mc:AlternateContent>
        <mc:AlternateContent xmlns:mc="http://schemas.openxmlformats.org/markup-compatibility/2006">
          <mc:Choice Requires="x14">
            <control shapeId="11269" r:id="rId7" name="Button 5">
              <controlPr defaultSize="0" print="0" autoFill="0" autoPict="0" macro="[0]!recorded_relative">
                <anchor moveWithCells="1">
                  <from>
                    <xdr:col>7</xdr:col>
                    <xdr:colOff>25400</xdr:colOff>
                    <xdr:row>16</xdr:row>
                    <xdr:rowOff>25400</xdr:rowOff>
                  </from>
                  <to>
                    <xdr:col>7</xdr:col>
                    <xdr:colOff>596900</xdr:colOff>
                    <xdr:row>16</xdr:row>
                    <xdr:rowOff>266700</xdr:rowOff>
                  </to>
                </anchor>
              </controlPr>
            </control>
          </mc:Choice>
        </mc:AlternateContent>
        <mc:AlternateContent xmlns:mc="http://schemas.openxmlformats.org/markup-compatibility/2006">
          <mc:Choice Requires="x14">
            <control shapeId="11270" r:id="rId8" name="Button 6">
              <controlPr defaultSize="0" print="0" autoFill="0" autoPict="0" macro="[0]!recorded_absolute_example">
                <anchor moveWithCells="1">
                  <from>
                    <xdr:col>6</xdr:col>
                    <xdr:colOff>660400</xdr:colOff>
                    <xdr:row>14</xdr:row>
                    <xdr:rowOff>76200</xdr:rowOff>
                  </from>
                  <to>
                    <xdr:col>7</xdr:col>
                    <xdr:colOff>673100</xdr:colOff>
                    <xdr:row>15</xdr:row>
                    <xdr:rowOff>25400</xdr:rowOff>
                  </to>
                </anchor>
              </controlPr>
            </control>
          </mc:Choice>
        </mc:AlternateContent>
        <mc:AlternateContent xmlns:mc="http://schemas.openxmlformats.org/markup-compatibility/2006">
          <mc:Choice Requires="x14">
            <control shapeId="11271" r:id="rId9" name="Button 7">
              <controlPr defaultSize="0" print="0" autoFill="0" autoPict="0" macro="[0]!print_numbers">
                <anchor moveWithCells="1">
                  <from>
                    <xdr:col>28</xdr:col>
                    <xdr:colOff>50800</xdr:colOff>
                    <xdr:row>4</xdr:row>
                    <xdr:rowOff>25400</xdr:rowOff>
                  </from>
                  <to>
                    <xdr:col>29</xdr:col>
                    <xdr:colOff>520700</xdr:colOff>
                    <xdr:row>4</xdr:row>
                    <xdr:rowOff>266700</xdr:rowOff>
                  </to>
                </anchor>
              </controlPr>
            </control>
          </mc:Choice>
        </mc:AlternateContent>
        <mc:AlternateContent xmlns:mc="http://schemas.openxmlformats.org/markup-compatibility/2006">
          <mc:Choice Requires="x14">
            <control shapeId="11272" r:id="rId10" name="Button 8">
              <controlPr defaultSize="0" print="0" autoFill="0" autoPict="0" macro="[0]!print_numbers_while">
                <anchor moveWithCells="1">
                  <from>
                    <xdr:col>37</xdr:col>
                    <xdr:colOff>190500</xdr:colOff>
                    <xdr:row>4</xdr:row>
                    <xdr:rowOff>25400</xdr:rowOff>
                  </from>
                  <to>
                    <xdr:col>39</xdr:col>
                    <xdr:colOff>292100</xdr:colOff>
                    <xdr:row>4</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50</vt:i4>
      </vt:variant>
    </vt:vector>
  </HeadingPairs>
  <TitlesOfParts>
    <vt:vector size="60" baseType="lpstr">
      <vt:lpstr>Pokemon data</vt:lpstr>
      <vt:lpstr>FIFA WWC</vt:lpstr>
      <vt:lpstr>M6.1 - Assumed Knowledge</vt:lpstr>
      <vt:lpstr>M6.2 - Pivot table</vt:lpstr>
      <vt:lpstr>M6.2 - Pivot chart</vt:lpstr>
      <vt:lpstr>M6.3 - Dynamic arrays</vt:lpstr>
      <vt:lpstr>M6.4 - Dynamic references</vt:lpstr>
      <vt:lpstr>M6.5 - Dependents</vt:lpstr>
      <vt:lpstr>M6.6 Simulations</vt:lpstr>
      <vt:lpstr>M6.6 Macros and VBA</vt:lpstr>
      <vt:lpstr>age</vt:lpstr>
      <vt:lpstr>assists</vt:lpstr>
      <vt:lpstr>assists_per_90</vt:lpstr>
      <vt:lpstr>Attacking</vt:lpstr>
      <vt:lpstr>Bug</vt:lpstr>
      <vt:lpstr>Dark</vt:lpstr>
      <vt:lpstr>Dragon</vt:lpstr>
      <vt:lpstr>Electric</vt:lpstr>
      <vt:lpstr>Fairy</vt:lpstr>
      <vt:lpstr>FiFA</vt:lpstr>
      <vt:lpstr>Fighting</vt:lpstr>
      <vt:lpstr>Fire</vt:lpstr>
      <vt:lpstr>Flying</vt:lpstr>
      <vt:lpstr>Ghost</vt:lpstr>
      <vt:lpstr>goals</vt:lpstr>
      <vt:lpstr>goals_minus_penalty_kicks_per_90</vt:lpstr>
      <vt:lpstr>goals_per_90</vt:lpstr>
      <vt:lpstr>goals_plus_assists_minus_penalty_kicks_per_90</vt:lpstr>
      <vt:lpstr>goals_plus_assists_per_90</vt:lpstr>
      <vt:lpstr>Grass</vt:lpstr>
      <vt:lpstr>Ground</vt:lpstr>
      <vt:lpstr>Ice</vt:lpstr>
      <vt:lpstr>id</vt:lpstr>
      <vt:lpstr>loss_ratios</vt:lpstr>
      <vt:lpstr>lossratios</vt:lpstr>
      <vt:lpstr>matches_played</vt:lpstr>
      <vt:lpstr>min_playing_time</vt:lpstr>
      <vt:lpstr>minutes_played_90s</vt:lpstr>
      <vt:lpstr>monthly_profit</vt:lpstr>
      <vt:lpstr>months</vt:lpstr>
      <vt:lpstr>non_penalty_goals</vt:lpstr>
      <vt:lpstr>Normal</vt:lpstr>
      <vt:lpstr>penalty_kicks_attempted</vt:lpstr>
      <vt:lpstr>penalty_kicks_made</vt:lpstr>
      <vt:lpstr>players</vt:lpstr>
      <vt:lpstr>Poison</vt:lpstr>
      <vt:lpstr>pokemon</vt:lpstr>
      <vt:lpstr>possesion</vt:lpstr>
      <vt:lpstr>products</vt:lpstr>
      <vt:lpstr>Psychic</vt:lpstr>
      <vt:lpstr>red_cards</vt:lpstr>
      <vt:lpstr>Rock</vt:lpstr>
      <vt:lpstr>squad</vt:lpstr>
      <vt:lpstr>starts</vt:lpstr>
      <vt:lpstr>Steel</vt:lpstr>
      <vt:lpstr>tblProduct</vt:lpstr>
      <vt:lpstr>Water</vt:lpstr>
      <vt:lpstr>weekly_profit</vt:lpstr>
      <vt:lpstr>year</vt:lpstr>
      <vt:lpstr>yellow_cards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Benjamin Avanzi</cp:lastModifiedBy>
  <cp:revision/>
  <dcterms:created xsi:type="dcterms:W3CDTF">2023-08-17T06:53:41Z</dcterms:created>
  <dcterms:modified xsi:type="dcterms:W3CDTF">2024-08-01T04:46:21Z</dcterms:modified>
  <cp:category/>
  <cp:contentStatus/>
</cp:coreProperties>
</file>